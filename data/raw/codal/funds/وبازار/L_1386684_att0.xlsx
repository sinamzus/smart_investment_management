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hmadi\00\گزارشات پرتفوی ماهانه\پرتفوی تیر 1404\"/>
    </mc:Choice>
  </mc:AlternateContent>
  <xr:revisionPtr revIDLastSave="0" documentId="13_ncr:1_{9CEAFC25-DE82-4B61-A850-FA723E894A69}" xr6:coauthVersionLast="47" xr6:coauthVersionMax="47" xr10:uidLastSave="{00000000-0000-0000-0000-000000000000}"/>
  <bookViews>
    <workbookView xWindow="14295" yWindow="0" windowWidth="14610" windowHeight="15585" activeTab="9" xr2:uid="{00000000-000D-0000-FFFF-FFFF00000000}"/>
  </bookViews>
  <sheets>
    <sheet name="0" sheetId="1" r:id="rId1"/>
    <sheet name="1" sheetId="2" r:id="rId2"/>
    <sheet name="2" sheetId="5" r:id="rId3"/>
    <sheet name="3" sheetId="6" r:id="rId4"/>
    <sheet name="4" sheetId="8" r:id="rId5"/>
    <sheet name="5" sheetId="9" r:id="rId6"/>
    <sheet name="6" sheetId="12" r:id="rId7"/>
    <sheet name="7" sheetId="11" r:id="rId8"/>
    <sheet name="8" sheetId="15" r:id="rId9"/>
    <sheet name="9" sheetId="10" r:id="rId10"/>
    <sheet name="10" sheetId="16" r:id="rId11"/>
  </sheets>
  <definedNames>
    <definedName name="_xlnm.Print_Area" localSheetId="4">'4'!$A$1:$I$12</definedName>
    <definedName name="_xlnm.Print_Area" localSheetId="6">'6'!$A$1:$Q$134</definedName>
    <definedName name="_xlnm.Print_Titles" localSheetId="1">'1'!$1:$10</definedName>
    <definedName name="_xlnm.Print_Titles" localSheetId="5">'5'!$1:$8</definedName>
    <definedName name="_xlnm.Print_Titles" localSheetId="6">'6'!$1:$8</definedName>
    <definedName name="_xlnm.Print_Titles" localSheetId="7">'7'!$1:$8</definedName>
  </definedNames>
  <calcPr calcId="181029"/>
</workbook>
</file>

<file path=xl/calcChain.xml><?xml version="1.0" encoding="utf-8"?>
<calcChain xmlns="http://schemas.openxmlformats.org/spreadsheetml/2006/main">
  <c r="Q168" i="11" l="1"/>
  <c r="I134" i="12"/>
  <c r="M10" i="10"/>
  <c r="M9" i="10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9" i="9"/>
  <c r="O7" i="9"/>
  <c r="I9" i="8"/>
  <c r="I10" i="8"/>
  <c r="I8" i="8"/>
  <c r="I11" i="8" s="1"/>
  <c r="E10" i="16"/>
  <c r="C10" i="16"/>
  <c r="I11" i="15"/>
  <c r="E11" i="15"/>
  <c r="G10" i="15" s="1"/>
  <c r="K10" i="15"/>
  <c r="K9" i="15"/>
  <c r="K11" i="15" s="1"/>
  <c r="Q134" i="12"/>
  <c r="O134" i="12"/>
  <c r="M134" i="12"/>
  <c r="G134" i="12"/>
  <c r="E134" i="12"/>
  <c r="O168" i="11"/>
  <c r="M168" i="11"/>
  <c r="I168" i="11"/>
  <c r="G168" i="11"/>
  <c r="E168" i="11"/>
  <c r="S11" i="10"/>
  <c r="Q11" i="10"/>
  <c r="O11" i="10"/>
  <c r="K11" i="10"/>
  <c r="I11" i="10"/>
  <c r="Q35" i="9"/>
  <c r="O35" i="9"/>
  <c r="K35" i="9"/>
  <c r="I35" i="9"/>
  <c r="E11" i="8"/>
  <c r="G10" i="8"/>
  <c r="G9" i="8"/>
  <c r="G8" i="8"/>
  <c r="S12" i="6"/>
  <c r="Q12" i="6"/>
  <c r="O12" i="6"/>
  <c r="M12" i="6"/>
  <c r="K12" i="6"/>
  <c r="K11" i="5"/>
  <c r="W69" i="2"/>
  <c r="U69" i="2"/>
  <c r="S69" i="2"/>
  <c r="M69" i="2"/>
  <c r="J69" i="2"/>
  <c r="G69" i="2"/>
  <c r="E69" i="2"/>
  <c r="M11" i="10" l="1"/>
  <c r="S35" i="9"/>
  <c r="M35" i="9"/>
  <c r="G11" i="8"/>
  <c r="G9" i="15"/>
  <c r="G11" i="15" s="1"/>
</calcChain>
</file>

<file path=xl/sharedStrings.xml><?xml version="1.0" encoding="utf-8"?>
<sst xmlns="http://schemas.openxmlformats.org/spreadsheetml/2006/main" count="598" uniqueCount="291">
  <si>
    <t>‫سرمایه گذاری قابل معامله شاخصی بازار آشنا</t>
  </si>
  <si>
    <t>‫صورت وضعیت پورتفوی</t>
  </si>
  <si>
    <t>‫برای ماه منتهی به 1404/04/31</t>
  </si>
  <si>
    <t>‫1- سرمایه گذاری ها</t>
  </si>
  <si>
    <t>‫1-1- سرمایه گذاری در سهام و حق تقدم سهام</t>
  </si>
  <si>
    <t>‫1404/03/31</t>
  </si>
  <si>
    <t>‫1404/04/31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</si>
  <si>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</si>
  <si>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</si>
  <si>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</si>
  <si>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</si>
  <si>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</si>
  <si>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</si>
  <si>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</si>
  <si>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</si>
  <si>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</si>
  <si>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‫اخشان خراسان</t>
  </si>
  <si>
    <t>‫ارتباطات سیار</t>
  </si>
  <si>
    <t>‫اقتصاد نوين</t>
  </si>
  <si>
    <t>‫ايران خودرو</t>
  </si>
  <si>
    <t>‫بانك تجارت</t>
  </si>
  <si>
    <t>‫بانك صادرات</t>
  </si>
  <si>
    <t>‫بانك ملت</t>
  </si>
  <si>
    <t>‫بين المللي توسعه ص. معادن غدير</t>
  </si>
  <si>
    <t>‫توسعه نيشكر و صنايع جانبي</t>
  </si>
  <si>
    <t>‫توسعه‌معادن‌وفلزات‌</t>
  </si>
  <si>
    <t>‫توليد انرژي برق شمس پاسارگاد</t>
  </si>
  <si>
    <t>‫توليدي برنا باطري</t>
  </si>
  <si>
    <t>‫تولید برق دماوند</t>
  </si>
  <si>
    <t>‫سايپا</t>
  </si>
  <si>
    <t>‫سرمايه گذاري تامين اجتماعي</t>
  </si>
  <si>
    <t>‫سرمايه گذاري دارويي تامين</t>
  </si>
  <si>
    <t>‫سرمايه گذاري صدرتامين</t>
  </si>
  <si>
    <t>‫سرمايه گذاري غدير</t>
  </si>
  <si>
    <t>‫سرمايه گذاري ملي ايران</t>
  </si>
  <si>
    <t>‫سرمايه گذاري مهر</t>
  </si>
  <si>
    <t>‫سرمايه گذاري پايا تدبيرپارسا</t>
  </si>
  <si>
    <t>‫سيمان تهران</t>
  </si>
  <si>
    <t>‫صنايع ارتباطي آوا</t>
  </si>
  <si>
    <t>‫صنايع الكترونيك ماديران</t>
  </si>
  <si>
    <t>‫صنايع غذايي رضوي</t>
  </si>
  <si>
    <t>‫صنايع پتروشيمي خليج فارس</t>
  </si>
  <si>
    <t>‫صندوق بازنشستگي</t>
  </si>
  <si>
    <t>‫فولاد مباركه</t>
  </si>
  <si>
    <t>‫قند چهار محال</t>
  </si>
  <si>
    <t>‫كاني كربن طبس</t>
  </si>
  <si>
    <t>‫كشتيراني ايران</t>
  </si>
  <si>
    <t>‫مخابرات</t>
  </si>
  <si>
    <t>‫مديريت نيروگاهي ايرانيان مپنا</t>
  </si>
  <si>
    <t>‫معدنكاران نسوز</t>
  </si>
  <si>
    <t>‫ملي مس</t>
  </si>
  <si>
    <t>‫مپنا</t>
  </si>
  <si>
    <t>‫نفت اصفهان</t>
  </si>
  <si>
    <t>‫نفت بندر عباس</t>
  </si>
  <si>
    <t>‫نفت بهران</t>
  </si>
  <si>
    <t>‫نفت تبريز</t>
  </si>
  <si>
    <t>‫نفت تهران</t>
  </si>
  <si>
    <t>‫نفت و گاز پارسیان</t>
  </si>
  <si>
    <t>‫پارس مينو</t>
  </si>
  <si>
    <t>‫پتروشيمي بوعلي سينا</t>
  </si>
  <si>
    <t>‫پتروشيمي جم</t>
  </si>
  <si>
    <t>‫پتروشيمي شيراز</t>
  </si>
  <si>
    <t>‫پتروشيمي نوري</t>
  </si>
  <si>
    <t>‫پتروشيمي پارس</t>
  </si>
  <si>
    <t>‫پتروشيمی پردیس</t>
  </si>
  <si>
    <t>‫پتروشیمی تامین</t>
  </si>
  <si>
    <t>‫پخش هجرت</t>
  </si>
  <si>
    <t>‫پست بانك ايران</t>
  </si>
  <si>
    <t>‫پويا</t>
  </si>
  <si>
    <t>‫پويا زركان آق دره</t>
  </si>
  <si>
    <t>‫چادرملو</t>
  </si>
  <si>
    <t>‫گروه مالي صبا تامين</t>
  </si>
  <si>
    <t>‫گسترش خودرو</t>
  </si>
  <si>
    <t>‫گل گهر</t>
  </si>
  <si>
    <t>‫جمع</t>
  </si>
  <si>
    <t>‫نام سهام</t>
  </si>
  <si>
    <t>‫تاریخ سررسید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</si>
  <si>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</si>
  <si>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</si>
  <si>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</si>
  <si>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</si>
  <si>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</si>
  <si>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</si>
  <si>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</si>
  <si>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</si>
  <si>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‫-</t>
  </si>
  <si>
    <t>‫مشخصات حساب بانکی</t>
  </si>
  <si>
    <t>‫سپرده‌های بانکی</t>
  </si>
  <si>
    <t>‫شماره حساب</t>
  </si>
  <si>
    <t>‫نوع سپرده</t>
  </si>
  <si>
    <t>‫تاریخ افتتاح حساب</t>
  </si>
  <si>
    <t>‫نرخ سود علی الحساب</t>
  </si>
  <si>
    <t>‫مبلغ</t>
  </si>
  <si>
    <t>‫افزایش</t>
  </si>
  <si>
    <t>‫کاهش</t>
  </si>
  <si>
    <t>‫سپرده بانکی نزد بانک پاسارگاد</t>
  </si>
  <si>
    <t>‫415.8100.14938708.1</t>
  </si>
  <si>
    <t>‫کوتاه مدت</t>
  </si>
  <si>
    <t>‫1400/08/09</t>
  </si>
  <si>
    <t>‫0</t>
  </si>
  <si>
    <t>‫سپرده بانکی نزد بانک گردشگري</t>
  </si>
  <si>
    <t>‫132-711270160-1</t>
  </si>
  <si>
    <t>‫جاري</t>
  </si>
  <si>
    <t>‫1401/09/22</t>
  </si>
  <si>
    <t>‫132.9967.1270160.1</t>
  </si>
  <si>
    <t>‫1403/05/03</t>
  </si>
  <si>
    <t>‫23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</si>
  <si>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</si>
  <si>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</si>
  <si>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</si>
  <si>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</si>
  <si>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</si>
  <si>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</si>
  <si>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</si>
  <si>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‫1-2</t>
  </si>
  <si>
    <t>‫2-2</t>
  </si>
  <si>
    <t>‫درآمد حاصل از سرمایه گذاری در سپرده بانکی و گواهی سپرده</t>
  </si>
  <si>
    <t>‫3-2</t>
  </si>
  <si>
    <t>‫سایر درآمدها</t>
  </si>
  <si>
    <t>‫اطلاعات مجمع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</si>
  <si>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</si>
  <si>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</si>
  <si>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</si>
  <si>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</si>
  <si>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</si>
  <si>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</si>
  <si>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‫1404/03/21</t>
  </si>
  <si>
    <t>‫1404/04/22</t>
  </si>
  <si>
    <t>‫1403/10/15</t>
  </si>
  <si>
    <t>‫1403/12/20</t>
  </si>
  <si>
    <t>‫1404/04/29</t>
  </si>
  <si>
    <t>‫1403/12/22</t>
  </si>
  <si>
    <t>‫1403/12/08</t>
  </si>
  <si>
    <t>‫1404/01/27</t>
  </si>
  <si>
    <t>‫1404/04/28</t>
  </si>
  <si>
    <t>‫صبا فولاد خليج فارس</t>
  </si>
  <si>
    <t>‫1404/01/31</t>
  </si>
  <si>
    <t>‫1404/04/17</t>
  </si>
  <si>
    <t>‫1404/03/28</t>
  </si>
  <si>
    <t>‫1404/04/12</t>
  </si>
  <si>
    <t>‫1404/04/30</t>
  </si>
  <si>
    <t>‫1403/10/19</t>
  </si>
  <si>
    <t>‫1404/03/03</t>
  </si>
  <si>
    <t>‫1404/02/15</t>
  </si>
  <si>
    <t>‫1404/04/21</t>
  </si>
  <si>
    <t>‫1404/04/23</t>
  </si>
  <si>
    <t>‫تاریخ دریافت سود</t>
  </si>
  <si>
    <t>‫درآمد سود</t>
  </si>
  <si>
    <t>‫خالص درآمد</t>
  </si>
  <si>
    <t>‫كوتاه مدت-1.1270160.9967.132-گردشگري</t>
  </si>
  <si>
    <t>‫1404/04/03</t>
  </si>
  <si>
    <t>‫كوتاه مدت-1.14938708.8100.415-پاسارگاد</t>
  </si>
  <si>
    <t>‫1404/04/01</t>
  </si>
  <si>
    <t>‫ارزش دفتری</t>
  </si>
  <si>
    <t>‫سود و زیان ناشی از فروش</t>
  </si>
  <si>
    <t>‫آلومينيوم ايران</t>
  </si>
  <si>
    <t>‫انتقال داده هاي آسياتك</t>
  </si>
  <si>
    <t>‫توسعه معادن وص.معدني خاورميانه</t>
  </si>
  <si>
    <t>‫دارويي و نهاده هاي زاگرس دارو</t>
  </si>
  <si>
    <t>‫ذوب آهن  اصفهان</t>
  </si>
  <si>
    <t>‫سرمايه گذاري اميد</t>
  </si>
  <si>
    <t>‫سرمايه گذاري جامي</t>
  </si>
  <si>
    <t>‫سيمان سپاهان</t>
  </si>
  <si>
    <t>‫صنايع شيميايي كيمياگران امروز</t>
  </si>
  <si>
    <t>‫صنعتی صبانور</t>
  </si>
  <si>
    <t>‫فروشگاههاي زنجيره اي افق كوروش</t>
  </si>
  <si>
    <t>‫فولاد اميركبير</t>
  </si>
  <si>
    <t>‫فولاد خوزستان</t>
  </si>
  <si>
    <t>‫مبين انرژي خليج فارس</t>
  </si>
  <si>
    <t>‫معادن روي</t>
  </si>
  <si>
    <t>‫نساجي بابكان</t>
  </si>
  <si>
    <t>‫سود و زیان ناشی از تغییر قیمت</t>
  </si>
  <si>
    <t>‫نام سپرده بانکی</t>
  </si>
  <si>
    <t>‫نام سپرده</t>
  </si>
  <si>
    <t>‫سود سپرده بانکی و گواهی سپرده</t>
  </si>
  <si>
    <t>‫سپرده بانکی کوتاه مدت - پاسارگاد</t>
  </si>
  <si>
    <t>‫سپرده بانکی کوتاه مدت - گردشگري</t>
  </si>
  <si>
    <t>تصمیم مدیران سرمایه گذاری</t>
  </si>
  <si>
    <t>‫2-1- سرمایه گذاری در  سپرده بانکی</t>
  </si>
  <si>
    <t>از ابتدای سال مالی تا 1404/04/31</t>
  </si>
  <si>
    <t>‫تغییرات طی تیر ماه</t>
  </si>
  <si>
    <t>‫طی تیر ماه</t>
  </si>
  <si>
    <t>‫درصد سود به کل سود سپرده</t>
  </si>
  <si>
    <t>‫2-2- درآمد حاصل از سرمایه گذاری در سپرده بانکی و گواهی سپرده:</t>
  </si>
  <si>
    <t>‫3-2- سایر درآمدها:</t>
  </si>
  <si>
    <t>تعدیل کارمزد کارگزاری</t>
  </si>
  <si>
    <t>اختيارخ خساپا-3000-1403/12/22</t>
  </si>
  <si>
    <t>اختيارخ خساپا-3250-1403/12/22</t>
  </si>
  <si>
    <t>اختيارخ خگستر-5500-1404/04/04</t>
  </si>
  <si>
    <t>اختيارخ خودرو-3250-1404/02/03</t>
  </si>
  <si>
    <t>اختيارخ خودرو-3750-1403/12/01</t>
  </si>
  <si>
    <t>اختيارخ خودرو-3750-1404/01/06</t>
  </si>
  <si>
    <t>اختيارخ خودرو-4000-1403/11/03</t>
  </si>
  <si>
    <t>اختيارخ خودرو-4000-1404/01/06</t>
  </si>
  <si>
    <t>اختيارخ خودرو-5000-1403/12/01</t>
  </si>
  <si>
    <t>اختيارخ خودرو-600-1404/04/04</t>
  </si>
  <si>
    <t>اختيارخ خودرو-647-1404/03/07</t>
  </si>
  <si>
    <t>اختيارخ خودرو-700-1404/03/07</t>
  </si>
  <si>
    <t>اختيارخ ذوب-500-1403/12/22</t>
  </si>
  <si>
    <t>اختيارخ ذوب-600-1403/11/24</t>
  </si>
  <si>
    <t>اختيارخ ذوب-700-1403/11/24</t>
  </si>
  <si>
    <t>اختيارخ شپنا-4930-1404/04/18</t>
  </si>
  <si>
    <t>اختيارخ شپنا-5000-1403/12/08</t>
  </si>
  <si>
    <t>اختيارخ شپنا-5500-1403/12/08</t>
  </si>
  <si>
    <t>اختيارخ شستا-1350-1403/10/12</t>
  </si>
  <si>
    <t>اختيارخ شستا-1400-1404/02/10</t>
  </si>
  <si>
    <t>اختيارخ شستا-1450-1403/10/12</t>
  </si>
  <si>
    <t>اختيارخ شستا-1500-1404/01/20</t>
  </si>
  <si>
    <t>اختيارخ شستا-1500-1404/05/15</t>
  </si>
  <si>
    <t>اختيارخ شستا-1550-1403/11/10</t>
  </si>
  <si>
    <t>اختيارخ شستا-1600-1404/04/11</t>
  </si>
  <si>
    <t>اختيارخ شستا-1650-1403/11/10</t>
  </si>
  <si>
    <t>اختيارخ شستا-1650-1403/12/08</t>
  </si>
  <si>
    <t>اختيارخ شستا-1700-1404/04/11</t>
  </si>
  <si>
    <t>اختيارخ شستا-2000-1404/03/13</t>
  </si>
  <si>
    <t>اختيارخ فملي-10000-1404/01/06</t>
  </si>
  <si>
    <t>اختيارخ فولاد-4000-1404/05/15</t>
  </si>
  <si>
    <t>اختيارخ فولاد-4320-1404/03/13</t>
  </si>
  <si>
    <t>اختيارخ فولاد-5000-1404/05/15</t>
  </si>
  <si>
    <t>اختيارخ فولاد-5040-1404/03/13</t>
  </si>
  <si>
    <t>اختيارخ فولاد-6000-1403/12/01</t>
  </si>
  <si>
    <t>اختيارخ فولاد-6500-1403/12/01</t>
  </si>
  <si>
    <t>اختيارخ وبصادر-2200-1403/11/17</t>
  </si>
  <si>
    <t>اختيارخ وبصادر-2400-1403/11/17</t>
  </si>
  <si>
    <t>اختيارخ وبصادر-700-1404/03/21</t>
  </si>
  <si>
    <t>اختيارخ وبصادر-700-1404/05/22</t>
  </si>
  <si>
    <t>اختيارخ وبصادر-800-1404/03/21</t>
  </si>
  <si>
    <t>اختيارخ وبصادر-900-1404/03/21</t>
  </si>
  <si>
    <t>اختيارخ وبملت-2600-1404/05/22</t>
  </si>
  <si>
    <t>اختيارخ وبملت-2640-1404/03/21</t>
  </si>
  <si>
    <t>اختيارخ وبملت-2800-1404/05/22</t>
  </si>
  <si>
    <t>اختيارخ وبملت-2934-1404/03/21</t>
  </si>
  <si>
    <t>اختيارخ وبملت-3000-1403/11/24</t>
  </si>
  <si>
    <t>اختيارخ وبملت-3000-1404/04/25</t>
  </si>
  <si>
    <t>اختيارخ وبملت-3250-1404/03/21</t>
  </si>
  <si>
    <t>اختيارخ وبملت-3500-1404/01/27</t>
  </si>
  <si>
    <t>اختيارخ وبملت-3750-1404/01/27</t>
  </si>
  <si>
    <t>اختيارخ وتجارت-1000-1404/04/18</t>
  </si>
  <si>
    <t>اختيارخ وتجارت-1800-1403/12/15</t>
  </si>
  <si>
    <t>اختيارخ وتجارت-2200-1403/12/15</t>
  </si>
  <si>
    <t>اختيارخ وتجارت-600-1404/06/18</t>
  </si>
  <si>
    <t>اختيارخ وتجارت-900-1404/04/18</t>
  </si>
  <si>
    <t>اختيارف خساپا-543-1404/02/31</t>
  </si>
  <si>
    <t>اختيارف خودرو-3250-1403/11/03</t>
  </si>
  <si>
    <t>اختيارف خودرو-3250-1403/12/01</t>
  </si>
  <si>
    <t>اختيارف خودرو-3250-1404/01/06</t>
  </si>
  <si>
    <t>اختيارف خودرو-3500-1403/12/01</t>
  </si>
  <si>
    <t>اختيارف خودرو-3500-1404/01/06</t>
  </si>
  <si>
    <t>اختيارف خودرو-3750-1404/01/06</t>
  </si>
  <si>
    <t>اختيارف خودرو-500-1404/04/04</t>
  </si>
  <si>
    <t>اختيارف خودرو-647-1404/03/07</t>
  </si>
  <si>
    <t>اختيارف شپنا-3521-1404/04/18</t>
  </si>
  <si>
    <t>اختيارف شستا-1300-1404/01/20</t>
  </si>
  <si>
    <t>اختيارف شستا-1400-1404/02/10</t>
  </si>
  <si>
    <t>اختيارف شستا-1500-1404/02/10</t>
  </si>
  <si>
    <t>اختيارف شستا-1500-1404/03/13</t>
  </si>
  <si>
    <t>اختيارف شستا-1500-1404/04/11</t>
  </si>
  <si>
    <t>اختيارف فولاد-3960-1404/03/13</t>
  </si>
  <si>
    <t>اختيارف وبصادر-600-1404/03/21</t>
  </si>
  <si>
    <t>اختيارف وبملت-1907-1404/01/27</t>
  </si>
  <si>
    <t>اختيارف وبملت-1907-1404/03/21</t>
  </si>
  <si>
    <t>اختيارف وبملت-2054-1404/01/27</t>
  </si>
  <si>
    <t>اختيارف وبملت-2347-1404/03/21</t>
  </si>
  <si>
    <t>اختيارف وبملت-2640-1404/03/21</t>
  </si>
  <si>
    <t>اختيارف وبملت-3000-1403/11/24</t>
  </si>
  <si>
    <t>اختيارخ اخابر-800-1404/05/22</t>
  </si>
  <si>
    <t>اختيارخ وبصادر-800-1404/05/22</t>
  </si>
  <si>
    <t>اختيارف خودرو-600-1404/04/04</t>
  </si>
  <si>
    <t>‫1-2-درآمد سود سهام</t>
  </si>
  <si>
    <t>‫1-2- درآمد ناشی از تغییر قیمت اوراق بهادار</t>
  </si>
  <si>
    <t>‫1-2- سود(زیان) حاصل از فروش اوراق بهادار</t>
  </si>
  <si>
    <t>‫2-2- سود اوراق بهادار با درآمد ثابت و سپرده بانکی</t>
  </si>
  <si>
    <t>اختيارخ خودرو-5000-1404/02/03</t>
  </si>
  <si>
    <t>اختيارخ شپنا-3873-1404/02/17</t>
  </si>
  <si>
    <t>اختيارخ شستا-1800-1404/04/11</t>
  </si>
  <si>
    <t>اختيارخ شستا-2200-1404/04/11</t>
  </si>
  <si>
    <t>اختيارخ فملي-7429-1404/03/07</t>
  </si>
  <si>
    <t>اختيارخ وبملت-3750-1403/11/24</t>
  </si>
  <si>
    <t>اختيارخ وتجارت-499-1404/02/17</t>
  </si>
  <si>
    <t>اختيارف خودرو-3000-1404/01/06</t>
  </si>
  <si>
    <t>اختيارف خودرو-3250-1404/02/03</t>
  </si>
  <si>
    <t>اختيارف شستا-1350-1403/12/08</t>
  </si>
  <si>
    <t>اختيارف فملي-6686-1404/03/07</t>
  </si>
  <si>
    <t>اختيارف وتجارت-545-1404/02/17</t>
  </si>
  <si>
    <t>رکن صندوق</t>
  </si>
  <si>
    <t>شرکت</t>
  </si>
  <si>
    <t>نماینده</t>
  </si>
  <si>
    <t xml:space="preserve">امضا </t>
  </si>
  <si>
    <t>مدیر صندوق</t>
  </si>
  <si>
    <t>شرکت سبدگردان سهم آشنا</t>
  </si>
  <si>
    <t>علی اسماعیلی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</si>
</sst>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u/>
      <sz val="16"/>
      <name val="B Zar"/>
      <charset val="178"/>
    </font>
    <font>
      <b/>
      <sz val="12"/>
      <name val="B Zar"/>
      <charset val="178"/>
    </font>
    <font>
      <sz val="12"/>
      <name val="B Zar"/>
      <charset val="178"/>
    </font>
    <font>
      <sz val="12"/>
      <color indexed="8"/>
      <name val="B Zar"/>
      <charset val="178"/>
    </font>
    <font>
      <b/>
      <sz val="12"/>
      <color indexed="8"/>
      <name val="B Zar"/>
      <charset val="178"/>
    </font>
    <font>
      <sz val="11"/>
      <color indexed="8"/>
      <name val="Calibri"/>
      <family val="2"/>
      <scheme val="minor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8" fillId="2" borderId="5"/>
  </cellStyleXfs>
  <cellXfs count="44">
    <xf numFmtId="0" fontId="0" fillId="0" borderId="0" xfId="0"/>
    <xf numFmtId="0" fontId="2" fillId="0" borderId="0" xfId="0" applyFont="1"/>
    <xf numFmtId="37" fontId="4" fillId="0" borderId="0" xfId="0" applyNumberFormat="1" applyFont="1" applyAlignment="1">
      <alignment horizontal="right" vertical="center"/>
    </xf>
    <xf numFmtId="37" fontId="4" fillId="0" borderId="1" xfId="0" applyNumberFormat="1" applyFont="1" applyBorder="1" applyAlignment="1">
      <alignment horizontal="center" vertical="center"/>
    </xf>
    <xf numFmtId="37" fontId="4" fillId="0" borderId="1" xfId="0" applyNumberFormat="1" applyFont="1" applyBorder="1" applyAlignment="1">
      <alignment horizontal="center" vertical="center" wrapText="1"/>
    </xf>
    <xf numFmtId="37" fontId="5" fillId="0" borderId="0" xfId="0" applyNumberFormat="1" applyFont="1" applyAlignment="1">
      <alignment horizontal="center" vertical="center" wrapText="1"/>
    </xf>
    <xf numFmtId="37" fontId="5" fillId="0" borderId="0" xfId="0" applyNumberFormat="1" applyFont="1" applyAlignment="1">
      <alignment horizontal="center" vertical="center"/>
    </xf>
    <xf numFmtId="37" fontId="5" fillId="0" borderId="3" xfId="0" applyNumberFormat="1" applyFont="1" applyBorder="1" applyAlignment="1">
      <alignment horizontal="center" vertical="center"/>
    </xf>
    <xf numFmtId="37" fontId="5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37" fontId="4" fillId="0" borderId="0" xfId="0" applyNumberFormat="1" applyFont="1" applyAlignment="1">
      <alignment horizontal="center" vertical="center"/>
    </xf>
    <xf numFmtId="37" fontId="5" fillId="0" borderId="1" xfId="0" applyNumberFormat="1" applyFont="1" applyBorder="1" applyAlignment="1">
      <alignment horizontal="center" vertical="center"/>
    </xf>
    <xf numFmtId="37" fontId="5" fillId="0" borderId="0" xfId="0" applyNumberFormat="1" applyFont="1" applyAlignment="1">
      <alignment horizontal="right" vertical="center" wrapText="1"/>
    </xf>
    <xf numFmtId="37" fontId="5" fillId="0" borderId="5" xfId="0" applyNumberFormat="1" applyFont="1" applyBorder="1" applyAlignment="1">
      <alignment horizontal="center" vertical="center"/>
    </xf>
    <xf numFmtId="37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3" fontId="2" fillId="0" borderId="0" xfId="0" applyNumberFormat="1" applyFont="1"/>
    <xf numFmtId="37" fontId="6" fillId="0" borderId="0" xfId="0" applyNumberFormat="1" applyFont="1" applyAlignment="1">
      <alignment horizontal="center" vertical="center" wrapText="1"/>
    </xf>
    <xf numFmtId="37" fontId="1" fillId="0" borderId="0" xfId="0" applyNumberFormat="1" applyFont="1" applyAlignment="1">
      <alignment horizontal="center" vertical="center"/>
    </xf>
    <xf numFmtId="0" fontId="2" fillId="0" borderId="0" xfId="0" applyFont="1"/>
    <xf numFmtId="37" fontId="3" fillId="0" borderId="0" xfId="0" applyNumberFormat="1" applyFont="1" applyAlignment="1">
      <alignment horizontal="center" vertical="center"/>
    </xf>
    <xf numFmtId="37" fontId="4" fillId="0" borderId="0" xfId="0" applyNumberFormat="1" applyFont="1" applyAlignment="1">
      <alignment horizontal="right" vertical="center"/>
    </xf>
    <xf numFmtId="37" fontId="4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/>
    <xf numFmtId="37" fontId="7" fillId="0" borderId="1" xfId="0" applyNumberFormat="1" applyFont="1" applyBorder="1" applyAlignment="1">
      <alignment horizontal="center" vertical="center"/>
    </xf>
    <xf numFmtId="0" fontId="7" fillId="2" borderId="2" xfId="0" applyFont="1" applyFill="1" applyBorder="1"/>
    <xf numFmtId="0" fontId="5" fillId="0" borderId="0" xfId="0" applyFont="1" applyAlignment="1">
      <alignment horizontal="center" vertical="center"/>
    </xf>
    <xf numFmtId="37" fontId="5" fillId="0" borderId="1" xfId="0" applyNumberFormat="1" applyFont="1" applyBorder="1" applyAlignment="1">
      <alignment horizontal="center" vertical="center"/>
    </xf>
    <xf numFmtId="37" fontId="5" fillId="0" borderId="0" xfId="0" applyNumberFormat="1" applyFont="1" applyAlignment="1">
      <alignment horizontal="center" vertical="center" wrapText="1"/>
    </xf>
    <xf numFmtId="37" fontId="7" fillId="0" borderId="0" xfId="0" applyNumberFormat="1" applyFont="1" applyAlignment="1">
      <alignment horizontal="right" vertical="center"/>
    </xf>
    <xf numFmtId="0" fontId="7" fillId="0" borderId="0" xfId="0" applyFont="1"/>
    <xf numFmtId="37" fontId="4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right"/>
    </xf>
    <xf numFmtId="37" fontId="5" fillId="0" borderId="7" xfId="0" applyNumberFormat="1" applyFont="1" applyBorder="1" applyAlignment="1">
      <alignment horizontal="center" vertical="center"/>
    </xf>
    <xf numFmtId="0" fontId="2" fillId="2" borderId="5" xfId="1" applyFont="1"/>
    <xf numFmtId="0" fontId="9" fillId="3" borderId="5" xfId="1" applyFont="1" applyFill="1" applyAlignment="1">
      <alignment horizontal="center" vertical="center" wrapText="1" readingOrder="2"/>
    </xf>
    <xf numFmtId="0" fontId="10" fillId="2" borderId="5" xfId="1" applyFont="1" applyAlignment="1">
      <alignment horizontal="center" vertical="center" wrapText="1" readingOrder="2"/>
    </xf>
    <xf numFmtId="37" fontId="5" fillId="0" borderId="3" xfId="0" applyNumberFormat="1" applyFont="1" applyFill="1" applyBorder="1" applyAlignment="1">
      <alignment horizontal="center" vertical="center"/>
    </xf>
    <xf numFmtId="0" fontId="2" fillId="0" borderId="0" xfId="0" applyFont="1" applyFill="1"/>
    <xf numFmtId="37" fontId="5" fillId="0" borderId="5" xfId="0" applyNumberFormat="1" applyFont="1" applyFill="1" applyBorder="1" applyAlignment="1">
      <alignment horizontal="center" vertical="center"/>
    </xf>
    <xf numFmtId="37" fontId="5" fillId="0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F7805AF2-35B7-4EDE-9C1C-FDC31A1EC5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5</xdr:col>
      <xdr:colOff>590550</xdr:colOff>
      <xdr:row>11</xdr:row>
      <xdr:rowOff>147637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00150" cy="1100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8:J23"/>
  <sheetViews>
    <sheetView rightToLeft="1" view="pageBreakPreview" zoomScale="60" zoomScaleNormal="100" workbookViewId="0">
      <selection activeCell="A5" sqref="A5:XFD8"/>
    </sheetView>
  </sheetViews>
  <sheetFormatPr defaultRowHeight="19.5" x14ac:dyDescent="0.55000000000000004"/>
  <cols>
    <col min="1" max="16384" width="9.140625" style="1"/>
  </cols>
  <sheetData>
    <row r="18" spans="1:10" ht="39.950000000000003" customHeight="1" x14ac:dyDescent="0.55000000000000004">
      <c r="A18" s="20" t="s">
        <v>0</v>
      </c>
      <c r="B18" s="21"/>
      <c r="C18" s="21"/>
      <c r="D18" s="21"/>
      <c r="E18" s="21"/>
      <c r="F18" s="21"/>
      <c r="G18" s="21"/>
      <c r="H18" s="21"/>
      <c r="I18" s="21"/>
      <c r="J18" s="21"/>
    </row>
    <row r="19" spans="1:10" ht="39.950000000000003" customHeight="1" x14ac:dyDescent="0.55000000000000004">
      <c r="A19" s="20" t="s">
        <v>1</v>
      </c>
      <c r="B19" s="21"/>
      <c r="C19" s="21"/>
      <c r="D19" s="21"/>
      <c r="E19" s="21"/>
      <c r="F19" s="21"/>
      <c r="G19" s="21"/>
      <c r="H19" s="21"/>
      <c r="I19" s="21"/>
      <c r="J19" s="21"/>
    </row>
    <row r="20" spans="1:10" ht="39.950000000000003" customHeight="1" x14ac:dyDescent="0.55000000000000004">
      <c r="A20" s="20" t="s">
        <v>2</v>
      </c>
      <c r="B20" s="21"/>
      <c r="C20" s="21"/>
      <c r="D20" s="21"/>
      <c r="E20" s="21"/>
      <c r="F20" s="21"/>
      <c r="G20" s="21"/>
      <c r="H20" s="21"/>
      <c r="I20" s="21"/>
      <c r="J20" s="21"/>
    </row>
    <row r="22" spans="1:10" s="37" customFormat="1" ht="43.5" customHeight="1" x14ac:dyDescent="0.55000000000000004">
      <c r="B22" s="38" t="s">
        <v>284</v>
      </c>
      <c r="C22" s="38"/>
      <c r="D22" s="38" t="s">
        <v>285</v>
      </c>
      <c r="E22" s="38"/>
      <c r="F22" s="38" t="s">
        <v>286</v>
      </c>
      <c r="G22" s="38"/>
      <c r="H22" s="38" t="s">
        <v>287</v>
      </c>
      <c r="I22" s="38"/>
    </row>
    <row r="23" spans="1:10" s="37" customFormat="1" ht="56.25" customHeight="1" x14ac:dyDescent="0.55000000000000004">
      <c r="B23" s="39" t="s">
        <v>288</v>
      </c>
      <c r="C23" s="39"/>
      <c r="D23" s="39" t="s">
        <v>289</v>
      </c>
      <c r="E23" s="39"/>
      <c r="F23" s="39" t="s">
        <v>290</v>
      </c>
      <c r="G23" s="39"/>
      <c r="H23" s="39"/>
      <c r="I23" s="39"/>
    </row>
  </sheetData>
  <mergeCells count="11">
    <mergeCell ref="B23:C23"/>
    <mergeCell ref="D23:E23"/>
    <mergeCell ref="F23:G23"/>
    <mergeCell ref="H23:I23"/>
    <mergeCell ref="A18:J18"/>
    <mergeCell ref="A19:J19"/>
    <mergeCell ref="A20:J20"/>
    <mergeCell ref="B22:C22"/>
    <mergeCell ref="D22:E22"/>
    <mergeCell ref="F22:G22"/>
    <mergeCell ref="H22:I22"/>
  </mergeCells>
  <pageMargins left="0.7" right="0.7" top="0.75" bottom="0.75" header="0.3" footer="0.3"/>
  <pageSetup paperSize="9" scale="9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W70"/>
  <sheetViews>
    <sheetView rightToLeft="1" view="pageBreakPreview" topLeftCell="A52" zoomScale="85" zoomScaleNormal="100" zoomScaleSheetLayoutView="85" workbookViewId="0">
      <selection activeCell="G69" sqref="G69:U69"/>
    </sheetView>
  </sheetViews>
  <sheetFormatPr defaultRowHeight="19.5" x14ac:dyDescent="0.55000000000000004"/>
  <cols>
    <col min="1" max="1" width="27.7109375" style="1" bestFit="1" customWidth="1"/>
    <col min="2" max="2" width="1.42578125" style="1" customWidth="1"/>
    <col min="3" max="3" width="11.85546875" style="1" bestFit="1" customWidth="1"/>
    <col min="4" max="4" width="1.42578125" style="1" customWidth="1"/>
    <col min="5" max="5" width="15.5703125" style="1" bestFit="1" customWidth="1"/>
    <col min="6" max="6" width="1.42578125" style="1" customWidth="1"/>
    <col min="7" max="7" width="17.28515625" style="1" bestFit="1" customWidth="1"/>
    <col min="8" max="8" width="1.42578125" style="1" customWidth="1"/>
    <col min="9" max="9" width="11.85546875" style="1" bestFit="1" customWidth="1"/>
    <col min="10" max="10" width="14.5703125" style="1" bestFit="1" customWidth="1"/>
    <col min="11" max="11" width="1.42578125" style="1" customWidth="1"/>
    <col min="12" max="12" width="11.85546875" style="1" bestFit="1" customWidth="1"/>
    <col min="13" max="13" width="15.5703125" style="1" bestFit="1" customWidth="1"/>
    <col min="14" max="14" width="1.42578125" style="1" customWidth="1"/>
    <col min="15" max="15" width="11.85546875" style="1" bestFit="1" customWidth="1"/>
    <col min="16" max="16" width="1.42578125" style="1" customWidth="1"/>
    <col min="17" max="17" width="14.7109375" style="1" bestFit="1" customWidth="1"/>
    <col min="18" max="18" width="1.42578125" style="1" customWidth="1"/>
    <col min="19" max="19" width="15.5703125" style="1" bestFit="1" customWidth="1"/>
    <col min="20" max="20" width="1.42578125" style="1" customWidth="1"/>
    <col min="21" max="21" width="15.5703125" style="1" bestFit="1" customWidth="1"/>
    <col min="22" max="22" width="1.42578125" style="1" customWidth="1"/>
    <col min="23" max="23" width="17.7109375" style="1" bestFit="1" customWidth="1"/>
    <col min="24" max="16384" width="9.140625" style="1"/>
  </cols>
  <sheetData>
    <row r="1" spans="1:23" ht="20.100000000000001" customHeight="1" x14ac:dyDescent="0.55000000000000004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20.100000000000001" customHeight="1" x14ac:dyDescent="0.55000000000000004">
      <c r="A2" s="22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ht="20.100000000000001" customHeight="1" x14ac:dyDescent="0.55000000000000004">
      <c r="A3" s="22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5" spans="1:23" ht="21" x14ac:dyDescent="0.55000000000000004">
      <c r="A5" s="23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spans="1:23" ht="21" x14ac:dyDescent="0.55000000000000004">
      <c r="A6" s="23" t="s">
        <v>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8" spans="1:23" ht="21" x14ac:dyDescent="0.55000000000000004">
      <c r="C8" s="24" t="s">
        <v>5</v>
      </c>
      <c r="D8" s="25"/>
      <c r="E8" s="25"/>
      <c r="F8" s="25"/>
      <c r="G8" s="25"/>
      <c r="I8" s="26" t="s">
        <v>180</v>
      </c>
      <c r="J8" s="27"/>
      <c r="K8" s="27"/>
      <c r="L8" s="27"/>
      <c r="M8" s="27"/>
      <c r="O8" s="24" t="s">
        <v>6</v>
      </c>
      <c r="P8" s="25"/>
      <c r="Q8" s="25"/>
      <c r="R8" s="25"/>
      <c r="S8" s="25"/>
      <c r="T8" s="25"/>
      <c r="U8" s="25"/>
      <c r="V8" s="25"/>
      <c r="W8" s="25"/>
    </row>
    <row r="9" spans="1:23" ht="21" x14ac:dyDescent="0.55000000000000004">
      <c r="A9" s="28" t="s">
        <v>7</v>
      </c>
      <c r="C9" s="28" t="s">
        <v>8</v>
      </c>
      <c r="E9" s="28" t="s">
        <v>9</v>
      </c>
      <c r="G9" s="28" t="s">
        <v>10</v>
      </c>
      <c r="I9" s="28" t="s">
        <v>11</v>
      </c>
      <c r="J9" s="21"/>
      <c r="L9" s="28" t="s">
        <v>12</v>
      </c>
      <c r="M9" s="21"/>
      <c r="O9" s="28" t="s">
        <v>8</v>
      </c>
      <c r="Q9" s="30" t="s">
        <v>13</v>
      </c>
      <c r="S9" s="28" t="s">
        <v>9</v>
      </c>
      <c r="U9" s="28" t="s">
        <v>10</v>
      </c>
      <c r="W9" s="30" t="s">
        <v>14</v>
      </c>
    </row>
    <row r="10" spans="1:23" ht="21" x14ac:dyDescent="0.55000000000000004">
      <c r="A10" s="29"/>
      <c r="C10" s="29"/>
      <c r="E10" s="29"/>
      <c r="G10" s="29"/>
      <c r="I10" s="13" t="s">
        <v>8</v>
      </c>
      <c r="J10" s="13" t="s">
        <v>9</v>
      </c>
      <c r="L10" s="13" t="s">
        <v>8</v>
      </c>
      <c r="M10" s="13" t="s">
        <v>15</v>
      </c>
      <c r="O10" s="29"/>
      <c r="Q10" s="29"/>
      <c r="S10" s="29"/>
      <c r="U10" s="29"/>
      <c r="W10" s="29"/>
    </row>
    <row r="11" spans="1:23" ht="21" x14ac:dyDescent="0.55000000000000004">
      <c r="A11" s="14" t="s">
        <v>16</v>
      </c>
      <c r="C11" s="6">
        <v>75000</v>
      </c>
      <c r="E11" s="6">
        <v>525487200</v>
      </c>
      <c r="G11" s="6">
        <v>610595212</v>
      </c>
      <c r="I11" s="6">
        <v>0</v>
      </c>
      <c r="J11" s="6">
        <v>0</v>
      </c>
      <c r="L11" s="6">
        <v>75000</v>
      </c>
      <c r="M11" s="6">
        <v>517403039</v>
      </c>
    </row>
    <row r="12" spans="1:23" ht="21" x14ac:dyDescent="0.55000000000000004">
      <c r="A12" s="14" t="s">
        <v>17</v>
      </c>
      <c r="C12" s="6">
        <v>1000000</v>
      </c>
      <c r="E12" s="6">
        <v>4399636215</v>
      </c>
      <c r="G12" s="6">
        <v>5218762500</v>
      </c>
      <c r="N12" s="9"/>
      <c r="O12" s="6">
        <v>1000000</v>
      </c>
      <c r="Q12" s="6">
        <v>4419</v>
      </c>
      <c r="S12" s="6">
        <v>4399636215</v>
      </c>
      <c r="U12" s="6">
        <v>4389724800</v>
      </c>
      <c r="W12" s="10">
        <v>4.243154657532909E-3</v>
      </c>
    </row>
    <row r="13" spans="1:23" ht="21" x14ac:dyDescent="0.55000000000000004">
      <c r="A13" s="14" t="s">
        <v>18</v>
      </c>
      <c r="C13" s="6">
        <v>5242039</v>
      </c>
      <c r="E13" s="6">
        <v>17597870612</v>
      </c>
      <c r="G13" s="6">
        <v>20947612449</v>
      </c>
      <c r="N13" s="9"/>
      <c r="O13" s="6">
        <v>5242039</v>
      </c>
      <c r="Q13" s="6">
        <v>3757</v>
      </c>
      <c r="S13" s="6">
        <v>17597870612</v>
      </c>
      <c r="U13" s="6">
        <v>19134237043</v>
      </c>
      <c r="W13" s="10">
        <v>1.8495356936121411E-2</v>
      </c>
    </row>
    <row r="14" spans="1:23" ht="21" x14ac:dyDescent="0.55000000000000004">
      <c r="A14" s="14" t="s">
        <v>19</v>
      </c>
      <c r="C14" s="6">
        <v>75670591</v>
      </c>
      <c r="E14" s="6">
        <v>24087062253</v>
      </c>
      <c r="G14" s="6">
        <v>43703023921</v>
      </c>
      <c r="I14" s="6">
        <v>3989000</v>
      </c>
      <c r="J14" s="6">
        <v>2394596700</v>
      </c>
      <c r="L14" s="6">
        <v>0</v>
      </c>
      <c r="M14" s="6">
        <v>0</v>
      </c>
      <c r="O14" s="6">
        <v>79659591</v>
      </c>
      <c r="Q14" s="6">
        <v>470</v>
      </c>
      <c r="S14" s="6">
        <v>26481658953</v>
      </c>
      <c r="U14" s="6">
        <v>37217239724</v>
      </c>
      <c r="W14" s="10">
        <v>3.597457956257518E-2</v>
      </c>
    </row>
    <row r="15" spans="1:23" ht="21" x14ac:dyDescent="0.55000000000000004">
      <c r="A15" s="14" t="s">
        <v>20</v>
      </c>
      <c r="C15" s="6">
        <v>38066235</v>
      </c>
      <c r="E15" s="6">
        <v>12577600015</v>
      </c>
      <c r="G15" s="6">
        <v>19411787083</v>
      </c>
      <c r="I15" s="6">
        <v>0</v>
      </c>
      <c r="J15" s="6">
        <v>0</v>
      </c>
      <c r="L15" s="6">
        <v>11600000</v>
      </c>
      <c r="M15" s="6">
        <v>5442622728</v>
      </c>
      <c r="O15" s="6">
        <v>26466235</v>
      </c>
      <c r="Q15" s="6">
        <v>472</v>
      </c>
      <c r="S15" s="6">
        <v>8744802782</v>
      </c>
      <c r="U15" s="6">
        <v>12522970189</v>
      </c>
      <c r="W15" s="10">
        <v>1.2104836112642216E-2</v>
      </c>
    </row>
    <row r="16" spans="1:23" ht="21" x14ac:dyDescent="0.55000000000000004">
      <c r="A16" s="14" t="s">
        <v>21</v>
      </c>
      <c r="C16" s="6">
        <v>35960926</v>
      </c>
      <c r="E16" s="6">
        <v>23397847996</v>
      </c>
      <c r="G16" s="6">
        <v>22627824724</v>
      </c>
      <c r="I16" s="6">
        <v>0</v>
      </c>
      <c r="J16" s="6">
        <v>0</v>
      </c>
      <c r="L16" s="6">
        <v>35960926</v>
      </c>
      <c r="M16" s="6">
        <v>20525388267</v>
      </c>
    </row>
    <row r="17" spans="1:23" ht="21" x14ac:dyDescent="0.55000000000000004">
      <c r="A17" s="14" t="s">
        <v>22</v>
      </c>
      <c r="C17" s="6">
        <v>25392957</v>
      </c>
      <c r="E17" s="6">
        <v>22714344403</v>
      </c>
      <c r="G17" s="6">
        <v>62271690591</v>
      </c>
      <c r="I17" s="6">
        <v>0</v>
      </c>
      <c r="J17" s="6">
        <v>0</v>
      </c>
      <c r="L17" s="6">
        <v>5392957</v>
      </c>
      <c r="M17" s="6">
        <v>12405976149</v>
      </c>
      <c r="O17" s="6">
        <v>20000000</v>
      </c>
      <c r="Q17" s="6">
        <v>2440</v>
      </c>
      <c r="S17" s="6">
        <v>17890271230</v>
      </c>
      <c r="U17" s="6">
        <v>48728331000</v>
      </c>
      <c r="W17" s="10">
        <v>4.7101322760929175E-2</v>
      </c>
    </row>
    <row r="18" spans="1:23" ht="21" x14ac:dyDescent="0.55000000000000004">
      <c r="A18" s="14" t="s">
        <v>23</v>
      </c>
      <c r="C18" s="6">
        <v>1700000</v>
      </c>
      <c r="E18" s="6">
        <v>8016464339</v>
      </c>
      <c r="G18" s="6">
        <v>7256366190</v>
      </c>
      <c r="I18" s="6">
        <v>0</v>
      </c>
      <c r="J18" s="6">
        <v>0</v>
      </c>
      <c r="L18" s="6">
        <v>1700000</v>
      </c>
      <c r="M18" s="6">
        <v>6531405579</v>
      </c>
    </row>
    <row r="19" spans="1:23" ht="21" x14ac:dyDescent="0.55000000000000004">
      <c r="A19" s="14" t="s">
        <v>24</v>
      </c>
      <c r="C19" s="6">
        <v>285750</v>
      </c>
      <c r="E19" s="6">
        <v>13013430474</v>
      </c>
      <c r="G19" s="6">
        <v>14855803886</v>
      </c>
      <c r="I19" s="6">
        <v>0</v>
      </c>
      <c r="J19" s="6">
        <v>0</v>
      </c>
      <c r="L19" s="6">
        <v>285750</v>
      </c>
      <c r="M19" s="6">
        <v>12916282991</v>
      </c>
    </row>
    <row r="20" spans="1:23" ht="21" x14ac:dyDescent="0.55000000000000004">
      <c r="A20" s="14" t="s">
        <v>25</v>
      </c>
      <c r="C20" s="6">
        <v>6603333</v>
      </c>
      <c r="E20" s="6">
        <v>13662777497</v>
      </c>
      <c r="G20" s="6">
        <v>14486843273</v>
      </c>
      <c r="N20" s="9"/>
      <c r="O20" s="6">
        <v>6603333</v>
      </c>
      <c r="Q20" s="6">
        <v>1942</v>
      </c>
      <c r="S20" s="6">
        <v>13662777497</v>
      </c>
      <c r="U20" s="6">
        <v>12767063963</v>
      </c>
      <c r="W20" s="10">
        <v>1.2340779749478604E-2</v>
      </c>
    </row>
    <row r="21" spans="1:23" ht="21" x14ac:dyDescent="0.55000000000000004">
      <c r="A21" s="14" t="s">
        <v>26</v>
      </c>
      <c r="C21" s="6">
        <v>900000</v>
      </c>
      <c r="E21" s="6">
        <v>2932719040</v>
      </c>
      <c r="G21" s="6">
        <v>3834448470</v>
      </c>
      <c r="I21" s="6">
        <v>0</v>
      </c>
      <c r="J21" s="6">
        <v>0</v>
      </c>
      <c r="L21" s="6">
        <v>900000</v>
      </c>
      <c r="M21" s="6">
        <v>3075789526</v>
      </c>
    </row>
    <row r="22" spans="1:23" ht="21" x14ac:dyDescent="0.55000000000000004">
      <c r="A22" s="14" t="s">
        <v>27</v>
      </c>
      <c r="C22" s="6">
        <v>800000</v>
      </c>
      <c r="E22" s="6">
        <v>4614185880</v>
      </c>
      <c r="G22" s="6">
        <v>5717775600</v>
      </c>
      <c r="I22" s="6">
        <v>0</v>
      </c>
      <c r="J22" s="6">
        <v>0</v>
      </c>
      <c r="L22" s="6">
        <v>800000</v>
      </c>
      <c r="M22" s="6">
        <v>4890726130</v>
      </c>
    </row>
    <row r="23" spans="1:23" ht="21" x14ac:dyDescent="0.55000000000000004">
      <c r="A23" s="14" t="s">
        <v>28</v>
      </c>
      <c r="C23" s="6">
        <v>200000</v>
      </c>
      <c r="E23" s="6">
        <v>1665510906</v>
      </c>
      <c r="G23" s="6">
        <v>1598432400</v>
      </c>
      <c r="I23" s="6">
        <v>0</v>
      </c>
      <c r="J23" s="6">
        <v>0</v>
      </c>
      <c r="L23" s="6">
        <v>200000</v>
      </c>
      <c r="M23" s="6">
        <v>1455289206</v>
      </c>
    </row>
    <row r="24" spans="1:23" ht="21" x14ac:dyDescent="0.55000000000000004">
      <c r="A24" s="14" t="s">
        <v>29</v>
      </c>
      <c r="C24" s="6">
        <v>28192301</v>
      </c>
      <c r="E24" s="6">
        <v>9586342604</v>
      </c>
      <c r="G24" s="6">
        <v>13872155620</v>
      </c>
      <c r="I24" s="6">
        <v>0</v>
      </c>
      <c r="J24" s="6">
        <v>0</v>
      </c>
      <c r="L24" s="6">
        <v>28192301</v>
      </c>
      <c r="M24" s="6">
        <v>11377970441</v>
      </c>
    </row>
    <row r="25" spans="1:23" ht="21" x14ac:dyDescent="0.55000000000000004">
      <c r="A25" s="14" t="s">
        <v>30</v>
      </c>
      <c r="C25" s="6">
        <v>40600000</v>
      </c>
      <c r="E25" s="6">
        <v>54284505861</v>
      </c>
      <c r="G25" s="6">
        <v>58802232510</v>
      </c>
      <c r="I25" s="6">
        <v>0</v>
      </c>
      <c r="J25" s="6">
        <v>0</v>
      </c>
      <c r="L25" s="6">
        <v>10600000</v>
      </c>
      <c r="M25" s="6">
        <v>13654271001</v>
      </c>
      <c r="O25" s="6">
        <v>30000000</v>
      </c>
      <c r="Q25" s="6">
        <v>1300</v>
      </c>
      <c r="S25" s="6">
        <v>40111703839</v>
      </c>
      <c r="U25" s="6">
        <v>38767950000</v>
      </c>
      <c r="W25" s="10">
        <v>3.7473512600494446E-2</v>
      </c>
    </row>
    <row r="26" spans="1:23" ht="21" x14ac:dyDescent="0.55000000000000004">
      <c r="A26" s="14" t="s">
        <v>31</v>
      </c>
      <c r="C26" s="6">
        <v>600000</v>
      </c>
      <c r="E26" s="6">
        <v>15400648182</v>
      </c>
      <c r="G26" s="6">
        <v>18220936500</v>
      </c>
      <c r="I26" s="6">
        <v>0</v>
      </c>
      <c r="J26" s="6">
        <v>0</v>
      </c>
      <c r="L26" s="6">
        <v>100000</v>
      </c>
      <c r="M26" s="6">
        <v>2736619650</v>
      </c>
      <c r="O26" s="6">
        <v>500000</v>
      </c>
      <c r="Q26" s="6">
        <v>28240</v>
      </c>
      <c r="S26" s="6">
        <v>12833873485</v>
      </c>
      <c r="U26" s="6">
        <v>13936581000</v>
      </c>
      <c r="W26" s="10">
        <v>1.3471247350229028E-2</v>
      </c>
    </row>
    <row r="27" spans="1:23" ht="21" x14ac:dyDescent="0.55000000000000004">
      <c r="A27" s="14" t="s">
        <v>32</v>
      </c>
      <c r="C27" s="6">
        <v>1288004</v>
      </c>
      <c r="E27" s="6">
        <v>14045283146</v>
      </c>
      <c r="G27" s="6">
        <v>14352615617</v>
      </c>
      <c r="N27" s="9"/>
      <c r="O27" s="6">
        <v>1288004</v>
      </c>
      <c r="Q27" s="6">
        <v>11370</v>
      </c>
      <c r="S27" s="6">
        <v>14045283146</v>
      </c>
      <c r="U27" s="6">
        <v>14429436040</v>
      </c>
      <c r="W27" s="10">
        <v>1.3947646271287717E-2</v>
      </c>
    </row>
    <row r="28" spans="1:23" ht="21" x14ac:dyDescent="0.55000000000000004">
      <c r="A28" s="14" t="s">
        <v>33</v>
      </c>
      <c r="C28" s="6">
        <v>5300000</v>
      </c>
      <c r="E28" s="6">
        <v>42974592899</v>
      </c>
      <c r="G28" s="6">
        <v>52421226750</v>
      </c>
      <c r="I28" s="6">
        <v>0</v>
      </c>
      <c r="J28" s="6">
        <v>0</v>
      </c>
      <c r="L28" s="6">
        <v>900000</v>
      </c>
      <c r="M28" s="6">
        <v>8665054449</v>
      </c>
      <c r="O28" s="6">
        <v>4400000</v>
      </c>
      <c r="Q28" s="6">
        <v>9690</v>
      </c>
      <c r="S28" s="6">
        <v>35677020520</v>
      </c>
      <c r="U28" s="6">
        <v>42032410200</v>
      </c>
      <c r="W28" s="10">
        <v>4.0628974533315571E-2</v>
      </c>
    </row>
    <row r="29" spans="1:23" ht="21" x14ac:dyDescent="0.55000000000000004">
      <c r="A29" s="14" t="s">
        <v>34</v>
      </c>
      <c r="C29" s="6">
        <v>1285714</v>
      </c>
      <c r="E29" s="6">
        <v>5010028996</v>
      </c>
      <c r="G29" s="6">
        <v>6914326249</v>
      </c>
      <c r="I29" s="6">
        <v>0</v>
      </c>
      <c r="J29" s="6">
        <v>0</v>
      </c>
      <c r="L29" s="6">
        <v>1285714</v>
      </c>
      <c r="M29" s="6">
        <v>6505345806</v>
      </c>
    </row>
    <row r="30" spans="1:23" ht="21" x14ac:dyDescent="0.55000000000000004">
      <c r="A30" s="14" t="s">
        <v>35</v>
      </c>
      <c r="C30" s="6">
        <v>750000</v>
      </c>
      <c r="E30" s="6">
        <v>2327157600</v>
      </c>
      <c r="G30" s="6">
        <v>3129766425</v>
      </c>
      <c r="N30" s="9"/>
      <c r="O30" s="6">
        <v>750000</v>
      </c>
      <c r="Q30" s="6">
        <v>3663</v>
      </c>
      <c r="S30" s="6">
        <v>2327157600</v>
      </c>
      <c r="U30" s="6">
        <v>2730903862</v>
      </c>
      <c r="W30" s="10">
        <v>2.6397207044322937E-3</v>
      </c>
    </row>
    <row r="31" spans="1:23" ht="21" x14ac:dyDescent="0.55000000000000004">
      <c r="A31" s="14" t="s">
        <v>36</v>
      </c>
      <c r="C31" s="6">
        <v>3250000</v>
      </c>
      <c r="E31" s="6">
        <v>3903619200</v>
      </c>
      <c r="G31" s="6">
        <v>4329087750</v>
      </c>
      <c r="N31" s="9"/>
      <c r="O31" s="6">
        <v>3250000</v>
      </c>
      <c r="Q31" s="6">
        <v>1202</v>
      </c>
      <c r="S31" s="6">
        <v>3903619200</v>
      </c>
      <c r="U31" s="6">
        <v>3889717650</v>
      </c>
      <c r="W31" s="10">
        <v>3.759842430916276E-3</v>
      </c>
    </row>
    <row r="32" spans="1:23" ht="21" x14ac:dyDescent="0.55000000000000004">
      <c r="A32" s="14" t="s">
        <v>37</v>
      </c>
      <c r="C32" s="6">
        <v>2000000</v>
      </c>
      <c r="E32" s="6">
        <v>19533230776</v>
      </c>
      <c r="G32" s="6">
        <v>23300532000</v>
      </c>
      <c r="N32" s="9"/>
      <c r="O32" s="6">
        <v>2000000</v>
      </c>
      <c r="Q32" s="6">
        <v>9530</v>
      </c>
      <c r="S32" s="6">
        <v>19533230776</v>
      </c>
      <c r="U32" s="6">
        <v>19105641000</v>
      </c>
      <c r="W32" s="10">
        <v>1.8467715696961623E-2</v>
      </c>
    </row>
    <row r="33" spans="1:23" ht="21" x14ac:dyDescent="0.55000000000000004">
      <c r="A33" s="14" t="s">
        <v>38</v>
      </c>
      <c r="C33" s="6">
        <v>249999</v>
      </c>
      <c r="E33" s="6">
        <v>1867954462</v>
      </c>
      <c r="G33" s="6">
        <v>1925964171</v>
      </c>
      <c r="I33" s="6">
        <v>0</v>
      </c>
      <c r="J33" s="6">
        <v>0</v>
      </c>
      <c r="L33" s="6">
        <v>249999</v>
      </c>
      <c r="M33" s="6">
        <v>1553196921</v>
      </c>
    </row>
    <row r="34" spans="1:23" ht="21" x14ac:dyDescent="0.55000000000000004">
      <c r="A34" s="14" t="s">
        <v>39</v>
      </c>
      <c r="C34" s="6">
        <v>1500000</v>
      </c>
      <c r="E34" s="6">
        <v>4654315200</v>
      </c>
      <c r="G34" s="6">
        <v>7186981500</v>
      </c>
      <c r="I34" s="6">
        <v>0</v>
      </c>
      <c r="J34" s="6">
        <v>0</v>
      </c>
      <c r="L34" s="6">
        <v>1500000</v>
      </c>
      <c r="M34" s="6">
        <v>6018312510</v>
      </c>
    </row>
    <row r="35" spans="1:23" ht="21" x14ac:dyDescent="0.55000000000000004">
      <c r="A35" s="14" t="s">
        <v>40</v>
      </c>
      <c r="C35" s="6">
        <v>3750000</v>
      </c>
      <c r="E35" s="6">
        <v>12197891796</v>
      </c>
      <c r="G35" s="6">
        <v>12938803312</v>
      </c>
      <c r="I35" s="6">
        <v>0</v>
      </c>
      <c r="J35" s="6">
        <v>0</v>
      </c>
      <c r="L35" s="6">
        <v>1875000</v>
      </c>
      <c r="M35" s="6">
        <v>6657539463</v>
      </c>
      <c r="O35" s="6">
        <v>1875000</v>
      </c>
      <c r="Q35" s="6">
        <v>3490</v>
      </c>
      <c r="S35" s="6">
        <v>6098945898</v>
      </c>
      <c r="U35" s="6">
        <v>6504814687</v>
      </c>
      <c r="W35" s="10">
        <v>6.2876230271958107E-3</v>
      </c>
    </row>
    <row r="36" spans="1:23" ht="21" x14ac:dyDescent="0.55000000000000004">
      <c r="A36" s="14" t="s">
        <v>41</v>
      </c>
      <c r="C36" s="6">
        <v>12666666</v>
      </c>
      <c r="E36" s="6">
        <v>61730595215</v>
      </c>
      <c r="G36" s="6">
        <v>101234046672</v>
      </c>
      <c r="I36" s="6">
        <v>0</v>
      </c>
      <c r="J36" s="6">
        <v>0</v>
      </c>
      <c r="L36" s="6">
        <v>2666666</v>
      </c>
      <c r="M36" s="6">
        <v>19079128451</v>
      </c>
      <c r="O36" s="6">
        <v>10000000</v>
      </c>
      <c r="Q36" s="6">
        <v>7620</v>
      </c>
      <c r="S36" s="6">
        <v>48734682997</v>
      </c>
      <c r="U36" s="6">
        <v>75348990000</v>
      </c>
      <c r="W36" s="10">
        <v>7.2833134746602024E-2</v>
      </c>
    </row>
    <row r="37" spans="1:23" ht="21" x14ac:dyDescent="0.55000000000000004">
      <c r="A37" s="14" t="s">
        <v>42</v>
      </c>
      <c r="C37" s="6">
        <v>650000</v>
      </c>
      <c r="E37" s="6">
        <v>12030071874</v>
      </c>
      <c r="G37" s="6">
        <v>14150301750</v>
      </c>
      <c r="N37" s="9"/>
      <c r="O37" s="6">
        <v>650000</v>
      </c>
      <c r="Q37" s="6">
        <v>20050</v>
      </c>
      <c r="S37" s="6">
        <v>12030071874</v>
      </c>
      <c r="U37" s="6">
        <v>12987263250</v>
      </c>
      <c r="W37" s="10">
        <v>1.2553626721165639E-2</v>
      </c>
    </row>
    <row r="38" spans="1:23" ht="21" x14ac:dyDescent="0.55000000000000004">
      <c r="A38" s="14" t="s">
        <v>43</v>
      </c>
      <c r="C38" s="6">
        <v>19566211</v>
      </c>
      <c r="E38" s="6">
        <v>65044592833</v>
      </c>
      <c r="G38" s="6">
        <v>68074272156</v>
      </c>
      <c r="I38" s="6">
        <v>0</v>
      </c>
      <c r="J38" s="6">
        <v>0</v>
      </c>
      <c r="L38" s="6">
        <v>1566211</v>
      </c>
      <c r="M38" s="6">
        <v>4864816463</v>
      </c>
      <c r="O38" s="6">
        <v>18000000</v>
      </c>
      <c r="Q38" s="6">
        <v>3153</v>
      </c>
      <c r="S38" s="6">
        <v>59837986567</v>
      </c>
      <c r="U38" s="6">
        <v>56058455700</v>
      </c>
      <c r="W38" s="10">
        <v>5.4186699220314966E-2</v>
      </c>
    </row>
    <row r="39" spans="1:23" ht="21" x14ac:dyDescent="0.55000000000000004">
      <c r="A39" s="14" t="s">
        <v>44</v>
      </c>
      <c r="C39" s="6">
        <v>1800000</v>
      </c>
      <c r="E39" s="6">
        <v>7757852041</v>
      </c>
      <c r="G39" s="6">
        <v>6799302000</v>
      </c>
      <c r="N39" s="9"/>
      <c r="O39" s="6">
        <v>1800000</v>
      </c>
      <c r="Q39" s="6">
        <v>3258</v>
      </c>
      <c r="S39" s="6">
        <v>7757852041</v>
      </c>
      <c r="U39" s="6">
        <v>5868871200</v>
      </c>
      <c r="W39" s="10">
        <v>5.6729132921363896E-3</v>
      </c>
    </row>
    <row r="40" spans="1:23" ht="21" x14ac:dyDescent="0.55000000000000004">
      <c r="A40" s="14" t="s">
        <v>45</v>
      </c>
      <c r="C40" s="6">
        <v>200000</v>
      </c>
      <c r="E40" s="6">
        <v>2542357120</v>
      </c>
      <c r="G40" s="6">
        <v>2890697400</v>
      </c>
      <c r="I40" s="6">
        <v>0</v>
      </c>
      <c r="J40" s="6">
        <v>0</v>
      </c>
      <c r="L40" s="6">
        <v>200000</v>
      </c>
      <c r="M40" s="6">
        <v>2200826700</v>
      </c>
    </row>
    <row r="41" spans="1:23" ht="21" x14ac:dyDescent="0.55000000000000004">
      <c r="A41" s="14" t="s">
        <v>46</v>
      </c>
      <c r="C41" s="6">
        <v>2308532</v>
      </c>
      <c r="E41" s="6">
        <v>15237275155</v>
      </c>
      <c r="G41" s="6">
        <v>19749016395</v>
      </c>
      <c r="I41" s="6">
        <v>0</v>
      </c>
      <c r="J41" s="6">
        <v>0</v>
      </c>
      <c r="L41" s="6">
        <v>1108532</v>
      </c>
      <c r="M41" s="6">
        <v>8684941105</v>
      </c>
      <c r="O41" s="6">
        <v>1200000</v>
      </c>
      <c r="Q41" s="6">
        <v>7330</v>
      </c>
      <c r="S41" s="6">
        <v>7920501074</v>
      </c>
      <c r="U41" s="6">
        <v>8707878000</v>
      </c>
      <c r="W41" s="10">
        <v>8.4171274456495207E-3</v>
      </c>
    </row>
    <row r="42" spans="1:23" ht="21" x14ac:dyDescent="0.55000000000000004">
      <c r="A42" s="14" t="s">
        <v>47</v>
      </c>
      <c r="C42" s="6">
        <v>29010652</v>
      </c>
      <c r="E42" s="6">
        <v>15030293663</v>
      </c>
      <c r="G42" s="6">
        <v>19177295683</v>
      </c>
      <c r="I42" s="6">
        <v>0</v>
      </c>
      <c r="J42" s="6">
        <v>0</v>
      </c>
      <c r="L42" s="6">
        <v>15010652</v>
      </c>
      <c r="M42" s="6">
        <v>8587409832</v>
      </c>
      <c r="O42" s="6">
        <v>14000000</v>
      </c>
      <c r="Q42" s="6">
        <v>550</v>
      </c>
      <c r="S42" s="6">
        <v>7253339611</v>
      </c>
      <c r="U42" s="6">
        <v>7584601500</v>
      </c>
      <c r="W42" s="10">
        <v>7.3313564395326315E-3</v>
      </c>
    </row>
    <row r="43" spans="1:23" ht="21" x14ac:dyDescent="0.55000000000000004">
      <c r="A43" s="14" t="s">
        <v>48</v>
      </c>
      <c r="C43" s="6">
        <v>1000000</v>
      </c>
      <c r="E43" s="6">
        <v>16415148388</v>
      </c>
      <c r="G43" s="6">
        <v>19483380000</v>
      </c>
      <c r="I43" s="6">
        <v>0</v>
      </c>
      <c r="J43" s="6">
        <v>0</v>
      </c>
      <c r="L43" s="6">
        <v>1000000</v>
      </c>
      <c r="M43" s="6">
        <v>15586704074</v>
      </c>
    </row>
    <row r="44" spans="1:23" ht="21" x14ac:dyDescent="0.55000000000000004">
      <c r="A44" s="14" t="s">
        <v>49</v>
      </c>
      <c r="C44" s="6">
        <v>175000</v>
      </c>
      <c r="E44" s="6">
        <v>7181514900</v>
      </c>
      <c r="G44" s="6">
        <v>8854500375</v>
      </c>
      <c r="N44" s="9"/>
      <c r="O44" s="6">
        <v>175000</v>
      </c>
      <c r="Q44" s="6">
        <v>45900</v>
      </c>
      <c r="S44" s="6">
        <v>7181514900</v>
      </c>
      <c r="U44" s="6">
        <v>8036894250</v>
      </c>
      <c r="W44" s="10">
        <v>7.7685474198717326E-3</v>
      </c>
    </row>
    <row r="45" spans="1:23" ht="21" x14ac:dyDescent="0.55000000000000004">
      <c r="A45" s="14" t="s">
        <v>50</v>
      </c>
      <c r="C45" s="6">
        <v>14538461</v>
      </c>
      <c r="E45" s="6">
        <v>59075148587</v>
      </c>
      <c r="G45" s="6">
        <v>95382917237</v>
      </c>
      <c r="I45" s="6">
        <v>0</v>
      </c>
      <c r="J45" s="6">
        <v>0</v>
      </c>
      <c r="L45" s="6">
        <v>2538461</v>
      </c>
      <c r="M45" s="6">
        <v>15633516279</v>
      </c>
      <c r="O45" s="6">
        <v>12000000</v>
      </c>
      <c r="Q45" s="6">
        <v>6750</v>
      </c>
      <c r="S45" s="6">
        <v>48760441909</v>
      </c>
      <c r="U45" s="6">
        <v>80637336000</v>
      </c>
      <c r="W45" s="10">
        <v>7.7944906209028442E-2</v>
      </c>
    </row>
    <row r="46" spans="1:23" ht="21" x14ac:dyDescent="0.55000000000000004">
      <c r="A46" s="14" t="s">
        <v>51</v>
      </c>
      <c r="C46" s="6">
        <v>1164500</v>
      </c>
      <c r="E46" s="6">
        <v>16528576490</v>
      </c>
      <c r="G46" s="6">
        <v>17502476922</v>
      </c>
      <c r="N46" s="9"/>
      <c r="O46" s="6">
        <v>1164500</v>
      </c>
      <c r="Q46" s="6">
        <v>14030</v>
      </c>
      <c r="S46" s="6">
        <v>16528576490</v>
      </c>
      <c r="U46" s="6">
        <v>16182845725</v>
      </c>
      <c r="W46" s="10">
        <v>1.5642510712783244E-2</v>
      </c>
    </row>
    <row r="47" spans="1:23" ht="21" x14ac:dyDescent="0.55000000000000004">
      <c r="A47" s="14" t="s">
        <v>52</v>
      </c>
      <c r="C47" s="6">
        <v>12950000</v>
      </c>
      <c r="E47" s="6">
        <v>33760825735</v>
      </c>
      <c r="G47" s="6">
        <v>51877978425</v>
      </c>
      <c r="I47" s="6">
        <v>0</v>
      </c>
      <c r="J47" s="6">
        <v>0</v>
      </c>
      <c r="L47" s="6">
        <v>3700000</v>
      </c>
      <c r="M47" s="6">
        <v>13192534623</v>
      </c>
      <c r="O47" s="6">
        <v>9250000</v>
      </c>
      <c r="Q47" s="6">
        <v>3450</v>
      </c>
      <c r="S47" s="6">
        <v>24114875525</v>
      </c>
      <c r="U47" s="6">
        <v>31649060925</v>
      </c>
      <c r="W47" s="10">
        <v>3.0592318741816473E-2</v>
      </c>
    </row>
    <row r="48" spans="1:23" ht="21" x14ac:dyDescent="0.55000000000000004">
      <c r="A48" s="14" t="s">
        <v>53</v>
      </c>
      <c r="C48" s="6">
        <v>1500000</v>
      </c>
      <c r="E48" s="6">
        <v>15412896106</v>
      </c>
      <c r="G48" s="6">
        <v>15894859500</v>
      </c>
      <c r="N48" s="9"/>
      <c r="O48" s="6">
        <v>1500000</v>
      </c>
      <c r="Q48" s="6">
        <v>10710</v>
      </c>
      <c r="S48" s="6">
        <v>15412896106</v>
      </c>
      <c r="U48" s="6">
        <v>15894859500</v>
      </c>
      <c r="W48" s="10">
        <v>1.5364140166202722E-2</v>
      </c>
    </row>
    <row r="49" spans="1:23" ht="21" x14ac:dyDescent="0.55000000000000004">
      <c r="A49" s="14" t="s">
        <v>54</v>
      </c>
      <c r="C49" s="6">
        <v>400000</v>
      </c>
      <c r="E49" s="6">
        <v>6776045113</v>
      </c>
      <c r="G49" s="6">
        <v>7379827200</v>
      </c>
      <c r="N49" s="9"/>
      <c r="O49" s="6">
        <v>400000</v>
      </c>
      <c r="Q49" s="6">
        <v>15050</v>
      </c>
      <c r="S49" s="6">
        <v>6776045113</v>
      </c>
      <c r="U49" s="6">
        <v>6008038200</v>
      </c>
      <c r="W49" s="10">
        <v>5.8074335937791906E-3</v>
      </c>
    </row>
    <row r="50" spans="1:23" ht="21" x14ac:dyDescent="0.55000000000000004">
      <c r="A50" s="14" t="s">
        <v>55</v>
      </c>
      <c r="C50" s="6">
        <v>650000</v>
      </c>
      <c r="E50" s="6">
        <v>10326401749</v>
      </c>
      <c r="G50" s="6">
        <v>13549398525</v>
      </c>
      <c r="N50" s="9"/>
      <c r="O50" s="6">
        <v>650000</v>
      </c>
      <c r="Q50" s="6">
        <v>18150</v>
      </c>
      <c r="S50" s="6">
        <v>10326401749</v>
      </c>
      <c r="U50" s="6">
        <v>11727304875</v>
      </c>
      <c r="W50" s="10">
        <v>1.1335737561649569E-2</v>
      </c>
    </row>
    <row r="51" spans="1:23" ht="21" x14ac:dyDescent="0.55000000000000004">
      <c r="A51" s="14" t="s">
        <v>56</v>
      </c>
      <c r="C51" s="6">
        <v>6485981</v>
      </c>
      <c r="E51" s="6">
        <v>12347277052</v>
      </c>
      <c r="G51" s="6">
        <v>16086236586</v>
      </c>
      <c r="N51" s="9"/>
      <c r="O51" s="6">
        <v>6485981</v>
      </c>
      <c r="Q51" s="6">
        <v>2507</v>
      </c>
      <c r="S51" s="6">
        <v>12347277052</v>
      </c>
      <c r="U51" s="6">
        <v>15995973134</v>
      </c>
      <c r="W51" s="10">
        <v>1.5461877679735957E-2</v>
      </c>
    </row>
    <row r="52" spans="1:23" ht="21" x14ac:dyDescent="0.55000000000000004">
      <c r="A52" s="14" t="s">
        <v>57</v>
      </c>
      <c r="C52" s="6">
        <v>500000</v>
      </c>
      <c r="E52" s="6">
        <v>17557212522</v>
      </c>
      <c r="G52" s="6">
        <v>28832420250</v>
      </c>
      <c r="I52" s="6">
        <v>0</v>
      </c>
      <c r="J52" s="6">
        <v>0</v>
      </c>
      <c r="L52" s="6">
        <v>100000</v>
      </c>
      <c r="M52" s="6">
        <v>5465286905</v>
      </c>
      <c r="O52" s="6">
        <v>400000</v>
      </c>
      <c r="Q52" s="6">
        <v>55960</v>
      </c>
      <c r="S52" s="6">
        <v>14045770018</v>
      </c>
      <c r="U52" s="6">
        <v>21892957200</v>
      </c>
      <c r="W52" s="10">
        <v>2.1161965167007427E-2</v>
      </c>
    </row>
    <row r="53" spans="1:23" ht="21" x14ac:dyDescent="0.55000000000000004">
      <c r="A53" s="14" t="s">
        <v>58</v>
      </c>
      <c r="C53" s="6">
        <v>4850000</v>
      </c>
      <c r="E53" s="6">
        <v>21701967809</v>
      </c>
      <c r="G53" s="6">
        <v>22124222932</v>
      </c>
      <c r="I53" s="6">
        <v>0</v>
      </c>
      <c r="J53" s="6">
        <v>0</v>
      </c>
      <c r="L53" s="6">
        <v>550000</v>
      </c>
      <c r="M53" s="6">
        <v>2352009524</v>
      </c>
      <c r="O53" s="6">
        <v>4300000</v>
      </c>
      <c r="Q53" s="6">
        <v>4311</v>
      </c>
      <c r="S53" s="6">
        <v>19240919913</v>
      </c>
      <c r="U53" s="6">
        <v>18200459070</v>
      </c>
      <c r="W53" s="10">
        <v>1.7592757220704948E-2</v>
      </c>
    </row>
    <row r="54" spans="1:23" ht="21" x14ac:dyDescent="0.55000000000000004">
      <c r="A54" s="14" t="s">
        <v>59</v>
      </c>
      <c r="C54" s="6">
        <v>220000</v>
      </c>
      <c r="E54" s="6">
        <v>13591734748</v>
      </c>
      <c r="G54" s="6">
        <v>15505191900</v>
      </c>
      <c r="N54" s="9"/>
      <c r="O54" s="6">
        <v>220000</v>
      </c>
      <c r="Q54" s="6">
        <v>61018</v>
      </c>
      <c r="S54" s="6">
        <v>13591734748</v>
      </c>
      <c r="U54" s="6">
        <v>13370330358</v>
      </c>
      <c r="W54" s="10">
        <v>1.2923903460030422E-2</v>
      </c>
    </row>
    <row r="55" spans="1:23" ht="21" x14ac:dyDescent="0.55000000000000004">
      <c r="A55" s="14" t="s">
        <v>60</v>
      </c>
      <c r="C55" s="6">
        <v>227029</v>
      </c>
      <c r="E55" s="6">
        <v>9721636580</v>
      </c>
      <c r="G55" s="6">
        <v>14131967472</v>
      </c>
      <c r="N55" s="9"/>
      <c r="O55" s="6">
        <v>227029</v>
      </c>
      <c r="Q55" s="6">
        <v>50180</v>
      </c>
      <c r="S55" s="6">
        <v>9721636580</v>
      </c>
      <c r="U55" s="6">
        <v>11342585199</v>
      </c>
      <c r="W55" s="10">
        <v>1.096386343298803E-2</v>
      </c>
    </row>
    <row r="56" spans="1:23" ht="21" x14ac:dyDescent="0.55000000000000004">
      <c r="A56" s="14" t="s">
        <v>61</v>
      </c>
      <c r="C56" s="6">
        <v>400000</v>
      </c>
      <c r="E56" s="6">
        <v>14119090350</v>
      </c>
      <c r="G56" s="6">
        <v>14115510000</v>
      </c>
      <c r="I56" s="6">
        <v>100000</v>
      </c>
      <c r="J56" s="6">
        <v>3478224800</v>
      </c>
      <c r="L56" s="6">
        <v>0</v>
      </c>
      <c r="M56" s="6">
        <v>0</v>
      </c>
      <c r="O56" s="6">
        <v>500000</v>
      </c>
      <c r="Q56" s="6">
        <v>34600</v>
      </c>
      <c r="S56" s="6">
        <v>17597315150</v>
      </c>
      <c r="U56" s="6">
        <v>17018136000</v>
      </c>
      <c r="W56" s="10">
        <v>1.6449911172319615E-2</v>
      </c>
    </row>
    <row r="57" spans="1:23" ht="21" x14ac:dyDescent="0.55000000000000004">
      <c r="A57" s="14" t="s">
        <v>62</v>
      </c>
      <c r="C57" s="6">
        <v>924900</v>
      </c>
      <c r="E57" s="6">
        <v>24193498250</v>
      </c>
      <c r="G57" s="6">
        <v>43055354251</v>
      </c>
      <c r="I57" s="6">
        <v>0</v>
      </c>
      <c r="J57" s="6">
        <v>0</v>
      </c>
      <c r="L57" s="6">
        <v>154899</v>
      </c>
      <c r="M57" s="6">
        <v>6931601047</v>
      </c>
      <c r="O57" s="6">
        <v>770001</v>
      </c>
      <c r="Q57" s="6">
        <v>45620</v>
      </c>
      <c r="S57" s="6">
        <v>20141656229</v>
      </c>
      <c r="U57" s="6">
        <v>34727082445</v>
      </c>
      <c r="W57" s="10">
        <v>3.3567567064575685E-2</v>
      </c>
    </row>
    <row r="58" spans="1:23" ht="21" x14ac:dyDescent="0.55000000000000004">
      <c r="A58" s="14" t="s">
        <v>63</v>
      </c>
      <c r="C58" s="6">
        <v>5400000</v>
      </c>
      <c r="E58" s="6">
        <v>14926400244</v>
      </c>
      <c r="G58" s="6">
        <v>20048994450</v>
      </c>
      <c r="N58" s="9"/>
      <c r="O58" s="6">
        <v>5400000</v>
      </c>
      <c r="Q58" s="6">
        <v>3562</v>
      </c>
      <c r="S58" s="6">
        <v>14926400244</v>
      </c>
      <c r="U58" s="6">
        <v>19163295900</v>
      </c>
      <c r="W58" s="10">
        <v>1.8523445536213639E-2</v>
      </c>
    </row>
    <row r="59" spans="1:23" ht="21" x14ac:dyDescent="0.55000000000000004">
      <c r="A59" s="14" t="s">
        <v>64</v>
      </c>
      <c r="C59" s="6">
        <v>108000</v>
      </c>
      <c r="E59" s="6">
        <v>14985484296</v>
      </c>
      <c r="G59" s="6">
        <v>28800769698</v>
      </c>
      <c r="I59" s="6">
        <v>12000</v>
      </c>
      <c r="J59" s="6">
        <v>3253658658</v>
      </c>
      <c r="L59" s="6">
        <v>0</v>
      </c>
      <c r="M59" s="6">
        <v>0</v>
      </c>
      <c r="O59" s="6">
        <v>120000</v>
      </c>
      <c r="Q59" s="6">
        <v>269840</v>
      </c>
      <c r="S59" s="6">
        <v>18239142954</v>
      </c>
      <c r="U59" s="6">
        <v>32010398100</v>
      </c>
      <c r="W59" s="10">
        <v>3.0941591096439028E-2</v>
      </c>
    </row>
    <row r="60" spans="1:23" ht="21" x14ac:dyDescent="0.55000000000000004">
      <c r="A60" s="14" t="s">
        <v>65</v>
      </c>
      <c r="C60" s="6">
        <v>1718099</v>
      </c>
      <c r="E60" s="6">
        <v>25846792505</v>
      </c>
      <c r="G60" s="6">
        <v>31834814436</v>
      </c>
      <c r="I60" s="6">
        <v>0</v>
      </c>
      <c r="J60" s="6">
        <v>0</v>
      </c>
      <c r="L60" s="6">
        <v>118099</v>
      </c>
      <c r="M60" s="6">
        <v>2054337041</v>
      </c>
      <c r="O60" s="6">
        <v>1600000</v>
      </c>
      <c r="Q60" s="6">
        <v>16620</v>
      </c>
      <c r="S60" s="6">
        <v>24070131004</v>
      </c>
      <c r="U60" s="6">
        <v>26274729600</v>
      </c>
      <c r="W60" s="10">
        <v>2.539743295016075E-2</v>
      </c>
    </row>
    <row r="61" spans="1:23" ht="21" x14ac:dyDescent="0.55000000000000004">
      <c r="A61" s="14" t="s">
        <v>66</v>
      </c>
      <c r="C61" s="6">
        <v>4517187</v>
      </c>
      <c r="E61" s="6">
        <v>10947286168</v>
      </c>
      <c r="G61" s="6">
        <v>11445799521</v>
      </c>
      <c r="N61" s="9"/>
      <c r="O61" s="6">
        <v>4517187</v>
      </c>
      <c r="Q61" s="6">
        <v>2541</v>
      </c>
      <c r="S61" s="6">
        <v>10947286168</v>
      </c>
      <c r="U61" s="6">
        <v>11445799521</v>
      </c>
      <c r="W61" s="10">
        <v>1.1063631493873852E-2</v>
      </c>
    </row>
    <row r="62" spans="1:23" ht="21" x14ac:dyDescent="0.55000000000000004">
      <c r="A62" s="14" t="s">
        <v>67</v>
      </c>
      <c r="C62" s="6">
        <v>3600000</v>
      </c>
      <c r="E62" s="6">
        <v>18948298801</v>
      </c>
      <c r="G62" s="6">
        <v>29272784400</v>
      </c>
      <c r="I62" s="6">
        <v>0</v>
      </c>
      <c r="J62" s="6">
        <v>0</v>
      </c>
      <c r="L62" s="6">
        <v>1600000</v>
      </c>
      <c r="M62" s="6">
        <v>11515075234</v>
      </c>
      <c r="O62" s="6">
        <v>2000000</v>
      </c>
      <c r="Q62" s="6">
        <v>6156</v>
      </c>
      <c r="S62" s="6">
        <v>10526832667</v>
      </c>
      <c r="U62" s="6">
        <v>12377910600</v>
      </c>
      <c r="W62" s="10">
        <v>1.1964619971829663E-2</v>
      </c>
    </row>
    <row r="63" spans="1:23" ht="21" x14ac:dyDescent="0.55000000000000004">
      <c r="A63" s="14" t="s">
        <v>68</v>
      </c>
      <c r="C63" s="6">
        <v>200000</v>
      </c>
      <c r="E63" s="6">
        <v>5104732800</v>
      </c>
      <c r="G63" s="6">
        <v>6033883500</v>
      </c>
      <c r="I63" s="6">
        <v>0</v>
      </c>
      <c r="J63" s="6">
        <v>0</v>
      </c>
      <c r="L63" s="6">
        <v>100000</v>
      </c>
      <c r="M63" s="6">
        <v>3094180615</v>
      </c>
      <c r="O63" s="6">
        <v>100000</v>
      </c>
      <c r="Q63" s="6">
        <v>35250</v>
      </c>
      <c r="S63" s="6">
        <v>2552366400</v>
      </c>
      <c r="U63" s="6">
        <v>3563669250</v>
      </c>
      <c r="W63" s="10">
        <v>3.444680581353143E-3</v>
      </c>
    </row>
    <row r="64" spans="1:23" ht="21" x14ac:dyDescent="0.55000000000000004">
      <c r="A64" s="14" t="s">
        <v>69</v>
      </c>
      <c r="H64" s="9"/>
      <c r="I64" s="6">
        <v>700000</v>
      </c>
      <c r="J64" s="6">
        <v>30972642457</v>
      </c>
      <c r="L64" s="6">
        <v>0</v>
      </c>
      <c r="M64" s="6">
        <v>0</v>
      </c>
      <c r="O64" s="6">
        <v>700000</v>
      </c>
      <c r="Q64" s="6">
        <v>47500</v>
      </c>
      <c r="S64" s="6">
        <v>30972642457</v>
      </c>
      <c r="U64" s="6">
        <v>33086954250</v>
      </c>
      <c r="W64" s="10">
        <v>3.1982201715575836E-2</v>
      </c>
    </row>
    <row r="65" spans="1:23" ht="21" x14ac:dyDescent="0.55000000000000004">
      <c r="A65" s="14" t="s">
        <v>70</v>
      </c>
      <c r="C65" s="6">
        <v>6602960</v>
      </c>
      <c r="E65" s="6">
        <v>19570694999</v>
      </c>
      <c r="G65" s="6">
        <v>17800679516</v>
      </c>
      <c r="I65" s="6">
        <v>0</v>
      </c>
      <c r="J65" s="6">
        <v>0</v>
      </c>
      <c r="L65" s="6">
        <v>800000</v>
      </c>
      <c r="M65" s="6">
        <v>2051719212</v>
      </c>
      <c r="O65" s="6">
        <v>5802960</v>
      </c>
      <c r="Q65" s="6">
        <v>2106</v>
      </c>
      <c r="S65" s="6">
        <v>17199552966</v>
      </c>
      <c r="U65" s="6">
        <v>12032949961</v>
      </c>
      <c r="W65" s="10">
        <v>1.1631177350998766E-2</v>
      </c>
    </row>
    <row r="66" spans="1:23" ht="21" x14ac:dyDescent="0.55000000000000004">
      <c r="A66" s="14" t="s">
        <v>71</v>
      </c>
      <c r="C66" s="6">
        <v>3550000</v>
      </c>
      <c r="E66" s="6">
        <v>15523583393</v>
      </c>
      <c r="G66" s="6">
        <v>14083750102</v>
      </c>
      <c r="I66" s="6">
        <v>0</v>
      </c>
      <c r="J66" s="6">
        <v>0</v>
      </c>
      <c r="L66" s="6">
        <v>3550000</v>
      </c>
      <c r="M66" s="6">
        <v>12949938069</v>
      </c>
    </row>
    <row r="67" spans="1:23" ht="21" x14ac:dyDescent="0.55000000000000004">
      <c r="A67" s="14" t="s">
        <v>72</v>
      </c>
      <c r="C67" s="6">
        <v>2000000</v>
      </c>
      <c r="E67" s="6">
        <v>10997396074</v>
      </c>
      <c r="G67" s="6">
        <v>9960381000</v>
      </c>
      <c r="I67" s="6">
        <v>0</v>
      </c>
      <c r="J67" s="6">
        <v>0</v>
      </c>
      <c r="L67" s="6">
        <v>2000000</v>
      </c>
      <c r="M67" s="6">
        <v>8747640031</v>
      </c>
    </row>
    <row r="68" spans="1:23" ht="21" x14ac:dyDescent="0.55000000000000004">
      <c r="A68" s="14" t="s">
        <v>73</v>
      </c>
      <c r="C68" s="6">
        <v>6710221</v>
      </c>
      <c r="E68" s="6">
        <v>14478267197</v>
      </c>
      <c r="G68" s="6">
        <v>15821940179</v>
      </c>
      <c r="I68" s="6">
        <v>0</v>
      </c>
      <c r="J68" s="6">
        <v>0</v>
      </c>
      <c r="L68" s="6">
        <v>1510221</v>
      </c>
      <c r="M68" s="6">
        <v>3179616145</v>
      </c>
      <c r="O68" s="6">
        <v>5200000</v>
      </c>
      <c r="Q68" s="6">
        <v>1967</v>
      </c>
      <c r="S68" s="6">
        <v>11219748116</v>
      </c>
      <c r="U68" s="6">
        <v>10152033840</v>
      </c>
      <c r="W68" s="10">
        <v>9.8130638329828115E-3</v>
      </c>
    </row>
    <row r="69" spans="1:23" ht="21.75" thickBot="1" x14ac:dyDescent="0.6">
      <c r="A69" s="7" t="s">
        <v>74</v>
      </c>
      <c r="C69" s="15"/>
      <c r="E69" s="7">
        <f>SUM(E11:$E$68)</f>
        <v>944401456309</v>
      </c>
      <c r="G69" s="40">
        <f>SUM(G11:$G$68)</f>
        <v>1240890565136</v>
      </c>
      <c r="H69" s="41"/>
      <c r="I69" s="42"/>
      <c r="J69" s="40">
        <f>SUM(J11:$J$68)</f>
        <v>40099122615</v>
      </c>
      <c r="K69" s="41"/>
      <c r="L69" s="42"/>
      <c r="M69" s="40">
        <f>SUM(M11:$M$68)</f>
        <v>271100475206</v>
      </c>
      <c r="N69" s="41"/>
      <c r="O69" s="42"/>
      <c r="P69" s="41"/>
      <c r="Q69" s="42"/>
      <c r="R69" s="41"/>
      <c r="S69" s="40">
        <f>SUM(S11:$S$68)</f>
        <v>743283450375</v>
      </c>
      <c r="T69" s="41"/>
      <c r="U69" s="40">
        <f>SUM(U11:$U$68)</f>
        <v>905504684711</v>
      </c>
      <c r="W69" s="11">
        <f>SUM(W11:$W$68)</f>
        <v>0.87527045439143436</v>
      </c>
    </row>
    <row r="70" spans="1:23" ht="21.75" thickTop="1" x14ac:dyDescent="0.55000000000000004">
      <c r="C70" s="15"/>
      <c r="E70" s="8"/>
      <c r="G70" s="8"/>
      <c r="I70" s="15"/>
      <c r="J70" s="8"/>
      <c r="L70" s="15"/>
      <c r="M70" s="8"/>
      <c r="O70" s="15"/>
      <c r="Q70" s="15"/>
      <c r="S70" s="8"/>
      <c r="U70" s="8"/>
      <c r="W70" s="8"/>
    </row>
  </sheetData>
  <mergeCells count="19"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  <mergeCell ref="A1:W1"/>
    <mergeCell ref="A2:W2"/>
    <mergeCell ref="A3:W3"/>
    <mergeCell ref="A5:W5"/>
    <mergeCell ref="A6:W6"/>
  </mergeCells>
  <pageMargins left="0.17" right="0.17" top="0.53" bottom="0.45" header="0.3" footer="0.3"/>
  <pageSetup paperSize="9"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M12"/>
  <sheetViews>
    <sheetView rightToLeft="1" view="pageBreakPreview" zoomScale="90" zoomScaleNormal="100" zoomScaleSheetLayoutView="90" workbookViewId="0">
      <selection activeCell="A5" sqref="A5:XFD8"/>
    </sheetView>
  </sheetViews>
  <sheetFormatPr defaultRowHeight="19.5" x14ac:dyDescent="0.55000000000000004"/>
  <cols>
    <col min="1" max="1" width="28.42578125" style="1" customWidth="1"/>
    <col min="2" max="2" width="1.42578125" style="1" customWidth="1"/>
    <col min="3" max="3" width="11.42578125" style="1" customWidth="1"/>
    <col min="4" max="4" width="1.42578125" style="1" customWidth="1"/>
    <col min="5" max="5" width="11.42578125" style="1" customWidth="1"/>
    <col min="6" max="6" width="1.42578125" style="1" customWidth="1"/>
    <col min="7" max="7" width="14.140625" style="1" customWidth="1"/>
    <col min="8" max="8" width="1.42578125" style="1" customWidth="1"/>
    <col min="9" max="9" width="8.5703125" style="1" customWidth="1"/>
    <col min="10" max="10" width="1.42578125" style="1" customWidth="1"/>
    <col min="11" max="11" width="21.28515625" style="1" customWidth="1"/>
    <col min="12" max="12" width="1.42578125" style="1" customWidth="1"/>
    <col min="13" max="13" width="28.42578125" style="1" customWidth="1"/>
    <col min="14" max="16384" width="9.140625" style="1"/>
  </cols>
  <sheetData>
    <row r="1" spans="1:13" ht="20.100000000000001" customHeight="1" x14ac:dyDescent="0.55000000000000004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20.100000000000001" customHeight="1" x14ac:dyDescent="0.55000000000000004">
      <c r="A2" s="22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ht="20.100000000000001" customHeight="1" x14ac:dyDescent="0.55000000000000004">
      <c r="A3" s="22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5" spans="1:13" ht="21" x14ac:dyDescent="0.55000000000000004">
      <c r="A5" s="23" t="s">
        <v>77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 ht="21" x14ac:dyDescent="0.55000000000000004">
      <c r="A6" s="23" t="s">
        <v>78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8" spans="1:13" ht="21" x14ac:dyDescent="0.55000000000000004">
      <c r="C8" s="24" t="s">
        <v>6</v>
      </c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1:13" ht="42" x14ac:dyDescent="0.55000000000000004">
      <c r="A9" s="3" t="s">
        <v>79</v>
      </c>
      <c r="C9" s="3" t="s">
        <v>8</v>
      </c>
      <c r="E9" s="3" t="s">
        <v>80</v>
      </c>
      <c r="G9" s="3" t="s">
        <v>81</v>
      </c>
      <c r="I9" s="3" t="s">
        <v>82</v>
      </c>
      <c r="K9" s="4" t="s">
        <v>83</v>
      </c>
      <c r="M9" s="3" t="s">
        <v>84</v>
      </c>
    </row>
    <row r="10" spans="1:13" ht="21" x14ac:dyDescent="0.55000000000000004">
      <c r="A10" s="14" t="s">
        <v>19</v>
      </c>
      <c r="C10" s="6">
        <v>79659591</v>
      </c>
      <c r="E10" s="6">
        <v>573</v>
      </c>
      <c r="G10" s="6">
        <v>470</v>
      </c>
      <c r="I10" s="10">
        <v>-0.17975567190226877</v>
      </c>
      <c r="K10" s="6">
        <v>37217239724</v>
      </c>
      <c r="M10" s="16" t="s">
        <v>177</v>
      </c>
    </row>
    <row r="11" spans="1:13" ht="21" x14ac:dyDescent="0.55000000000000004">
      <c r="A11" s="7" t="s">
        <v>74</v>
      </c>
      <c r="K11" s="7">
        <f>SUM(K10:$K$10)</f>
        <v>37217239724</v>
      </c>
    </row>
    <row r="12" spans="1:13" ht="21" x14ac:dyDescent="0.55000000000000004">
      <c r="K12" s="8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S13"/>
  <sheetViews>
    <sheetView rightToLeft="1" view="pageBreakPreview" zoomScale="85" zoomScaleNormal="100" zoomScaleSheetLayoutView="85" workbookViewId="0">
      <selection activeCell="A5" sqref="A5:XFD8"/>
    </sheetView>
  </sheetViews>
  <sheetFormatPr defaultRowHeight="19.5" x14ac:dyDescent="0.55000000000000004"/>
  <cols>
    <col min="1" max="1" width="24.7109375" style="1" bestFit="1" customWidth="1"/>
    <col min="2" max="2" width="1.42578125" style="1" customWidth="1"/>
    <col min="3" max="3" width="18.5703125" style="1" bestFit="1" customWidth="1"/>
    <col min="4" max="4" width="1.42578125" style="1" customWidth="1"/>
    <col min="5" max="5" width="10.5703125" style="1" bestFit="1" customWidth="1"/>
    <col min="6" max="6" width="1.42578125" style="1" customWidth="1"/>
    <col min="7" max="7" width="12.28515625" style="1" bestFit="1" customWidth="1"/>
    <col min="8" max="8" width="1.42578125" style="1" customWidth="1"/>
    <col min="9" max="9" width="12.28515625" style="1" bestFit="1" customWidth="1"/>
    <col min="10" max="10" width="1.42578125" style="1" customWidth="1"/>
    <col min="11" max="11" width="13.5703125" style="1" bestFit="1" customWidth="1"/>
    <col min="12" max="12" width="1.42578125" style="1" customWidth="1"/>
    <col min="13" max="13" width="15.5703125" style="1" bestFit="1" customWidth="1"/>
    <col min="14" max="14" width="1.42578125" style="1" customWidth="1"/>
    <col min="15" max="15" width="15.5703125" style="1" bestFit="1" customWidth="1"/>
    <col min="16" max="16" width="1.42578125" style="1" customWidth="1"/>
    <col min="17" max="17" width="15.5703125" style="1" bestFit="1" customWidth="1"/>
    <col min="18" max="18" width="1.42578125" style="1" customWidth="1"/>
    <col min="19" max="19" width="12.5703125" style="1" bestFit="1" customWidth="1"/>
    <col min="20" max="16384" width="9.140625" style="1"/>
  </cols>
  <sheetData>
    <row r="1" spans="1:19" ht="20.100000000000001" customHeight="1" x14ac:dyDescent="0.55000000000000004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20.100000000000001" customHeight="1" x14ac:dyDescent="0.55000000000000004">
      <c r="A2" s="22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ht="20.100000000000001" customHeight="1" x14ac:dyDescent="0.55000000000000004">
      <c r="A3" s="22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5" spans="1:19" ht="21" x14ac:dyDescent="0.55000000000000004">
      <c r="A5" s="31" t="s">
        <v>178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7" spans="1:19" ht="21" x14ac:dyDescent="0.55000000000000004">
      <c r="C7" s="24" t="s">
        <v>86</v>
      </c>
      <c r="D7" s="25"/>
      <c r="E7" s="25"/>
      <c r="F7" s="25"/>
      <c r="G7" s="25"/>
      <c r="H7" s="25"/>
      <c r="I7" s="25"/>
      <c r="K7" s="3" t="s">
        <v>5</v>
      </c>
      <c r="M7" s="33" t="s">
        <v>180</v>
      </c>
      <c r="N7" s="33"/>
      <c r="O7" s="33"/>
      <c r="Q7" s="24" t="s">
        <v>6</v>
      </c>
      <c r="R7" s="25"/>
      <c r="S7" s="25"/>
    </row>
    <row r="8" spans="1:19" ht="42" x14ac:dyDescent="0.55000000000000004">
      <c r="A8" s="3" t="s">
        <v>87</v>
      </c>
      <c r="C8" s="3" t="s">
        <v>88</v>
      </c>
      <c r="E8" s="3" t="s">
        <v>89</v>
      </c>
      <c r="G8" s="4" t="s">
        <v>90</v>
      </c>
      <c r="I8" s="4" t="s">
        <v>91</v>
      </c>
      <c r="K8" s="3" t="s">
        <v>92</v>
      </c>
      <c r="M8" s="3" t="s">
        <v>93</v>
      </c>
      <c r="O8" s="3" t="s">
        <v>94</v>
      </c>
      <c r="Q8" s="3" t="s">
        <v>92</v>
      </c>
      <c r="S8" s="4" t="s">
        <v>14</v>
      </c>
    </row>
    <row r="9" spans="1:19" ht="21" x14ac:dyDescent="0.55000000000000004">
      <c r="A9" s="14" t="s">
        <v>95</v>
      </c>
      <c r="C9" s="9" t="s">
        <v>96</v>
      </c>
      <c r="E9" s="5" t="s">
        <v>97</v>
      </c>
      <c r="G9" s="9" t="s">
        <v>98</v>
      </c>
      <c r="I9" s="9" t="s">
        <v>99</v>
      </c>
      <c r="K9" s="6">
        <v>116878085</v>
      </c>
      <c r="M9" s="6">
        <v>548239</v>
      </c>
      <c r="O9" s="6">
        <v>630000</v>
      </c>
      <c r="Q9" s="6">
        <v>116796324</v>
      </c>
      <c r="S9" s="10">
        <v>1.128965684052273E-4</v>
      </c>
    </row>
    <row r="10" spans="1:19" ht="21" x14ac:dyDescent="0.55000000000000004">
      <c r="A10" s="14" t="s">
        <v>100</v>
      </c>
      <c r="C10" s="9" t="s">
        <v>101</v>
      </c>
      <c r="E10" s="5" t="s">
        <v>102</v>
      </c>
      <c r="G10" s="9" t="s">
        <v>103</v>
      </c>
      <c r="I10" s="9" t="s">
        <v>99</v>
      </c>
      <c r="K10" s="6">
        <v>156818</v>
      </c>
      <c r="M10" s="17">
        <v>0</v>
      </c>
      <c r="O10" s="17">
        <v>0</v>
      </c>
      <c r="P10" s="9"/>
      <c r="Q10" s="6">
        <v>156818</v>
      </c>
      <c r="S10" s="10">
        <v>1.515819458853083E-7</v>
      </c>
    </row>
    <row r="11" spans="1:19" ht="21" x14ac:dyDescent="0.55000000000000004">
      <c r="A11" s="14" t="s">
        <v>100</v>
      </c>
      <c r="C11" s="9" t="s">
        <v>104</v>
      </c>
      <c r="E11" s="5" t="s">
        <v>97</v>
      </c>
      <c r="G11" s="9" t="s">
        <v>105</v>
      </c>
      <c r="I11" s="9" t="s">
        <v>106</v>
      </c>
      <c r="K11" s="6">
        <v>1359891304</v>
      </c>
      <c r="M11" s="6">
        <v>236105847179</v>
      </c>
      <c r="O11" s="6">
        <v>100815227129</v>
      </c>
      <c r="Q11" s="6">
        <v>136650511354</v>
      </c>
      <c r="S11" s="10">
        <v>0.13208783696553797</v>
      </c>
    </row>
    <row r="12" spans="1:19" ht="21.75" thickBot="1" x14ac:dyDescent="0.6">
      <c r="A12" s="7" t="s">
        <v>74</v>
      </c>
      <c r="K12" s="7">
        <f>SUM(K9:$K$11)</f>
        <v>1476926207</v>
      </c>
      <c r="M12" s="7">
        <f>SUM(M9:$M$11)</f>
        <v>236106395418</v>
      </c>
      <c r="O12" s="7">
        <f>SUM(O9:$O$11)</f>
        <v>100815857129</v>
      </c>
      <c r="Q12" s="7">
        <f>SUM(Q9:$Q$11)</f>
        <v>136767464496</v>
      </c>
      <c r="S12" s="11">
        <f>SUM(S9:$S$11)</f>
        <v>0.13220088511588909</v>
      </c>
    </row>
    <row r="13" spans="1:19" ht="21" x14ac:dyDescent="0.55000000000000004">
      <c r="K13" s="8"/>
      <c r="M13" s="8"/>
      <c r="O13" s="8"/>
      <c r="Q13" s="8"/>
      <c r="S13" s="8"/>
    </row>
  </sheetData>
  <mergeCells count="7">
    <mergeCell ref="A1:S1"/>
    <mergeCell ref="A2:S2"/>
    <mergeCell ref="A3:S3"/>
    <mergeCell ref="A5:S5"/>
    <mergeCell ref="C7:I7"/>
    <mergeCell ref="M7:O7"/>
    <mergeCell ref="Q7:S7"/>
  </mergeCells>
  <pageMargins left="0.17" right="0.17" top="0.75" bottom="0.75" header="0.3" footer="0.3"/>
  <pageSetup paperSize="9" scale="8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I18"/>
  <sheetViews>
    <sheetView rightToLeft="1" view="pageBreakPreview" zoomScale="85" zoomScaleNormal="100" zoomScaleSheetLayoutView="85" workbookViewId="0">
      <selection activeCell="A5" sqref="A5:XFD8"/>
    </sheetView>
  </sheetViews>
  <sheetFormatPr defaultRowHeight="19.5" x14ac:dyDescent="0.55000000000000004"/>
  <cols>
    <col min="1" max="1" width="55.5703125" style="1" bestFit="1" customWidth="1"/>
    <col min="2" max="2" width="1.42578125" style="1" customWidth="1"/>
    <col min="3" max="3" width="11.42578125" style="1" customWidth="1"/>
    <col min="4" max="4" width="1.42578125" style="1" customWidth="1"/>
    <col min="5" max="5" width="21.28515625" style="1" customWidth="1"/>
    <col min="6" max="6" width="1.42578125" style="1" customWidth="1"/>
    <col min="7" max="7" width="13.7109375" style="1" customWidth="1"/>
    <col min="8" max="8" width="1.42578125" style="1" customWidth="1"/>
    <col min="9" max="9" width="13.5703125" style="1" customWidth="1"/>
    <col min="10" max="16384" width="9.140625" style="1"/>
  </cols>
  <sheetData>
    <row r="1" spans="1:9" ht="20.100000000000001" customHeight="1" x14ac:dyDescent="0.55000000000000004">
      <c r="A1" s="22" t="s">
        <v>0</v>
      </c>
      <c r="B1" s="21"/>
      <c r="C1" s="21"/>
      <c r="D1" s="21"/>
      <c r="E1" s="21"/>
      <c r="F1" s="21"/>
      <c r="G1" s="21"/>
      <c r="H1" s="21"/>
      <c r="I1" s="21"/>
    </row>
    <row r="2" spans="1:9" ht="20.100000000000001" customHeight="1" x14ac:dyDescent="0.55000000000000004">
      <c r="A2" s="22" t="s">
        <v>107</v>
      </c>
      <c r="B2" s="21"/>
      <c r="C2" s="21"/>
      <c r="D2" s="21"/>
      <c r="E2" s="21"/>
      <c r="F2" s="21"/>
      <c r="G2" s="21"/>
      <c r="H2" s="21"/>
      <c r="I2" s="21"/>
    </row>
    <row r="3" spans="1:9" ht="20.100000000000001" customHeight="1" x14ac:dyDescent="0.55000000000000004">
      <c r="A3" s="22" t="s">
        <v>2</v>
      </c>
      <c r="B3" s="21"/>
      <c r="C3" s="21"/>
      <c r="D3" s="21"/>
      <c r="E3" s="21"/>
      <c r="F3" s="21"/>
      <c r="G3" s="21"/>
      <c r="H3" s="21"/>
      <c r="I3" s="21"/>
    </row>
    <row r="5" spans="1:9" ht="21" x14ac:dyDescent="0.55000000000000004">
      <c r="A5" s="23" t="s">
        <v>108</v>
      </c>
      <c r="B5" s="21"/>
      <c r="C5" s="21"/>
      <c r="D5" s="21"/>
      <c r="E5" s="21"/>
      <c r="F5" s="21"/>
      <c r="G5" s="21"/>
      <c r="H5" s="21"/>
      <c r="I5" s="21"/>
    </row>
    <row r="6" spans="1:9" ht="21" x14ac:dyDescent="0.55000000000000004">
      <c r="E6" s="34" t="s">
        <v>179</v>
      </c>
      <c r="F6" s="34"/>
      <c r="G6" s="34"/>
      <c r="H6" s="34"/>
      <c r="I6" s="34"/>
    </row>
    <row r="7" spans="1:9" ht="42" x14ac:dyDescent="0.55000000000000004">
      <c r="A7" s="3" t="s">
        <v>109</v>
      </c>
      <c r="C7" s="3" t="s">
        <v>110</v>
      </c>
      <c r="E7" s="3" t="s">
        <v>92</v>
      </c>
      <c r="G7" s="4" t="s">
        <v>111</v>
      </c>
      <c r="I7" s="4" t="s">
        <v>112</v>
      </c>
    </row>
    <row r="8" spans="1:9" ht="21" x14ac:dyDescent="0.55000000000000004">
      <c r="A8" s="2" t="s">
        <v>113</v>
      </c>
      <c r="C8" s="9" t="s">
        <v>114</v>
      </c>
      <c r="E8" s="6">
        <v>72749640488</v>
      </c>
      <c r="G8" s="10">
        <f>E8/79091938752</f>
        <v>0.91981106590537809</v>
      </c>
      <c r="I8" s="10">
        <f>E8/$E$15</f>
        <v>7.0320575875394725E-2</v>
      </c>
    </row>
    <row r="9" spans="1:9" ht="21" x14ac:dyDescent="0.55000000000000004">
      <c r="A9" s="2" t="s">
        <v>116</v>
      </c>
      <c r="C9" s="9" t="s">
        <v>115</v>
      </c>
      <c r="E9" s="6">
        <v>6223255601</v>
      </c>
      <c r="G9" s="10">
        <f>E9/79091938752</f>
        <v>7.8683816570909795E-2</v>
      </c>
      <c r="I9" s="10">
        <f>E9/$E$15</f>
        <v>6.0154650214976841E-3</v>
      </c>
    </row>
    <row r="10" spans="1:9" ht="21" x14ac:dyDescent="0.55000000000000004">
      <c r="A10" s="2" t="s">
        <v>118</v>
      </c>
      <c r="C10" s="9" t="s">
        <v>117</v>
      </c>
      <c r="E10" s="6">
        <v>119042663</v>
      </c>
      <c r="G10" s="10">
        <f>E10/79091938752</f>
        <v>1.5051175237121087E-3</v>
      </c>
      <c r="I10" s="10">
        <f>E10/$E$15</f>
        <v>1.1506790356278612E-4</v>
      </c>
    </row>
    <row r="11" spans="1:9" ht="21" x14ac:dyDescent="0.55000000000000004">
      <c r="A11" s="3" t="s">
        <v>74</v>
      </c>
      <c r="E11" s="7">
        <f>SUM(E8:$E$10)</f>
        <v>79091938752</v>
      </c>
      <c r="G11" s="11">
        <f>SUM(G8:$G$10)</f>
        <v>1</v>
      </c>
      <c r="I11" s="11">
        <f>SUM(I8:$I$10)</f>
        <v>7.6451108800455206E-2</v>
      </c>
    </row>
    <row r="12" spans="1:9" ht="21" x14ac:dyDescent="0.55000000000000004">
      <c r="E12" s="8"/>
      <c r="G12" s="8"/>
      <c r="I12" s="8"/>
    </row>
    <row r="15" spans="1:9" x14ac:dyDescent="0.55000000000000004">
      <c r="E15" s="18">
        <v>1034542729242</v>
      </c>
    </row>
    <row r="16" spans="1:9" x14ac:dyDescent="0.55000000000000004">
      <c r="E16" s="18">
        <v>79091938752</v>
      </c>
    </row>
    <row r="18" spans="5:5" x14ac:dyDescent="0.55000000000000004">
      <c r="E18" s="18">
        <v>-78216363366</v>
      </c>
    </row>
  </sheetData>
  <mergeCells count="5">
    <mergeCell ref="A1:I1"/>
    <mergeCell ref="A2:I2"/>
    <mergeCell ref="A3:I3"/>
    <mergeCell ref="A5:I5"/>
    <mergeCell ref="E6:I6"/>
  </mergeCells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S36"/>
  <sheetViews>
    <sheetView rightToLeft="1" view="pageBreakPreview" topLeftCell="D22" zoomScale="85" zoomScaleNormal="100" zoomScaleSheetLayoutView="85" workbookViewId="0">
      <selection activeCell="I35" sqref="I34:S35"/>
    </sheetView>
  </sheetViews>
  <sheetFormatPr defaultRowHeight="19.5" x14ac:dyDescent="0.55000000000000004"/>
  <cols>
    <col min="1" max="1" width="25.5703125" style="1" bestFit="1" customWidth="1"/>
    <col min="2" max="2" width="1.42578125" style="1" customWidth="1"/>
    <col min="3" max="3" width="12.7109375" style="1" bestFit="1" customWidth="1"/>
    <col min="4" max="4" width="1.42578125" style="1" customWidth="1"/>
    <col min="5" max="5" width="16.5703125" style="1" bestFit="1" customWidth="1"/>
    <col min="6" max="6" width="1.42578125" style="1" customWidth="1"/>
    <col min="7" max="7" width="10.85546875" style="1" bestFit="1" customWidth="1"/>
    <col min="8" max="8" width="1.42578125" style="1" customWidth="1"/>
    <col min="9" max="9" width="16.28515625" style="1" bestFit="1" customWidth="1"/>
    <col min="10" max="10" width="1.42578125" style="1" customWidth="1"/>
    <col min="11" max="11" width="14.7109375" style="1" bestFit="1" customWidth="1"/>
    <col min="12" max="12" width="1.42578125" style="1" customWidth="1"/>
    <col min="13" max="13" width="17.28515625" style="1" bestFit="1" customWidth="1"/>
    <col min="14" max="14" width="1.42578125" style="1" customWidth="1"/>
    <col min="15" max="15" width="16.28515625" style="1" bestFit="1" customWidth="1"/>
    <col min="16" max="16" width="1.42578125" style="1" customWidth="1"/>
    <col min="17" max="17" width="14.7109375" style="1" bestFit="1" customWidth="1"/>
    <col min="18" max="18" width="1.42578125" style="1" customWidth="1"/>
    <col min="19" max="19" width="17.28515625" style="1" bestFit="1" customWidth="1"/>
    <col min="20" max="16384" width="9.140625" style="1"/>
  </cols>
  <sheetData>
    <row r="1" spans="1:19" ht="20.100000000000001" customHeight="1" x14ac:dyDescent="0.55000000000000004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20.100000000000001" customHeight="1" x14ac:dyDescent="0.55000000000000004">
      <c r="A2" s="22" t="s">
        <v>107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ht="20.100000000000001" customHeight="1" x14ac:dyDescent="0.55000000000000004">
      <c r="A3" s="22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5" spans="1:19" ht="21" x14ac:dyDescent="0.55000000000000004">
      <c r="A5" s="23" t="s">
        <v>268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7" spans="1:19" ht="21" x14ac:dyDescent="0.55000000000000004">
      <c r="C7" s="24" t="s">
        <v>119</v>
      </c>
      <c r="D7" s="25"/>
      <c r="E7" s="25"/>
      <c r="F7" s="25"/>
      <c r="G7" s="25"/>
      <c r="I7" s="26" t="s">
        <v>181</v>
      </c>
      <c r="J7" s="27"/>
      <c r="K7" s="27"/>
      <c r="L7" s="27"/>
      <c r="M7" s="27"/>
      <c r="O7" s="24" t="str">
        <f>'4'!E6</f>
        <v>از ابتدای سال مالی تا 1404/04/31</v>
      </c>
      <c r="P7" s="25"/>
      <c r="Q7" s="25"/>
      <c r="R7" s="25"/>
      <c r="S7" s="25"/>
    </row>
    <row r="8" spans="1:19" ht="42" x14ac:dyDescent="0.55000000000000004">
      <c r="A8" s="3" t="s">
        <v>75</v>
      </c>
      <c r="C8" s="4" t="s">
        <v>120</v>
      </c>
      <c r="E8" s="4" t="s">
        <v>121</v>
      </c>
      <c r="G8" s="4" t="s">
        <v>122</v>
      </c>
      <c r="I8" s="4" t="s">
        <v>123</v>
      </c>
      <c r="K8" s="4" t="s">
        <v>124</v>
      </c>
      <c r="M8" s="4" t="s">
        <v>125</v>
      </c>
      <c r="O8" s="4" t="s">
        <v>123</v>
      </c>
      <c r="Q8" s="4" t="s">
        <v>124</v>
      </c>
      <c r="S8" s="4" t="s">
        <v>125</v>
      </c>
    </row>
    <row r="9" spans="1:19" ht="21" x14ac:dyDescent="0.55000000000000004">
      <c r="A9" s="14" t="s">
        <v>17</v>
      </c>
      <c r="C9" s="9" t="s">
        <v>126</v>
      </c>
      <c r="E9" s="6">
        <v>1000000</v>
      </c>
      <c r="G9" s="6">
        <v>637</v>
      </c>
      <c r="I9" s="6">
        <v>637000000</v>
      </c>
      <c r="K9" s="6">
        <v>-76409283</v>
      </c>
      <c r="M9" s="6">
        <f>I9+K9</f>
        <v>560590717</v>
      </c>
      <c r="O9" s="6">
        <v>637000000</v>
      </c>
      <c r="Q9" s="6">
        <v>-76409283</v>
      </c>
      <c r="S9" s="6">
        <f>O9+Q9</f>
        <v>560590717</v>
      </c>
    </row>
    <row r="10" spans="1:19" ht="21" x14ac:dyDescent="0.55000000000000004">
      <c r="A10" s="14" t="s">
        <v>18</v>
      </c>
      <c r="C10" s="9" t="s">
        <v>127</v>
      </c>
      <c r="E10" s="6">
        <v>5242039</v>
      </c>
      <c r="G10" s="6">
        <v>240</v>
      </c>
      <c r="I10" s="6">
        <v>1258089360</v>
      </c>
      <c r="K10" s="6">
        <v>-171862000</v>
      </c>
      <c r="M10" s="6">
        <f t="shared" ref="M10:M34" si="0">I10+K10</f>
        <v>1086227360</v>
      </c>
      <c r="O10" s="6">
        <v>1258089360</v>
      </c>
      <c r="Q10" s="6">
        <v>-171862000</v>
      </c>
      <c r="S10" s="6">
        <f t="shared" ref="S10:S34" si="1">O10+Q10</f>
        <v>1086227360</v>
      </c>
    </row>
    <row r="11" spans="1:19" ht="21" x14ac:dyDescent="0.55000000000000004">
      <c r="A11" s="14" t="s">
        <v>23</v>
      </c>
      <c r="C11" s="9" t="s">
        <v>128</v>
      </c>
      <c r="E11" s="6">
        <v>1700000</v>
      </c>
      <c r="G11" s="6">
        <v>560</v>
      </c>
      <c r="I11" s="17">
        <v>0</v>
      </c>
      <c r="K11" s="17">
        <v>0</v>
      </c>
      <c r="M11" s="6">
        <f t="shared" si="0"/>
        <v>0</v>
      </c>
      <c r="N11" s="9"/>
      <c r="O11" s="6">
        <v>952000000</v>
      </c>
      <c r="Q11" s="6">
        <v>0</v>
      </c>
      <c r="S11" s="6">
        <f t="shared" si="1"/>
        <v>952000000</v>
      </c>
    </row>
    <row r="12" spans="1:19" ht="21" x14ac:dyDescent="0.55000000000000004">
      <c r="A12" s="14" t="s">
        <v>24</v>
      </c>
      <c r="C12" s="9" t="s">
        <v>129</v>
      </c>
      <c r="E12" s="6">
        <v>285750</v>
      </c>
      <c r="G12" s="6">
        <v>4400</v>
      </c>
      <c r="I12" s="17">
        <v>0</v>
      </c>
      <c r="K12" s="17">
        <v>0</v>
      </c>
      <c r="M12" s="6">
        <f t="shared" si="0"/>
        <v>0</v>
      </c>
      <c r="N12" s="9"/>
      <c r="O12" s="6">
        <v>1257300000</v>
      </c>
      <c r="Q12" s="6">
        <v>0</v>
      </c>
      <c r="S12" s="6">
        <f t="shared" si="1"/>
        <v>1257300000</v>
      </c>
    </row>
    <row r="13" spans="1:19" ht="21" x14ac:dyDescent="0.55000000000000004">
      <c r="A13" s="14" t="s">
        <v>25</v>
      </c>
      <c r="C13" s="9" t="s">
        <v>130</v>
      </c>
      <c r="E13" s="6">
        <v>3800000</v>
      </c>
      <c r="G13" s="6">
        <v>170</v>
      </c>
      <c r="I13" s="6">
        <v>646000000</v>
      </c>
      <c r="K13" s="6">
        <v>-90546525</v>
      </c>
      <c r="M13" s="6">
        <f t="shared" si="0"/>
        <v>555453475</v>
      </c>
      <c r="O13" s="6">
        <v>646000000</v>
      </c>
      <c r="Q13" s="6">
        <v>-90546525</v>
      </c>
      <c r="S13" s="6">
        <f t="shared" si="1"/>
        <v>555453475</v>
      </c>
    </row>
    <row r="14" spans="1:19" ht="21" x14ac:dyDescent="0.55000000000000004">
      <c r="A14" s="14" t="s">
        <v>26</v>
      </c>
      <c r="C14" s="9" t="s">
        <v>131</v>
      </c>
      <c r="E14" s="6">
        <v>900000</v>
      </c>
      <c r="G14" s="6">
        <v>325</v>
      </c>
      <c r="I14" s="17">
        <v>0</v>
      </c>
      <c r="K14" s="17">
        <v>0</v>
      </c>
      <c r="M14" s="6">
        <f t="shared" si="0"/>
        <v>0</v>
      </c>
      <c r="N14" s="9"/>
      <c r="O14" s="6">
        <v>292500000</v>
      </c>
      <c r="Q14" s="6">
        <v>0</v>
      </c>
      <c r="S14" s="6">
        <f t="shared" si="1"/>
        <v>292500000</v>
      </c>
    </row>
    <row r="15" spans="1:19" ht="21" x14ac:dyDescent="0.55000000000000004">
      <c r="A15" s="14" t="s">
        <v>33</v>
      </c>
      <c r="C15" s="9" t="s">
        <v>132</v>
      </c>
      <c r="E15" s="6">
        <v>4279048</v>
      </c>
      <c r="G15" s="6">
        <v>1170</v>
      </c>
      <c r="I15" s="17">
        <v>0</v>
      </c>
      <c r="K15" s="17">
        <v>0</v>
      </c>
      <c r="M15" s="6">
        <f t="shared" si="0"/>
        <v>0</v>
      </c>
      <c r="N15" s="9"/>
      <c r="O15" s="6">
        <v>5006486160</v>
      </c>
      <c r="Q15" s="6">
        <v>0</v>
      </c>
      <c r="S15" s="6">
        <f t="shared" si="1"/>
        <v>5006486160</v>
      </c>
    </row>
    <row r="16" spans="1:19" ht="21" x14ac:dyDescent="0.55000000000000004">
      <c r="A16" s="14" t="s">
        <v>34</v>
      </c>
      <c r="C16" s="9" t="s">
        <v>133</v>
      </c>
      <c r="E16" s="6">
        <v>1285714</v>
      </c>
      <c r="G16" s="6">
        <v>500</v>
      </c>
      <c r="I16" s="17">
        <v>0</v>
      </c>
      <c r="K16" s="17">
        <v>0</v>
      </c>
      <c r="M16" s="6">
        <f t="shared" si="0"/>
        <v>0</v>
      </c>
      <c r="N16" s="9"/>
      <c r="O16" s="6">
        <v>642857000</v>
      </c>
      <c r="Q16" s="6">
        <v>0</v>
      </c>
      <c r="S16" s="6">
        <f t="shared" si="1"/>
        <v>642857000</v>
      </c>
    </row>
    <row r="17" spans="1:19" ht="21" x14ac:dyDescent="0.55000000000000004">
      <c r="A17" s="14" t="s">
        <v>37</v>
      </c>
      <c r="C17" s="9" t="s">
        <v>134</v>
      </c>
      <c r="E17" s="6">
        <v>2000000</v>
      </c>
      <c r="G17" s="6">
        <v>1050</v>
      </c>
      <c r="I17" s="6">
        <v>2100000000</v>
      </c>
      <c r="K17" s="6">
        <v>-293282263</v>
      </c>
      <c r="M17" s="6">
        <f t="shared" si="0"/>
        <v>1806717737</v>
      </c>
      <c r="O17" s="6">
        <v>2100000000</v>
      </c>
      <c r="Q17" s="6">
        <v>-293282263</v>
      </c>
      <c r="S17" s="6">
        <f t="shared" si="1"/>
        <v>1806717737</v>
      </c>
    </row>
    <row r="18" spans="1:19" ht="21" x14ac:dyDescent="0.55000000000000004">
      <c r="A18" s="14" t="s">
        <v>135</v>
      </c>
      <c r="C18" s="9" t="s">
        <v>136</v>
      </c>
      <c r="E18" s="6">
        <v>2400000</v>
      </c>
      <c r="G18" s="6">
        <v>560</v>
      </c>
      <c r="I18" s="17">
        <v>0</v>
      </c>
      <c r="K18" s="17">
        <v>0</v>
      </c>
      <c r="M18" s="6">
        <f t="shared" si="0"/>
        <v>0</v>
      </c>
      <c r="N18" s="9"/>
      <c r="O18" s="6">
        <v>1344000000</v>
      </c>
      <c r="Q18" s="6">
        <v>0</v>
      </c>
      <c r="S18" s="6">
        <f t="shared" si="1"/>
        <v>1344000000</v>
      </c>
    </row>
    <row r="19" spans="1:19" ht="21" x14ac:dyDescent="0.55000000000000004">
      <c r="A19" s="14" t="s">
        <v>39</v>
      </c>
      <c r="C19" s="9" t="s">
        <v>137</v>
      </c>
      <c r="E19" s="6">
        <v>1500000</v>
      </c>
      <c r="G19" s="6">
        <v>150</v>
      </c>
      <c r="I19" s="6">
        <v>225000000</v>
      </c>
      <c r="K19" s="6">
        <v>-30160142</v>
      </c>
      <c r="M19" s="6">
        <f t="shared" si="0"/>
        <v>194839858</v>
      </c>
      <c r="O19" s="6">
        <v>225000000</v>
      </c>
      <c r="Q19" s="6">
        <v>-30160142</v>
      </c>
      <c r="S19" s="6">
        <f t="shared" si="1"/>
        <v>194839858</v>
      </c>
    </row>
    <row r="20" spans="1:19" ht="21" x14ac:dyDescent="0.55000000000000004">
      <c r="A20" s="14" t="s">
        <v>40</v>
      </c>
      <c r="C20" s="9" t="s">
        <v>134</v>
      </c>
      <c r="E20" s="6">
        <v>1875000</v>
      </c>
      <c r="G20" s="6">
        <v>300</v>
      </c>
      <c r="I20" s="6">
        <v>562500000</v>
      </c>
      <c r="K20" s="6">
        <v>-78557749</v>
      </c>
      <c r="M20" s="6">
        <f t="shared" si="0"/>
        <v>483942251</v>
      </c>
      <c r="O20" s="6">
        <v>562500000</v>
      </c>
      <c r="Q20" s="6">
        <v>-78557749</v>
      </c>
      <c r="S20" s="6">
        <f t="shared" si="1"/>
        <v>483942251</v>
      </c>
    </row>
    <row r="21" spans="1:19" ht="21" x14ac:dyDescent="0.55000000000000004">
      <c r="A21" s="14" t="s">
        <v>45</v>
      </c>
      <c r="C21" s="9" t="s">
        <v>138</v>
      </c>
      <c r="E21" s="6">
        <v>200000</v>
      </c>
      <c r="G21" s="6">
        <v>1480</v>
      </c>
      <c r="I21" s="6">
        <v>296000000</v>
      </c>
      <c r="K21" s="6">
        <v>-36600240</v>
      </c>
      <c r="M21" s="6">
        <f t="shared" si="0"/>
        <v>259399760</v>
      </c>
      <c r="O21" s="6">
        <v>296000000</v>
      </c>
      <c r="Q21" s="6">
        <v>-36600240</v>
      </c>
      <c r="S21" s="6">
        <f t="shared" si="1"/>
        <v>259399760</v>
      </c>
    </row>
    <row r="22" spans="1:19" ht="21" x14ac:dyDescent="0.55000000000000004">
      <c r="A22" s="14" t="s">
        <v>47</v>
      </c>
      <c r="C22" s="9" t="s">
        <v>139</v>
      </c>
      <c r="E22" s="6">
        <v>29010652</v>
      </c>
      <c r="G22" s="6">
        <v>40</v>
      </c>
      <c r="I22" s="6">
        <v>1160426080</v>
      </c>
      <c r="K22" s="6">
        <v>-152560478</v>
      </c>
      <c r="M22" s="6">
        <f t="shared" si="0"/>
        <v>1007865602</v>
      </c>
      <c r="O22" s="6">
        <v>1160426080</v>
      </c>
      <c r="Q22" s="6">
        <v>-152560478</v>
      </c>
      <c r="S22" s="6">
        <f t="shared" si="1"/>
        <v>1007865602</v>
      </c>
    </row>
    <row r="23" spans="1:19" ht="21" x14ac:dyDescent="0.55000000000000004">
      <c r="A23" s="14" t="s">
        <v>52</v>
      </c>
      <c r="C23" s="9" t="s">
        <v>140</v>
      </c>
      <c r="E23" s="6">
        <v>9250000</v>
      </c>
      <c r="G23" s="6">
        <v>360</v>
      </c>
      <c r="I23" s="6">
        <v>3330000000</v>
      </c>
      <c r="K23" s="6">
        <v>-468434373</v>
      </c>
      <c r="M23" s="6">
        <f t="shared" si="0"/>
        <v>2861565627</v>
      </c>
      <c r="O23" s="6">
        <v>3330000000</v>
      </c>
      <c r="Q23" s="6">
        <v>-468434373</v>
      </c>
      <c r="S23" s="6">
        <f t="shared" si="1"/>
        <v>2861565627</v>
      </c>
    </row>
    <row r="24" spans="1:19" ht="21" x14ac:dyDescent="0.55000000000000004">
      <c r="A24" s="14" t="s">
        <v>54</v>
      </c>
      <c r="C24" s="9" t="s">
        <v>140</v>
      </c>
      <c r="E24" s="6">
        <v>400000</v>
      </c>
      <c r="G24" s="6">
        <v>1050</v>
      </c>
      <c r="I24" s="6">
        <v>420000000</v>
      </c>
      <c r="K24" s="6">
        <v>-59081813</v>
      </c>
      <c r="M24" s="6">
        <f t="shared" si="0"/>
        <v>360918187</v>
      </c>
      <c r="O24" s="6">
        <v>420000000</v>
      </c>
      <c r="Q24" s="6">
        <v>-59081813</v>
      </c>
      <c r="S24" s="6">
        <f t="shared" si="1"/>
        <v>360918187</v>
      </c>
    </row>
    <row r="25" spans="1:19" ht="21" x14ac:dyDescent="0.55000000000000004">
      <c r="A25" s="14" t="s">
        <v>55</v>
      </c>
      <c r="C25" s="9" t="s">
        <v>134</v>
      </c>
      <c r="E25" s="6">
        <v>650000</v>
      </c>
      <c r="G25" s="6">
        <v>1997</v>
      </c>
      <c r="I25" s="6">
        <v>1298050000</v>
      </c>
      <c r="K25" s="6">
        <v>-181283353</v>
      </c>
      <c r="M25" s="6">
        <f t="shared" si="0"/>
        <v>1116766647</v>
      </c>
      <c r="O25" s="6">
        <v>1298050000</v>
      </c>
      <c r="Q25" s="6">
        <v>-181283353</v>
      </c>
      <c r="S25" s="6">
        <f t="shared" si="1"/>
        <v>1116766647</v>
      </c>
    </row>
    <row r="26" spans="1:19" ht="21" x14ac:dyDescent="0.55000000000000004">
      <c r="A26" s="14" t="s">
        <v>57</v>
      </c>
      <c r="C26" s="9" t="s">
        <v>141</v>
      </c>
      <c r="E26" s="6">
        <v>607000</v>
      </c>
      <c r="G26" s="6">
        <v>7240</v>
      </c>
      <c r="I26" s="17">
        <v>0</v>
      </c>
      <c r="K26" s="17">
        <v>0</v>
      </c>
      <c r="M26" s="6">
        <f t="shared" si="0"/>
        <v>0</v>
      </c>
      <c r="N26" s="9"/>
      <c r="O26" s="6">
        <v>4394680000</v>
      </c>
      <c r="Q26" s="6">
        <v>0</v>
      </c>
      <c r="S26" s="6">
        <f t="shared" si="1"/>
        <v>4394680000</v>
      </c>
    </row>
    <row r="27" spans="1:19" ht="21" x14ac:dyDescent="0.55000000000000004">
      <c r="A27" s="14" t="s">
        <v>58</v>
      </c>
      <c r="C27" s="9" t="s">
        <v>142</v>
      </c>
      <c r="E27" s="6">
        <v>4850000</v>
      </c>
      <c r="G27" s="6">
        <v>390</v>
      </c>
      <c r="I27" s="17">
        <v>0</v>
      </c>
      <c r="K27" s="17">
        <v>0</v>
      </c>
      <c r="M27" s="6">
        <f t="shared" si="0"/>
        <v>0</v>
      </c>
      <c r="N27" s="9"/>
      <c r="O27" s="6">
        <v>1891500000</v>
      </c>
      <c r="Q27" s="6">
        <v>-208629799</v>
      </c>
      <c r="S27" s="6">
        <f t="shared" si="1"/>
        <v>1682870201</v>
      </c>
    </row>
    <row r="28" spans="1:19" ht="21" x14ac:dyDescent="0.55000000000000004">
      <c r="A28" s="14" t="s">
        <v>59</v>
      </c>
      <c r="C28" s="9" t="s">
        <v>130</v>
      </c>
      <c r="E28" s="6">
        <v>220000</v>
      </c>
      <c r="G28" s="6">
        <v>8362</v>
      </c>
      <c r="I28" s="6">
        <v>1839640000</v>
      </c>
      <c r="K28" s="6">
        <v>-257852956</v>
      </c>
      <c r="M28" s="6">
        <f t="shared" si="0"/>
        <v>1581787044</v>
      </c>
      <c r="O28" s="6">
        <v>1839640000</v>
      </c>
      <c r="Q28" s="6">
        <v>-257852956</v>
      </c>
      <c r="S28" s="6">
        <f t="shared" si="1"/>
        <v>1581787044</v>
      </c>
    </row>
    <row r="29" spans="1:19" ht="21" x14ac:dyDescent="0.55000000000000004">
      <c r="A29" s="14" t="s">
        <v>60</v>
      </c>
      <c r="C29" s="9" t="s">
        <v>134</v>
      </c>
      <c r="E29" s="6">
        <v>227029</v>
      </c>
      <c r="G29" s="6">
        <v>4200</v>
      </c>
      <c r="I29" s="6">
        <v>953521800</v>
      </c>
      <c r="K29" s="6">
        <v>-133167158</v>
      </c>
      <c r="M29" s="6">
        <f t="shared" si="0"/>
        <v>820354642</v>
      </c>
      <c r="O29" s="6">
        <v>953521800</v>
      </c>
      <c r="Q29" s="6">
        <v>-133167158</v>
      </c>
      <c r="S29" s="6">
        <f t="shared" si="1"/>
        <v>820354642</v>
      </c>
    </row>
    <row r="30" spans="1:19" ht="21" x14ac:dyDescent="0.55000000000000004">
      <c r="A30" s="14" t="s">
        <v>66</v>
      </c>
      <c r="C30" s="9" t="s">
        <v>143</v>
      </c>
      <c r="E30" s="6">
        <v>350000</v>
      </c>
      <c r="G30" s="6">
        <v>5330</v>
      </c>
      <c r="I30" s="17">
        <v>0</v>
      </c>
      <c r="K30" s="17">
        <v>0</v>
      </c>
      <c r="M30" s="6">
        <f t="shared" si="0"/>
        <v>0</v>
      </c>
      <c r="N30" s="9"/>
      <c r="O30" s="6">
        <v>1865500000</v>
      </c>
      <c r="Q30" s="6">
        <v>-186319975</v>
      </c>
      <c r="S30" s="6">
        <f t="shared" si="1"/>
        <v>1679180025</v>
      </c>
    </row>
    <row r="31" spans="1:19" ht="21" x14ac:dyDescent="0.55000000000000004">
      <c r="A31" s="14" t="s">
        <v>67</v>
      </c>
      <c r="C31" s="9" t="s">
        <v>130</v>
      </c>
      <c r="E31" s="6">
        <v>2000000</v>
      </c>
      <c r="G31" s="6">
        <v>1624</v>
      </c>
      <c r="I31" s="6">
        <v>3248000000</v>
      </c>
      <c r="K31" s="6">
        <v>-455255595</v>
      </c>
      <c r="M31" s="6">
        <f t="shared" si="0"/>
        <v>2792744405</v>
      </c>
      <c r="O31" s="6">
        <v>3248000000</v>
      </c>
      <c r="Q31" s="6">
        <v>-455255595</v>
      </c>
      <c r="S31" s="6">
        <f t="shared" si="1"/>
        <v>2792744405</v>
      </c>
    </row>
    <row r="32" spans="1:19" ht="21" x14ac:dyDescent="0.55000000000000004">
      <c r="A32" s="14" t="s">
        <v>68</v>
      </c>
      <c r="C32" s="9" t="s">
        <v>144</v>
      </c>
      <c r="E32" s="6">
        <v>100000</v>
      </c>
      <c r="G32" s="6">
        <v>2350</v>
      </c>
      <c r="I32" s="6">
        <v>235000000</v>
      </c>
      <c r="K32" s="6">
        <v>-31982249</v>
      </c>
      <c r="M32" s="6">
        <f t="shared" si="0"/>
        <v>203017751</v>
      </c>
      <c r="O32" s="6">
        <v>235000000</v>
      </c>
      <c r="Q32" s="6">
        <v>-31982249</v>
      </c>
      <c r="S32" s="6">
        <f t="shared" si="1"/>
        <v>203017751</v>
      </c>
    </row>
    <row r="33" spans="1:19" ht="21" x14ac:dyDescent="0.55000000000000004">
      <c r="A33" s="14" t="s">
        <v>70</v>
      </c>
      <c r="C33" s="9" t="s">
        <v>145</v>
      </c>
      <c r="E33" s="6">
        <v>5200000</v>
      </c>
      <c r="G33" s="6">
        <v>380</v>
      </c>
      <c r="I33" s="6">
        <v>1976000000</v>
      </c>
      <c r="K33" s="6">
        <v>-270940898</v>
      </c>
      <c r="M33" s="6">
        <f t="shared" si="0"/>
        <v>1705059102</v>
      </c>
      <c r="O33" s="6">
        <v>1976000000</v>
      </c>
      <c r="Q33" s="6">
        <v>-270940898</v>
      </c>
      <c r="S33" s="6">
        <f t="shared" si="1"/>
        <v>1705059102</v>
      </c>
    </row>
    <row r="34" spans="1:19" ht="21" x14ac:dyDescent="0.55000000000000004">
      <c r="A34" s="14" t="s">
        <v>73</v>
      </c>
      <c r="C34" s="9" t="s">
        <v>145</v>
      </c>
      <c r="E34" s="6">
        <v>5200000</v>
      </c>
      <c r="G34" s="6">
        <v>310</v>
      </c>
      <c r="I34" s="43">
        <v>1612000000</v>
      </c>
      <c r="J34" s="41"/>
      <c r="K34" s="43">
        <v>-221030733</v>
      </c>
      <c r="L34" s="41"/>
      <c r="M34" s="43">
        <f t="shared" si="0"/>
        <v>1390969267</v>
      </c>
      <c r="N34" s="41"/>
      <c r="O34" s="43">
        <v>1612000000</v>
      </c>
      <c r="P34" s="41"/>
      <c r="Q34" s="43">
        <v>-139381107</v>
      </c>
      <c r="R34" s="41"/>
      <c r="S34" s="43">
        <f t="shared" si="1"/>
        <v>1472618893</v>
      </c>
    </row>
    <row r="35" spans="1:19" ht="21.75" thickBot="1" x14ac:dyDescent="0.6">
      <c r="A35" s="7" t="s">
        <v>74</v>
      </c>
      <c r="I35" s="40">
        <f>SUM(I9:$I$34)</f>
        <v>21797227240</v>
      </c>
      <c r="J35" s="41"/>
      <c r="K35" s="40">
        <f>SUM(K9:$K$34)</f>
        <v>-3009007808</v>
      </c>
      <c r="L35" s="41"/>
      <c r="M35" s="40">
        <f>SUM(M9:$M$34)</f>
        <v>18788219432</v>
      </c>
      <c r="N35" s="41"/>
      <c r="O35" s="40">
        <f>SUM(O9:$O$34)</f>
        <v>39444050400</v>
      </c>
      <c r="P35" s="41"/>
      <c r="Q35" s="40">
        <f>SUM(Q9:$Q$34)</f>
        <v>-3322307956</v>
      </c>
      <c r="R35" s="41"/>
      <c r="S35" s="40">
        <f>SUM(S9:$S$34)</f>
        <v>36121742444</v>
      </c>
    </row>
    <row r="36" spans="1:19" ht="21" x14ac:dyDescent="0.55000000000000004">
      <c r="I36" s="8"/>
      <c r="K36" s="8"/>
      <c r="M36" s="8"/>
      <c r="O36" s="8"/>
      <c r="Q36" s="8"/>
      <c r="S36" s="8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17" right="0.17" top="0.53" bottom="0.48" header="0.3" footer="0.3"/>
  <pageSetup paperSize="9" scale="82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Q135"/>
  <sheetViews>
    <sheetView rightToLeft="1" view="pageBreakPreview" zoomScale="85" zoomScaleNormal="100" zoomScaleSheetLayoutView="85" workbookViewId="0">
      <selection activeCell="A5" sqref="A5:XFD8"/>
    </sheetView>
  </sheetViews>
  <sheetFormatPr defaultRowHeight="19.5" x14ac:dyDescent="0.55000000000000004"/>
  <cols>
    <col min="1" max="1" width="28.140625" style="1" bestFit="1" customWidth="1"/>
    <col min="2" max="2" width="1.42578125" style="1" customWidth="1"/>
    <col min="3" max="3" width="12.28515625" style="1" bestFit="1" customWidth="1"/>
    <col min="4" max="4" width="1.42578125" style="1" customWidth="1"/>
    <col min="5" max="5" width="16.140625" style="1" bestFit="1" customWidth="1"/>
    <col min="6" max="6" width="1.42578125" style="1" customWidth="1"/>
    <col min="7" max="7" width="16.140625" style="1" bestFit="1" customWidth="1"/>
    <col min="8" max="8" width="1.42578125" style="1" customWidth="1"/>
    <col min="9" max="9" width="16.5703125" style="1" bestFit="1" customWidth="1"/>
    <col min="10" max="10" width="1.42578125" style="1" customWidth="1"/>
    <col min="11" max="11" width="12.28515625" style="1" bestFit="1" customWidth="1"/>
    <col min="12" max="12" width="1.42578125" style="1" customWidth="1"/>
    <col min="13" max="13" width="16.140625" style="1" bestFit="1" customWidth="1"/>
    <col min="14" max="14" width="1.42578125" style="1" customWidth="1"/>
    <col min="15" max="15" width="16.140625" style="1" bestFit="1" customWidth="1"/>
    <col min="16" max="16" width="1.42578125" style="1" customWidth="1"/>
    <col min="17" max="17" width="16.5703125" style="1" bestFit="1" customWidth="1"/>
    <col min="18" max="16384" width="9.140625" style="1"/>
  </cols>
  <sheetData>
    <row r="1" spans="1:17" ht="20.100000000000001" customHeight="1" x14ac:dyDescent="0.55000000000000004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20.100000000000001" customHeight="1" x14ac:dyDescent="0.55000000000000004">
      <c r="A2" s="22" t="s">
        <v>107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20.100000000000001" customHeight="1" x14ac:dyDescent="0.55000000000000004">
      <c r="A3" s="22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5" spans="1:17" ht="21" x14ac:dyDescent="0.55000000000000004">
      <c r="A5" s="23" t="s">
        <v>269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7" spans="1:17" ht="21" x14ac:dyDescent="0.55000000000000004">
      <c r="C7" s="24" t="s">
        <v>181</v>
      </c>
      <c r="D7" s="25"/>
      <c r="E7" s="25"/>
      <c r="F7" s="25"/>
      <c r="G7" s="25"/>
      <c r="H7" s="25"/>
      <c r="I7" s="25"/>
      <c r="K7" s="24" t="s">
        <v>179</v>
      </c>
      <c r="L7" s="25"/>
      <c r="M7" s="25"/>
      <c r="N7" s="25"/>
      <c r="O7" s="25"/>
      <c r="P7" s="25"/>
      <c r="Q7" s="25"/>
    </row>
    <row r="8" spans="1:17" ht="42" x14ac:dyDescent="0.55000000000000004">
      <c r="A8" s="12" t="s">
        <v>109</v>
      </c>
      <c r="C8" s="4" t="s">
        <v>8</v>
      </c>
      <c r="E8" s="4" t="s">
        <v>10</v>
      </c>
      <c r="G8" s="4" t="s">
        <v>153</v>
      </c>
      <c r="I8" s="4" t="s">
        <v>171</v>
      </c>
      <c r="K8" s="4" t="s">
        <v>8</v>
      </c>
      <c r="M8" s="4" t="s">
        <v>10</v>
      </c>
      <c r="O8" s="4" t="s">
        <v>153</v>
      </c>
      <c r="Q8" s="4" t="s">
        <v>171</v>
      </c>
    </row>
    <row r="9" spans="1:17" ht="21" x14ac:dyDescent="0.55000000000000004">
      <c r="A9" s="14" t="s">
        <v>17</v>
      </c>
      <c r="C9" s="6">
        <v>1000000</v>
      </c>
      <c r="E9" s="6">
        <v>4389724800</v>
      </c>
      <c r="G9" s="6">
        <v>5218762500</v>
      </c>
      <c r="I9" s="6">
        <v>-829037700</v>
      </c>
      <c r="K9" s="6">
        <v>1000000</v>
      </c>
      <c r="M9" s="6">
        <v>4389724800</v>
      </c>
      <c r="O9" s="6">
        <v>4540820400</v>
      </c>
      <c r="Q9" s="6">
        <v>-151095600</v>
      </c>
    </row>
    <row r="10" spans="1:17" ht="21" x14ac:dyDescent="0.55000000000000004">
      <c r="A10" s="14" t="s">
        <v>18</v>
      </c>
      <c r="C10" s="6">
        <v>5242039</v>
      </c>
      <c r="E10" s="6">
        <v>19134237043</v>
      </c>
      <c r="G10" s="6">
        <v>20947612449</v>
      </c>
      <c r="I10" s="6">
        <v>-1813375406</v>
      </c>
      <c r="K10" s="6">
        <v>5242039</v>
      </c>
      <c r="M10" s="6">
        <v>19134237043</v>
      </c>
      <c r="O10" s="6">
        <v>17597870612</v>
      </c>
      <c r="Q10" s="6">
        <v>1536366431</v>
      </c>
    </row>
    <row r="11" spans="1:17" ht="21" x14ac:dyDescent="0.55000000000000004">
      <c r="A11" s="14" t="s">
        <v>19</v>
      </c>
      <c r="C11" s="6">
        <v>79659591</v>
      </c>
      <c r="E11" s="6">
        <v>37217239724</v>
      </c>
      <c r="G11" s="6">
        <v>46097620621</v>
      </c>
      <c r="I11" s="6">
        <v>-8880380897</v>
      </c>
      <c r="K11" s="6">
        <v>79659591</v>
      </c>
      <c r="M11" s="6">
        <v>37217239724</v>
      </c>
      <c r="O11" s="6">
        <v>35276227096</v>
      </c>
      <c r="Q11" s="6">
        <v>1941012628</v>
      </c>
    </row>
    <row r="12" spans="1:17" ht="21" x14ac:dyDescent="0.55000000000000004">
      <c r="A12" s="14" t="s">
        <v>20</v>
      </c>
      <c r="C12" s="6">
        <v>26466235</v>
      </c>
      <c r="E12" s="6">
        <v>12522970189</v>
      </c>
      <c r="G12" s="6">
        <v>14361482377</v>
      </c>
      <c r="I12" s="6">
        <v>-1838512188</v>
      </c>
      <c r="K12" s="6">
        <v>26466235</v>
      </c>
      <c r="M12" s="6">
        <v>12522970189</v>
      </c>
      <c r="O12" s="6">
        <v>11522633722</v>
      </c>
      <c r="Q12" s="6">
        <v>1000336467</v>
      </c>
    </row>
    <row r="13" spans="1:17" ht="21" x14ac:dyDescent="0.55000000000000004">
      <c r="A13" s="14" t="s">
        <v>22</v>
      </c>
      <c r="C13" s="6">
        <v>20000000</v>
      </c>
      <c r="E13" s="6">
        <v>48728331000</v>
      </c>
      <c r="G13" s="6">
        <v>52073545443</v>
      </c>
      <c r="I13" s="6">
        <v>-3345214443</v>
      </c>
      <c r="K13" s="6">
        <v>20000000</v>
      </c>
      <c r="M13" s="6">
        <v>48728331000</v>
      </c>
      <c r="O13" s="6">
        <v>37820235342</v>
      </c>
      <c r="Q13" s="6">
        <v>10908095658</v>
      </c>
    </row>
    <row r="14" spans="1:17" ht="21" x14ac:dyDescent="0.55000000000000004">
      <c r="A14" s="14" t="s">
        <v>25</v>
      </c>
      <c r="C14" s="6">
        <v>6603333</v>
      </c>
      <c r="E14" s="6">
        <v>12767063963</v>
      </c>
      <c r="G14" s="6">
        <v>14486843273</v>
      </c>
      <c r="I14" s="6">
        <v>-1719779310</v>
      </c>
      <c r="K14" s="6">
        <v>6603333</v>
      </c>
      <c r="M14" s="6">
        <v>12767063963</v>
      </c>
      <c r="O14" s="6">
        <v>18202576065</v>
      </c>
      <c r="Q14" s="6">
        <v>-5435512102</v>
      </c>
    </row>
    <row r="15" spans="1:17" ht="21" x14ac:dyDescent="0.55000000000000004">
      <c r="A15" s="14" t="s">
        <v>30</v>
      </c>
      <c r="C15" s="6">
        <v>30000000</v>
      </c>
      <c r="E15" s="6">
        <v>38767950000</v>
      </c>
      <c r="G15" s="6">
        <v>43265067435</v>
      </c>
      <c r="I15" s="6">
        <v>-4497117435</v>
      </c>
      <c r="K15" s="6">
        <v>30000000</v>
      </c>
      <c r="M15" s="6">
        <v>38767950000</v>
      </c>
      <c r="O15" s="6">
        <v>43973108703</v>
      </c>
      <c r="Q15" s="6">
        <v>-5205158703</v>
      </c>
    </row>
    <row r="16" spans="1:17" ht="21" x14ac:dyDescent="0.55000000000000004">
      <c r="A16" s="14" t="s">
        <v>31</v>
      </c>
      <c r="C16" s="6">
        <v>500000</v>
      </c>
      <c r="E16" s="6">
        <v>13936581000</v>
      </c>
      <c r="G16" s="6">
        <v>15547591240</v>
      </c>
      <c r="I16" s="6">
        <v>-1611010240</v>
      </c>
      <c r="K16" s="6">
        <v>500000</v>
      </c>
      <c r="M16" s="6">
        <v>13936581000</v>
      </c>
      <c r="O16" s="6">
        <v>13366726303</v>
      </c>
      <c r="Q16" s="6">
        <v>569854697</v>
      </c>
    </row>
    <row r="17" spans="1:17" ht="21" x14ac:dyDescent="0.55000000000000004">
      <c r="A17" s="14" t="s">
        <v>32</v>
      </c>
      <c r="C17" s="6">
        <v>1288004</v>
      </c>
      <c r="E17" s="6">
        <v>14429436040</v>
      </c>
      <c r="G17" s="6">
        <v>14352615617</v>
      </c>
      <c r="I17" s="6">
        <v>76820423</v>
      </c>
      <c r="K17" s="6">
        <v>1288004</v>
      </c>
      <c r="M17" s="6">
        <v>14429436040</v>
      </c>
      <c r="O17" s="6">
        <v>15830540555</v>
      </c>
      <c r="Q17" s="6">
        <v>-1401104515</v>
      </c>
    </row>
    <row r="18" spans="1:17" ht="21" x14ac:dyDescent="0.55000000000000004">
      <c r="A18" s="14" t="s">
        <v>33</v>
      </c>
      <c r="C18" s="6">
        <v>4400000</v>
      </c>
      <c r="E18" s="6">
        <v>42032410200</v>
      </c>
      <c r="G18" s="6">
        <v>42773124193</v>
      </c>
      <c r="I18" s="6">
        <v>-740713993</v>
      </c>
      <c r="K18" s="6">
        <v>4400000</v>
      </c>
      <c r="M18" s="6">
        <v>42032410200</v>
      </c>
      <c r="O18" s="6">
        <v>47168501389</v>
      </c>
      <c r="Q18" s="6">
        <v>-5136091189</v>
      </c>
    </row>
    <row r="19" spans="1:17" ht="21" x14ac:dyDescent="0.55000000000000004">
      <c r="A19" s="14" t="s">
        <v>35</v>
      </c>
      <c r="C19" s="6">
        <v>750000</v>
      </c>
      <c r="E19" s="6">
        <v>2730903862</v>
      </c>
      <c r="G19" s="6">
        <v>3129766425</v>
      </c>
      <c r="I19" s="6">
        <v>-398862563</v>
      </c>
      <c r="K19" s="6">
        <v>750000</v>
      </c>
      <c r="M19" s="6">
        <v>2730903862</v>
      </c>
      <c r="O19" s="6">
        <v>2327157600</v>
      </c>
      <c r="Q19" s="6">
        <v>403746262</v>
      </c>
    </row>
    <row r="20" spans="1:17" ht="21" x14ac:dyDescent="0.55000000000000004">
      <c r="A20" s="14" t="s">
        <v>36</v>
      </c>
      <c r="C20" s="6">
        <v>3250000</v>
      </c>
      <c r="E20" s="6">
        <v>3889717650</v>
      </c>
      <c r="G20" s="6">
        <v>4329087750</v>
      </c>
      <c r="I20" s="6">
        <v>-439370100</v>
      </c>
      <c r="K20" s="6">
        <v>3250000</v>
      </c>
      <c r="M20" s="6">
        <v>3889717650</v>
      </c>
      <c r="O20" s="6">
        <v>3903619200</v>
      </c>
      <c r="Q20" s="6">
        <v>-13901550</v>
      </c>
    </row>
    <row r="21" spans="1:17" ht="21" x14ac:dyDescent="0.55000000000000004">
      <c r="A21" s="14" t="s">
        <v>37</v>
      </c>
      <c r="C21" s="6">
        <v>2000000</v>
      </c>
      <c r="E21" s="6">
        <v>19105641000</v>
      </c>
      <c r="G21" s="6">
        <v>23300532000</v>
      </c>
      <c r="I21" s="6">
        <v>-4194891000</v>
      </c>
      <c r="K21" s="6">
        <v>2000000</v>
      </c>
      <c r="M21" s="6">
        <v>19105641000</v>
      </c>
      <c r="O21" s="6">
        <v>19533230776</v>
      </c>
      <c r="Q21" s="6">
        <v>-427589776</v>
      </c>
    </row>
    <row r="22" spans="1:17" ht="21" x14ac:dyDescent="0.55000000000000004">
      <c r="A22" s="14" t="s">
        <v>40</v>
      </c>
      <c r="C22" s="6">
        <v>1875000</v>
      </c>
      <c r="E22" s="6">
        <v>6504814687</v>
      </c>
      <c r="G22" s="6">
        <v>6839857414</v>
      </c>
      <c r="I22" s="6">
        <v>-335042727</v>
      </c>
      <c r="K22" s="6">
        <v>1875000</v>
      </c>
      <c r="M22" s="6">
        <v>6504814687</v>
      </c>
      <c r="O22" s="6">
        <v>6098945898</v>
      </c>
      <c r="Q22" s="6">
        <v>405868789</v>
      </c>
    </row>
    <row r="23" spans="1:17" ht="21" x14ac:dyDescent="0.55000000000000004">
      <c r="A23" s="14" t="s">
        <v>41</v>
      </c>
      <c r="C23" s="6">
        <v>10000000</v>
      </c>
      <c r="E23" s="6">
        <v>75348990000</v>
      </c>
      <c r="G23" s="6">
        <v>82914415389</v>
      </c>
      <c r="I23" s="6">
        <v>-7565425389</v>
      </c>
      <c r="K23" s="6">
        <v>10000000</v>
      </c>
      <c r="M23" s="6">
        <v>75348990000</v>
      </c>
      <c r="O23" s="6">
        <v>68698634482</v>
      </c>
      <c r="Q23" s="6">
        <v>6650355518</v>
      </c>
    </row>
    <row r="24" spans="1:17" ht="21" x14ac:dyDescent="0.55000000000000004">
      <c r="A24" s="14" t="s">
        <v>42</v>
      </c>
      <c r="C24" s="6">
        <v>650000</v>
      </c>
      <c r="E24" s="6">
        <v>12987263250</v>
      </c>
      <c r="G24" s="6">
        <v>14150301750</v>
      </c>
      <c r="I24" s="6">
        <v>-1163038500</v>
      </c>
      <c r="K24" s="6">
        <v>650000</v>
      </c>
      <c r="M24" s="6">
        <v>12987263250</v>
      </c>
      <c r="O24" s="6">
        <v>14822279550</v>
      </c>
      <c r="Q24" s="6">
        <v>-1835016300</v>
      </c>
    </row>
    <row r="25" spans="1:17" ht="21" x14ac:dyDescent="0.55000000000000004">
      <c r="A25" s="14" t="s">
        <v>43</v>
      </c>
      <c r="C25" s="6">
        <v>18000000</v>
      </c>
      <c r="E25" s="6">
        <v>56058455700</v>
      </c>
      <c r="G25" s="6">
        <v>61533864003</v>
      </c>
      <c r="I25" s="6">
        <v>-5475408303</v>
      </c>
      <c r="K25" s="6">
        <v>18000000</v>
      </c>
      <c r="M25" s="6">
        <v>56058455700</v>
      </c>
      <c r="O25" s="6">
        <v>75166977353</v>
      </c>
      <c r="Q25" s="6">
        <v>-19108521653</v>
      </c>
    </row>
    <row r="26" spans="1:17" ht="21" x14ac:dyDescent="0.55000000000000004">
      <c r="A26" s="14" t="s">
        <v>44</v>
      </c>
      <c r="C26" s="6">
        <v>1800000</v>
      </c>
      <c r="E26" s="6">
        <v>5868871200</v>
      </c>
      <c r="G26" s="6">
        <v>6799302000</v>
      </c>
      <c r="I26" s="6">
        <v>-930430800</v>
      </c>
      <c r="K26" s="6">
        <v>1800000</v>
      </c>
      <c r="M26" s="6">
        <v>5868871200</v>
      </c>
      <c r="O26" s="6">
        <v>7757852041</v>
      </c>
      <c r="Q26" s="6">
        <v>-1888980841</v>
      </c>
    </row>
    <row r="27" spans="1:17" ht="21" x14ac:dyDescent="0.55000000000000004">
      <c r="A27" s="14" t="s">
        <v>46</v>
      </c>
      <c r="C27" s="6">
        <v>1200000</v>
      </c>
      <c r="E27" s="6">
        <v>8707878000</v>
      </c>
      <c r="G27" s="6">
        <v>10786896852</v>
      </c>
      <c r="I27" s="6">
        <v>-2079018852</v>
      </c>
      <c r="K27" s="6">
        <v>1200000</v>
      </c>
      <c r="M27" s="6">
        <v>8707878000</v>
      </c>
      <c r="O27" s="6">
        <v>9701608480</v>
      </c>
      <c r="Q27" s="6">
        <v>-993730480</v>
      </c>
    </row>
    <row r="28" spans="1:17" ht="21" x14ac:dyDescent="0.55000000000000004">
      <c r="A28" s="14" t="s">
        <v>47</v>
      </c>
      <c r="C28" s="6">
        <v>14000000</v>
      </c>
      <c r="E28" s="6">
        <v>7584601500</v>
      </c>
      <c r="G28" s="6">
        <v>9926875156</v>
      </c>
      <c r="I28" s="6">
        <v>-2342273656</v>
      </c>
      <c r="K28" s="6">
        <v>14000000</v>
      </c>
      <c r="M28" s="6">
        <v>7584601500</v>
      </c>
      <c r="O28" s="6">
        <v>8627599080</v>
      </c>
      <c r="Q28" s="6">
        <v>-1042997580</v>
      </c>
    </row>
    <row r="29" spans="1:17" ht="21" x14ac:dyDescent="0.55000000000000004">
      <c r="A29" s="14" t="s">
        <v>49</v>
      </c>
      <c r="C29" s="6">
        <v>175000</v>
      </c>
      <c r="E29" s="6">
        <v>8036894250</v>
      </c>
      <c r="G29" s="6">
        <v>8854500375</v>
      </c>
      <c r="I29" s="6">
        <v>-817606125</v>
      </c>
      <c r="K29" s="6">
        <v>175000</v>
      </c>
      <c r="M29" s="6">
        <v>8036894250</v>
      </c>
      <c r="O29" s="6">
        <v>7181514900</v>
      </c>
      <c r="Q29" s="6">
        <v>855379350</v>
      </c>
    </row>
    <row r="30" spans="1:17" ht="21" x14ac:dyDescent="0.55000000000000004">
      <c r="A30" s="14" t="s">
        <v>50</v>
      </c>
      <c r="C30" s="6">
        <v>12000000</v>
      </c>
      <c r="E30" s="6">
        <v>80637336000</v>
      </c>
      <c r="G30" s="6">
        <v>80593159937</v>
      </c>
      <c r="I30" s="6">
        <v>44176063</v>
      </c>
      <c r="K30" s="6">
        <v>12000000</v>
      </c>
      <c r="M30" s="6">
        <v>80637336000</v>
      </c>
      <c r="O30" s="6">
        <v>69915231156</v>
      </c>
      <c r="Q30" s="6">
        <v>10722104844</v>
      </c>
    </row>
    <row r="31" spans="1:17" ht="21" x14ac:dyDescent="0.55000000000000004">
      <c r="A31" s="14" t="s">
        <v>51</v>
      </c>
      <c r="C31" s="6">
        <v>1164500</v>
      </c>
      <c r="E31" s="6">
        <v>16182845725</v>
      </c>
      <c r="G31" s="6">
        <v>17502476922</v>
      </c>
      <c r="I31" s="6">
        <v>-1319631197</v>
      </c>
      <c r="K31" s="6">
        <v>1164500</v>
      </c>
      <c r="M31" s="6">
        <v>16182845725</v>
      </c>
      <c r="O31" s="6">
        <v>16528576490</v>
      </c>
      <c r="Q31" s="6">
        <v>-345730765</v>
      </c>
    </row>
    <row r="32" spans="1:17" ht="21" x14ac:dyDescent="0.55000000000000004">
      <c r="A32" s="14" t="s">
        <v>52</v>
      </c>
      <c r="C32" s="6">
        <v>9250000</v>
      </c>
      <c r="E32" s="6">
        <v>31649060925</v>
      </c>
      <c r="G32" s="6">
        <v>39411681379</v>
      </c>
      <c r="I32" s="6">
        <v>-7762620454</v>
      </c>
      <c r="K32" s="6">
        <v>9250000</v>
      </c>
      <c r="M32" s="6">
        <v>31649060925</v>
      </c>
      <c r="O32" s="6">
        <v>31165742614</v>
      </c>
      <c r="Q32" s="6">
        <v>483318311</v>
      </c>
    </row>
    <row r="33" spans="1:17" ht="21" x14ac:dyDescent="0.55000000000000004">
      <c r="A33" s="14" t="s">
        <v>53</v>
      </c>
      <c r="E33" s="17">
        <v>0</v>
      </c>
      <c r="G33" s="17">
        <v>0</v>
      </c>
      <c r="I33" s="17">
        <v>0</v>
      </c>
      <c r="J33" s="9"/>
      <c r="K33" s="6">
        <v>1500000</v>
      </c>
      <c r="M33" s="6">
        <v>15894859500</v>
      </c>
      <c r="O33" s="6">
        <v>15412896106</v>
      </c>
      <c r="Q33" s="6">
        <v>481963394</v>
      </c>
    </row>
    <row r="34" spans="1:17" ht="21" x14ac:dyDescent="0.55000000000000004">
      <c r="A34" s="14" t="s">
        <v>54</v>
      </c>
      <c r="C34" s="6">
        <v>400000</v>
      </c>
      <c r="E34" s="6">
        <v>6008038200</v>
      </c>
      <c r="G34" s="6">
        <v>7379827200</v>
      </c>
      <c r="I34" s="6">
        <v>-1371789000</v>
      </c>
      <c r="K34" s="6">
        <v>400000</v>
      </c>
      <c r="M34" s="6">
        <v>6008038200</v>
      </c>
      <c r="O34" s="6">
        <v>6508744501</v>
      </c>
      <c r="Q34" s="6">
        <v>-500706301</v>
      </c>
    </row>
    <row r="35" spans="1:17" ht="21" x14ac:dyDescent="0.55000000000000004">
      <c r="A35" s="14" t="s">
        <v>55</v>
      </c>
      <c r="C35" s="6">
        <v>650000</v>
      </c>
      <c r="E35" s="6">
        <v>11727304875</v>
      </c>
      <c r="G35" s="6">
        <v>13549398525</v>
      </c>
      <c r="I35" s="6">
        <v>-1822093650</v>
      </c>
      <c r="K35" s="6">
        <v>650000</v>
      </c>
      <c r="M35" s="6">
        <v>11727304875</v>
      </c>
      <c r="O35" s="6">
        <v>10809035837</v>
      </c>
      <c r="Q35" s="6">
        <v>918269038</v>
      </c>
    </row>
    <row r="36" spans="1:17" ht="21" x14ac:dyDescent="0.55000000000000004">
      <c r="A36" s="14" t="s">
        <v>56</v>
      </c>
      <c r="C36" s="6">
        <v>6485981</v>
      </c>
      <c r="E36" s="6">
        <v>15995973134</v>
      </c>
      <c r="G36" s="6">
        <v>16086236586</v>
      </c>
      <c r="I36" s="6">
        <v>-90263452</v>
      </c>
      <c r="K36" s="6">
        <v>6485981</v>
      </c>
      <c r="M36" s="6">
        <v>15995973134</v>
      </c>
      <c r="O36" s="6">
        <v>13744591464</v>
      </c>
      <c r="Q36" s="6">
        <v>2251381670</v>
      </c>
    </row>
    <row r="37" spans="1:17" ht="21" x14ac:dyDescent="0.55000000000000004">
      <c r="A37" s="14" t="s">
        <v>57</v>
      </c>
      <c r="C37" s="6">
        <v>400000</v>
      </c>
      <c r="E37" s="6">
        <v>21892957200</v>
      </c>
      <c r="G37" s="6">
        <v>22831340400</v>
      </c>
      <c r="I37" s="6">
        <v>-938383200</v>
      </c>
      <c r="K37" s="6">
        <v>400000</v>
      </c>
      <c r="M37" s="6">
        <v>21892957200</v>
      </c>
      <c r="O37" s="6">
        <v>24004319399</v>
      </c>
      <c r="Q37" s="6">
        <v>-2111362199</v>
      </c>
    </row>
    <row r="38" spans="1:17" ht="21" x14ac:dyDescent="0.55000000000000004">
      <c r="A38" s="14" t="s">
        <v>58</v>
      </c>
      <c r="C38" s="6">
        <v>4300000</v>
      </c>
      <c r="E38" s="6">
        <v>18200459070</v>
      </c>
      <c r="G38" s="6">
        <v>19663175036</v>
      </c>
      <c r="I38" s="6">
        <v>-1462715966</v>
      </c>
      <c r="K38" s="6">
        <v>4300000</v>
      </c>
      <c r="M38" s="6">
        <v>18200459070</v>
      </c>
      <c r="O38" s="6">
        <v>19240919913</v>
      </c>
      <c r="Q38" s="6">
        <v>-1040460843</v>
      </c>
    </row>
    <row r="39" spans="1:17" ht="21" x14ac:dyDescent="0.55000000000000004">
      <c r="A39" s="14" t="s">
        <v>59</v>
      </c>
      <c r="C39" s="6">
        <v>220000</v>
      </c>
      <c r="E39" s="6">
        <v>13370330358</v>
      </c>
      <c r="G39" s="6">
        <v>15505191900</v>
      </c>
      <c r="I39" s="6">
        <v>-2134861542</v>
      </c>
      <c r="K39" s="6">
        <v>220000</v>
      </c>
      <c r="M39" s="6">
        <v>13370330358</v>
      </c>
      <c r="O39" s="6">
        <v>14183749608</v>
      </c>
      <c r="Q39" s="6">
        <v>-813419250</v>
      </c>
    </row>
    <row r="40" spans="1:17" ht="21" x14ac:dyDescent="0.55000000000000004">
      <c r="A40" s="14" t="s">
        <v>60</v>
      </c>
      <c r="C40" s="6">
        <v>227029</v>
      </c>
      <c r="E40" s="6">
        <v>11342585199</v>
      </c>
      <c r="G40" s="6">
        <v>14131967472</v>
      </c>
      <c r="I40" s="6">
        <v>-2789382273</v>
      </c>
      <c r="K40" s="6">
        <v>227029</v>
      </c>
      <c r="M40" s="6">
        <v>11342585199</v>
      </c>
      <c r="O40" s="6">
        <v>11577290503</v>
      </c>
      <c r="Q40" s="6">
        <v>-234705304</v>
      </c>
    </row>
    <row r="41" spans="1:17" ht="21" x14ac:dyDescent="0.55000000000000004">
      <c r="A41" s="14" t="s">
        <v>61</v>
      </c>
      <c r="C41" s="6">
        <v>500000</v>
      </c>
      <c r="E41" s="6">
        <v>17018136000</v>
      </c>
      <c r="G41" s="6">
        <v>17593734800</v>
      </c>
      <c r="I41" s="6">
        <v>-575598800</v>
      </c>
      <c r="K41" s="6">
        <v>500000</v>
      </c>
      <c r="M41" s="6">
        <v>17018136000</v>
      </c>
      <c r="O41" s="6">
        <v>17668347326</v>
      </c>
      <c r="Q41" s="6">
        <v>-650211326</v>
      </c>
    </row>
    <row r="42" spans="1:17" ht="21" x14ac:dyDescent="0.55000000000000004">
      <c r="A42" s="14" t="s">
        <v>62</v>
      </c>
      <c r="C42" s="6">
        <v>770001</v>
      </c>
      <c r="E42" s="6">
        <v>34727082445</v>
      </c>
      <c r="G42" s="6">
        <v>37894345038</v>
      </c>
      <c r="I42" s="6">
        <v>-3167262593</v>
      </c>
      <c r="K42" s="6">
        <v>770001</v>
      </c>
      <c r="M42" s="6">
        <v>34727082445</v>
      </c>
      <c r="O42" s="6">
        <v>25655312529</v>
      </c>
      <c r="Q42" s="6">
        <v>9071769916</v>
      </c>
    </row>
    <row r="43" spans="1:17" ht="21" x14ac:dyDescent="0.55000000000000004">
      <c r="A43" s="14" t="s">
        <v>63</v>
      </c>
      <c r="C43" s="6">
        <v>5400000</v>
      </c>
      <c r="E43" s="6">
        <v>19163295900</v>
      </c>
      <c r="G43" s="6">
        <v>20048994450</v>
      </c>
      <c r="I43" s="6">
        <v>-885698550</v>
      </c>
      <c r="K43" s="6">
        <v>5400000</v>
      </c>
      <c r="M43" s="6">
        <v>19163295900</v>
      </c>
      <c r="O43" s="6">
        <v>16905321117</v>
      </c>
      <c r="Q43" s="6">
        <v>2257974783</v>
      </c>
    </row>
    <row r="44" spans="1:17" ht="21" x14ac:dyDescent="0.55000000000000004">
      <c r="A44" s="14" t="s">
        <v>64</v>
      </c>
      <c r="C44" s="6">
        <v>120000</v>
      </c>
      <c r="E44" s="6">
        <v>32010398100</v>
      </c>
      <c r="G44" s="6">
        <v>32054428356</v>
      </c>
      <c r="I44" s="6">
        <v>-44030256</v>
      </c>
      <c r="K44" s="6">
        <v>120000</v>
      </c>
      <c r="M44" s="6">
        <v>32010398100</v>
      </c>
      <c r="O44" s="6">
        <v>25691355258</v>
      </c>
      <c r="Q44" s="6">
        <v>6319042842</v>
      </c>
    </row>
    <row r="45" spans="1:17" ht="21" x14ac:dyDescent="0.55000000000000004">
      <c r="A45" s="14" t="s">
        <v>65</v>
      </c>
      <c r="C45" s="6">
        <v>1600000</v>
      </c>
      <c r="E45" s="6">
        <v>26274729600</v>
      </c>
      <c r="G45" s="6">
        <v>29518072532</v>
      </c>
      <c r="I45" s="6">
        <v>-3243342932</v>
      </c>
      <c r="K45" s="6">
        <v>1600000</v>
      </c>
      <c r="M45" s="6">
        <v>26274729600</v>
      </c>
      <c r="O45" s="6">
        <v>31387116280</v>
      </c>
      <c r="Q45" s="6">
        <v>-5112386680</v>
      </c>
    </row>
    <row r="46" spans="1:17" ht="21" x14ac:dyDescent="0.55000000000000004">
      <c r="A46" s="14" t="s">
        <v>66</v>
      </c>
      <c r="E46" s="17">
        <v>0</v>
      </c>
      <c r="G46" s="17">
        <v>0</v>
      </c>
      <c r="I46" s="17">
        <v>0</v>
      </c>
      <c r="J46" s="9"/>
      <c r="K46" s="6">
        <v>4517187</v>
      </c>
      <c r="M46" s="6">
        <v>11445799521</v>
      </c>
      <c r="O46" s="6">
        <v>10947286168</v>
      </c>
      <c r="Q46" s="6">
        <v>498513353</v>
      </c>
    </row>
    <row r="47" spans="1:17" ht="21" x14ac:dyDescent="0.55000000000000004">
      <c r="A47" s="14" t="s">
        <v>67</v>
      </c>
      <c r="C47" s="6">
        <v>2000000</v>
      </c>
      <c r="E47" s="6">
        <v>12377910600</v>
      </c>
      <c r="G47" s="6">
        <v>20922764400</v>
      </c>
      <c r="I47" s="6">
        <v>-8544853800</v>
      </c>
      <c r="K47" s="6">
        <v>2000000</v>
      </c>
      <c r="M47" s="6">
        <v>12377910600</v>
      </c>
      <c r="O47" s="6">
        <v>10437525000</v>
      </c>
      <c r="Q47" s="6">
        <v>1940385600</v>
      </c>
    </row>
    <row r="48" spans="1:17" ht="21" x14ac:dyDescent="0.55000000000000004">
      <c r="A48" s="14" t="s">
        <v>68</v>
      </c>
      <c r="C48" s="6">
        <v>100000</v>
      </c>
      <c r="E48" s="6">
        <v>3563669250</v>
      </c>
      <c r="G48" s="6">
        <v>3481517100</v>
      </c>
      <c r="I48" s="6">
        <v>82152150</v>
      </c>
      <c r="K48" s="6">
        <v>100000</v>
      </c>
      <c r="M48" s="6">
        <v>3563669250</v>
      </c>
      <c r="O48" s="6">
        <v>2552366400</v>
      </c>
      <c r="Q48" s="6">
        <v>1011302850</v>
      </c>
    </row>
    <row r="49" spans="1:17" ht="21" x14ac:dyDescent="0.55000000000000004">
      <c r="A49" s="14" t="s">
        <v>69</v>
      </c>
      <c r="C49" s="6">
        <v>700000</v>
      </c>
      <c r="E49" s="6">
        <v>33086954250</v>
      </c>
      <c r="G49" s="6">
        <v>30972642457</v>
      </c>
      <c r="I49" s="6">
        <v>2114311793</v>
      </c>
      <c r="K49" s="6">
        <v>700000</v>
      </c>
      <c r="M49" s="6">
        <v>33086954250</v>
      </c>
      <c r="O49" s="6">
        <v>30972642457</v>
      </c>
      <c r="Q49" s="6">
        <v>2114311793</v>
      </c>
    </row>
    <row r="50" spans="1:17" ht="21" x14ac:dyDescent="0.55000000000000004">
      <c r="A50" s="14" t="s">
        <v>70</v>
      </c>
      <c r="C50" s="6">
        <v>5802960</v>
      </c>
      <c r="E50" s="6">
        <v>12032949961</v>
      </c>
      <c r="G50" s="6">
        <v>15304445545</v>
      </c>
      <c r="I50" s="6">
        <v>-3271495584</v>
      </c>
      <c r="K50" s="6">
        <v>5802960</v>
      </c>
      <c r="M50" s="6">
        <v>12032949961</v>
      </c>
      <c r="O50" s="6">
        <v>18106932355</v>
      </c>
      <c r="Q50" s="6">
        <v>-6073982394</v>
      </c>
    </row>
    <row r="51" spans="1:17" ht="21" x14ac:dyDescent="0.55000000000000004">
      <c r="A51" s="14" t="s">
        <v>73</v>
      </c>
      <c r="C51" s="6">
        <v>5200000</v>
      </c>
      <c r="E51" s="6">
        <v>10152033840</v>
      </c>
      <c r="G51" s="6">
        <v>10888334704</v>
      </c>
      <c r="I51" s="6">
        <v>-736300864</v>
      </c>
      <c r="K51" s="6">
        <v>5200000</v>
      </c>
      <c r="M51" s="6">
        <v>10152033840</v>
      </c>
      <c r="O51" s="6">
        <v>16987413412</v>
      </c>
      <c r="Q51" s="6">
        <v>-6835379572</v>
      </c>
    </row>
    <row r="52" spans="1:17" ht="21" x14ac:dyDescent="0.55000000000000004">
      <c r="A52" s="14" t="s">
        <v>265</v>
      </c>
      <c r="C52" s="6"/>
      <c r="E52" s="6"/>
      <c r="G52" s="6"/>
      <c r="I52" s="6">
        <v>13980945</v>
      </c>
      <c r="K52" s="6"/>
      <c r="M52" s="6"/>
      <c r="O52" s="6"/>
      <c r="Q52" s="6">
        <v>0</v>
      </c>
    </row>
    <row r="53" spans="1:17" ht="21" x14ac:dyDescent="0.55000000000000004">
      <c r="A53" s="14" t="s">
        <v>186</v>
      </c>
      <c r="C53" s="6"/>
      <c r="E53" s="6"/>
      <c r="G53" s="6"/>
      <c r="I53" s="6">
        <v>0</v>
      </c>
      <c r="K53" s="6"/>
      <c r="M53" s="6"/>
      <c r="O53" s="6"/>
      <c r="Q53" s="6">
        <v>3399125</v>
      </c>
    </row>
    <row r="54" spans="1:17" ht="21" x14ac:dyDescent="0.55000000000000004">
      <c r="A54" s="14" t="s">
        <v>187</v>
      </c>
      <c r="C54" s="6"/>
      <c r="E54" s="6"/>
      <c r="G54" s="6"/>
      <c r="I54" s="6">
        <v>0</v>
      </c>
      <c r="K54" s="6"/>
      <c r="M54" s="6"/>
      <c r="O54" s="6"/>
      <c r="Q54" s="6">
        <v>6998198</v>
      </c>
    </row>
    <row r="55" spans="1:17" ht="21" x14ac:dyDescent="0.55000000000000004">
      <c r="A55" s="14" t="s">
        <v>188</v>
      </c>
      <c r="C55" s="6"/>
      <c r="E55" s="6"/>
      <c r="G55" s="6"/>
      <c r="I55" s="6">
        <v>0</v>
      </c>
      <c r="K55" s="6"/>
      <c r="M55" s="6"/>
      <c r="O55" s="6"/>
      <c r="Q55" s="6">
        <v>-449884125</v>
      </c>
    </row>
    <row r="56" spans="1:17" ht="21" x14ac:dyDescent="0.55000000000000004">
      <c r="A56" s="14" t="s">
        <v>189</v>
      </c>
      <c r="C56" s="6"/>
      <c r="E56" s="6"/>
      <c r="G56" s="6"/>
      <c r="I56" s="6">
        <v>0</v>
      </c>
      <c r="K56" s="6"/>
      <c r="M56" s="6"/>
      <c r="O56" s="6"/>
      <c r="Q56" s="6">
        <v>-132110973</v>
      </c>
    </row>
    <row r="57" spans="1:17" ht="21" x14ac:dyDescent="0.55000000000000004">
      <c r="A57" s="14" t="s">
        <v>190</v>
      </c>
      <c r="C57" s="6"/>
      <c r="E57" s="6"/>
      <c r="G57" s="6"/>
      <c r="I57" s="6">
        <v>0</v>
      </c>
      <c r="K57" s="6"/>
      <c r="M57" s="6"/>
      <c r="O57" s="6"/>
      <c r="Q57" s="6">
        <v>18005293</v>
      </c>
    </row>
    <row r="58" spans="1:17" ht="21" x14ac:dyDescent="0.55000000000000004">
      <c r="A58" s="14" t="s">
        <v>191</v>
      </c>
      <c r="C58" s="6"/>
      <c r="E58" s="6"/>
      <c r="G58" s="6"/>
      <c r="I58" s="6">
        <v>0</v>
      </c>
      <c r="K58" s="6"/>
      <c r="M58" s="6"/>
      <c r="O58" s="6"/>
      <c r="Q58" s="6">
        <v>2998</v>
      </c>
    </row>
    <row r="59" spans="1:17" ht="21" x14ac:dyDescent="0.55000000000000004">
      <c r="A59" s="14" t="s">
        <v>192</v>
      </c>
      <c r="C59" s="6"/>
      <c r="E59" s="6"/>
      <c r="G59" s="6"/>
      <c r="I59" s="6">
        <v>0</v>
      </c>
      <c r="K59" s="6"/>
      <c r="M59" s="6"/>
      <c r="O59" s="6"/>
      <c r="Q59" s="6">
        <v>552857603</v>
      </c>
    </row>
    <row r="60" spans="1:17" ht="21" x14ac:dyDescent="0.55000000000000004">
      <c r="A60" s="14" t="s">
        <v>193</v>
      </c>
      <c r="C60" s="6"/>
      <c r="E60" s="6"/>
      <c r="G60" s="6"/>
      <c r="I60" s="6">
        <v>0</v>
      </c>
      <c r="K60" s="6"/>
      <c r="M60" s="6"/>
      <c r="O60" s="6"/>
      <c r="Q60" s="6">
        <v>36052714</v>
      </c>
    </row>
    <row r="61" spans="1:17" ht="21" x14ac:dyDescent="0.55000000000000004">
      <c r="A61" s="14" t="s">
        <v>194</v>
      </c>
      <c r="C61" s="6"/>
      <c r="E61" s="6"/>
      <c r="G61" s="6"/>
      <c r="I61" s="6">
        <v>0</v>
      </c>
      <c r="K61" s="6"/>
      <c r="M61" s="6"/>
      <c r="O61" s="6"/>
      <c r="Q61" s="6">
        <v>-3898996</v>
      </c>
    </row>
    <row r="62" spans="1:17" ht="21" x14ac:dyDescent="0.55000000000000004">
      <c r="A62" s="14" t="s">
        <v>195</v>
      </c>
      <c r="C62" s="6"/>
      <c r="E62" s="6"/>
      <c r="G62" s="6"/>
      <c r="I62" s="6">
        <v>0</v>
      </c>
      <c r="K62" s="6"/>
      <c r="M62" s="6"/>
      <c r="O62" s="6"/>
      <c r="Q62" s="6">
        <v>-111971160</v>
      </c>
    </row>
    <row r="63" spans="1:17" ht="21" x14ac:dyDescent="0.55000000000000004">
      <c r="A63" s="14" t="s">
        <v>196</v>
      </c>
      <c r="C63" s="6"/>
      <c r="E63" s="6"/>
      <c r="G63" s="6"/>
      <c r="I63" s="6">
        <v>0</v>
      </c>
      <c r="K63" s="6"/>
      <c r="M63" s="6"/>
      <c r="O63" s="6"/>
      <c r="Q63" s="6">
        <v>336473735</v>
      </c>
    </row>
    <row r="64" spans="1:17" ht="21" x14ac:dyDescent="0.55000000000000004">
      <c r="A64" s="14" t="s">
        <v>197</v>
      </c>
      <c r="C64" s="6"/>
      <c r="E64" s="6"/>
      <c r="G64" s="6"/>
      <c r="I64" s="6">
        <v>0</v>
      </c>
      <c r="K64" s="6"/>
      <c r="M64" s="6"/>
      <c r="O64" s="6"/>
      <c r="Q64" s="6">
        <v>169936230</v>
      </c>
    </row>
    <row r="65" spans="1:17" ht="21" x14ac:dyDescent="0.55000000000000004">
      <c r="A65" s="14" t="s">
        <v>198</v>
      </c>
      <c r="C65" s="6"/>
      <c r="E65" s="6"/>
      <c r="G65" s="6"/>
      <c r="I65" s="6">
        <v>0</v>
      </c>
      <c r="K65" s="6"/>
      <c r="M65" s="6"/>
      <c r="O65" s="6"/>
      <c r="Q65" s="6">
        <v>29992</v>
      </c>
    </row>
    <row r="66" spans="1:17" ht="21" x14ac:dyDescent="0.55000000000000004">
      <c r="A66" s="14" t="s">
        <v>199</v>
      </c>
      <c r="C66" s="6"/>
      <c r="E66" s="6"/>
      <c r="G66" s="6"/>
      <c r="I66" s="6">
        <v>0</v>
      </c>
      <c r="K66" s="6"/>
      <c r="M66" s="6"/>
      <c r="O66" s="6"/>
      <c r="Q66" s="6">
        <v>26803097</v>
      </c>
    </row>
    <row r="67" spans="1:17" ht="21" x14ac:dyDescent="0.55000000000000004">
      <c r="A67" s="14" t="s">
        <v>200</v>
      </c>
      <c r="C67" s="6"/>
      <c r="E67" s="6"/>
      <c r="G67" s="6"/>
      <c r="I67" s="6">
        <v>0</v>
      </c>
      <c r="K67" s="6"/>
      <c r="M67" s="6"/>
      <c r="O67" s="6"/>
      <c r="Q67" s="6">
        <v>25493434</v>
      </c>
    </row>
    <row r="68" spans="1:17" ht="21" x14ac:dyDescent="0.55000000000000004">
      <c r="A68" s="14" t="s">
        <v>201</v>
      </c>
      <c r="C68" s="6"/>
      <c r="E68" s="6"/>
      <c r="G68" s="6"/>
      <c r="I68" s="6">
        <v>-19830874</v>
      </c>
      <c r="K68" s="6"/>
      <c r="M68" s="6"/>
      <c r="O68" s="6"/>
      <c r="Q68" s="6">
        <v>22627552</v>
      </c>
    </row>
    <row r="69" spans="1:17" ht="21" x14ac:dyDescent="0.55000000000000004">
      <c r="A69" s="14" t="s">
        <v>202</v>
      </c>
      <c r="C69" s="6"/>
      <c r="E69" s="6"/>
      <c r="G69" s="6"/>
      <c r="I69" s="6">
        <v>0</v>
      </c>
      <c r="K69" s="6"/>
      <c r="M69" s="6"/>
      <c r="O69" s="6"/>
      <c r="Q69" s="6">
        <v>-22527198</v>
      </c>
    </row>
    <row r="70" spans="1:17" ht="21" x14ac:dyDescent="0.55000000000000004">
      <c r="A70" s="14" t="s">
        <v>203</v>
      </c>
      <c r="C70" s="6"/>
      <c r="E70" s="6"/>
      <c r="G70" s="6"/>
      <c r="I70" s="6">
        <v>0</v>
      </c>
      <c r="K70" s="6"/>
      <c r="M70" s="6"/>
      <c r="O70" s="6"/>
      <c r="Q70" s="6">
        <v>-79979</v>
      </c>
    </row>
    <row r="71" spans="1:17" ht="21" x14ac:dyDescent="0.55000000000000004">
      <c r="A71" s="14" t="s">
        <v>204</v>
      </c>
      <c r="C71" s="6"/>
      <c r="E71" s="6"/>
      <c r="G71" s="6"/>
      <c r="I71" s="6">
        <v>0</v>
      </c>
      <c r="K71" s="6"/>
      <c r="M71" s="6"/>
      <c r="O71" s="6"/>
      <c r="Q71" s="6">
        <v>322177018</v>
      </c>
    </row>
    <row r="72" spans="1:17" ht="21" x14ac:dyDescent="0.55000000000000004">
      <c r="A72" s="14" t="s">
        <v>205</v>
      </c>
      <c r="C72" s="6"/>
      <c r="E72" s="6"/>
      <c r="G72" s="6"/>
      <c r="I72" s="6">
        <v>0</v>
      </c>
      <c r="K72" s="6"/>
      <c r="M72" s="6"/>
      <c r="O72" s="6"/>
      <c r="Q72" s="6">
        <v>1811533</v>
      </c>
    </row>
    <row r="73" spans="1:17" ht="21" x14ac:dyDescent="0.55000000000000004">
      <c r="A73" s="14" t="s">
        <v>206</v>
      </c>
      <c r="C73" s="6"/>
      <c r="E73" s="6"/>
      <c r="G73" s="6"/>
      <c r="I73" s="6">
        <v>0</v>
      </c>
      <c r="K73" s="6"/>
      <c r="M73" s="6"/>
      <c r="O73" s="6"/>
      <c r="Q73" s="6">
        <v>136568824</v>
      </c>
    </row>
    <row r="74" spans="1:17" ht="21" x14ac:dyDescent="0.55000000000000004">
      <c r="A74" s="14" t="s">
        <v>207</v>
      </c>
      <c r="C74" s="6"/>
      <c r="E74" s="6"/>
      <c r="G74" s="6"/>
      <c r="I74" s="6">
        <v>0</v>
      </c>
      <c r="K74" s="6"/>
      <c r="M74" s="6"/>
      <c r="O74" s="6"/>
      <c r="Q74" s="6">
        <v>-59984550</v>
      </c>
    </row>
    <row r="75" spans="1:17" ht="21" x14ac:dyDescent="0.55000000000000004">
      <c r="A75" s="14" t="s">
        <v>208</v>
      </c>
      <c r="C75" s="6"/>
      <c r="E75" s="6"/>
      <c r="G75" s="6"/>
      <c r="I75" s="6">
        <v>8135905</v>
      </c>
      <c r="K75" s="6"/>
      <c r="M75" s="6"/>
      <c r="O75" s="6"/>
      <c r="Q75" s="6">
        <v>8135905</v>
      </c>
    </row>
    <row r="76" spans="1:17" ht="21" x14ac:dyDescent="0.55000000000000004">
      <c r="A76" s="14" t="s">
        <v>209</v>
      </c>
      <c r="C76" s="6"/>
      <c r="E76" s="6"/>
      <c r="G76" s="6"/>
      <c r="I76" s="6">
        <v>0</v>
      </c>
      <c r="K76" s="6"/>
      <c r="M76" s="6"/>
      <c r="O76" s="6"/>
      <c r="Q76" s="6">
        <v>-11996910</v>
      </c>
    </row>
    <row r="77" spans="1:17" ht="21" x14ac:dyDescent="0.55000000000000004">
      <c r="A77" s="14" t="s">
        <v>210</v>
      </c>
      <c r="C77" s="6"/>
      <c r="E77" s="6"/>
      <c r="G77" s="6"/>
      <c r="I77" s="6">
        <v>74117883</v>
      </c>
      <c r="K77" s="6"/>
      <c r="M77" s="6"/>
      <c r="O77" s="6"/>
      <c r="Q77" s="6">
        <v>114210583</v>
      </c>
    </row>
    <row r="78" spans="1:17" ht="21" x14ac:dyDescent="0.55000000000000004">
      <c r="A78" s="14" t="s">
        <v>211</v>
      </c>
      <c r="C78" s="6"/>
      <c r="E78" s="6"/>
      <c r="G78" s="6"/>
      <c r="I78" s="6">
        <v>0</v>
      </c>
      <c r="K78" s="6"/>
      <c r="M78" s="6"/>
      <c r="O78" s="6"/>
      <c r="Q78" s="6">
        <v>-1999485</v>
      </c>
    </row>
    <row r="79" spans="1:17" ht="21" x14ac:dyDescent="0.55000000000000004">
      <c r="A79" s="14" t="s">
        <v>212</v>
      </c>
      <c r="C79" s="6"/>
      <c r="E79" s="6"/>
      <c r="G79" s="6"/>
      <c r="I79" s="6">
        <v>0</v>
      </c>
      <c r="K79" s="6"/>
      <c r="M79" s="6"/>
      <c r="O79" s="6"/>
      <c r="Q79" s="6">
        <v>-9760486</v>
      </c>
    </row>
    <row r="80" spans="1:17" ht="21" x14ac:dyDescent="0.55000000000000004">
      <c r="A80" s="14" t="s">
        <v>213</v>
      </c>
      <c r="C80" s="6"/>
      <c r="E80" s="6"/>
      <c r="G80" s="6"/>
      <c r="I80" s="6">
        <v>0</v>
      </c>
      <c r="K80" s="6"/>
      <c r="M80" s="6"/>
      <c r="O80" s="6"/>
      <c r="Q80" s="6">
        <v>10997168</v>
      </c>
    </row>
    <row r="81" spans="1:17" ht="21" x14ac:dyDescent="0.55000000000000004">
      <c r="A81" s="14" t="s">
        <v>214</v>
      </c>
      <c r="C81" s="6"/>
      <c r="E81" s="6"/>
      <c r="G81" s="6"/>
      <c r="I81" s="6">
        <v>0</v>
      </c>
      <c r="K81" s="6"/>
      <c r="M81" s="6"/>
      <c r="O81" s="6"/>
      <c r="Q81" s="6">
        <v>-15082116</v>
      </c>
    </row>
    <row r="82" spans="1:17" ht="21" x14ac:dyDescent="0.55000000000000004">
      <c r="A82" s="14" t="s">
        <v>215</v>
      </c>
      <c r="C82" s="6"/>
      <c r="E82" s="6"/>
      <c r="G82" s="6"/>
      <c r="I82" s="6">
        <v>0</v>
      </c>
      <c r="K82" s="6"/>
      <c r="M82" s="6"/>
      <c r="O82" s="6"/>
      <c r="Q82" s="6">
        <v>-15336050</v>
      </c>
    </row>
    <row r="83" spans="1:17" ht="21" x14ac:dyDescent="0.55000000000000004">
      <c r="A83" s="14" t="s">
        <v>216</v>
      </c>
      <c r="C83" s="6"/>
      <c r="E83" s="6"/>
      <c r="G83" s="6"/>
      <c r="I83" s="6">
        <v>-5026909</v>
      </c>
      <c r="K83" s="6"/>
      <c r="M83" s="6"/>
      <c r="O83" s="6"/>
      <c r="Q83" s="6">
        <v>12008907</v>
      </c>
    </row>
    <row r="84" spans="1:17" ht="21" x14ac:dyDescent="0.55000000000000004">
      <c r="A84" s="14" t="s">
        <v>217</v>
      </c>
      <c r="C84" s="6"/>
      <c r="E84" s="6"/>
      <c r="G84" s="6"/>
      <c r="I84" s="6">
        <v>0</v>
      </c>
      <c r="K84" s="6"/>
      <c r="M84" s="6"/>
      <c r="O84" s="6"/>
      <c r="Q84" s="6">
        <v>402706</v>
      </c>
    </row>
    <row r="85" spans="1:17" ht="21" x14ac:dyDescent="0.55000000000000004">
      <c r="A85" s="14" t="s">
        <v>218</v>
      </c>
      <c r="C85" s="6"/>
      <c r="E85" s="6"/>
      <c r="G85" s="6"/>
      <c r="I85" s="6">
        <v>0</v>
      </c>
      <c r="K85" s="6"/>
      <c r="M85" s="6"/>
      <c r="O85" s="6"/>
      <c r="Q85" s="6">
        <v>-15508006</v>
      </c>
    </row>
    <row r="86" spans="1:17" ht="21" x14ac:dyDescent="0.55000000000000004">
      <c r="A86" s="14" t="s">
        <v>219</v>
      </c>
      <c r="C86" s="6"/>
      <c r="E86" s="6"/>
      <c r="G86" s="6"/>
      <c r="I86" s="6">
        <v>0</v>
      </c>
      <c r="K86" s="6"/>
      <c r="M86" s="6"/>
      <c r="O86" s="6"/>
      <c r="Q86" s="6">
        <v>1282578</v>
      </c>
    </row>
    <row r="87" spans="1:17" ht="21" x14ac:dyDescent="0.55000000000000004">
      <c r="A87" s="14" t="s">
        <v>220</v>
      </c>
      <c r="C87" s="6"/>
      <c r="E87" s="6"/>
      <c r="G87" s="6"/>
      <c r="I87" s="6">
        <v>0</v>
      </c>
      <c r="K87" s="6"/>
      <c r="M87" s="6"/>
      <c r="O87" s="6"/>
      <c r="Q87" s="6">
        <v>1519609</v>
      </c>
    </row>
    <row r="88" spans="1:17" ht="21" x14ac:dyDescent="0.55000000000000004">
      <c r="A88" s="14" t="s">
        <v>221</v>
      </c>
      <c r="C88" s="6"/>
      <c r="E88" s="6"/>
      <c r="G88" s="6"/>
      <c r="I88" s="6">
        <v>0</v>
      </c>
      <c r="K88" s="6"/>
      <c r="M88" s="6"/>
      <c r="O88" s="6"/>
      <c r="Q88" s="6">
        <v>6238393</v>
      </c>
    </row>
    <row r="89" spans="1:17" ht="21" x14ac:dyDescent="0.55000000000000004">
      <c r="A89" s="14" t="s">
        <v>222</v>
      </c>
      <c r="C89" s="6"/>
      <c r="E89" s="6"/>
      <c r="G89" s="6"/>
      <c r="I89" s="6">
        <v>0</v>
      </c>
      <c r="K89" s="6"/>
      <c r="M89" s="6"/>
      <c r="O89" s="6"/>
      <c r="Q89" s="6">
        <v>-3551085</v>
      </c>
    </row>
    <row r="90" spans="1:17" ht="21" x14ac:dyDescent="0.55000000000000004">
      <c r="A90" s="14" t="s">
        <v>223</v>
      </c>
      <c r="C90" s="6"/>
      <c r="E90" s="6"/>
      <c r="G90" s="6"/>
      <c r="I90" s="6">
        <v>0</v>
      </c>
      <c r="K90" s="6"/>
      <c r="M90" s="6"/>
      <c r="O90" s="6"/>
      <c r="Q90" s="6">
        <v>-2469364</v>
      </c>
    </row>
    <row r="91" spans="1:17" ht="21" x14ac:dyDescent="0.55000000000000004">
      <c r="A91" s="14" t="s">
        <v>224</v>
      </c>
      <c r="C91" s="6"/>
      <c r="E91" s="6"/>
      <c r="G91" s="6"/>
      <c r="I91" s="6">
        <v>0</v>
      </c>
      <c r="K91" s="6"/>
      <c r="M91" s="6"/>
      <c r="O91" s="6"/>
      <c r="Q91" s="6">
        <v>69981974</v>
      </c>
    </row>
    <row r="92" spans="1:17" ht="21" x14ac:dyDescent="0.55000000000000004">
      <c r="A92" s="14" t="s">
        <v>225</v>
      </c>
      <c r="C92" s="6"/>
      <c r="E92" s="6"/>
      <c r="G92" s="6"/>
      <c r="I92" s="6">
        <v>-82596040</v>
      </c>
      <c r="K92" s="6"/>
      <c r="M92" s="6"/>
      <c r="O92" s="6"/>
      <c r="Q92" s="6">
        <v>-15995880</v>
      </c>
    </row>
    <row r="93" spans="1:17" ht="21" x14ac:dyDescent="0.55000000000000004">
      <c r="A93" s="14" t="s">
        <v>226</v>
      </c>
      <c r="C93" s="6"/>
      <c r="E93" s="6"/>
      <c r="G93" s="6"/>
      <c r="I93" s="6">
        <v>0</v>
      </c>
      <c r="K93" s="6"/>
      <c r="M93" s="6"/>
      <c r="O93" s="6"/>
      <c r="Q93" s="6">
        <v>53986095</v>
      </c>
    </row>
    <row r="94" spans="1:17" ht="21" x14ac:dyDescent="0.55000000000000004">
      <c r="A94" s="14" t="s">
        <v>266</v>
      </c>
      <c r="C94" s="6"/>
      <c r="E94" s="6"/>
      <c r="G94" s="6"/>
      <c r="I94" s="6">
        <v>-85420893</v>
      </c>
      <c r="K94" s="6"/>
      <c r="M94" s="6"/>
      <c r="O94" s="6"/>
      <c r="Q94" s="6">
        <v>0</v>
      </c>
    </row>
    <row r="95" spans="1:17" ht="21" x14ac:dyDescent="0.55000000000000004">
      <c r="A95" s="14" t="s">
        <v>227</v>
      </c>
      <c r="C95" s="6"/>
      <c r="E95" s="6"/>
      <c r="G95" s="6"/>
      <c r="I95" s="6">
        <v>0</v>
      </c>
      <c r="K95" s="6"/>
      <c r="M95" s="6"/>
      <c r="O95" s="6"/>
      <c r="Q95" s="6">
        <v>-24993562</v>
      </c>
    </row>
    <row r="96" spans="1:17" ht="21" x14ac:dyDescent="0.55000000000000004">
      <c r="A96" s="14" t="s">
        <v>228</v>
      </c>
      <c r="C96" s="6"/>
      <c r="E96" s="6"/>
      <c r="G96" s="6"/>
      <c r="I96" s="6">
        <v>74326976</v>
      </c>
      <c r="K96" s="6"/>
      <c r="M96" s="6"/>
      <c r="O96" s="6"/>
      <c r="Q96" s="6">
        <v>74326976</v>
      </c>
    </row>
    <row r="97" spans="1:17" ht="21" x14ac:dyDescent="0.55000000000000004">
      <c r="A97" s="14" t="s">
        <v>229</v>
      </c>
      <c r="C97" s="6"/>
      <c r="E97" s="6"/>
      <c r="G97" s="6"/>
      <c r="I97" s="6">
        <v>0</v>
      </c>
      <c r="K97" s="6"/>
      <c r="M97" s="6"/>
      <c r="O97" s="6"/>
      <c r="Q97" s="6">
        <v>-6289548</v>
      </c>
    </row>
    <row r="98" spans="1:17" ht="21" x14ac:dyDescent="0.55000000000000004">
      <c r="A98" s="14" t="s">
        <v>230</v>
      </c>
      <c r="C98" s="6"/>
      <c r="E98" s="6"/>
      <c r="G98" s="6"/>
      <c r="I98" s="6">
        <v>140169403</v>
      </c>
      <c r="K98" s="6"/>
      <c r="M98" s="6"/>
      <c r="O98" s="6"/>
      <c r="Q98" s="6">
        <v>140169403</v>
      </c>
    </row>
    <row r="99" spans="1:17" ht="21" x14ac:dyDescent="0.55000000000000004">
      <c r="A99" s="14" t="s">
        <v>231</v>
      </c>
      <c r="C99" s="6"/>
      <c r="E99" s="6"/>
      <c r="G99" s="6"/>
      <c r="I99" s="6">
        <v>0</v>
      </c>
      <c r="K99" s="6"/>
      <c r="M99" s="6"/>
      <c r="O99" s="6"/>
      <c r="Q99" s="6">
        <v>26575555</v>
      </c>
    </row>
    <row r="100" spans="1:17" ht="21" x14ac:dyDescent="0.55000000000000004">
      <c r="A100" s="14" t="s">
        <v>232</v>
      </c>
      <c r="C100" s="6"/>
      <c r="E100" s="6"/>
      <c r="G100" s="6"/>
      <c r="I100" s="6">
        <v>0</v>
      </c>
      <c r="K100" s="6"/>
      <c r="M100" s="6"/>
      <c r="O100" s="6"/>
      <c r="Q100" s="6">
        <v>1769544</v>
      </c>
    </row>
    <row r="101" spans="1:17" ht="21" x14ac:dyDescent="0.55000000000000004">
      <c r="A101" s="14" t="s">
        <v>233</v>
      </c>
      <c r="C101" s="6"/>
      <c r="E101" s="6"/>
      <c r="G101" s="6"/>
      <c r="I101" s="6">
        <v>2589862</v>
      </c>
      <c r="K101" s="6"/>
      <c r="M101" s="6"/>
      <c r="O101" s="6"/>
      <c r="Q101" s="6">
        <v>2603330</v>
      </c>
    </row>
    <row r="102" spans="1:17" ht="21" x14ac:dyDescent="0.55000000000000004">
      <c r="A102" s="14" t="s">
        <v>234</v>
      </c>
      <c r="C102" s="6"/>
      <c r="E102" s="6"/>
      <c r="G102" s="6"/>
      <c r="I102" s="6">
        <v>0</v>
      </c>
      <c r="K102" s="6"/>
      <c r="M102" s="6"/>
      <c r="O102" s="6"/>
      <c r="Q102" s="6">
        <v>32176865</v>
      </c>
    </row>
    <row r="103" spans="1:17" ht="21" x14ac:dyDescent="0.55000000000000004">
      <c r="A103" s="14" t="s">
        <v>235</v>
      </c>
      <c r="C103" s="6"/>
      <c r="E103" s="6"/>
      <c r="G103" s="6"/>
      <c r="I103" s="6">
        <v>0</v>
      </c>
      <c r="K103" s="6"/>
      <c r="M103" s="6"/>
      <c r="O103" s="6"/>
      <c r="Q103" s="6">
        <v>-85859485</v>
      </c>
    </row>
    <row r="104" spans="1:17" ht="21" x14ac:dyDescent="0.55000000000000004">
      <c r="A104" s="14" t="s">
        <v>236</v>
      </c>
      <c r="C104" s="6"/>
      <c r="E104" s="6"/>
      <c r="G104" s="6"/>
      <c r="I104" s="6">
        <v>0</v>
      </c>
      <c r="K104" s="6"/>
      <c r="M104" s="6"/>
      <c r="O104" s="6"/>
      <c r="Q104" s="6">
        <v>-20820926</v>
      </c>
    </row>
    <row r="105" spans="1:17" ht="21" x14ac:dyDescent="0.55000000000000004">
      <c r="A105" s="14" t="s">
        <v>237</v>
      </c>
      <c r="C105" s="6"/>
      <c r="E105" s="6"/>
      <c r="G105" s="6"/>
      <c r="I105" s="6">
        <v>0</v>
      </c>
      <c r="K105" s="6"/>
      <c r="M105" s="6"/>
      <c r="O105" s="6"/>
      <c r="Q105" s="6">
        <v>-2397382</v>
      </c>
    </row>
    <row r="106" spans="1:17" ht="21" x14ac:dyDescent="0.55000000000000004">
      <c r="A106" s="14" t="s">
        <v>238</v>
      </c>
      <c r="C106" s="6"/>
      <c r="E106" s="6"/>
      <c r="G106" s="6"/>
      <c r="I106" s="6">
        <v>0</v>
      </c>
      <c r="K106" s="6"/>
      <c r="M106" s="6"/>
      <c r="O106" s="6"/>
      <c r="Q106" s="6">
        <v>180993382</v>
      </c>
    </row>
    <row r="107" spans="1:17" ht="21" x14ac:dyDescent="0.55000000000000004">
      <c r="A107" s="14" t="s">
        <v>239</v>
      </c>
      <c r="C107" s="6"/>
      <c r="E107" s="6"/>
      <c r="G107" s="6"/>
      <c r="I107" s="6">
        <v>0</v>
      </c>
      <c r="K107" s="6"/>
      <c r="M107" s="6"/>
      <c r="O107" s="6"/>
      <c r="Q107" s="6">
        <v>-2499356</v>
      </c>
    </row>
    <row r="108" spans="1:17" ht="21" x14ac:dyDescent="0.55000000000000004">
      <c r="A108" s="14" t="s">
        <v>240</v>
      </c>
      <c r="C108" s="6"/>
      <c r="E108" s="6"/>
      <c r="G108" s="6"/>
      <c r="I108" s="6">
        <v>13496524</v>
      </c>
      <c r="K108" s="6"/>
      <c r="M108" s="6"/>
      <c r="O108" s="6"/>
      <c r="Q108" s="6">
        <v>13496524</v>
      </c>
    </row>
    <row r="109" spans="1:17" ht="21" x14ac:dyDescent="0.55000000000000004">
      <c r="A109" s="14" t="s">
        <v>241</v>
      </c>
      <c r="C109" s="6"/>
      <c r="E109" s="6"/>
      <c r="G109" s="6"/>
      <c r="I109" s="6">
        <v>0</v>
      </c>
      <c r="K109" s="6"/>
      <c r="M109" s="6"/>
      <c r="O109" s="6"/>
      <c r="Q109" s="6">
        <v>1</v>
      </c>
    </row>
    <row r="110" spans="1:17" ht="21" x14ac:dyDescent="0.55000000000000004">
      <c r="A110" s="14" t="s">
        <v>242</v>
      </c>
      <c r="C110" s="6"/>
      <c r="E110" s="6"/>
      <c r="G110" s="6"/>
      <c r="I110" s="6">
        <v>0</v>
      </c>
      <c r="K110" s="6"/>
      <c r="M110" s="6"/>
      <c r="O110" s="6"/>
      <c r="Q110" s="6">
        <v>6839138</v>
      </c>
    </row>
    <row r="111" spans="1:17" ht="21" x14ac:dyDescent="0.55000000000000004">
      <c r="A111" s="14" t="s">
        <v>243</v>
      </c>
      <c r="C111" s="6"/>
      <c r="E111" s="6"/>
      <c r="G111" s="6"/>
      <c r="I111" s="6">
        <v>0</v>
      </c>
      <c r="K111" s="6"/>
      <c r="M111" s="6"/>
      <c r="O111" s="6"/>
      <c r="Q111" s="6">
        <v>-24993562</v>
      </c>
    </row>
    <row r="112" spans="1:17" ht="21" x14ac:dyDescent="0.55000000000000004">
      <c r="A112" s="14" t="s">
        <v>244</v>
      </c>
      <c r="C112" s="6"/>
      <c r="E112" s="6"/>
      <c r="G112" s="6"/>
      <c r="I112" s="6">
        <v>0</v>
      </c>
      <c r="K112" s="6"/>
      <c r="M112" s="6"/>
      <c r="O112" s="6"/>
      <c r="Q112" s="6">
        <v>51986610</v>
      </c>
    </row>
    <row r="113" spans="1:17" ht="21" x14ac:dyDescent="0.55000000000000004">
      <c r="A113" s="14" t="s">
        <v>245</v>
      </c>
      <c r="C113" s="6"/>
      <c r="E113" s="6"/>
      <c r="G113" s="6"/>
      <c r="I113" s="6">
        <v>0</v>
      </c>
      <c r="K113" s="6"/>
      <c r="M113" s="6"/>
      <c r="O113" s="6"/>
      <c r="Q113" s="6">
        <v>-998</v>
      </c>
    </row>
    <row r="114" spans="1:17" ht="21" x14ac:dyDescent="0.55000000000000004">
      <c r="A114" s="14" t="s">
        <v>246</v>
      </c>
      <c r="C114" s="6"/>
      <c r="E114" s="6"/>
      <c r="G114" s="6"/>
      <c r="I114" s="6">
        <v>0</v>
      </c>
      <c r="K114" s="6"/>
      <c r="M114" s="6"/>
      <c r="O114" s="6"/>
      <c r="Q114" s="6">
        <v>24667646</v>
      </c>
    </row>
    <row r="115" spans="1:17" ht="21" x14ac:dyDescent="0.55000000000000004">
      <c r="A115" s="14" t="s">
        <v>247</v>
      </c>
      <c r="C115" s="6"/>
      <c r="E115" s="6"/>
      <c r="G115" s="6"/>
      <c r="I115" s="6">
        <v>0</v>
      </c>
      <c r="K115" s="6"/>
      <c r="M115" s="6"/>
      <c r="O115" s="6"/>
      <c r="Q115" s="6">
        <v>2000</v>
      </c>
    </row>
    <row r="116" spans="1:17" ht="21" x14ac:dyDescent="0.55000000000000004">
      <c r="A116" s="14" t="s">
        <v>248</v>
      </c>
      <c r="C116" s="6"/>
      <c r="E116" s="6"/>
      <c r="G116" s="6"/>
      <c r="I116" s="6">
        <v>0</v>
      </c>
      <c r="K116" s="6"/>
      <c r="M116" s="6"/>
      <c r="O116" s="6"/>
      <c r="Q116" s="6">
        <v>50986</v>
      </c>
    </row>
    <row r="117" spans="1:17" ht="21" x14ac:dyDescent="0.55000000000000004">
      <c r="A117" s="14" t="s">
        <v>249</v>
      </c>
      <c r="C117" s="6"/>
      <c r="E117" s="6"/>
      <c r="G117" s="6"/>
      <c r="I117" s="6">
        <v>0</v>
      </c>
      <c r="K117" s="6"/>
      <c r="M117" s="6"/>
      <c r="O117" s="6"/>
      <c r="Q117" s="6">
        <v>7210143</v>
      </c>
    </row>
    <row r="118" spans="1:17" ht="21" x14ac:dyDescent="0.55000000000000004">
      <c r="A118" s="14" t="s">
        <v>267</v>
      </c>
      <c r="C118" s="6"/>
      <c r="E118" s="6"/>
      <c r="G118" s="6"/>
      <c r="I118" s="6">
        <v>-466113408</v>
      </c>
      <c r="K118" s="6"/>
      <c r="M118" s="6"/>
      <c r="O118" s="6"/>
      <c r="Q118" s="6">
        <v>0</v>
      </c>
    </row>
    <row r="119" spans="1:17" ht="21" x14ac:dyDescent="0.55000000000000004">
      <c r="A119" s="14" t="s">
        <v>250</v>
      </c>
      <c r="C119" s="6"/>
      <c r="E119" s="6"/>
      <c r="G119" s="6"/>
      <c r="I119" s="6">
        <v>0</v>
      </c>
      <c r="K119" s="6"/>
      <c r="M119" s="6"/>
      <c r="O119" s="6"/>
      <c r="Q119" s="6">
        <v>662751298</v>
      </c>
    </row>
    <row r="120" spans="1:17" ht="21" x14ac:dyDescent="0.55000000000000004">
      <c r="A120" s="14" t="s">
        <v>251</v>
      </c>
      <c r="C120" s="6"/>
      <c r="E120" s="6"/>
      <c r="G120" s="6"/>
      <c r="I120" s="6">
        <v>-3615350</v>
      </c>
      <c r="K120" s="6"/>
      <c r="M120" s="6"/>
      <c r="O120" s="6"/>
      <c r="Q120" s="6">
        <v>2413378</v>
      </c>
    </row>
    <row r="121" spans="1:17" ht="21" x14ac:dyDescent="0.55000000000000004">
      <c r="A121" s="14" t="s">
        <v>252</v>
      </c>
      <c r="C121" s="6"/>
      <c r="E121" s="6"/>
      <c r="G121" s="6"/>
      <c r="I121" s="6">
        <v>0</v>
      </c>
      <c r="K121" s="6"/>
      <c r="M121" s="6"/>
      <c r="O121" s="6"/>
      <c r="Q121" s="6">
        <v>-20994592</v>
      </c>
    </row>
    <row r="122" spans="1:17" ht="21" x14ac:dyDescent="0.55000000000000004">
      <c r="A122" s="14" t="s">
        <v>253</v>
      </c>
      <c r="C122" s="6"/>
      <c r="E122" s="6"/>
      <c r="G122" s="6"/>
      <c r="I122" s="6">
        <v>0</v>
      </c>
      <c r="K122" s="6"/>
      <c r="M122" s="6"/>
      <c r="O122" s="6"/>
      <c r="Q122" s="6">
        <v>186951848</v>
      </c>
    </row>
    <row r="123" spans="1:17" ht="21" x14ac:dyDescent="0.55000000000000004">
      <c r="A123" s="14" t="s">
        <v>254</v>
      </c>
      <c r="C123" s="6"/>
      <c r="E123" s="6"/>
      <c r="G123" s="6"/>
      <c r="I123" s="6">
        <v>0</v>
      </c>
      <c r="K123" s="6"/>
      <c r="M123" s="6"/>
      <c r="O123" s="6"/>
      <c r="Q123" s="6">
        <v>239938200</v>
      </c>
    </row>
    <row r="124" spans="1:17" ht="21" x14ac:dyDescent="0.55000000000000004">
      <c r="A124" s="14" t="s">
        <v>255</v>
      </c>
      <c r="C124" s="6"/>
      <c r="E124" s="6"/>
      <c r="G124" s="6"/>
      <c r="I124" s="6">
        <v>0</v>
      </c>
      <c r="K124" s="6"/>
      <c r="M124" s="6"/>
      <c r="O124" s="6"/>
      <c r="Q124" s="6">
        <v>19187058</v>
      </c>
    </row>
    <row r="125" spans="1:17" ht="21" x14ac:dyDescent="0.55000000000000004">
      <c r="A125" s="14" t="s">
        <v>256</v>
      </c>
      <c r="C125" s="6"/>
      <c r="E125" s="6"/>
      <c r="G125" s="6"/>
      <c r="I125" s="6">
        <v>299216116</v>
      </c>
      <c r="K125" s="6"/>
      <c r="M125" s="6"/>
      <c r="O125" s="6"/>
      <c r="Q125" s="6">
        <v>-99619341</v>
      </c>
    </row>
    <row r="126" spans="1:17" ht="21" x14ac:dyDescent="0.55000000000000004">
      <c r="A126" s="14" t="s">
        <v>257</v>
      </c>
      <c r="C126" s="6"/>
      <c r="E126" s="6"/>
      <c r="G126" s="6"/>
      <c r="I126" s="6">
        <v>0</v>
      </c>
      <c r="K126" s="6"/>
      <c r="M126" s="6"/>
      <c r="O126" s="6"/>
      <c r="Q126" s="6">
        <v>-17246938</v>
      </c>
    </row>
    <row r="127" spans="1:17" ht="21" x14ac:dyDescent="0.55000000000000004">
      <c r="A127" s="14" t="s">
        <v>258</v>
      </c>
      <c r="C127" s="6"/>
      <c r="E127" s="6"/>
      <c r="G127" s="6"/>
      <c r="I127" s="6">
        <v>0</v>
      </c>
      <c r="K127" s="6"/>
      <c r="M127" s="6"/>
      <c r="O127" s="6"/>
      <c r="Q127" s="6">
        <v>-1058727</v>
      </c>
    </row>
    <row r="128" spans="1:17" ht="21" x14ac:dyDescent="0.55000000000000004">
      <c r="A128" s="14" t="s">
        <v>259</v>
      </c>
      <c r="C128" s="6"/>
      <c r="E128" s="6"/>
      <c r="G128" s="6"/>
      <c r="I128" s="6">
        <v>0</v>
      </c>
      <c r="K128" s="6"/>
      <c r="M128" s="6"/>
      <c r="O128" s="6"/>
      <c r="Q128" s="6">
        <v>17717036</v>
      </c>
    </row>
    <row r="129" spans="1:17" ht="21" x14ac:dyDescent="0.55000000000000004">
      <c r="A129" s="14" t="s">
        <v>260</v>
      </c>
      <c r="C129" s="6"/>
      <c r="E129" s="6"/>
      <c r="G129" s="6"/>
      <c r="I129" s="6">
        <v>0</v>
      </c>
      <c r="K129" s="6"/>
      <c r="M129" s="6"/>
      <c r="O129" s="6"/>
      <c r="Q129" s="6">
        <v>57921</v>
      </c>
    </row>
    <row r="130" spans="1:17" ht="21" x14ac:dyDescent="0.55000000000000004">
      <c r="A130" s="14" t="s">
        <v>261</v>
      </c>
      <c r="C130" s="6"/>
      <c r="E130" s="6"/>
      <c r="G130" s="6"/>
      <c r="I130" s="6">
        <v>0</v>
      </c>
      <c r="K130" s="6"/>
      <c r="M130" s="6"/>
      <c r="O130" s="6"/>
      <c r="Q130" s="6">
        <v>3478672</v>
      </c>
    </row>
    <row r="131" spans="1:17" ht="21" x14ac:dyDescent="0.55000000000000004">
      <c r="A131" s="14" t="s">
        <v>262</v>
      </c>
      <c r="C131" s="6"/>
      <c r="E131" s="6"/>
      <c r="G131" s="6"/>
      <c r="I131" s="6">
        <v>0</v>
      </c>
      <c r="K131" s="6"/>
      <c r="M131" s="6"/>
      <c r="O131" s="6"/>
      <c r="Q131" s="6">
        <v>851781</v>
      </c>
    </row>
    <row r="132" spans="1:17" ht="21" x14ac:dyDescent="0.55000000000000004">
      <c r="A132" s="14" t="s">
        <v>263</v>
      </c>
      <c r="C132" s="6"/>
      <c r="E132" s="6"/>
      <c r="G132" s="6"/>
      <c r="I132" s="6">
        <v>0</v>
      </c>
      <c r="K132" s="6"/>
      <c r="M132" s="6"/>
      <c r="O132" s="6"/>
      <c r="Q132" s="6">
        <v>2659259</v>
      </c>
    </row>
    <row r="133" spans="1:17" ht="21" x14ac:dyDescent="0.55000000000000004">
      <c r="A133" s="14" t="s">
        <v>264</v>
      </c>
      <c r="C133" s="6"/>
      <c r="E133" s="6"/>
      <c r="G133" s="6"/>
      <c r="I133" s="6">
        <v>0</v>
      </c>
      <c r="K133" s="6"/>
      <c r="M133" s="6"/>
      <c r="O133" s="6"/>
      <c r="Q133" s="6">
        <v>-1887514</v>
      </c>
    </row>
    <row r="134" spans="1:17" ht="21.75" thickBot="1" x14ac:dyDescent="0.6">
      <c r="A134" s="7" t="s">
        <v>74</v>
      </c>
      <c r="C134" s="15"/>
      <c r="E134" s="36">
        <f>SUM(E9:$E$133)</f>
        <v>878164025690</v>
      </c>
      <c r="G134" s="36">
        <f>SUM(G9:$G$133)</f>
        <v>967023399001</v>
      </c>
      <c r="I134" s="36">
        <f>SUM(I9:$I$133)</f>
        <v>-88895943171</v>
      </c>
      <c r="K134" s="15"/>
      <c r="M134" s="36">
        <f>SUM(M9:$M$133)</f>
        <v>905504684711</v>
      </c>
      <c r="O134" s="36">
        <f>SUM(O9:$O$133)</f>
        <v>909521375440</v>
      </c>
      <c r="Q134" s="36">
        <f>SUM(Q9:$Q$133)</f>
        <v>-1560633205</v>
      </c>
    </row>
    <row r="135" spans="1:17" ht="21.75" thickTop="1" x14ac:dyDescent="0.55000000000000004">
      <c r="C135" s="15"/>
      <c r="E135" s="8"/>
      <c r="G135" s="8"/>
      <c r="I135" s="8"/>
      <c r="K135" s="15"/>
      <c r="M135" s="8"/>
      <c r="O135" s="8"/>
      <c r="Q135" s="8"/>
    </row>
  </sheetData>
  <mergeCells count="6">
    <mergeCell ref="A1:Q1"/>
    <mergeCell ref="A2:Q2"/>
    <mergeCell ref="A3:Q3"/>
    <mergeCell ref="A5:Q5"/>
    <mergeCell ref="C7:I7"/>
    <mergeCell ref="K7:Q7"/>
  </mergeCells>
  <pageMargins left="0.17" right="0.17" top="0.34" bottom="0.42" header="0.3" footer="0.3"/>
  <pageSetup paperSize="9" scale="8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Q169"/>
  <sheetViews>
    <sheetView rightToLeft="1" view="pageBreakPreview" zoomScale="80" zoomScaleNormal="100" zoomScaleSheetLayoutView="80" workbookViewId="0">
      <selection activeCell="A5" sqref="A5:Q5"/>
    </sheetView>
  </sheetViews>
  <sheetFormatPr defaultRowHeight="19.5" x14ac:dyDescent="0.55000000000000004"/>
  <cols>
    <col min="1" max="1" width="29.140625" style="1" bestFit="1" customWidth="1"/>
    <col min="2" max="2" width="1.42578125" style="1" customWidth="1"/>
    <col min="3" max="3" width="12.28515625" style="1" bestFit="1" customWidth="1"/>
    <col min="4" max="4" width="1.42578125" style="1" customWidth="1"/>
    <col min="5" max="5" width="16.140625" style="1" bestFit="1" customWidth="1"/>
    <col min="6" max="6" width="1.42578125" style="1" customWidth="1"/>
    <col min="7" max="7" width="16.140625" style="1" bestFit="1" customWidth="1"/>
    <col min="8" max="8" width="1.42578125" style="1" customWidth="1"/>
    <col min="9" max="9" width="16.5703125" style="1" bestFit="1" customWidth="1"/>
    <col min="10" max="10" width="1.42578125" style="1" customWidth="1"/>
    <col min="11" max="11" width="14" style="1" bestFit="1" customWidth="1"/>
    <col min="12" max="12" width="1.42578125" style="1" customWidth="1"/>
    <col min="13" max="13" width="16.140625" style="1" bestFit="1" customWidth="1"/>
    <col min="14" max="14" width="1.42578125" style="1" customWidth="1"/>
    <col min="15" max="15" width="16.140625" style="1" bestFit="1" customWidth="1"/>
    <col min="16" max="16" width="1.42578125" style="1" customWidth="1"/>
    <col min="17" max="17" width="16.5703125" style="1" bestFit="1" customWidth="1"/>
    <col min="18" max="16384" width="9.140625" style="1"/>
  </cols>
  <sheetData>
    <row r="1" spans="1:17" ht="20.100000000000001" customHeight="1" x14ac:dyDescent="0.55000000000000004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20.100000000000001" customHeight="1" x14ac:dyDescent="0.55000000000000004">
      <c r="A2" s="22" t="s">
        <v>107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20.100000000000001" customHeight="1" x14ac:dyDescent="0.55000000000000004">
      <c r="A3" s="22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5" spans="1:17" ht="21" x14ac:dyDescent="0.55000000000000004">
      <c r="A5" s="23" t="s">
        <v>270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7" spans="1:17" ht="21" x14ac:dyDescent="0.55000000000000004">
      <c r="C7" s="24" t="s">
        <v>181</v>
      </c>
      <c r="D7" s="25"/>
      <c r="E7" s="25"/>
      <c r="F7" s="25"/>
      <c r="G7" s="25"/>
      <c r="H7" s="25"/>
      <c r="I7" s="25"/>
      <c r="K7" s="24" t="s">
        <v>179</v>
      </c>
      <c r="L7" s="25"/>
      <c r="M7" s="25"/>
      <c r="N7" s="25"/>
      <c r="O7" s="25"/>
      <c r="P7" s="25"/>
      <c r="Q7" s="25"/>
    </row>
    <row r="8" spans="1:17" ht="42" x14ac:dyDescent="0.55000000000000004">
      <c r="A8" s="12" t="s">
        <v>109</v>
      </c>
      <c r="C8" s="4" t="s">
        <v>8</v>
      </c>
      <c r="E8" s="4" t="s">
        <v>10</v>
      </c>
      <c r="G8" s="4" t="s">
        <v>153</v>
      </c>
      <c r="I8" s="4" t="s">
        <v>154</v>
      </c>
      <c r="K8" s="4" t="s">
        <v>8</v>
      </c>
      <c r="M8" s="4" t="s">
        <v>10</v>
      </c>
      <c r="O8" s="4" t="s">
        <v>153</v>
      </c>
      <c r="Q8" s="4" t="s">
        <v>154</v>
      </c>
    </row>
    <row r="9" spans="1:17" ht="21" x14ac:dyDescent="0.55000000000000004">
      <c r="A9" s="14" t="s">
        <v>155</v>
      </c>
      <c r="J9" s="9"/>
      <c r="K9" s="6">
        <v>579887</v>
      </c>
      <c r="M9" s="6">
        <v>3249801158</v>
      </c>
      <c r="O9" s="6">
        <v>2839489099</v>
      </c>
      <c r="Q9" s="6">
        <v>410312059</v>
      </c>
    </row>
    <row r="10" spans="1:17" ht="21" x14ac:dyDescent="0.55000000000000004">
      <c r="A10" s="14" t="s">
        <v>16</v>
      </c>
      <c r="C10" s="6">
        <v>75000</v>
      </c>
      <c r="E10" s="6">
        <v>517403039</v>
      </c>
      <c r="G10" s="6">
        <v>522390239</v>
      </c>
      <c r="I10" s="6">
        <v>-4987200</v>
      </c>
      <c r="K10" s="6">
        <v>150000</v>
      </c>
      <c r="M10" s="6">
        <v>1234610146</v>
      </c>
      <c r="O10" s="6">
        <v>1043584546</v>
      </c>
      <c r="Q10" s="6">
        <v>191025600</v>
      </c>
    </row>
    <row r="11" spans="1:17" ht="21" x14ac:dyDescent="0.55000000000000004">
      <c r="A11" s="14" t="s">
        <v>17</v>
      </c>
      <c r="J11" s="9"/>
      <c r="K11" s="6">
        <v>1000000</v>
      </c>
      <c r="M11" s="6">
        <v>4170420373</v>
      </c>
      <c r="O11" s="6">
        <v>4515857909</v>
      </c>
      <c r="Q11" s="6">
        <v>-345437536</v>
      </c>
    </row>
    <row r="12" spans="1:17" ht="21" x14ac:dyDescent="0.55000000000000004">
      <c r="A12" s="14" t="s">
        <v>18</v>
      </c>
      <c r="J12" s="9"/>
      <c r="K12" s="6">
        <v>1000000</v>
      </c>
      <c r="M12" s="6">
        <v>3621324170</v>
      </c>
      <c r="O12" s="6">
        <v>2592569738</v>
      </c>
      <c r="Q12" s="6">
        <v>1028754432</v>
      </c>
    </row>
    <row r="13" spans="1:17" ht="21" x14ac:dyDescent="0.55000000000000004">
      <c r="A13" s="14" t="s">
        <v>156</v>
      </c>
      <c r="J13" s="9"/>
      <c r="K13" s="6">
        <v>2700000</v>
      </c>
      <c r="M13" s="6">
        <v>10139193638</v>
      </c>
      <c r="O13" s="6">
        <v>11615719631</v>
      </c>
      <c r="Q13" s="6">
        <v>-1476525993</v>
      </c>
    </row>
    <row r="14" spans="1:17" ht="21" x14ac:dyDescent="0.55000000000000004">
      <c r="A14" s="14" t="s">
        <v>20</v>
      </c>
      <c r="C14" s="6">
        <v>11600000</v>
      </c>
      <c r="E14" s="6">
        <v>5442622728</v>
      </c>
      <c r="G14" s="6">
        <v>5017727434</v>
      </c>
      <c r="I14" s="6">
        <v>424895294</v>
      </c>
      <c r="K14" s="6">
        <v>17600000</v>
      </c>
      <c r="M14" s="6">
        <v>8997345630</v>
      </c>
      <c r="O14" s="6">
        <v>7608676908</v>
      </c>
      <c r="Q14" s="6">
        <v>1388668722</v>
      </c>
    </row>
    <row r="15" spans="1:17" ht="21" x14ac:dyDescent="0.55000000000000004">
      <c r="A15" s="14" t="s">
        <v>21</v>
      </c>
      <c r="C15" s="6">
        <v>35960926</v>
      </c>
      <c r="E15" s="6">
        <v>20525388267</v>
      </c>
      <c r="G15" s="6">
        <v>23347163982</v>
      </c>
      <c r="I15" s="6">
        <v>-2821775715</v>
      </c>
      <c r="K15" s="6">
        <v>53560926</v>
      </c>
      <c r="M15" s="6">
        <v>31923712893</v>
      </c>
      <c r="O15" s="6">
        <v>34765638255</v>
      </c>
      <c r="Q15" s="6">
        <v>-2841925362</v>
      </c>
    </row>
    <row r="16" spans="1:17" ht="21" x14ac:dyDescent="0.55000000000000004">
      <c r="A16" s="14" t="s">
        <v>22</v>
      </c>
      <c r="C16" s="6">
        <v>5392957</v>
      </c>
      <c r="E16" s="6">
        <v>12405976149</v>
      </c>
      <c r="G16" s="6">
        <v>10123887778</v>
      </c>
      <c r="I16" s="6">
        <v>2282088371</v>
      </c>
      <c r="K16" s="6">
        <v>5392957</v>
      </c>
      <c r="M16" s="6">
        <v>12405976149</v>
      </c>
      <c r="O16" s="6">
        <v>10123887778</v>
      </c>
      <c r="Q16" s="6">
        <v>2282088371</v>
      </c>
    </row>
    <row r="17" spans="1:17" ht="21" x14ac:dyDescent="0.55000000000000004">
      <c r="A17" s="14" t="s">
        <v>23</v>
      </c>
      <c r="C17" s="6">
        <v>1700000</v>
      </c>
      <c r="E17" s="6">
        <v>6531405579</v>
      </c>
      <c r="G17" s="6">
        <v>8984891479</v>
      </c>
      <c r="I17" s="6">
        <v>-2453485900</v>
      </c>
      <c r="K17" s="6">
        <v>1700000</v>
      </c>
      <c r="M17" s="6">
        <v>6531405579</v>
      </c>
      <c r="O17" s="6">
        <v>8984891479</v>
      </c>
      <c r="Q17" s="6">
        <v>-2453485900</v>
      </c>
    </row>
    <row r="18" spans="1:17" ht="21" x14ac:dyDescent="0.55000000000000004">
      <c r="A18" s="14" t="s">
        <v>157</v>
      </c>
      <c r="J18" s="9"/>
      <c r="K18" s="6">
        <v>491813</v>
      </c>
      <c r="M18" s="6">
        <v>2682696973</v>
      </c>
      <c r="O18" s="6">
        <v>2819485476</v>
      </c>
      <c r="Q18" s="6">
        <v>-136788503</v>
      </c>
    </row>
    <row r="19" spans="1:17" ht="21" x14ac:dyDescent="0.55000000000000004">
      <c r="A19" s="14" t="s">
        <v>24</v>
      </c>
      <c r="C19" s="6">
        <v>285750</v>
      </c>
      <c r="E19" s="6">
        <v>12916282991</v>
      </c>
      <c r="G19" s="6">
        <v>12936118815</v>
      </c>
      <c r="I19" s="6">
        <v>-19835824</v>
      </c>
      <c r="K19" s="6">
        <v>571500</v>
      </c>
      <c r="M19" s="6">
        <v>28686183282</v>
      </c>
      <c r="O19" s="6">
        <v>25855157130</v>
      </c>
      <c r="Q19" s="6">
        <v>2831026152</v>
      </c>
    </row>
    <row r="20" spans="1:17" ht="21" x14ac:dyDescent="0.55000000000000004">
      <c r="A20" s="14" t="s">
        <v>25</v>
      </c>
      <c r="J20" s="9"/>
      <c r="K20" s="6">
        <v>2000000</v>
      </c>
      <c r="M20" s="6">
        <v>4769451925</v>
      </c>
      <c r="O20" s="6">
        <v>5871486070</v>
      </c>
      <c r="Q20" s="6">
        <v>-1102034145</v>
      </c>
    </row>
    <row r="21" spans="1:17" ht="21" x14ac:dyDescent="0.55000000000000004">
      <c r="A21" s="14" t="s">
        <v>26</v>
      </c>
      <c r="C21" s="6">
        <v>900000</v>
      </c>
      <c r="E21" s="6">
        <v>3075789526</v>
      </c>
      <c r="G21" s="6">
        <v>2914308566</v>
      </c>
      <c r="I21" s="6">
        <v>161480960</v>
      </c>
      <c r="K21" s="6">
        <v>1800000</v>
      </c>
      <c r="M21" s="6">
        <v>6943185870</v>
      </c>
      <c r="O21" s="6">
        <v>5823878975</v>
      </c>
      <c r="Q21" s="6">
        <v>1119306895</v>
      </c>
    </row>
    <row r="22" spans="1:17" ht="21" x14ac:dyDescent="0.55000000000000004">
      <c r="A22" s="14" t="s">
        <v>27</v>
      </c>
      <c r="C22" s="6">
        <v>800000</v>
      </c>
      <c r="E22" s="6">
        <v>4890726130</v>
      </c>
      <c r="G22" s="6">
        <v>5203405330</v>
      </c>
      <c r="I22" s="6">
        <v>-312679200</v>
      </c>
      <c r="K22" s="6">
        <v>1600000</v>
      </c>
      <c r="M22" s="6">
        <v>11093598204</v>
      </c>
      <c r="O22" s="6">
        <v>10398956604</v>
      </c>
      <c r="Q22" s="6">
        <v>694641600</v>
      </c>
    </row>
    <row r="23" spans="1:17" ht="21" x14ac:dyDescent="0.55000000000000004">
      <c r="A23" s="14" t="s">
        <v>28</v>
      </c>
      <c r="C23" s="6">
        <v>200000</v>
      </c>
      <c r="E23" s="6">
        <v>1455289206</v>
      </c>
      <c r="G23" s="6">
        <v>1656800112</v>
      </c>
      <c r="I23" s="6">
        <v>-201510906</v>
      </c>
      <c r="K23" s="6">
        <v>200000</v>
      </c>
      <c r="M23" s="6">
        <v>1455289206</v>
      </c>
      <c r="O23" s="6">
        <v>1656800112</v>
      </c>
      <c r="Q23" s="6">
        <v>-201510906</v>
      </c>
    </row>
    <row r="24" spans="1:17" ht="21" x14ac:dyDescent="0.55000000000000004">
      <c r="A24" s="14" t="s">
        <v>158</v>
      </c>
      <c r="J24" s="9"/>
      <c r="K24" s="6">
        <v>595000</v>
      </c>
      <c r="M24" s="6">
        <v>17461482461</v>
      </c>
      <c r="O24" s="6">
        <v>11150692921</v>
      </c>
      <c r="Q24" s="6">
        <v>6310789540</v>
      </c>
    </row>
    <row r="25" spans="1:17" ht="21" x14ac:dyDescent="0.55000000000000004">
      <c r="A25" s="14" t="s">
        <v>159</v>
      </c>
      <c r="J25" s="9"/>
      <c r="K25" s="6">
        <v>24500000</v>
      </c>
      <c r="M25" s="6">
        <v>10435935006</v>
      </c>
      <c r="O25" s="6">
        <v>12893982706</v>
      </c>
      <c r="Q25" s="6">
        <v>-2458047700</v>
      </c>
    </row>
    <row r="26" spans="1:17" ht="21" x14ac:dyDescent="0.55000000000000004">
      <c r="A26" s="14" t="s">
        <v>29</v>
      </c>
      <c r="C26" s="6">
        <v>28192301</v>
      </c>
      <c r="E26" s="6">
        <v>11377970441</v>
      </c>
      <c r="G26" s="6">
        <v>9641682117</v>
      </c>
      <c r="I26" s="6">
        <v>1736288324</v>
      </c>
      <c r="K26" s="6">
        <v>28192301</v>
      </c>
      <c r="M26" s="6">
        <v>11377970441</v>
      </c>
      <c r="O26" s="6">
        <v>9641682117</v>
      </c>
      <c r="Q26" s="6">
        <v>1736288324</v>
      </c>
    </row>
    <row r="27" spans="1:17" ht="21" x14ac:dyDescent="0.55000000000000004">
      <c r="A27" s="14" t="s">
        <v>160</v>
      </c>
      <c r="J27" s="9"/>
      <c r="K27" s="6">
        <v>700000</v>
      </c>
      <c r="M27" s="6">
        <v>13113781594</v>
      </c>
      <c r="O27" s="6">
        <v>11995700499</v>
      </c>
      <c r="Q27" s="6">
        <v>1118081095</v>
      </c>
    </row>
    <row r="28" spans="1:17" ht="21" x14ac:dyDescent="0.55000000000000004">
      <c r="A28" s="14" t="s">
        <v>30</v>
      </c>
      <c r="C28" s="6">
        <v>10600000</v>
      </c>
      <c r="E28" s="6">
        <v>13654271001</v>
      </c>
      <c r="G28" s="6">
        <v>15455436076</v>
      </c>
      <c r="I28" s="6">
        <v>-1801165075</v>
      </c>
      <c r="K28" s="6">
        <v>17200000</v>
      </c>
      <c r="M28" s="6">
        <v>22158971752</v>
      </c>
      <c r="O28" s="6">
        <v>24720767014</v>
      </c>
      <c r="Q28" s="6">
        <v>-2561795262</v>
      </c>
    </row>
    <row r="29" spans="1:17" ht="21" x14ac:dyDescent="0.55000000000000004">
      <c r="A29" s="14" t="s">
        <v>161</v>
      </c>
      <c r="J29" s="9"/>
      <c r="K29" s="6">
        <v>24869520</v>
      </c>
      <c r="M29" s="6">
        <v>29276157072</v>
      </c>
      <c r="O29" s="6">
        <v>29713114579</v>
      </c>
      <c r="Q29" s="6">
        <v>-436957507</v>
      </c>
    </row>
    <row r="30" spans="1:17" ht="21" x14ac:dyDescent="0.55000000000000004">
      <c r="A30" s="14" t="s">
        <v>31</v>
      </c>
      <c r="C30" s="6">
        <v>100000</v>
      </c>
      <c r="E30" s="6">
        <v>2736619650</v>
      </c>
      <c r="G30" s="6">
        <v>2656964910</v>
      </c>
      <c r="I30" s="6">
        <v>79654740</v>
      </c>
      <c r="K30" s="6">
        <v>400000</v>
      </c>
      <c r="M30" s="6">
        <v>11923825333</v>
      </c>
      <c r="O30" s="6">
        <v>10466248304</v>
      </c>
      <c r="Q30" s="6">
        <v>1457577029</v>
      </c>
    </row>
    <row r="31" spans="1:17" ht="21" x14ac:dyDescent="0.55000000000000004">
      <c r="A31" s="14" t="s">
        <v>33</v>
      </c>
      <c r="C31" s="6">
        <v>900000</v>
      </c>
      <c r="E31" s="6">
        <v>8665054449</v>
      </c>
      <c r="G31" s="6">
        <v>9596236916</v>
      </c>
      <c r="I31" s="6">
        <v>-931182467</v>
      </c>
      <c r="K31" s="6">
        <v>1279048</v>
      </c>
      <c r="M31" s="6">
        <v>12220807115</v>
      </c>
      <c r="O31" s="6">
        <v>13568955885</v>
      </c>
      <c r="Q31" s="6">
        <v>-1348148770</v>
      </c>
    </row>
    <row r="32" spans="1:17" ht="21" x14ac:dyDescent="0.55000000000000004">
      <c r="A32" s="14" t="s">
        <v>34</v>
      </c>
      <c r="C32" s="6">
        <v>1285714</v>
      </c>
      <c r="E32" s="6">
        <v>6505345806</v>
      </c>
      <c r="G32" s="6">
        <v>6278630867</v>
      </c>
      <c r="I32" s="6">
        <v>226714939</v>
      </c>
      <c r="K32" s="6">
        <v>2785714</v>
      </c>
      <c r="M32" s="6">
        <v>14503087056</v>
      </c>
      <c r="O32" s="6">
        <v>13601258776</v>
      </c>
      <c r="Q32" s="6">
        <v>901828280</v>
      </c>
    </row>
    <row r="33" spans="1:17" ht="21" x14ac:dyDescent="0.55000000000000004">
      <c r="A33" s="14" t="s">
        <v>35</v>
      </c>
      <c r="J33" s="9"/>
      <c r="K33" s="6">
        <v>750000</v>
      </c>
      <c r="M33" s="6">
        <v>2859136320</v>
      </c>
      <c r="O33" s="6">
        <v>2310043920</v>
      </c>
      <c r="Q33" s="6">
        <v>549092400</v>
      </c>
    </row>
    <row r="34" spans="1:17" ht="21" x14ac:dyDescent="0.55000000000000004">
      <c r="A34" s="14" t="s">
        <v>36</v>
      </c>
      <c r="J34" s="9"/>
      <c r="K34" s="6">
        <v>3250000</v>
      </c>
      <c r="M34" s="6">
        <v>4755535365</v>
      </c>
      <c r="O34" s="6">
        <v>3875154565</v>
      </c>
      <c r="Q34" s="6">
        <v>880380800</v>
      </c>
    </row>
    <row r="35" spans="1:17" ht="21" x14ac:dyDescent="0.55000000000000004">
      <c r="A35" s="14" t="s">
        <v>37</v>
      </c>
      <c r="J35" s="9"/>
      <c r="K35" s="6">
        <v>500000</v>
      </c>
      <c r="M35" s="6">
        <v>6485320811</v>
      </c>
      <c r="O35" s="6">
        <v>4844489105</v>
      </c>
      <c r="Q35" s="6">
        <v>1640831706</v>
      </c>
    </row>
    <row r="36" spans="1:17" ht="21" x14ac:dyDescent="0.55000000000000004">
      <c r="A36" s="14" t="s">
        <v>162</v>
      </c>
      <c r="J36" s="9"/>
      <c r="K36" s="6">
        <v>1383146</v>
      </c>
      <c r="M36" s="6">
        <v>16041014404</v>
      </c>
      <c r="O36" s="6">
        <v>13226976376</v>
      </c>
      <c r="Q36" s="6">
        <v>2814038028</v>
      </c>
    </row>
    <row r="37" spans="1:17" ht="21" x14ac:dyDescent="0.55000000000000004">
      <c r="A37" s="14" t="s">
        <v>135</v>
      </c>
      <c r="J37" s="9"/>
      <c r="K37" s="6">
        <v>2400000</v>
      </c>
      <c r="M37" s="6">
        <v>7129862097</v>
      </c>
      <c r="O37" s="6">
        <v>11764251845</v>
      </c>
      <c r="Q37" s="6">
        <v>-4634389748</v>
      </c>
    </row>
    <row r="38" spans="1:17" ht="21" x14ac:dyDescent="0.55000000000000004">
      <c r="A38" s="14" t="s">
        <v>38</v>
      </c>
      <c r="C38" s="6">
        <v>249999</v>
      </c>
      <c r="E38" s="6">
        <v>1553196921</v>
      </c>
      <c r="G38" s="6">
        <v>1858657633</v>
      </c>
      <c r="I38" s="6">
        <v>-305460712</v>
      </c>
      <c r="K38" s="6">
        <v>750000</v>
      </c>
      <c r="M38" s="6">
        <v>6006550068</v>
      </c>
      <c r="O38" s="6">
        <v>5409054971</v>
      </c>
      <c r="Q38" s="6">
        <v>597495097</v>
      </c>
    </row>
    <row r="39" spans="1:17" ht="21" x14ac:dyDescent="0.55000000000000004">
      <c r="A39" s="14" t="s">
        <v>39</v>
      </c>
      <c r="C39" s="6">
        <v>1500000</v>
      </c>
      <c r="E39" s="6">
        <v>6018312510</v>
      </c>
      <c r="G39" s="6">
        <v>4618291993</v>
      </c>
      <c r="I39" s="6">
        <v>1400020517</v>
      </c>
      <c r="K39" s="6">
        <v>3000000</v>
      </c>
      <c r="M39" s="6">
        <v>11374254037</v>
      </c>
      <c r="O39" s="6">
        <v>9240548720</v>
      </c>
      <c r="Q39" s="6">
        <v>2133705317</v>
      </c>
    </row>
    <row r="40" spans="1:17" ht="21" x14ac:dyDescent="0.55000000000000004">
      <c r="A40" s="14" t="s">
        <v>163</v>
      </c>
      <c r="J40" s="9"/>
      <c r="K40" s="6">
        <v>9506493</v>
      </c>
      <c r="M40" s="6">
        <v>25599861319</v>
      </c>
      <c r="O40" s="6">
        <v>24151987937</v>
      </c>
      <c r="Q40" s="6">
        <v>1447873382</v>
      </c>
    </row>
    <row r="41" spans="1:17" ht="21" x14ac:dyDescent="0.55000000000000004">
      <c r="A41" s="14" t="s">
        <v>40</v>
      </c>
      <c r="C41" s="6">
        <v>1875000</v>
      </c>
      <c r="E41" s="6">
        <v>6657539463</v>
      </c>
      <c r="G41" s="6">
        <v>6059096579</v>
      </c>
      <c r="I41" s="6">
        <v>598442884</v>
      </c>
      <c r="K41" s="6">
        <v>1875000</v>
      </c>
      <c r="M41" s="6">
        <v>6657539463</v>
      </c>
      <c r="O41" s="6">
        <v>6059096579</v>
      </c>
      <c r="Q41" s="6">
        <v>598442884</v>
      </c>
    </row>
    <row r="42" spans="1:17" ht="21" x14ac:dyDescent="0.55000000000000004">
      <c r="A42" s="14" t="s">
        <v>41</v>
      </c>
      <c r="C42" s="6">
        <v>2666666</v>
      </c>
      <c r="E42" s="6">
        <v>19079128451</v>
      </c>
      <c r="G42" s="6">
        <v>18205431094</v>
      </c>
      <c r="I42" s="6">
        <v>873697357</v>
      </c>
      <c r="K42" s="6">
        <v>5165870</v>
      </c>
      <c r="M42" s="6">
        <v>44262455327</v>
      </c>
      <c r="O42" s="6">
        <v>39450931155</v>
      </c>
      <c r="Q42" s="6">
        <v>4811524172</v>
      </c>
    </row>
    <row r="43" spans="1:17" ht="21" x14ac:dyDescent="0.55000000000000004">
      <c r="A43" s="14" t="s">
        <v>42</v>
      </c>
      <c r="J43" s="9"/>
      <c r="K43" s="6">
        <v>442665</v>
      </c>
      <c r="M43" s="6">
        <v>10269779848</v>
      </c>
      <c r="O43" s="6">
        <v>10032843674</v>
      </c>
      <c r="Q43" s="6">
        <v>236936174</v>
      </c>
    </row>
    <row r="44" spans="1:17" ht="21" x14ac:dyDescent="0.55000000000000004">
      <c r="A44" s="14" t="s">
        <v>164</v>
      </c>
      <c r="J44" s="9"/>
      <c r="K44" s="6">
        <v>3800000</v>
      </c>
      <c r="M44" s="6">
        <v>23683463035</v>
      </c>
      <c r="O44" s="6">
        <v>25997778915</v>
      </c>
      <c r="Q44" s="6">
        <v>-2314315880</v>
      </c>
    </row>
    <row r="45" spans="1:17" ht="21" x14ac:dyDescent="0.55000000000000004">
      <c r="A45" s="14" t="s">
        <v>165</v>
      </c>
      <c r="J45" s="9"/>
      <c r="K45" s="6">
        <v>265</v>
      </c>
      <c r="M45" s="6">
        <v>5023485</v>
      </c>
      <c r="O45" s="6">
        <v>4865758</v>
      </c>
      <c r="Q45" s="6">
        <v>157727</v>
      </c>
    </row>
    <row r="46" spans="1:17" ht="21" x14ac:dyDescent="0.55000000000000004">
      <c r="A46" s="14" t="s">
        <v>166</v>
      </c>
      <c r="J46" s="9"/>
      <c r="K46" s="6">
        <v>800000</v>
      </c>
      <c r="M46" s="6">
        <v>2926501004</v>
      </c>
      <c r="O46" s="6">
        <v>3290681565</v>
      </c>
      <c r="Q46" s="6">
        <v>-364180561</v>
      </c>
    </row>
    <row r="47" spans="1:17" ht="21" x14ac:dyDescent="0.55000000000000004">
      <c r="A47" s="14" t="s">
        <v>167</v>
      </c>
      <c r="J47" s="9"/>
      <c r="K47" s="6">
        <v>16214566</v>
      </c>
      <c r="M47" s="6">
        <v>32438711144</v>
      </c>
      <c r="O47" s="6">
        <v>39973740709</v>
      </c>
      <c r="Q47" s="6">
        <v>-7535029565</v>
      </c>
    </row>
    <row r="48" spans="1:17" ht="21" x14ac:dyDescent="0.55000000000000004">
      <c r="A48" s="14" t="s">
        <v>43</v>
      </c>
      <c r="C48" s="6">
        <v>1566211</v>
      </c>
      <c r="E48" s="6">
        <v>4864816463</v>
      </c>
      <c r="G48" s="6">
        <v>6511289268</v>
      </c>
      <c r="I48" s="6">
        <v>-1646472805</v>
      </c>
      <c r="K48" s="6">
        <v>2766211</v>
      </c>
      <c r="M48" s="6">
        <v>9479991820</v>
      </c>
      <c r="O48" s="6">
        <v>11494796449</v>
      </c>
      <c r="Q48" s="6">
        <v>-2014804629</v>
      </c>
    </row>
    <row r="49" spans="1:17" ht="21" x14ac:dyDescent="0.55000000000000004">
      <c r="A49" s="14" t="s">
        <v>44</v>
      </c>
      <c r="J49" s="9"/>
      <c r="K49" s="6">
        <v>100000</v>
      </c>
      <c r="M49" s="6">
        <v>596430000</v>
      </c>
      <c r="O49" s="6">
        <v>536199150</v>
      </c>
      <c r="Q49" s="6">
        <v>60230850</v>
      </c>
    </row>
    <row r="50" spans="1:17" ht="21" x14ac:dyDescent="0.55000000000000004">
      <c r="A50" s="14" t="s">
        <v>45</v>
      </c>
      <c r="C50" s="6">
        <v>200000</v>
      </c>
      <c r="E50" s="6">
        <v>2200826700</v>
      </c>
      <c r="G50" s="6">
        <v>3619085400</v>
      </c>
      <c r="I50" s="6">
        <v>-1418258700</v>
      </c>
      <c r="K50" s="6">
        <v>200000</v>
      </c>
      <c r="M50" s="6">
        <v>2200826700</v>
      </c>
      <c r="O50" s="6">
        <v>3619085400</v>
      </c>
      <c r="Q50" s="6">
        <v>-1418258700</v>
      </c>
    </row>
    <row r="51" spans="1:17" ht="21" x14ac:dyDescent="0.55000000000000004">
      <c r="A51" s="14" t="s">
        <v>46</v>
      </c>
      <c r="C51" s="6">
        <v>1108532</v>
      </c>
      <c r="E51" s="6">
        <v>8684941105</v>
      </c>
      <c r="G51" s="6">
        <v>8910134888</v>
      </c>
      <c r="I51" s="6">
        <v>-225193783</v>
      </c>
      <c r="K51" s="6">
        <v>1108532</v>
      </c>
      <c r="M51" s="6">
        <v>8684941105</v>
      </c>
      <c r="O51" s="6">
        <v>8910134888</v>
      </c>
      <c r="Q51" s="6">
        <v>-225193783</v>
      </c>
    </row>
    <row r="52" spans="1:17" ht="21" x14ac:dyDescent="0.55000000000000004">
      <c r="A52" s="14" t="s">
        <v>168</v>
      </c>
      <c r="J52" s="9"/>
      <c r="K52" s="6">
        <v>200000</v>
      </c>
      <c r="M52" s="6">
        <v>2425482010</v>
      </c>
      <c r="O52" s="6">
        <v>2325651668</v>
      </c>
      <c r="Q52" s="6">
        <v>99830342</v>
      </c>
    </row>
    <row r="53" spans="1:17" ht="21" x14ac:dyDescent="0.55000000000000004">
      <c r="A53" s="14" t="s">
        <v>47</v>
      </c>
      <c r="C53" s="6">
        <v>15010652</v>
      </c>
      <c r="E53" s="6">
        <v>8587409832</v>
      </c>
      <c r="G53" s="6">
        <v>9199019843</v>
      </c>
      <c r="I53" s="6">
        <v>-611610011</v>
      </c>
      <c r="K53" s="6">
        <v>15010652</v>
      </c>
      <c r="M53" s="6">
        <v>8587409832</v>
      </c>
      <c r="O53" s="6">
        <v>9199019843</v>
      </c>
      <c r="Q53" s="6">
        <v>-611610011</v>
      </c>
    </row>
    <row r="54" spans="1:17" ht="21" x14ac:dyDescent="0.55000000000000004">
      <c r="A54" s="14" t="s">
        <v>48</v>
      </c>
      <c r="C54" s="6">
        <v>1000000</v>
      </c>
      <c r="E54" s="6">
        <v>15586704074</v>
      </c>
      <c r="G54" s="6">
        <v>16321852462</v>
      </c>
      <c r="I54" s="6">
        <v>-735148388</v>
      </c>
      <c r="K54" s="6">
        <v>1800000</v>
      </c>
      <c r="M54" s="6">
        <v>30209179739</v>
      </c>
      <c r="O54" s="6">
        <v>29106262207</v>
      </c>
      <c r="Q54" s="6">
        <v>1102917532</v>
      </c>
    </row>
    <row r="55" spans="1:17" ht="21" x14ac:dyDescent="0.55000000000000004">
      <c r="A55" s="14" t="s">
        <v>169</v>
      </c>
      <c r="J55" s="9"/>
      <c r="K55" s="6">
        <v>2421626</v>
      </c>
      <c r="M55" s="6">
        <v>13863899230</v>
      </c>
      <c r="O55" s="6">
        <v>14571250792</v>
      </c>
      <c r="Q55" s="6">
        <v>-707351562</v>
      </c>
    </row>
    <row r="56" spans="1:17" ht="21" x14ac:dyDescent="0.55000000000000004">
      <c r="A56" s="14" t="s">
        <v>49</v>
      </c>
      <c r="J56" s="9"/>
      <c r="K56" s="6">
        <v>175000</v>
      </c>
      <c r="M56" s="6">
        <v>8066371716</v>
      </c>
      <c r="O56" s="6">
        <v>7133232866</v>
      </c>
      <c r="Q56" s="6">
        <v>933138850</v>
      </c>
    </row>
    <row r="57" spans="1:17" ht="21" x14ac:dyDescent="0.55000000000000004">
      <c r="A57" s="14" t="s">
        <v>50</v>
      </c>
      <c r="C57" s="6">
        <v>2538461</v>
      </c>
      <c r="E57" s="6">
        <v>15633516279</v>
      </c>
      <c r="G57" s="6">
        <v>14696181179</v>
      </c>
      <c r="I57" s="6">
        <v>937335100</v>
      </c>
      <c r="K57" s="6">
        <v>4238461</v>
      </c>
      <c r="M57" s="6">
        <v>29143083950</v>
      </c>
      <c r="O57" s="6">
        <v>26536761364</v>
      </c>
      <c r="Q57" s="6">
        <v>2606322586</v>
      </c>
    </row>
    <row r="58" spans="1:17" ht="21" x14ac:dyDescent="0.55000000000000004">
      <c r="A58" s="14" t="s">
        <v>51</v>
      </c>
      <c r="J58" s="9"/>
      <c r="K58" s="6">
        <v>335500</v>
      </c>
      <c r="M58" s="6">
        <v>4794225834</v>
      </c>
      <c r="O58" s="6">
        <v>4258900527</v>
      </c>
      <c r="Q58" s="6">
        <v>535325307</v>
      </c>
    </row>
    <row r="59" spans="1:17" ht="21" x14ac:dyDescent="0.55000000000000004">
      <c r="A59" s="14" t="s">
        <v>170</v>
      </c>
      <c r="J59" s="9"/>
      <c r="K59" s="6">
        <v>450000</v>
      </c>
      <c r="M59" s="6">
        <v>5159086050</v>
      </c>
      <c r="O59" s="6">
        <v>2461380650</v>
      </c>
      <c r="Q59" s="6">
        <v>2697705400</v>
      </c>
    </row>
    <row r="60" spans="1:17" ht="21" x14ac:dyDescent="0.55000000000000004">
      <c r="A60" s="14" t="s">
        <v>52</v>
      </c>
      <c r="C60" s="6">
        <v>3700000</v>
      </c>
      <c r="E60" s="6">
        <v>13192534623</v>
      </c>
      <c r="G60" s="6">
        <v>12387331669</v>
      </c>
      <c r="I60" s="6">
        <v>805202954</v>
      </c>
      <c r="K60" s="6">
        <v>4950000</v>
      </c>
      <c r="M60" s="6">
        <v>18283381625</v>
      </c>
      <c r="O60" s="6">
        <v>16568446767</v>
      </c>
      <c r="Q60" s="6">
        <v>1714934858</v>
      </c>
    </row>
    <row r="61" spans="1:17" ht="21" x14ac:dyDescent="0.55000000000000004">
      <c r="A61" s="14" t="s">
        <v>54</v>
      </c>
      <c r="J61" s="9"/>
      <c r="K61" s="6">
        <v>200000</v>
      </c>
      <c r="M61" s="6">
        <v>2614598713</v>
      </c>
      <c r="O61" s="6">
        <v>3238722313</v>
      </c>
      <c r="Q61" s="6">
        <v>-624123600</v>
      </c>
    </row>
    <row r="62" spans="1:17" ht="21" x14ac:dyDescent="0.55000000000000004">
      <c r="A62" s="14" t="s">
        <v>57</v>
      </c>
      <c r="C62" s="6">
        <v>100000</v>
      </c>
      <c r="E62" s="6">
        <v>5465286905</v>
      </c>
      <c r="G62" s="6">
        <v>5968366755</v>
      </c>
      <c r="I62" s="6">
        <v>-503079850</v>
      </c>
      <c r="K62" s="6">
        <v>207000</v>
      </c>
      <c r="M62" s="6">
        <v>11622708002</v>
      </c>
      <c r="O62" s="6">
        <v>12352666322</v>
      </c>
      <c r="Q62" s="6">
        <v>-729958320</v>
      </c>
    </row>
    <row r="63" spans="1:17" ht="21" x14ac:dyDescent="0.55000000000000004">
      <c r="A63" s="14" t="s">
        <v>58</v>
      </c>
      <c r="C63" s="6">
        <v>550000</v>
      </c>
      <c r="E63" s="6">
        <v>2352009524</v>
      </c>
      <c r="G63" s="6">
        <v>2446969709</v>
      </c>
      <c r="I63" s="6">
        <v>-94960185</v>
      </c>
      <c r="K63" s="6">
        <v>1350000</v>
      </c>
      <c r="M63" s="6">
        <v>6628015038</v>
      </c>
      <c r="O63" s="6">
        <v>6001081253</v>
      </c>
      <c r="Q63" s="6">
        <v>626933785</v>
      </c>
    </row>
    <row r="64" spans="1:17" ht="21" x14ac:dyDescent="0.55000000000000004">
      <c r="A64" s="14" t="s">
        <v>59</v>
      </c>
      <c r="J64" s="9"/>
      <c r="K64" s="6">
        <v>80000</v>
      </c>
      <c r="M64" s="6">
        <v>5912445118</v>
      </c>
      <c r="O64" s="6">
        <v>5122337638</v>
      </c>
      <c r="Q64" s="6">
        <v>790107480</v>
      </c>
    </row>
    <row r="65" spans="1:17" ht="21" x14ac:dyDescent="0.55000000000000004">
      <c r="A65" s="14" t="s">
        <v>60</v>
      </c>
      <c r="J65" s="9"/>
      <c r="K65" s="6">
        <v>57971</v>
      </c>
      <c r="M65" s="6">
        <v>3706094373</v>
      </c>
      <c r="O65" s="6">
        <v>2934034335</v>
      </c>
      <c r="Q65" s="6">
        <v>772060038</v>
      </c>
    </row>
    <row r="66" spans="1:17" ht="21" x14ac:dyDescent="0.55000000000000004">
      <c r="A66" s="14" t="s">
        <v>62</v>
      </c>
      <c r="C66" s="6">
        <v>154899</v>
      </c>
      <c r="E66" s="6">
        <v>6931601047</v>
      </c>
      <c r="G66" s="6">
        <v>5119519420</v>
      </c>
      <c r="I66" s="6">
        <v>1812081627</v>
      </c>
      <c r="K66" s="6">
        <v>154899</v>
      </c>
      <c r="M66" s="6">
        <v>6931601047</v>
      </c>
      <c r="O66" s="6">
        <v>5119519420</v>
      </c>
      <c r="Q66" s="6">
        <v>1812081627</v>
      </c>
    </row>
    <row r="67" spans="1:17" ht="21" x14ac:dyDescent="0.55000000000000004">
      <c r="A67" s="14" t="s">
        <v>64</v>
      </c>
      <c r="J67" s="9"/>
      <c r="K67" s="6">
        <v>20000</v>
      </c>
      <c r="M67" s="6">
        <v>4904535772</v>
      </c>
      <c r="O67" s="6">
        <v>4125772382</v>
      </c>
      <c r="Q67" s="6">
        <v>778763390</v>
      </c>
    </row>
    <row r="68" spans="1:17" ht="21" x14ac:dyDescent="0.55000000000000004">
      <c r="A68" s="14" t="s">
        <v>65</v>
      </c>
      <c r="C68" s="6">
        <v>118099</v>
      </c>
      <c r="E68" s="6">
        <v>2054337041</v>
      </c>
      <c r="G68" s="6">
        <v>2304445445</v>
      </c>
      <c r="I68" s="6">
        <v>-250108404</v>
      </c>
      <c r="K68" s="6">
        <v>418099</v>
      </c>
      <c r="M68" s="6">
        <v>7300241880</v>
      </c>
      <c r="O68" s="6">
        <v>8096697998</v>
      </c>
      <c r="Q68" s="6">
        <v>-796456118</v>
      </c>
    </row>
    <row r="69" spans="1:17" ht="21" x14ac:dyDescent="0.55000000000000004">
      <c r="A69" s="14" t="s">
        <v>66</v>
      </c>
      <c r="J69" s="9"/>
      <c r="K69" s="6">
        <v>310000</v>
      </c>
      <c r="M69" s="6">
        <v>10283746872</v>
      </c>
      <c r="O69" s="6">
        <v>9634613371</v>
      </c>
      <c r="Q69" s="6">
        <v>649133501</v>
      </c>
    </row>
    <row r="70" spans="1:17" ht="21" x14ac:dyDescent="0.55000000000000004">
      <c r="A70" s="14" t="s">
        <v>67</v>
      </c>
      <c r="C70" s="6">
        <v>1600000</v>
      </c>
      <c r="E70" s="6">
        <v>11515075234</v>
      </c>
      <c r="G70" s="6">
        <v>8281095234</v>
      </c>
      <c r="I70" s="6">
        <v>3233980000</v>
      </c>
      <c r="K70" s="6">
        <v>1600000</v>
      </c>
      <c r="M70" s="6">
        <v>11515075234</v>
      </c>
      <c r="O70" s="6">
        <v>8281095234</v>
      </c>
      <c r="Q70" s="6">
        <v>3233980000</v>
      </c>
    </row>
    <row r="71" spans="1:17" ht="21" x14ac:dyDescent="0.55000000000000004">
      <c r="A71" s="14" t="s">
        <v>68</v>
      </c>
      <c r="C71" s="6">
        <v>100000</v>
      </c>
      <c r="E71" s="6">
        <v>3094180615</v>
      </c>
      <c r="G71" s="6">
        <v>2533845915</v>
      </c>
      <c r="I71" s="6">
        <v>560334700</v>
      </c>
      <c r="K71" s="6">
        <v>100000</v>
      </c>
      <c r="M71" s="6">
        <v>3094180615</v>
      </c>
      <c r="O71" s="6">
        <v>2533845915</v>
      </c>
      <c r="Q71" s="6">
        <v>560334700</v>
      </c>
    </row>
    <row r="72" spans="1:17" ht="21" x14ac:dyDescent="0.55000000000000004">
      <c r="A72" s="14" t="s">
        <v>70</v>
      </c>
      <c r="C72" s="6">
        <v>800000</v>
      </c>
      <c r="E72" s="6">
        <v>2051719212</v>
      </c>
      <c r="G72" s="6">
        <v>2483953183</v>
      </c>
      <c r="I72" s="6">
        <v>-432233971</v>
      </c>
      <c r="K72" s="6">
        <v>904441</v>
      </c>
      <c r="M72" s="6">
        <v>1483381171</v>
      </c>
      <c r="O72" s="6">
        <v>3110157143</v>
      </c>
      <c r="Q72" s="6">
        <v>-1626775972</v>
      </c>
    </row>
    <row r="73" spans="1:17" ht="21" x14ac:dyDescent="0.55000000000000004">
      <c r="A73" s="14" t="s">
        <v>71</v>
      </c>
      <c r="C73" s="6">
        <v>3550000</v>
      </c>
      <c r="E73" s="6">
        <v>12949938069</v>
      </c>
      <c r="G73" s="6">
        <v>15446070222</v>
      </c>
      <c r="I73" s="6">
        <v>-2496132153</v>
      </c>
      <c r="K73" s="6">
        <v>3550000</v>
      </c>
      <c r="M73" s="6">
        <v>12949938069</v>
      </c>
      <c r="O73" s="6">
        <v>15446070222</v>
      </c>
      <c r="Q73" s="6">
        <v>-2496132153</v>
      </c>
    </row>
    <row r="74" spans="1:17" ht="21" x14ac:dyDescent="0.55000000000000004">
      <c r="A74" s="14" t="s">
        <v>72</v>
      </c>
      <c r="C74" s="6">
        <v>2000000</v>
      </c>
      <c r="E74" s="6">
        <v>8747640031</v>
      </c>
      <c r="G74" s="6">
        <v>10945036105</v>
      </c>
      <c r="I74" s="6">
        <v>-2197396074</v>
      </c>
      <c r="K74" s="6">
        <v>4400000</v>
      </c>
      <c r="M74" s="6">
        <v>22370101322</v>
      </c>
      <c r="O74" s="6">
        <v>23887172128</v>
      </c>
      <c r="Q74" s="6">
        <v>-1517070806</v>
      </c>
    </row>
    <row r="75" spans="1:17" ht="21" x14ac:dyDescent="0.55000000000000004">
      <c r="A75" s="14" t="s">
        <v>73</v>
      </c>
      <c r="C75" s="6">
        <v>1510221</v>
      </c>
      <c r="E75" s="6">
        <v>3179616145</v>
      </c>
      <c r="G75" s="6">
        <v>4914573542</v>
      </c>
      <c r="I75" s="6">
        <v>-1734957397</v>
      </c>
      <c r="K75" s="6">
        <v>1403444</v>
      </c>
      <c r="M75" s="6">
        <v>1452292363</v>
      </c>
      <c r="O75" s="6">
        <v>3350952897</v>
      </c>
      <c r="Q75" s="6">
        <v>-1898660534</v>
      </c>
    </row>
    <row r="76" spans="1:17" ht="21" x14ac:dyDescent="0.55000000000000004">
      <c r="A76" s="14" t="s">
        <v>265</v>
      </c>
      <c r="C76" s="6"/>
      <c r="E76" s="6"/>
      <c r="G76" s="6"/>
      <c r="I76" s="6">
        <v>39994850</v>
      </c>
      <c r="K76" s="6"/>
      <c r="M76" s="6"/>
      <c r="O76" s="6"/>
      <c r="Q76" s="6">
        <v>39994850</v>
      </c>
    </row>
    <row r="77" spans="1:17" ht="21" x14ac:dyDescent="0.55000000000000004">
      <c r="A77" s="14" t="s">
        <v>186</v>
      </c>
      <c r="C77" s="6"/>
      <c r="E77" s="6"/>
      <c r="G77" s="6"/>
      <c r="I77" s="6">
        <v>0</v>
      </c>
      <c r="K77" s="6"/>
      <c r="M77" s="6"/>
      <c r="O77" s="6"/>
      <c r="Q77" s="6">
        <v>165978980</v>
      </c>
    </row>
    <row r="78" spans="1:17" ht="21" x14ac:dyDescent="0.55000000000000004">
      <c r="A78" s="14" t="s">
        <v>187</v>
      </c>
      <c r="C78" s="6"/>
      <c r="E78" s="6"/>
      <c r="G78" s="6"/>
      <c r="I78" s="6">
        <v>0</v>
      </c>
      <c r="K78" s="6"/>
      <c r="M78" s="6"/>
      <c r="O78" s="6"/>
      <c r="Q78" s="6">
        <v>153286869</v>
      </c>
    </row>
    <row r="79" spans="1:17" ht="21" x14ac:dyDescent="0.55000000000000004">
      <c r="A79" s="14" t="s">
        <v>188</v>
      </c>
      <c r="C79" s="6"/>
      <c r="E79" s="6"/>
      <c r="G79" s="6"/>
      <c r="I79" s="6">
        <v>0</v>
      </c>
      <c r="K79" s="6"/>
      <c r="M79" s="6"/>
      <c r="O79" s="6"/>
      <c r="Q79" s="6">
        <v>643341293</v>
      </c>
    </row>
    <row r="80" spans="1:17" ht="21" x14ac:dyDescent="0.55000000000000004">
      <c r="A80" s="14" t="s">
        <v>189</v>
      </c>
      <c r="C80" s="6"/>
      <c r="E80" s="6"/>
      <c r="G80" s="6"/>
      <c r="I80" s="6">
        <v>0</v>
      </c>
      <c r="K80" s="6"/>
      <c r="M80" s="6"/>
      <c r="O80" s="6"/>
      <c r="Q80" s="6">
        <v>-987077134</v>
      </c>
    </row>
    <row r="81" spans="1:17" ht="21" x14ac:dyDescent="0.55000000000000004">
      <c r="A81" s="14" t="s">
        <v>190</v>
      </c>
      <c r="C81" s="6"/>
      <c r="E81" s="6"/>
      <c r="G81" s="6"/>
      <c r="I81" s="6">
        <v>0</v>
      </c>
      <c r="K81" s="6"/>
      <c r="M81" s="6"/>
      <c r="O81" s="6"/>
      <c r="Q81" s="6">
        <v>17872710</v>
      </c>
    </row>
    <row r="82" spans="1:17" ht="21" x14ac:dyDescent="0.55000000000000004">
      <c r="A82" s="14" t="s">
        <v>191</v>
      </c>
      <c r="C82" s="6"/>
      <c r="E82" s="6"/>
      <c r="G82" s="6"/>
      <c r="I82" s="6">
        <v>0</v>
      </c>
      <c r="K82" s="6"/>
      <c r="M82" s="6"/>
      <c r="O82" s="6"/>
      <c r="Q82" s="6">
        <v>-2600103280</v>
      </c>
    </row>
    <row r="83" spans="1:17" ht="21" x14ac:dyDescent="0.55000000000000004">
      <c r="A83" s="14" t="s">
        <v>192</v>
      </c>
      <c r="C83" s="6"/>
      <c r="E83" s="6"/>
      <c r="G83" s="6"/>
      <c r="I83" s="6">
        <v>0</v>
      </c>
      <c r="K83" s="6"/>
      <c r="M83" s="6"/>
      <c r="O83" s="6"/>
      <c r="Q83" s="6">
        <v>652987649</v>
      </c>
    </row>
    <row r="84" spans="1:17" ht="21" x14ac:dyDescent="0.55000000000000004">
      <c r="A84" s="14" t="s">
        <v>193</v>
      </c>
      <c r="C84" s="6"/>
      <c r="E84" s="6"/>
      <c r="G84" s="6"/>
      <c r="I84" s="6">
        <v>0</v>
      </c>
      <c r="K84" s="6"/>
      <c r="M84" s="6"/>
      <c r="O84" s="6"/>
      <c r="Q84" s="6">
        <v>-143352748</v>
      </c>
    </row>
    <row r="85" spans="1:17" ht="21" x14ac:dyDescent="0.55000000000000004">
      <c r="A85" s="14" t="s">
        <v>194</v>
      </c>
      <c r="C85" s="6"/>
      <c r="E85" s="6"/>
      <c r="G85" s="6"/>
      <c r="I85" s="6">
        <v>0</v>
      </c>
      <c r="K85" s="6"/>
      <c r="M85" s="6"/>
      <c r="O85" s="6"/>
      <c r="Q85" s="6">
        <v>330679973</v>
      </c>
    </row>
    <row r="86" spans="1:17" ht="21" x14ac:dyDescent="0.55000000000000004">
      <c r="A86" s="14" t="s">
        <v>272</v>
      </c>
      <c r="C86" s="6"/>
      <c r="E86" s="6"/>
      <c r="G86" s="6"/>
      <c r="I86" s="6">
        <v>0</v>
      </c>
      <c r="K86" s="6"/>
      <c r="M86" s="6"/>
      <c r="O86" s="6"/>
      <c r="Q86" s="6">
        <v>152611430</v>
      </c>
    </row>
    <row r="87" spans="1:17" ht="21" x14ac:dyDescent="0.55000000000000004">
      <c r="A87" s="14" t="s">
        <v>195</v>
      </c>
      <c r="C87" s="6"/>
      <c r="E87" s="6"/>
      <c r="G87" s="6"/>
      <c r="I87" s="6">
        <v>0</v>
      </c>
      <c r="K87" s="6"/>
      <c r="M87" s="6"/>
      <c r="O87" s="6"/>
      <c r="Q87" s="6">
        <v>486645713</v>
      </c>
    </row>
    <row r="88" spans="1:17" ht="21" x14ac:dyDescent="0.55000000000000004">
      <c r="A88" s="14" t="s">
        <v>196</v>
      </c>
      <c r="C88" s="6"/>
      <c r="E88" s="6"/>
      <c r="G88" s="6"/>
      <c r="I88" s="6">
        <v>0</v>
      </c>
      <c r="K88" s="6"/>
      <c r="M88" s="6"/>
      <c r="O88" s="6"/>
      <c r="Q88" s="6">
        <v>450982632</v>
      </c>
    </row>
    <row r="89" spans="1:17" ht="21" x14ac:dyDescent="0.55000000000000004">
      <c r="A89" s="14" t="s">
        <v>197</v>
      </c>
      <c r="C89" s="6"/>
      <c r="E89" s="6"/>
      <c r="G89" s="6"/>
      <c r="I89" s="6">
        <v>0</v>
      </c>
      <c r="K89" s="6"/>
      <c r="M89" s="6"/>
      <c r="O89" s="6"/>
      <c r="Q89" s="6">
        <v>815842743</v>
      </c>
    </row>
    <row r="90" spans="1:17" ht="21" x14ac:dyDescent="0.55000000000000004">
      <c r="A90" s="14" t="s">
        <v>198</v>
      </c>
      <c r="C90" s="6"/>
      <c r="E90" s="6"/>
      <c r="G90" s="6"/>
      <c r="I90" s="6">
        <v>0</v>
      </c>
      <c r="K90" s="6"/>
      <c r="M90" s="6"/>
      <c r="O90" s="6"/>
      <c r="Q90" s="6">
        <v>836739081</v>
      </c>
    </row>
    <row r="91" spans="1:17" ht="21" x14ac:dyDescent="0.55000000000000004">
      <c r="A91" s="14" t="s">
        <v>199</v>
      </c>
      <c r="C91" s="6"/>
      <c r="E91" s="6"/>
      <c r="G91" s="6"/>
      <c r="I91" s="6">
        <v>0</v>
      </c>
      <c r="K91" s="6"/>
      <c r="M91" s="6"/>
      <c r="O91" s="6"/>
      <c r="Q91" s="6">
        <v>798978106</v>
      </c>
    </row>
    <row r="92" spans="1:17" ht="21" x14ac:dyDescent="0.55000000000000004">
      <c r="A92" s="14" t="s">
        <v>200</v>
      </c>
      <c r="C92" s="6"/>
      <c r="E92" s="6"/>
      <c r="G92" s="6"/>
      <c r="I92" s="6">
        <v>0</v>
      </c>
      <c r="K92" s="6"/>
      <c r="M92" s="6"/>
      <c r="O92" s="6"/>
      <c r="Q92" s="6">
        <v>416670792</v>
      </c>
    </row>
    <row r="93" spans="1:17" ht="21" x14ac:dyDescent="0.55000000000000004">
      <c r="A93" s="14" t="s">
        <v>273</v>
      </c>
      <c r="C93" s="6"/>
      <c r="E93" s="6"/>
      <c r="G93" s="6"/>
      <c r="I93" s="6">
        <v>0</v>
      </c>
      <c r="K93" s="6"/>
      <c r="M93" s="6"/>
      <c r="O93" s="6"/>
      <c r="Q93" s="6">
        <v>190746694</v>
      </c>
    </row>
    <row r="94" spans="1:17" ht="21" x14ac:dyDescent="0.55000000000000004">
      <c r="A94" s="14" t="s">
        <v>201</v>
      </c>
      <c r="C94" s="6"/>
      <c r="E94" s="6"/>
      <c r="G94" s="6"/>
      <c r="I94" s="6">
        <v>65085425</v>
      </c>
      <c r="K94" s="6"/>
      <c r="M94" s="6"/>
      <c r="O94" s="6"/>
      <c r="Q94" s="6">
        <v>65085425</v>
      </c>
    </row>
    <row r="95" spans="1:17" ht="21" x14ac:dyDescent="0.55000000000000004">
      <c r="A95" s="14" t="s">
        <v>202</v>
      </c>
      <c r="C95" s="6"/>
      <c r="E95" s="6"/>
      <c r="G95" s="6"/>
      <c r="I95" s="6">
        <v>0</v>
      </c>
      <c r="K95" s="6"/>
      <c r="M95" s="6"/>
      <c r="O95" s="6"/>
      <c r="Q95" s="6">
        <v>299720319</v>
      </c>
    </row>
    <row r="96" spans="1:17" ht="21" x14ac:dyDescent="0.55000000000000004">
      <c r="A96" s="14" t="s">
        <v>203</v>
      </c>
      <c r="C96" s="6"/>
      <c r="E96" s="6"/>
      <c r="G96" s="6"/>
      <c r="I96" s="6">
        <v>0</v>
      </c>
      <c r="K96" s="6"/>
      <c r="M96" s="6"/>
      <c r="O96" s="6"/>
      <c r="Q96" s="6">
        <v>2313123597</v>
      </c>
    </row>
    <row r="97" spans="1:17" ht="21" x14ac:dyDescent="0.55000000000000004">
      <c r="A97" s="14" t="s">
        <v>204</v>
      </c>
      <c r="C97" s="6"/>
      <c r="E97" s="6"/>
      <c r="G97" s="6"/>
      <c r="I97" s="6">
        <v>0</v>
      </c>
      <c r="K97" s="6"/>
      <c r="M97" s="6"/>
      <c r="O97" s="6"/>
      <c r="Q97" s="6">
        <v>2539867414</v>
      </c>
    </row>
    <row r="98" spans="1:17" ht="21" x14ac:dyDescent="0.55000000000000004">
      <c r="A98" s="14" t="s">
        <v>205</v>
      </c>
      <c r="C98" s="6"/>
      <c r="E98" s="6"/>
      <c r="G98" s="6"/>
      <c r="I98" s="6">
        <v>0</v>
      </c>
      <c r="K98" s="6"/>
      <c r="M98" s="6"/>
      <c r="O98" s="6"/>
      <c r="Q98" s="6">
        <v>-1633923532</v>
      </c>
    </row>
    <row r="99" spans="1:17" ht="21" x14ac:dyDescent="0.55000000000000004">
      <c r="A99" s="14" t="s">
        <v>206</v>
      </c>
      <c r="C99" s="6"/>
      <c r="E99" s="6"/>
      <c r="G99" s="6"/>
      <c r="I99" s="6">
        <v>0</v>
      </c>
      <c r="K99" s="6"/>
      <c r="M99" s="6"/>
      <c r="O99" s="6"/>
      <c r="Q99" s="6">
        <v>288880900</v>
      </c>
    </row>
    <row r="100" spans="1:17" ht="21" x14ac:dyDescent="0.55000000000000004">
      <c r="A100" s="14" t="s">
        <v>207</v>
      </c>
      <c r="C100" s="6"/>
      <c r="E100" s="6"/>
      <c r="G100" s="6"/>
      <c r="I100" s="6">
        <v>0</v>
      </c>
      <c r="K100" s="6"/>
      <c r="M100" s="6"/>
      <c r="O100" s="6"/>
      <c r="Q100" s="6">
        <v>64568918</v>
      </c>
    </row>
    <row r="101" spans="1:17" ht="21" x14ac:dyDescent="0.55000000000000004">
      <c r="A101" s="14" t="s">
        <v>208</v>
      </c>
      <c r="C101" s="6"/>
      <c r="E101" s="6"/>
      <c r="G101" s="6"/>
      <c r="I101" s="6">
        <v>76234671</v>
      </c>
      <c r="K101" s="6"/>
      <c r="M101" s="6"/>
      <c r="O101" s="6"/>
      <c r="Q101" s="6">
        <v>76234671</v>
      </c>
    </row>
    <row r="102" spans="1:17" ht="21" x14ac:dyDescent="0.55000000000000004">
      <c r="A102" s="14" t="s">
        <v>209</v>
      </c>
      <c r="C102" s="6"/>
      <c r="E102" s="6"/>
      <c r="G102" s="6"/>
      <c r="I102" s="6">
        <v>0</v>
      </c>
      <c r="K102" s="6"/>
      <c r="M102" s="6"/>
      <c r="O102" s="6"/>
      <c r="Q102" s="6">
        <v>818500907</v>
      </c>
    </row>
    <row r="103" spans="1:17" ht="21" x14ac:dyDescent="0.55000000000000004">
      <c r="A103" s="14" t="s">
        <v>210</v>
      </c>
      <c r="C103" s="6"/>
      <c r="E103" s="6"/>
      <c r="G103" s="6"/>
      <c r="I103" s="6">
        <v>379994939</v>
      </c>
      <c r="K103" s="6"/>
      <c r="M103" s="6"/>
      <c r="O103" s="6"/>
      <c r="Q103" s="6">
        <v>379994939</v>
      </c>
    </row>
    <row r="104" spans="1:17" ht="21" x14ac:dyDescent="0.55000000000000004">
      <c r="A104" s="14" t="s">
        <v>211</v>
      </c>
      <c r="C104" s="6"/>
      <c r="E104" s="6"/>
      <c r="G104" s="6"/>
      <c r="I104" s="6">
        <v>0</v>
      </c>
      <c r="K104" s="6"/>
      <c r="M104" s="6"/>
      <c r="O104" s="6"/>
      <c r="Q104" s="6">
        <v>103932028</v>
      </c>
    </row>
    <row r="105" spans="1:17" ht="21" x14ac:dyDescent="0.55000000000000004">
      <c r="A105" s="14" t="s">
        <v>212</v>
      </c>
      <c r="C105" s="6"/>
      <c r="E105" s="6"/>
      <c r="G105" s="6"/>
      <c r="I105" s="6">
        <v>0</v>
      </c>
      <c r="K105" s="6"/>
      <c r="M105" s="6"/>
      <c r="O105" s="6"/>
      <c r="Q105" s="6">
        <v>853398759</v>
      </c>
    </row>
    <row r="106" spans="1:17" ht="21" x14ac:dyDescent="0.55000000000000004">
      <c r="A106" s="14" t="s">
        <v>213</v>
      </c>
      <c r="C106" s="6"/>
      <c r="E106" s="6"/>
      <c r="G106" s="6"/>
      <c r="I106" s="6">
        <v>0</v>
      </c>
      <c r="K106" s="6"/>
      <c r="M106" s="6"/>
      <c r="O106" s="6"/>
      <c r="Q106" s="6">
        <v>130771169</v>
      </c>
    </row>
    <row r="107" spans="1:17" ht="21" x14ac:dyDescent="0.55000000000000004">
      <c r="A107" s="14" t="s">
        <v>274</v>
      </c>
      <c r="C107" s="6"/>
      <c r="E107" s="6"/>
      <c r="G107" s="6"/>
      <c r="I107" s="6">
        <v>0</v>
      </c>
      <c r="K107" s="6"/>
      <c r="M107" s="6"/>
      <c r="O107" s="6"/>
      <c r="Q107" s="6">
        <v>41960571</v>
      </c>
    </row>
    <row r="108" spans="1:17" ht="21" x14ac:dyDescent="0.55000000000000004">
      <c r="A108" s="14" t="s">
        <v>214</v>
      </c>
      <c r="C108" s="6"/>
      <c r="E108" s="6"/>
      <c r="G108" s="6"/>
      <c r="I108" s="6">
        <v>0</v>
      </c>
      <c r="K108" s="6"/>
      <c r="M108" s="6"/>
      <c r="O108" s="6"/>
      <c r="Q108" s="6">
        <v>478416987</v>
      </c>
    </row>
    <row r="109" spans="1:17" ht="21" x14ac:dyDescent="0.55000000000000004">
      <c r="A109" s="14" t="s">
        <v>275</v>
      </c>
      <c r="C109" s="6"/>
      <c r="E109" s="6"/>
      <c r="G109" s="6"/>
      <c r="I109" s="6">
        <v>0</v>
      </c>
      <c r="K109" s="6"/>
      <c r="M109" s="6"/>
      <c r="O109" s="6"/>
      <c r="Q109" s="6">
        <v>1377570353</v>
      </c>
    </row>
    <row r="110" spans="1:17" ht="21" x14ac:dyDescent="0.55000000000000004">
      <c r="A110" s="14" t="s">
        <v>215</v>
      </c>
      <c r="C110" s="6"/>
      <c r="E110" s="6"/>
      <c r="G110" s="6"/>
      <c r="I110" s="6">
        <v>0</v>
      </c>
      <c r="K110" s="6"/>
      <c r="M110" s="6"/>
      <c r="O110" s="6"/>
      <c r="Q110" s="6">
        <v>429981911</v>
      </c>
    </row>
    <row r="111" spans="1:17" ht="21" x14ac:dyDescent="0.55000000000000004">
      <c r="A111" s="14" t="s">
        <v>276</v>
      </c>
      <c r="C111" s="6"/>
      <c r="E111" s="6"/>
      <c r="G111" s="6"/>
      <c r="I111" s="6">
        <v>0</v>
      </c>
      <c r="K111" s="6"/>
      <c r="M111" s="6"/>
      <c r="O111" s="6"/>
      <c r="Q111" s="6">
        <v>37185668</v>
      </c>
    </row>
    <row r="112" spans="1:17" ht="21" x14ac:dyDescent="0.55000000000000004">
      <c r="A112" s="14" t="s">
        <v>216</v>
      </c>
      <c r="C112" s="6"/>
      <c r="E112" s="6"/>
      <c r="G112" s="6"/>
      <c r="I112" s="6">
        <v>82079944</v>
      </c>
      <c r="K112" s="6"/>
      <c r="M112" s="6"/>
      <c r="O112" s="6"/>
      <c r="Q112" s="6">
        <v>82079944</v>
      </c>
    </row>
    <row r="113" spans="1:17" ht="21" x14ac:dyDescent="0.55000000000000004">
      <c r="A113" s="14" t="s">
        <v>217</v>
      </c>
      <c r="C113" s="6"/>
      <c r="E113" s="6"/>
      <c r="G113" s="6"/>
      <c r="I113" s="6">
        <v>0</v>
      </c>
      <c r="K113" s="6"/>
      <c r="M113" s="6"/>
      <c r="O113" s="6"/>
      <c r="Q113" s="6">
        <v>407621359</v>
      </c>
    </row>
    <row r="114" spans="1:17" ht="21" x14ac:dyDescent="0.55000000000000004">
      <c r="A114" s="14" t="s">
        <v>218</v>
      </c>
      <c r="C114" s="6"/>
      <c r="E114" s="6"/>
      <c r="G114" s="6"/>
      <c r="I114" s="6">
        <v>0</v>
      </c>
      <c r="K114" s="6"/>
      <c r="M114" s="6"/>
      <c r="O114" s="6"/>
      <c r="Q114" s="6">
        <v>278569994</v>
      </c>
    </row>
    <row r="115" spans="1:17" ht="21" x14ac:dyDescent="0.55000000000000004">
      <c r="A115" s="14" t="s">
        <v>219</v>
      </c>
      <c r="C115" s="6"/>
      <c r="E115" s="6"/>
      <c r="G115" s="6"/>
      <c r="I115" s="6">
        <v>0</v>
      </c>
      <c r="K115" s="6"/>
      <c r="M115" s="6"/>
      <c r="O115" s="6"/>
      <c r="Q115" s="6">
        <v>67514952</v>
      </c>
    </row>
    <row r="116" spans="1:17" ht="21" x14ac:dyDescent="0.55000000000000004">
      <c r="A116" s="14" t="s">
        <v>220</v>
      </c>
      <c r="C116" s="6"/>
      <c r="E116" s="6"/>
      <c r="G116" s="6"/>
      <c r="I116" s="6">
        <v>0</v>
      </c>
      <c r="K116" s="6"/>
      <c r="M116" s="6"/>
      <c r="O116" s="6"/>
      <c r="Q116" s="6">
        <v>1596292</v>
      </c>
    </row>
    <row r="117" spans="1:17" ht="21" x14ac:dyDescent="0.55000000000000004">
      <c r="A117" s="14" t="s">
        <v>221</v>
      </c>
      <c r="C117" s="6"/>
      <c r="E117" s="6"/>
      <c r="G117" s="6"/>
      <c r="I117" s="6">
        <v>0</v>
      </c>
      <c r="K117" s="6"/>
      <c r="M117" s="6"/>
      <c r="O117" s="6"/>
      <c r="Q117" s="6">
        <v>718657381</v>
      </c>
    </row>
    <row r="118" spans="1:17" ht="21" x14ac:dyDescent="0.55000000000000004">
      <c r="A118" s="14" t="s">
        <v>222</v>
      </c>
      <c r="C118" s="6"/>
      <c r="E118" s="6"/>
      <c r="G118" s="6"/>
      <c r="I118" s="6">
        <v>0</v>
      </c>
      <c r="K118" s="6"/>
      <c r="M118" s="6"/>
      <c r="O118" s="6"/>
      <c r="Q118" s="6">
        <v>1027103692</v>
      </c>
    </row>
    <row r="119" spans="1:17" ht="21" x14ac:dyDescent="0.55000000000000004">
      <c r="A119" s="14" t="s">
        <v>223</v>
      </c>
      <c r="C119" s="6"/>
      <c r="E119" s="6"/>
      <c r="G119" s="6"/>
      <c r="I119" s="6">
        <v>0</v>
      </c>
      <c r="K119" s="6"/>
      <c r="M119" s="6"/>
      <c r="O119" s="6"/>
      <c r="Q119" s="6">
        <v>394213597</v>
      </c>
    </row>
    <row r="120" spans="1:17" ht="21" x14ac:dyDescent="0.55000000000000004">
      <c r="A120" s="14" t="s">
        <v>224</v>
      </c>
      <c r="C120" s="6"/>
      <c r="E120" s="6"/>
      <c r="G120" s="6"/>
      <c r="I120" s="6">
        <v>0</v>
      </c>
      <c r="K120" s="6"/>
      <c r="M120" s="6"/>
      <c r="O120" s="6"/>
      <c r="Q120" s="6">
        <v>-207613744</v>
      </c>
    </row>
    <row r="121" spans="1:17" ht="21" x14ac:dyDescent="0.55000000000000004">
      <c r="A121" s="14" t="s">
        <v>225</v>
      </c>
      <c r="C121" s="6"/>
      <c r="E121" s="6"/>
      <c r="G121" s="6"/>
      <c r="I121" s="6">
        <v>542264460</v>
      </c>
      <c r="K121" s="6"/>
      <c r="M121" s="6"/>
      <c r="O121" s="6"/>
      <c r="Q121" s="6">
        <v>542264460</v>
      </c>
    </row>
    <row r="122" spans="1:17" ht="21" x14ac:dyDescent="0.55000000000000004">
      <c r="A122" s="14" t="s">
        <v>226</v>
      </c>
      <c r="C122" s="6"/>
      <c r="E122" s="6"/>
      <c r="G122" s="6"/>
      <c r="I122" s="6">
        <v>0</v>
      </c>
      <c r="K122" s="6"/>
      <c r="M122" s="6"/>
      <c r="O122" s="6"/>
      <c r="Q122" s="6">
        <v>762470285</v>
      </c>
    </row>
    <row r="123" spans="1:17" ht="21" x14ac:dyDescent="0.55000000000000004">
      <c r="A123" s="14" t="s">
        <v>266</v>
      </c>
      <c r="C123" s="6"/>
      <c r="E123" s="6"/>
      <c r="G123" s="6"/>
      <c r="I123" s="6">
        <v>134416530</v>
      </c>
      <c r="K123" s="6"/>
      <c r="M123" s="6"/>
      <c r="O123" s="6"/>
      <c r="Q123" s="6">
        <v>134416530</v>
      </c>
    </row>
    <row r="124" spans="1:17" ht="21" x14ac:dyDescent="0.55000000000000004">
      <c r="A124" s="14" t="s">
        <v>227</v>
      </c>
      <c r="C124" s="6"/>
      <c r="E124" s="6"/>
      <c r="G124" s="6"/>
      <c r="I124" s="6">
        <v>0</v>
      </c>
      <c r="K124" s="6"/>
      <c r="M124" s="6"/>
      <c r="O124" s="6"/>
      <c r="Q124" s="6">
        <v>292147825</v>
      </c>
    </row>
    <row r="125" spans="1:17" ht="21" x14ac:dyDescent="0.55000000000000004">
      <c r="A125" s="14" t="s">
        <v>229</v>
      </c>
      <c r="C125" s="6"/>
      <c r="E125" s="6"/>
      <c r="G125" s="6"/>
      <c r="I125" s="6">
        <v>0</v>
      </c>
      <c r="K125" s="6"/>
      <c r="M125" s="6"/>
      <c r="O125" s="6"/>
      <c r="Q125" s="6">
        <v>246240351</v>
      </c>
    </row>
    <row r="126" spans="1:17" ht="21" x14ac:dyDescent="0.55000000000000004">
      <c r="A126" s="14" t="s">
        <v>231</v>
      </c>
      <c r="C126" s="6"/>
      <c r="E126" s="6"/>
      <c r="G126" s="6"/>
      <c r="I126" s="6">
        <v>0</v>
      </c>
      <c r="K126" s="6"/>
      <c r="M126" s="6"/>
      <c r="O126" s="6"/>
      <c r="Q126" s="6">
        <v>903156644</v>
      </c>
    </row>
    <row r="127" spans="1:17" ht="21" x14ac:dyDescent="0.55000000000000004">
      <c r="A127" s="14" t="s">
        <v>232</v>
      </c>
      <c r="C127" s="6"/>
      <c r="E127" s="6"/>
      <c r="G127" s="6"/>
      <c r="I127" s="6">
        <v>0</v>
      </c>
      <c r="K127" s="6"/>
      <c r="M127" s="6"/>
      <c r="O127" s="6"/>
      <c r="Q127" s="6">
        <v>1500319978</v>
      </c>
    </row>
    <row r="128" spans="1:17" ht="21" x14ac:dyDescent="0.55000000000000004">
      <c r="A128" s="14" t="s">
        <v>233</v>
      </c>
      <c r="C128" s="6"/>
      <c r="E128" s="6"/>
      <c r="G128" s="6"/>
      <c r="I128" s="6">
        <v>50435522</v>
      </c>
      <c r="K128" s="6"/>
      <c r="M128" s="6"/>
      <c r="O128" s="6"/>
      <c r="Q128" s="6">
        <v>50435522</v>
      </c>
    </row>
    <row r="129" spans="1:17" ht="21" x14ac:dyDescent="0.55000000000000004">
      <c r="A129" s="14" t="s">
        <v>234</v>
      </c>
      <c r="C129" s="6"/>
      <c r="E129" s="6"/>
      <c r="G129" s="6"/>
      <c r="I129" s="6">
        <v>0</v>
      </c>
      <c r="K129" s="6"/>
      <c r="M129" s="6"/>
      <c r="O129" s="6"/>
      <c r="Q129" s="6">
        <v>365668940</v>
      </c>
    </row>
    <row r="130" spans="1:17" ht="21" x14ac:dyDescent="0.55000000000000004">
      <c r="A130" s="14" t="s">
        <v>235</v>
      </c>
      <c r="C130" s="6"/>
      <c r="E130" s="6"/>
      <c r="G130" s="6"/>
      <c r="I130" s="6">
        <v>0</v>
      </c>
      <c r="K130" s="6"/>
      <c r="M130" s="6"/>
      <c r="O130" s="6"/>
      <c r="Q130" s="6">
        <v>388881313</v>
      </c>
    </row>
    <row r="131" spans="1:17" ht="21" x14ac:dyDescent="0.55000000000000004">
      <c r="A131" s="14" t="s">
        <v>277</v>
      </c>
      <c r="C131" s="6"/>
      <c r="E131" s="6"/>
      <c r="G131" s="6"/>
      <c r="I131" s="6">
        <v>0</v>
      </c>
      <c r="K131" s="6"/>
      <c r="M131" s="6"/>
      <c r="O131" s="6"/>
      <c r="Q131" s="6">
        <v>169892337</v>
      </c>
    </row>
    <row r="132" spans="1:17" ht="21" x14ac:dyDescent="0.55000000000000004">
      <c r="A132" s="14" t="s">
        <v>236</v>
      </c>
      <c r="C132" s="6"/>
      <c r="E132" s="6"/>
      <c r="G132" s="6"/>
      <c r="I132" s="6">
        <v>0</v>
      </c>
      <c r="K132" s="6"/>
      <c r="M132" s="6"/>
      <c r="O132" s="6"/>
      <c r="Q132" s="6">
        <v>-1836545797</v>
      </c>
    </row>
    <row r="133" spans="1:17" ht="21" x14ac:dyDescent="0.55000000000000004">
      <c r="A133" s="14" t="s">
        <v>237</v>
      </c>
      <c r="C133" s="6"/>
      <c r="E133" s="6"/>
      <c r="G133" s="6"/>
      <c r="I133" s="6">
        <v>0</v>
      </c>
      <c r="K133" s="6"/>
      <c r="M133" s="6"/>
      <c r="O133" s="6"/>
      <c r="Q133" s="6">
        <v>27528204</v>
      </c>
    </row>
    <row r="134" spans="1:17" ht="21" x14ac:dyDescent="0.55000000000000004">
      <c r="A134" s="14" t="s">
        <v>238</v>
      </c>
      <c r="C134" s="6"/>
      <c r="E134" s="6"/>
      <c r="G134" s="6"/>
      <c r="I134" s="6">
        <v>0</v>
      </c>
      <c r="K134" s="6"/>
      <c r="M134" s="6"/>
      <c r="O134" s="6"/>
      <c r="Q134" s="6">
        <v>294439966</v>
      </c>
    </row>
    <row r="135" spans="1:17" ht="21" x14ac:dyDescent="0.55000000000000004">
      <c r="A135" s="14" t="s">
        <v>239</v>
      </c>
      <c r="C135" s="6"/>
      <c r="E135" s="6"/>
      <c r="G135" s="6"/>
      <c r="I135" s="6">
        <v>0</v>
      </c>
      <c r="K135" s="6"/>
      <c r="M135" s="6"/>
      <c r="O135" s="6"/>
      <c r="Q135" s="6">
        <v>593579598</v>
      </c>
    </row>
    <row r="136" spans="1:17" ht="21" x14ac:dyDescent="0.55000000000000004">
      <c r="A136" s="14" t="s">
        <v>278</v>
      </c>
      <c r="C136" s="6"/>
      <c r="E136" s="6"/>
      <c r="G136" s="6"/>
      <c r="I136" s="6">
        <v>0</v>
      </c>
      <c r="K136" s="6"/>
      <c r="M136" s="6"/>
      <c r="O136" s="6"/>
      <c r="Q136" s="6">
        <v>-4999124626</v>
      </c>
    </row>
    <row r="137" spans="1:17" ht="21" x14ac:dyDescent="0.55000000000000004">
      <c r="A137" s="14" t="s">
        <v>240</v>
      </c>
      <c r="C137" s="6"/>
      <c r="E137" s="6"/>
      <c r="G137" s="6"/>
      <c r="I137" s="6">
        <v>161556937</v>
      </c>
      <c r="K137" s="6"/>
      <c r="M137" s="6"/>
      <c r="O137" s="6"/>
      <c r="Q137" s="6">
        <v>161556937</v>
      </c>
    </row>
    <row r="138" spans="1:17" ht="21" x14ac:dyDescent="0.55000000000000004">
      <c r="A138" s="14" t="s">
        <v>241</v>
      </c>
      <c r="C138" s="6"/>
      <c r="E138" s="6"/>
      <c r="G138" s="6"/>
      <c r="I138" s="6">
        <v>0</v>
      </c>
      <c r="K138" s="6"/>
      <c r="M138" s="6"/>
      <c r="O138" s="6"/>
      <c r="Q138" s="6">
        <v>139779875</v>
      </c>
    </row>
    <row r="139" spans="1:17" ht="21" x14ac:dyDescent="0.55000000000000004">
      <c r="A139" s="14" t="s">
        <v>242</v>
      </c>
      <c r="C139" s="6"/>
      <c r="E139" s="6"/>
      <c r="G139" s="6"/>
      <c r="I139" s="6">
        <v>0</v>
      </c>
      <c r="K139" s="6"/>
      <c r="M139" s="6"/>
      <c r="O139" s="6"/>
      <c r="Q139" s="6">
        <v>314113740</v>
      </c>
    </row>
    <row r="140" spans="1:17" ht="21" x14ac:dyDescent="0.55000000000000004">
      <c r="A140" s="14" t="s">
        <v>279</v>
      </c>
      <c r="C140" s="6"/>
      <c r="E140" s="6"/>
      <c r="G140" s="6"/>
      <c r="I140" s="6">
        <v>0</v>
      </c>
      <c r="K140" s="6"/>
      <c r="M140" s="6"/>
      <c r="O140" s="6"/>
      <c r="Q140" s="6">
        <v>-1001</v>
      </c>
    </row>
    <row r="141" spans="1:17" ht="21" x14ac:dyDescent="0.55000000000000004">
      <c r="A141" s="14" t="s">
        <v>243</v>
      </c>
      <c r="C141" s="6"/>
      <c r="E141" s="6"/>
      <c r="G141" s="6"/>
      <c r="I141" s="6">
        <v>0</v>
      </c>
      <c r="K141" s="6"/>
      <c r="M141" s="6"/>
      <c r="O141" s="6"/>
      <c r="Q141" s="6">
        <v>2635614794</v>
      </c>
    </row>
    <row r="142" spans="1:17" ht="21" x14ac:dyDescent="0.55000000000000004">
      <c r="A142" s="14" t="s">
        <v>244</v>
      </c>
      <c r="C142" s="6"/>
      <c r="E142" s="6"/>
      <c r="G142" s="6"/>
      <c r="I142" s="6">
        <v>0</v>
      </c>
      <c r="K142" s="6"/>
      <c r="M142" s="6"/>
      <c r="O142" s="6"/>
      <c r="Q142" s="6">
        <v>220595472</v>
      </c>
    </row>
    <row r="143" spans="1:17" ht="21" x14ac:dyDescent="0.55000000000000004">
      <c r="A143" s="14" t="s">
        <v>245</v>
      </c>
      <c r="C143" s="6"/>
      <c r="E143" s="6"/>
      <c r="G143" s="6"/>
      <c r="I143" s="6">
        <v>0</v>
      </c>
      <c r="K143" s="6"/>
      <c r="M143" s="6"/>
      <c r="O143" s="6"/>
      <c r="Q143" s="6">
        <v>769032514</v>
      </c>
    </row>
    <row r="144" spans="1:17" ht="21" x14ac:dyDescent="0.55000000000000004">
      <c r="A144" s="14" t="s">
        <v>280</v>
      </c>
      <c r="C144" s="6"/>
      <c r="E144" s="6"/>
      <c r="G144" s="6"/>
      <c r="I144" s="6">
        <v>0</v>
      </c>
      <c r="K144" s="6"/>
      <c r="M144" s="6"/>
      <c r="O144" s="6"/>
      <c r="Q144" s="6">
        <v>2823802</v>
      </c>
    </row>
    <row r="145" spans="1:17" ht="21" x14ac:dyDescent="0.55000000000000004">
      <c r="A145" s="14" t="s">
        <v>246</v>
      </c>
      <c r="C145" s="6"/>
      <c r="E145" s="6"/>
      <c r="G145" s="6"/>
      <c r="I145" s="6">
        <v>0</v>
      </c>
      <c r="K145" s="6"/>
      <c r="M145" s="6"/>
      <c r="O145" s="6"/>
      <c r="Q145" s="6">
        <v>137838676</v>
      </c>
    </row>
    <row r="146" spans="1:17" ht="21" x14ac:dyDescent="0.55000000000000004">
      <c r="A146" s="14" t="s">
        <v>247</v>
      </c>
      <c r="C146" s="6"/>
      <c r="E146" s="6"/>
      <c r="G146" s="6"/>
      <c r="I146" s="6">
        <v>0</v>
      </c>
      <c r="K146" s="6"/>
      <c r="M146" s="6"/>
      <c r="O146" s="6"/>
      <c r="Q146" s="6">
        <v>1604128594</v>
      </c>
    </row>
    <row r="147" spans="1:17" ht="21" x14ac:dyDescent="0.55000000000000004">
      <c r="A147" s="14" t="s">
        <v>248</v>
      </c>
      <c r="C147" s="6"/>
      <c r="E147" s="6"/>
      <c r="G147" s="6"/>
      <c r="I147" s="6">
        <v>0</v>
      </c>
      <c r="K147" s="6"/>
      <c r="M147" s="6"/>
      <c r="O147" s="6"/>
      <c r="Q147" s="6">
        <v>1173724363</v>
      </c>
    </row>
    <row r="148" spans="1:17" ht="21" x14ac:dyDescent="0.55000000000000004">
      <c r="A148" s="14" t="s">
        <v>249</v>
      </c>
      <c r="C148" s="6"/>
      <c r="E148" s="6"/>
      <c r="G148" s="6"/>
      <c r="I148" s="6">
        <v>0</v>
      </c>
      <c r="K148" s="6"/>
      <c r="M148" s="6"/>
      <c r="O148" s="6"/>
      <c r="Q148" s="6">
        <v>15820222</v>
      </c>
    </row>
    <row r="149" spans="1:17" ht="21" x14ac:dyDescent="0.55000000000000004">
      <c r="A149" s="14" t="s">
        <v>267</v>
      </c>
      <c r="C149" s="6"/>
      <c r="E149" s="6"/>
      <c r="G149" s="6"/>
      <c r="I149" s="6">
        <v>1217020000</v>
      </c>
      <c r="K149" s="6"/>
      <c r="M149" s="6"/>
      <c r="O149" s="6"/>
      <c r="Q149" s="6">
        <v>1217020000</v>
      </c>
    </row>
    <row r="150" spans="1:17" ht="21" x14ac:dyDescent="0.55000000000000004">
      <c r="A150" s="14" t="s">
        <v>250</v>
      </c>
      <c r="C150" s="6"/>
      <c r="E150" s="6"/>
      <c r="G150" s="6"/>
      <c r="I150" s="6">
        <v>0</v>
      </c>
      <c r="K150" s="6"/>
      <c r="M150" s="6"/>
      <c r="O150" s="6"/>
      <c r="Q150" s="6">
        <v>-890035553</v>
      </c>
    </row>
    <row r="151" spans="1:17" ht="21" x14ac:dyDescent="0.55000000000000004">
      <c r="A151" s="14" t="s">
        <v>251</v>
      </c>
      <c r="C151" s="6"/>
      <c r="E151" s="6"/>
      <c r="G151" s="6"/>
      <c r="I151" s="6">
        <v>-13192514</v>
      </c>
      <c r="K151" s="6"/>
      <c r="M151" s="6"/>
      <c r="O151" s="6"/>
      <c r="Q151" s="6">
        <v>-9841314</v>
      </c>
    </row>
    <row r="152" spans="1:17" ht="21" x14ac:dyDescent="0.55000000000000004">
      <c r="A152" s="14" t="s">
        <v>252</v>
      </c>
      <c r="C152" s="6"/>
      <c r="E152" s="6"/>
      <c r="G152" s="6"/>
      <c r="I152" s="6">
        <v>0</v>
      </c>
      <c r="K152" s="6"/>
      <c r="M152" s="6"/>
      <c r="O152" s="6"/>
      <c r="Q152" s="6">
        <v>97524246</v>
      </c>
    </row>
    <row r="153" spans="1:17" ht="21" x14ac:dyDescent="0.55000000000000004">
      <c r="A153" s="14" t="s">
        <v>281</v>
      </c>
      <c r="C153" s="6"/>
      <c r="E153" s="6"/>
      <c r="G153" s="6"/>
      <c r="I153" s="6">
        <v>0</v>
      </c>
      <c r="K153" s="6"/>
      <c r="M153" s="6"/>
      <c r="O153" s="6"/>
      <c r="Q153" s="6">
        <v>228052331</v>
      </c>
    </row>
    <row r="154" spans="1:17" ht="21" x14ac:dyDescent="0.55000000000000004">
      <c r="A154" s="14" t="s">
        <v>253</v>
      </c>
      <c r="C154" s="6"/>
      <c r="E154" s="6"/>
      <c r="G154" s="6"/>
      <c r="I154" s="6">
        <v>0</v>
      </c>
      <c r="K154" s="6"/>
      <c r="M154" s="6"/>
      <c r="O154" s="6"/>
      <c r="Q154" s="6">
        <v>1327034090</v>
      </c>
    </row>
    <row r="155" spans="1:17" ht="21" x14ac:dyDescent="0.55000000000000004">
      <c r="A155" s="14" t="s">
        <v>254</v>
      </c>
      <c r="C155" s="6"/>
      <c r="E155" s="6"/>
      <c r="G155" s="6"/>
      <c r="I155" s="6">
        <v>0</v>
      </c>
      <c r="K155" s="6"/>
      <c r="M155" s="6"/>
      <c r="O155" s="6"/>
      <c r="Q155" s="6">
        <v>315434648</v>
      </c>
    </row>
    <row r="156" spans="1:17" ht="21" x14ac:dyDescent="0.55000000000000004">
      <c r="A156" s="14" t="s">
        <v>255</v>
      </c>
      <c r="C156" s="6"/>
      <c r="E156" s="6"/>
      <c r="G156" s="6"/>
      <c r="I156" s="6">
        <v>0</v>
      </c>
      <c r="K156" s="6"/>
      <c r="M156" s="6"/>
      <c r="O156" s="6"/>
      <c r="Q156" s="6">
        <v>292526296</v>
      </c>
    </row>
    <row r="157" spans="1:17" ht="21" x14ac:dyDescent="0.55000000000000004">
      <c r="A157" s="14" t="s">
        <v>256</v>
      </c>
      <c r="C157" s="6"/>
      <c r="E157" s="6"/>
      <c r="G157" s="6"/>
      <c r="I157" s="6">
        <v>-1296705566</v>
      </c>
      <c r="K157" s="6"/>
      <c r="M157" s="6"/>
      <c r="O157" s="6"/>
      <c r="Q157" s="6">
        <v>-1296705566</v>
      </c>
    </row>
    <row r="158" spans="1:17" ht="21" x14ac:dyDescent="0.55000000000000004">
      <c r="A158" s="14" t="s">
        <v>282</v>
      </c>
      <c r="C158" s="6"/>
      <c r="E158" s="6"/>
      <c r="G158" s="6"/>
      <c r="I158" s="6">
        <v>0</v>
      </c>
      <c r="K158" s="6"/>
      <c r="M158" s="6"/>
      <c r="O158" s="6"/>
      <c r="Q158" s="6">
        <v>39885150</v>
      </c>
    </row>
    <row r="159" spans="1:17" ht="21" x14ac:dyDescent="0.55000000000000004">
      <c r="A159" s="14" t="s">
        <v>257</v>
      </c>
      <c r="C159" s="6"/>
      <c r="E159" s="6"/>
      <c r="G159" s="6"/>
      <c r="I159" s="6">
        <v>0</v>
      </c>
      <c r="K159" s="6"/>
      <c r="M159" s="6"/>
      <c r="O159" s="6"/>
      <c r="Q159" s="6">
        <v>-5922</v>
      </c>
    </row>
    <row r="160" spans="1:17" ht="21" x14ac:dyDescent="0.55000000000000004">
      <c r="A160" s="14" t="s">
        <v>258</v>
      </c>
      <c r="C160" s="6"/>
      <c r="E160" s="6"/>
      <c r="G160" s="6"/>
      <c r="I160" s="6">
        <v>0</v>
      </c>
      <c r="K160" s="6"/>
      <c r="M160" s="6"/>
      <c r="O160" s="6"/>
      <c r="Q160" s="6">
        <v>2056806</v>
      </c>
    </row>
    <row r="161" spans="1:17" ht="21" x14ac:dyDescent="0.55000000000000004">
      <c r="A161" s="14" t="s">
        <v>259</v>
      </c>
      <c r="C161" s="6"/>
      <c r="E161" s="6"/>
      <c r="G161" s="6"/>
      <c r="I161" s="6">
        <v>0</v>
      </c>
      <c r="K161" s="6"/>
      <c r="M161" s="6"/>
      <c r="O161" s="6"/>
      <c r="Q161" s="6">
        <v>798792798</v>
      </c>
    </row>
    <row r="162" spans="1:17" ht="21" x14ac:dyDescent="0.55000000000000004">
      <c r="A162" s="14" t="s">
        <v>260</v>
      </c>
      <c r="C162" s="6"/>
      <c r="E162" s="6"/>
      <c r="G162" s="6"/>
      <c r="I162" s="6">
        <v>0</v>
      </c>
      <c r="K162" s="6"/>
      <c r="M162" s="6"/>
      <c r="O162" s="6"/>
      <c r="Q162" s="6">
        <v>1155071</v>
      </c>
    </row>
    <row r="163" spans="1:17" ht="21" x14ac:dyDescent="0.55000000000000004">
      <c r="A163" s="14" t="s">
        <v>261</v>
      </c>
      <c r="C163" s="6"/>
      <c r="E163" s="6"/>
      <c r="G163" s="6"/>
      <c r="I163" s="6">
        <v>0</v>
      </c>
      <c r="K163" s="6"/>
      <c r="M163" s="6"/>
      <c r="O163" s="6"/>
      <c r="Q163" s="6">
        <v>140314108</v>
      </c>
    </row>
    <row r="164" spans="1:17" ht="21" x14ac:dyDescent="0.55000000000000004">
      <c r="A164" s="14" t="s">
        <v>262</v>
      </c>
      <c r="C164" s="6"/>
      <c r="E164" s="6"/>
      <c r="G164" s="6"/>
      <c r="I164" s="6">
        <v>0</v>
      </c>
      <c r="K164" s="6"/>
      <c r="M164" s="6"/>
      <c r="O164" s="6"/>
      <c r="Q164" s="6">
        <v>603719549</v>
      </c>
    </row>
    <row r="165" spans="1:17" ht="21" x14ac:dyDescent="0.55000000000000004">
      <c r="A165" s="14" t="s">
        <v>263</v>
      </c>
      <c r="C165" s="6"/>
      <c r="E165" s="6"/>
      <c r="G165" s="6"/>
      <c r="I165" s="6">
        <v>0</v>
      </c>
      <c r="K165" s="6"/>
      <c r="M165" s="6"/>
      <c r="O165" s="6"/>
      <c r="Q165" s="6">
        <v>4658928</v>
      </c>
    </row>
    <row r="166" spans="1:17" ht="21" x14ac:dyDescent="0.55000000000000004">
      <c r="A166" s="14" t="s">
        <v>264</v>
      </c>
      <c r="C166" s="6"/>
      <c r="E166" s="6"/>
      <c r="G166" s="6"/>
      <c r="I166" s="6">
        <v>0</v>
      </c>
      <c r="K166" s="6"/>
      <c r="M166" s="6"/>
      <c r="O166" s="6"/>
      <c r="Q166" s="6">
        <v>250998754</v>
      </c>
    </row>
    <row r="167" spans="1:17" ht="21" x14ac:dyDescent="0.55000000000000004">
      <c r="A167" s="14" t="s">
        <v>283</v>
      </c>
      <c r="C167" s="6"/>
      <c r="E167" s="6"/>
      <c r="G167" s="6"/>
      <c r="I167" s="6">
        <v>0</v>
      </c>
      <c r="K167" s="6"/>
      <c r="M167" s="6"/>
      <c r="O167" s="6"/>
      <c r="Q167" s="6">
        <v>-2697975</v>
      </c>
    </row>
    <row r="168" spans="1:17" ht="21.75" thickBot="1" x14ac:dyDescent="0.6">
      <c r="A168" s="7" t="s">
        <v>74</v>
      </c>
      <c r="C168" s="15"/>
      <c r="E168" s="7">
        <f>SUM(E9:$E$167)</f>
        <v>271100475206</v>
      </c>
      <c r="G168" s="7">
        <f>SUM(G9:$G$167)</f>
        <v>277165892159</v>
      </c>
      <c r="I168" s="7">
        <f>SUM(I9:$I$167)</f>
        <v>-4626231755</v>
      </c>
      <c r="K168" s="15"/>
      <c r="M168" s="7">
        <f>SUM(M9:$M$167)</f>
        <v>735134485953</v>
      </c>
      <c r="O168" s="7">
        <f>SUM(O9:$O$167)</f>
        <v>723856789447</v>
      </c>
      <c r="Q168" s="7">
        <f>SUM(Q9:$Q$167)</f>
        <v>34866223293</v>
      </c>
    </row>
    <row r="169" spans="1:17" ht="21.75" thickTop="1" x14ac:dyDescent="0.55000000000000004">
      <c r="C169" s="15"/>
      <c r="E169" s="8"/>
      <c r="G169" s="8"/>
      <c r="I169" s="8"/>
      <c r="K169" s="15"/>
      <c r="M169" s="8"/>
      <c r="O169" s="8"/>
      <c r="Q169" s="8"/>
    </row>
  </sheetData>
  <mergeCells count="6">
    <mergeCell ref="A1:Q1"/>
    <mergeCell ref="A2:Q2"/>
    <mergeCell ref="A3:Q3"/>
    <mergeCell ref="A5:Q5"/>
    <mergeCell ref="C7:I7"/>
    <mergeCell ref="K7:Q7"/>
  </mergeCells>
  <pageMargins left="0.17" right="0.17" top="0.36" bottom="0.33" header="0.3" footer="0.3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pageSetUpPr fitToPage="1"/>
  </sheetPr>
  <dimension ref="A1:K12"/>
  <sheetViews>
    <sheetView rightToLeft="1" view="pageBreakPreview" zoomScale="85" zoomScaleNormal="100" zoomScaleSheetLayoutView="85" workbookViewId="0">
      <selection activeCell="A5" sqref="A5:XFD8"/>
    </sheetView>
  </sheetViews>
  <sheetFormatPr defaultRowHeight="19.5" x14ac:dyDescent="0.55000000000000004"/>
  <cols>
    <col min="1" max="1" width="29" style="1" bestFit="1" customWidth="1"/>
    <col min="2" max="2" width="1.42578125" style="1" customWidth="1"/>
    <col min="3" max="3" width="18.5703125" style="1" bestFit="1" customWidth="1"/>
    <col min="4" max="4" width="1.42578125" style="1" customWidth="1"/>
    <col min="5" max="5" width="17" style="1" customWidth="1"/>
    <col min="6" max="6" width="1.42578125" style="1" customWidth="1"/>
    <col min="7" max="7" width="13.7109375" style="1" bestFit="1" customWidth="1"/>
    <col min="8" max="8" width="1.42578125" style="1" customWidth="1"/>
    <col min="9" max="9" width="17" style="1" customWidth="1"/>
    <col min="10" max="10" width="1.42578125" style="1" customWidth="1"/>
    <col min="11" max="11" width="13.7109375" style="1" bestFit="1" customWidth="1"/>
    <col min="12" max="16384" width="9.140625" style="1"/>
  </cols>
  <sheetData>
    <row r="1" spans="1:11" ht="20.100000000000001" customHeight="1" x14ac:dyDescent="0.55000000000000004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0.100000000000001" customHeight="1" x14ac:dyDescent="0.55000000000000004">
      <c r="A2" s="22" t="s">
        <v>107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0.100000000000001" customHeight="1" x14ac:dyDescent="0.55000000000000004">
      <c r="A3" s="22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5" spans="1:11" ht="21" x14ac:dyDescent="0.55000000000000004">
      <c r="A5" s="31" t="s">
        <v>183</v>
      </c>
      <c r="B5" s="35"/>
      <c r="C5" s="35"/>
      <c r="D5" s="35"/>
      <c r="E5" s="35"/>
      <c r="F5" s="35"/>
      <c r="G5" s="35"/>
      <c r="H5" s="35"/>
      <c r="I5" s="35"/>
      <c r="J5" s="35"/>
      <c r="K5" s="35"/>
    </row>
    <row r="7" spans="1:11" ht="21" x14ac:dyDescent="0.55000000000000004">
      <c r="A7" s="24" t="s">
        <v>172</v>
      </c>
      <c r="B7" s="25"/>
      <c r="C7" s="25"/>
      <c r="E7" s="24" t="s">
        <v>181</v>
      </c>
      <c r="F7" s="25"/>
      <c r="G7" s="25"/>
      <c r="I7" s="24" t="s">
        <v>179</v>
      </c>
      <c r="J7" s="25"/>
      <c r="K7" s="25"/>
    </row>
    <row r="8" spans="1:11" ht="42" x14ac:dyDescent="0.55000000000000004">
      <c r="A8" s="4" t="s">
        <v>173</v>
      </c>
      <c r="C8" s="4" t="s">
        <v>88</v>
      </c>
      <c r="E8" s="4" t="s">
        <v>174</v>
      </c>
      <c r="G8" s="4" t="s">
        <v>182</v>
      </c>
      <c r="I8" s="4" t="s">
        <v>174</v>
      </c>
      <c r="K8" s="4" t="s">
        <v>182</v>
      </c>
    </row>
    <row r="9" spans="1:11" ht="21" x14ac:dyDescent="0.55000000000000004">
      <c r="A9" s="14" t="s">
        <v>175</v>
      </c>
      <c r="C9" s="9" t="s">
        <v>96</v>
      </c>
      <c r="E9" s="6">
        <v>496331</v>
      </c>
      <c r="G9" s="10">
        <f>E9/E11</f>
        <v>3.7685357994075326E-4</v>
      </c>
      <c r="I9" s="6">
        <v>20548047</v>
      </c>
      <c r="K9" s="10">
        <f>I9/I11</f>
        <v>3.301816334957893E-3</v>
      </c>
    </row>
    <row r="10" spans="1:11" ht="21" x14ac:dyDescent="0.55000000000000004">
      <c r="A10" s="14" t="s">
        <v>176</v>
      </c>
      <c r="C10" s="9" t="s">
        <v>104</v>
      </c>
      <c r="E10" s="6">
        <v>1316543035</v>
      </c>
      <c r="G10" s="10">
        <f>E10/E11</f>
        <v>0.99962314642005923</v>
      </c>
      <c r="I10" s="6">
        <v>6202707554</v>
      </c>
      <c r="K10" s="10">
        <f>I10/I11</f>
        <v>0.99669818366504215</v>
      </c>
    </row>
    <row r="11" spans="1:11" ht="21.75" thickBot="1" x14ac:dyDescent="0.6">
      <c r="A11" s="7" t="s">
        <v>74</v>
      </c>
      <c r="E11" s="7">
        <f>SUM(E9:$E$10)</f>
        <v>1317039366</v>
      </c>
      <c r="G11" s="11">
        <f>SUM(G9:$G$10)</f>
        <v>1</v>
      </c>
      <c r="I11" s="7">
        <f>SUM(I9:$I$10)</f>
        <v>6223255601</v>
      </c>
      <c r="K11" s="11">
        <f>SUM(K9:$K$10)</f>
        <v>1</v>
      </c>
    </row>
    <row r="12" spans="1:11" ht="21" x14ac:dyDescent="0.55000000000000004">
      <c r="E12" s="8"/>
      <c r="G12" s="8"/>
      <c r="I12" s="8"/>
      <c r="K12" s="8"/>
    </row>
  </sheetData>
  <mergeCells count="7">
    <mergeCell ref="A1:K1"/>
    <mergeCell ref="A2:K2"/>
    <mergeCell ref="A3:K3"/>
    <mergeCell ref="A5:K5"/>
    <mergeCell ref="A7:C7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S12"/>
  <sheetViews>
    <sheetView rightToLeft="1" tabSelected="1" view="pageBreakPreview" zoomScale="70" zoomScaleNormal="100" zoomScaleSheetLayoutView="70" workbookViewId="0">
      <selection activeCell="O11" sqref="I11:O11"/>
    </sheetView>
  </sheetViews>
  <sheetFormatPr defaultRowHeight="19.5" x14ac:dyDescent="0.55000000000000004"/>
  <cols>
    <col min="1" max="1" width="35.85546875" style="1" bestFit="1" customWidth="1"/>
    <col min="2" max="2" width="1.42578125" style="1" customWidth="1"/>
    <col min="3" max="3" width="12.28515625" style="1" bestFit="1" customWidth="1"/>
    <col min="4" max="4" width="1.42578125" style="1" customWidth="1"/>
    <col min="5" max="5" width="8.28515625" style="1" bestFit="1" customWidth="1"/>
    <col min="6" max="6" width="1.42578125" style="1" customWidth="1"/>
    <col min="7" max="7" width="12.28515625" style="1" bestFit="1" customWidth="1"/>
    <col min="8" max="8" width="1.42578125" style="1" customWidth="1"/>
    <col min="9" max="9" width="13.5703125" style="1" bestFit="1" customWidth="1"/>
    <col min="10" max="10" width="1.42578125" style="1" customWidth="1"/>
    <col min="11" max="11" width="12" style="1" bestFit="1" customWidth="1"/>
    <col min="12" max="12" width="1.42578125" style="1" customWidth="1"/>
    <col min="13" max="13" width="13.5703125" style="1" bestFit="1" customWidth="1"/>
    <col min="14" max="14" width="1.42578125" style="1" customWidth="1"/>
    <col min="15" max="15" width="13.5703125" style="1" bestFit="1" customWidth="1"/>
    <col min="16" max="16" width="1.42578125" style="1" customWidth="1"/>
    <col min="17" max="17" width="12" style="1" bestFit="1" customWidth="1"/>
    <col min="18" max="18" width="1.42578125" style="1" customWidth="1"/>
    <col min="19" max="19" width="13.5703125" style="1" bestFit="1" customWidth="1"/>
    <col min="20" max="16384" width="9.140625" style="1"/>
  </cols>
  <sheetData>
    <row r="1" spans="1:19" ht="20.100000000000001" customHeight="1" x14ac:dyDescent="0.55000000000000004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20.100000000000001" customHeight="1" x14ac:dyDescent="0.55000000000000004">
      <c r="A2" s="22" t="s">
        <v>107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ht="20.100000000000001" customHeight="1" x14ac:dyDescent="0.55000000000000004">
      <c r="A3" s="22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5" spans="1:19" ht="21" x14ac:dyDescent="0.55000000000000004">
      <c r="A5" s="23" t="s">
        <v>271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7" spans="1:19" ht="21" x14ac:dyDescent="0.55000000000000004">
      <c r="I7" s="24" t="s">
        <v>181</v>
      </c>
      <c r="J7" s="25"/>
      <c r="K7" s="25"/>
      <c r="L7" s="25"/>
      <c r="M7" s="25"/>
      <c r="O7" s="24" t="s">
        <v>179</v>
      </c>
      <c r="P7" s="25"/>
      <c r="Q7" s="25"/>
      <c r="R7" s="25"/>
      <c r="S7" s="25"/>
    </row>
    <row r="8" spans="1:19" ht="42" x14ac:dyDescent="0.55000000000000004">
      <c r="A8" s="12" t="s">
        <v>109</v>
      </c>
      <c r="C8" s="4" t="s">
        <v>146</v>
      </c>
      <c r="E8" s="4" t="s">
        <v>76</v>
      </c>
      <c r="G8" s="4" t="s">
        <v>91</v>
      </c>
      <c r="I8" s="4" t="s">
        <v>147</v>
      </c>
      <c r="K8" s="4" t="s">
        <v>124</v>
      </c>
      <c r="M8" s="4" t="s">
        <v>148</v>
      </c>
      <c r="O8" s="4" t="s">
        <v>147</v>
      </c>
      <c r="Q8" s="4" t="s">
        <v>124</v>
      </c>
      <c r="S8" s="4" t="s">
        <v>148</v>
      </c>
    </row>
    <row r="9" spans="1:19" ht="21" x14ac:dyDescent="0.55000000000000004">
      <c r="A9" s="5" t="s">
        <v>149</v>
      </c>
      <c r="C9" s="9" t="s">
        <v>150</v>
      </c>
      <c r="E9" s="9" t="s">
        <v>85</v>
      </c>
      <c r="G9" s="9" t="s">
        <v>106</v>
      </c>
      <c r="I9" s="6">
        <v>1316543035</v>
      </c>
      <c r="K9" s="6">
        <v>-2282459</v>
      </c>
      <c r="M9" s="6">
        <f>I9+K9</f>
        <v>1314260576</v>
      </c>
      <c r="O9" s="6">
        <v>6202707554</v>
      </c>
      <c r="Q9" s="6">
        <v>0</v>
      </c>
      <c r="S9" s="6">
        <v>6202707554</v>
      </c>
    </row>
    <row r="10" spans="1:19" ht="21" x14ac:dyDescent="0.55000000000000004">
      <c r="A10" s="5" t="s">
        <v>151</v>
      </c>
      <c r="C10" s="9" t="s">
        <v>152</v>
      </c>
      <c r="E10" s="9" t="s">
        <v>85</v>
      </c>
      <c r="G10" s="9" t="s">
        <v>99</v>
      </c>
      <c r="I10" s="6">
        <v>496331</v>
      </c>
      <c r="K10" s="6">
        <v>0</v>
      </c>
      <c r="M10" s="6">
        <f>I10+K10</f>
        <v>496331</v>
      </c>
      <c r="O10" s="6">
        <v>20548047</v>
      </c>
      <c r="Q10" s="6">
        <v>0</v>
      </c>
      <c r="S10" s="6">
        <v>20548047</v>
      </c>
    </row>
    <row r="11" spans="1:19" ht="21" x14ac:dyDescent="0.55000000000000004">
      <c r="A11" s="7" t="s">
        <v>74</v>
      </c>
      <c r="I11" s="40">
        <f>SUM(I9:$I$10)</f>
        <v>1317039366</v>
      </c>
      <c r="J11" s="41"/>
      <c r="K11" s="40">
        <f>SUM(K9:$K$10)</f>
        <v>-2282459</v>
      </c>
      <c r="L11" s="41"/>
      <c r="M11" s="40">
        <f>SUM(M9:$M$10)</f>
        <v>1314756907</v>
      </c>
      <c r="N11" s="41"/>
      <c r="O11" s="40">
        <f>SUM(O9:$O$10)</f>
        <v>6223255601</v>
      </c>
      <c r="Q11" s="7">
        <f>SUM(Q9:$Q$10)</f>
        <v>0</v>
      </c>
      <c r="S11" s="7">
        <f>SUM(S9:$S$10)</f>
        <v>6223255601</v>
      </c>
    </row>
    <row r="12" spans="1:19" ht="21" x14ac:dyDescent="0.55000000000000004">
      <c r="I12" s="8"/>
      <c r="K12" s="8"/>
      <c r="M12" s="8"/>
      <c r="O12" s="8"/>
      <c r="Q12" s="8"/>
      <c r="S12" s="8"/>
    </row>
  </sheetData>
  <mergeCells count="6">
    <mergeCell ref="A1:S1"/>
    <mergeCell ref="A2:S2"/>
    <mergeCell ref="A3:S3"/>
    <mergeCell ref="A5:S5"/>
    <mergeCell ref="I7:M7"/>
    <mergeCell ref="O7:S7"/>
  </mergeCells>
  <pageMargins left="0.17" right="0.17" top="0.75" bottom="0.75" header="0.3" footer="0.3"/>
  <pageSetup paperSize="9" scale="9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A1:E11"/>
  <sheetViews>
    <sheetView rightToLeft="1" view="pageBreakPreview" zoomScale="115" zoomScaleNormal="100" zoomScaleSheetLayoutView="115" workbookViewId="0">
      <selection activeCell="A5" sqref="A5:XFD8"/>
    </sheetView>
  </sheetViews>
  <sheetFormatPr defaultRowHeight="19.5" x14ac:dyDescent="0.55000000000000004"/>
  <cols>
    <col min="1" max="1" width="42.85546875" style="1" customWidth="1"/>
    <col min="2" max="2" width="1.42578125" style="1" customWidth="1"/>
    <col min="3" max="3" width="28" style="1" customWidth="1"/>
    <col min="4" max="4" width="1.42578125" style="1" customWidth="1"/>
    <col min="5" max="5" width="30.140625" style="1" bestFit="1" customWidth="1"/>
    <col min="6" max="16384" width="9.140625" style="1"/>
  </cols>
  <sheetData>
    <row r="1" spans="1:5" ht="20.100000000000001" customHeight="1" x14ac:dyDescent="0.55000000000000004">
      <c r="A1" s="22" t="s">
        <v>0</v>
      </c>
      <c r="B1" s="21"/>
      <c r="C1" s="21"/>
      <c r="D1" s="21"/>
      <c r="E1" s="21"/>
    </row>
    <row r="2" spans="1:5" ht="20.100000000000001" customHeight="1" x14ac:dyDescent="0.55000000000000004">
      <c r="A2" s="22" t="s">
        <v>107</v>
      </c>
      <c r="B2" s="21"/>
      <c r="C2" s="21"/>
      <c r="D2" s="21"/>
      <c r="E2" s="21"/>
    </row>
    <row r="3" spans="1:5" ht="20.100000000000001" customHeight="1" x14ac:dyDescent="0.55000000000000004">
      <c r="A3" s="22" t="s">
        <v>2</v>
      </c>
      <c r="B3" s="21"/>
      <c r="C3" s="21"/>
      <c r="D3" s="21"/>
      <c r="E3" s="21"/>
    </row>
    <row r="5" spans="1:5" ht="21" x14ac:dyDescent="0.55000000000000004">
      <c r="A5" s="31" t="s">
        <v>184</v>
      </c>
      <c r="B5" s="32"/>
      <c r="C5" s="32"/>
      <c r="D5" s="32"/>
      <c r="E5" s="32"/>
    </row>
    <row r="7" spans="1:5" ht="21" x14ac:dyDescent="0.55000000000000004">
      <c r="C7" s="3" t="s">
        <v>181</v>
      </c>
      <c r="E7" s="3" t="s">
        <v>179</v>
      </c>
    </row>
    <row r="8" spans="1:5" ht="21" x14ac:dyDescent="0.55000000000000004">
      <c r="A8" s="4" t="s">
        <v>118</v>
      </c>
      <c r="C8" s="4" t="s">
        <v>92</v>
      </c>
      <c r="E8" s="4" t="s">
        <v>92</v>
      </c>
    </row>
    <row r="9" spans="1:5" ht="21" x14ac:dyDescent="0.55000000000000004">
      <c r="A9" s="19" t="s">
        <v>185</v>
      </c>
      <c r="C9" s="6">
        <v>28582581</v>
      </c>
      <c r="E9" s="6">
        <v>119042663</v>
      </c>
    </row>
    <row r="10" spans="1:5" ht="21" x14ac:dyDescent="0.55000000000000004">
      <c r="A10" s="7" t="s">
        <v>74</v>
      </c>
      <c r="C10" s="7">
        <f>SUM(C9:$C$9)</f>
        <v>28582581</v>
      </c>
      <c r="E10" s="7">
        <f>SUM(E9:$E$9)</f>
        <v>119042663</v>
      </c>
    </row>
    <row r="11" spans="1:5" ht="21" x14ac:dyDescent="0.55000000000000004">
      <c r="C11" s="8"/>
      <c r="E11" s="8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'4'!Print_Area</vt:lpstr>
      <vt:lpstr>'6'!Print_Area</vt:lpstr>
      <vt:lpstr>'1'!Print_Titles</vt:lpstr>
      <vt:lpstr>'5'!Print_Titles</vt:lpstr>
      <vt:lpstr>'6'!Print_Titles</vt:lpstr>
      <vt:lpstr>'7'!Print_Titles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Reza Ahmadi</cp:lastModifiedBy>
  <cp:lastPrinted>2025-07-30T13:58:01Z</cp:lastPrinted>
  <dcterms:created xsi:type="dcterms:W3CDTF">2025-07-30T11:43:10Z</dcterms:created>
  <dcterms:modified xsi:type="dcterms:W3CDTF">2025-07-30T13:58:15Z</dcterms:modified>
</cp:coreProperties>
</file>