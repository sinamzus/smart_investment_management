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.nezakati\Desktop\"/>
    </mc:Choice>
  </mc:AlternateContent>
  <xr:revisionPtr revIDLastSave="0" documentId="8_{48A8A099-0068-450B-9EB8-CE20ACAE4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49" r:id="rId1"/>
    <sheet name="1" sheetId="50" r:id="rId2"/>
    <sheet name="2" sheetId="54" r:id="rId3"/>
    <sheet name="3" sheetId="66" r:id="rId4"/>
    <sheet name="4" sheetId="61" r:id="rId5"/>
    <sheet name="5" sheetId="65" r:id="rId6"/>
    <sheet name="6" sheetId="63" r:id="rId7"/>
    <sheet name="7" sheetId="64" r:id="rId8"/>
    <sheet name="8" sheetId="57" r:id="rId9"/>
    <sheet name="9" sheetId="58" r:id="rId10"/>
    <sheet name="10" sheetId="59" r:id="rId11"/>
    <sheet name="11" sheetId="60" r:id="rId12"/>
  </sheets>
  <definedNames>
    <definedName name="_xlnm.Print_Area" localSheetId="0">'0'!$A$1:$J$29</definedName>
    <definedName name="_xlnm.Print_Area" localSheetId="1">'1'!$A$1:$W$52</definedName>
    <definedName name="_xlnm.Print_Area" localSheetId="2">'2'!$A$1:$Q$13</definedName>
    <definedName name="_xlnm.Print_Area" localSheetId="3">'3'!$A$1:$I$13</definedName>
    <definedName name="_xlnm.Print_Area" localSheetId="5">'5'!$A$1:$Q$157</definedName>
    <definedName name="_xlnm.Print_Area" localSheetId="9">'9'!$A$1:$Q$12</definedName>
    <definedName name="_xlnm.Print_Titles" localSheetId="10">'10'!$1:$8</definedName>
    <definedName name="_xlnm.Print_Titles" localSheetId="11">'11'!$1:$8</definedName>
    <definedName name="_xlnm.Print_Titles" localSheetId="4">'4'!$1:$8</definedName>
    <definedName name="_xlnm.Print_Titles" localSheetId="5">'5'!$1:$8</definedName>
    <definedName name="_xlnm.Print_Titles" localSheetId="8">'8'!$1:$8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66" l="1"/>
  <c r="E10" i="66"/>
  <c r="E9" i="66"/>
  <c r="E8" i="66"/>
  <c r="I12" i="66"/>
  <c r="C11" i="64"/>
  <c r="E11" i="64"/>
  <c r="K10" i="63"/>
  <c r="K9" i="63"/>
  <c r="G10" i="63"/>
  <c r="G9" i="63"/>
  <c r="O10" i="65"/>
  <c r="O11" i="65"/>
  <c r="O12" i="65"/>
  <c r="O13" i="65"/>
  <c r="O14" i="65"/>
  <c r="O15" i="65"/>
  <c r="O16" i="65"/>
  <c r="O17" i="65"/>
  <c r="O18" i="65"/>
  <c r="O19" i="65"/>
  <c r="O20" i="65"/>
  <c r="O21" i="65"/>
  <c r="O22" i="65"/>
  <c r="O23" i="65"/>
  <c r="O24" i="65"/>
  <c r="O25" i="65"/>
  <c r="O26" i="65"/>
  <c r="O27" i="65"/>
  <c r="O28" i="65"/>
  <c r="O29" i="65"/>
  <c r="O30" i="65"/>
  <c r="O31" i="65"/>
  <c r="O32" i="65"/>
  <c r="O33" i="65"/>
  <c r="O34" i="65"/>
  <c r="O35" i="65"/>
  <c r="O36" i="65"/>
  <c r="O37" i="65"/>
  <c r="O38" i="65"/>
  <c r="O39" i="65"/>
  <c r="O40" i="65"/>
  <c r="O41" i="65"/>
  <c r="O42" i="65"/>
  <c r="O43" i="65"/>
  <c r="O44" i="65"/>
  <c r="O45" i="65"/>
  <c r="O46" i="65"/>
  <c r="O47" i="65"/>
  <c r="O48" i="65"/>
  <c r="O49" i="65"/>
  <c r="O50" i="65"/>
  <c r="O51" i="65"/>
  <c r="O52" i="65"/>
  <c r="O53" i="65"/>
  <c r="O54" i="65"/>
  <c r="O55" i="65"/>
  <c r="O56" i="65"/>
  <c r="O57" i="65"/>
  <c r="O58" i="65"/>
  <c r="O59" i="65"/>
  <c r="O60" i="65"/>
  <c r="O61" i="65"/>
  <c r="O62" i="65"/>
  <c r="O63" i="65"/>
  <c r="O64" i="65"/>
  <c r="O65" i="65"/>
  <c r="O66" i="65"/>
  <c r="O67" i="65"/>
  <c r="O68" i="65"/>
  <c r="O69" i="65"/>
  <c r="O70" i="65"/>
  <c r="O71" i="65"/>
  <c r="O72" i="65"/>
  <c r="O73" i="65"/>
  <c r="O74" i="65"/>
  <c r="O75" i="65"/>
  <c r="O76" i="65"/>
  <c r="O77" i="65"/>
  <c r="O78" i="65"/>
  <c r="O79" i="65"/>
  <c r="O80" i="65"/>
  <c r="O81" i="65"/>
  <c r="O82" i="65"/>
  <c r="O83" i="65"/>
  <c r="O84" i="65"/>
  <c r="O85" i="65"/>
  <c r="O86" i="65"/>
  <c r="O87" i="65"/>
  <c r="O88" i="65"/>
  <c r="O89" i="65"/>
  <c r="O90" i="65"/>
  <c r="O91" i="65"/>
  <c r="O92" i="65"/>
  <c r="O93" i="65"/>
  <c r="O94" i="65"/>
  <c r="O95" i="65"/>
  <c r="O96" i="65"/>
  <c r="O97" i="65"/>
  <c r="O98" i="65"/>
  <c r="O99" i="65"/>
  <c r="O100" i="65"/>
  <c r="O101" i="65"/>
  <c r="O102" i="65"/>
  <c r="O103" i="65"/>
  <c r="O104" i="65"/>
  <c r="O105" i="65"/>
  <c r="O106" i="65"/>
  <c r="O107" i="65"/>
  <c r="O108" i="65"/>
  <c r="O109" i="65"/>
  <c r="O110" i="65"/>
  <c r="O111" i="65"/>
  <c r="O112" i="65"/>
  <c r="O113" i="65"/>
  <c r="O114" i="65"/>
  <c r="O115" i="65"/>
  <c r="O116" i="65"/>
  <c r="O117" i="65"/>
  <c r="O118" i="65"/>
  <c r="O119" i="65"/>
  <c r="O120" i="65"/>
  <c r="O121" i="65"/>
  <c r="O122" i="65"/>
  <c r="O123" i="65"/>
  <c r="O124" i="65"/>
  <c r="O125" i="65"/>
  <c r="O126" i="65"/>
  <c r="O127" i="65"/>
  <c r="O128" i="65"/>
  <c r="O129" i="65"/>
  <c r="O130" i="65"/>
  <c r="O131" i="65"/>
  <c r="O132" i="65"/>
  <c r="O133" i="65"/>
  <c r="O134" i="65"/>
  <c r="O135" i="65"/>
  <c r="O136" i="65"/>
  <c r="O137" i="65"/>
  <c r="O138" i="65"/>
  <c r="O139" i="65"/>
  <c r="O140" i="65"/>
  <c r="O141" i="65"/>
  <c r="O142" i="65"/>
  <c r="O143" i="65"/>
  <c r="O144" i="65"/>
  <c r="O145" i="65"/>
  <c r="O146" i="65"/>
  <c r="O147" i="65"/>
  <c r="O148" i="65"/>
  <c r="O149" i="65"/>
  <c r="O150" i="65"/>
  <c r="O151" i="65"/>
  <c r="O152" i="65"/>
  <c r="O153" i="65"/>
  <c r="O154" i="65"/>
  <c r="O155" i="65"/>
  <c r="O9" i="65"/>
  <c r="K156" i="65"/>
  <c r="G10" i="65"/>
  <c r="G11" i="65"/>
  <c r="G12" i="65"/>
  <c r="G13" i="65"/>
  <c r="G14" i="65"/>
  <c r="G15" i="65"/>
  <c r="G16" i="65"/>
  <c r="G17" i="65"/>
  <c r="G18" i="65"/>
  <c r="G19" i="65"/>
  <c r="G20" i="65"/>
  <c r="G21" i="65"/>
  <c r="G22" i="65"/>
  <c r="G23" i="65"/>
  <c r="G24" i="65"/>
  <c r="G25" i="65"/>
  <c r="G26" i="65"/>
  <c r="G27" i="65"/>
  <c r="G28" i="65"/>
  <c r="G29" i="65"/>
  <c r="G30" i="65"/>
  <c r="G31" i="65"/>
  <c r="G32" i="65"/>
  <c r="G33" i="65"/>
  <c r="G34" i="65"/>
  <c r="G35" i="65"/>
  <c r="G36" i="65"/>
  <c r="G37" i="65"/>
  <c r="G38" i="65"/>
  <c r="G39" i="65"/>
  <c r="G40" i="65"/>
  <c r="G41" i="65"/>
  <c r="G42" i="65"/>
  <c r="G43" i="65"/>
  <c r="G44" i="65"/>
  <c r="G45" i="65"/>
  <c r="G46" i="65"/>
  <c r="G47" i="65"/>
  <c r="G48" i="65"/>
  <c r="G49" i="65"/>
  <c r="G50" i="65"/>
  <c r="G51" i="65"/>
  <c r="G52" i="65"/>
  <c r="G53" i="65"/>
  <c r="G54" i="65"/>
  <c r="G55" i="65"/>
  <c r="G56" i="65"/>
  <c r="G57" i="65"/>
  <c r="G58" i="65"/>
  <c r="G59" i="65"/>
  <c r="G60" i="65"/>
  <c r="G61" i="65"/>
  <c r="G62" i="65"/>
  <c r="G63" i="65"/>
  <c r="G64" i="65"/>
  <c r="G65" i="65"/>
  <c r="G66" i="65"/>
  <c r="G67" i="65"/>
  <c r="G68" i="65"/>
  <c r="G69" i="65"/>
  <c r="G70" i="65"/>
  <c r="G71" i="65"/>
  <c r="G72" i="65"/>
  <c r="G73" i="65"/>
  <c r="G74" i="65"/>
  <c r="G75" i="65"/>
  <c r="G76" i="65"/>
  <c r="G77" i="65"/>
  <c r="G78" i="65"/>
  <c r="G79" i="65"/>
  <c r="G80" i="65"/>
  <c r="G81" i="65"/>
  <c r="G82" i="65"/>
  <c r="G83" i="65"/>
  <c r="G84" i="65"/>
  <c r="G85" i="65"/>
  <c r="G86" i="65"/>
  <c r="G87" i="65"/>
  <c r="G88" i="65"/>
  <c r="G89" i="65"/>
  <c r="G90" i="65"/>
  <c r="G91" i="65"/>
  <c r="G92" i="65"/>
  <c r="G93" i="65"/>
  <c r="G94" i="65"/>
  <c r="G95" i="65"/>
  <c r="G96" i="65"/>
  <c r="G97" i="65"/>
  <c r="G98" i="65"/>
  <c r="G99" i="65"/>
  <c r="G100" i="65"/>
  <c r="G101" i="65"/>
  <c r="G102" i="65"/>
  <c r="G103" i="65"/>
  <c r="G104" i="65"/>
  <c r="G105" i="65"/>
  <c r="G106" i="65"/>
  <c r="G107" i="65"/>
  <c r="G108" i="65"/>
  <c r="G109" i="65"/>
  <c r="G110" i="65"/>
  <c r="G111" i="65"/>
  <c r="G112" i="65"/>
  <c r="G113" i="65"/>
  <c r="G114" i="65"/>
  <c r="G115" i="65"/>
  <c r="G116" i="65"/>
  <c r="G117" i="65"/>
  <c r="G118" i="65"/>
  <c r="G119" i="65"/>
  <c r="G120" i="65"/>
  <c r="G121" i="65"/>
  <c r="G122" i="65"/>
  <c r="G123" i="65"/>
  <c r="G124" i="65"/>
  <c r="G125" i="65"/>
  <c r="G126" i="65"/>
  <c r="G127" i="65"/>
  <c r="G128" i="65"/>
  <c r="G129" i="65"/>
  <c r="G130" i="65"/>
  <c r="G131" i="65"/>
  <c r="G132" i="65"/>
  <c r="G133" i="65"/>
  <c r="G134" i="65"/>
  <c r="G135" i="65"/>
  <c r="G136" i="65"/>
  <c r="G137" i="65"/>
  <c r="G138" i="65"/>
  <c r="G139" i="65"/>
  <c r="G140" i="65"/>
  <c r="G141" i="65"/>
  <c r="G142" i="65"/>
  <c r="G143" i="65"/>
  <c r="G144" i="65"/>
  <c r="G145" i="65"/>
  <c r="G146" i="65"/>
  <c r="G147" i="65"/>
  <c r="G148" i="65"/>
  <c r="G149" i="65"/>
  <c r="G150" i="65"/>
  <c r="G151" i="65"/>
  <c r="G152" i="65"/>
  <c r="G153" i="65"/>
  <c r="G154" i="65"/>
  <c r="G155" i="65"/>
  <c r="E156" i="65"/>
  <c r="Q156" i="65"/>
  <c r="I156" i="65"/>
  <c r="C156" i="65"/>
  <c r="G9" i="65"/>
  <c r="E12" i="66" l="1"/>
  <c r="G9" i="66" s="1"/>
  <c r="M156" i="65"/>
  <c r="O156" i="65"/>
  <c r="G156" i="65"/>
  <c r="G8" i="66" l="1"/>
  <c r="G10" i="66"/>
  <c r="G11" i="66"/>
  <c r="U51" i="50"/>
  <c r="E11" i="63"/>
  <c r="I11" i="63"/>
  <c r="C89" i="61"/>
  <c r="E89" i="61"/>
  <c r="G89" i="61"/>
  <c r="I89" i="61"/>
  <c r="K89" i="61"/>
  <c r="M89" i="61"/>
  <c r="O89" i="61"/>
  <c r="Q89" i="61"/>
  <c r="S89" i="61"/>
  <c r="U89" i="61"/>
  <c r="E48" i="60"/>
  <c r="G48" i="60"/>
  <c r="I48" i="60"/>
  <c r="M48" i="60"/>
  <c r="O48" i="60"/>
  <c r="Q48" i="60"/>
  <c r="E89" i="59"/>
  <c r="G89" i="59"/>
  <c r="I89" i="59"/>
  <c r="M89" i="59"/>
  <c r="O89" i="59"/>
  <c r="Q89" i="59"/>
  <c r="G11" i="58"/>
  <c r="I11" i="58"/>
  <c r="K11" i="58"/>
  <c r="M11" i="58"/>
  <c r="O11" i="58"/>
  <c r="Q11" i="58"/>
  <c r="I53" i="57"/>
  <c r="K53" i="57"/>
  <c r="M53" i="57"/>
  <c r="O53" i="57"/>
  <c r="Q53" i="57"/>
  <c r="S53" i="57"/>
  <c r="I12" i="54"/>
  <c r="K12" i="54"/>
  <c r="M12" i="54"/>
  <c r="O12" i="54"/>
  <c r="Q12" i="54"/>
  <c r="E51" i="50"/>
  <c r="G51" i="50"/>
  <c r="J51" i="50"/>
  <c r="M51" i="50"/>
  <c r="S51" i="50"/>
  <c r="W51" i="50"/>
  <c r="G12" i="66" l="1"/>
  <c r="K11" i="63"/>
  <c r="G11" i="63"/>
</calcChain>
</file>

<file path=xl/sharedStrings.xml><?xml version="1.0" encoding="utf-8"?>
<sst xmlns="http://schemas.openxmlformats.org/spreadsheetml/2006/main" count="693" uniqueCount="389">
  <si>
    <t>‫صورت وضعیت پورتفوی</t>
  </si>
  <si>
    <t>‫برای ماه منتهی به 1404/08/30</t>
  </si>
  <si>
    <t>‫1404/07/30</t>
  </si>
  <si>
    <t>‫1404/08/30</t>
  </si>
  <si>
    <t>‫تعداد</t>
  </si>
  <si>
    <t>‫بهای تمام شده</t>
  </si>
  <si>
    <t>‫خالص ارزش فروش</t>
  </si>
  <si>
    <t>‫درصد به کل دارایی ها</t>
  </si>
  <si>
    <t>‫مبلغ فروش</t>
  </si>
  <si>
    <t>‫جمع</t>
  </si>
  <si>
    <t>‫تاریخ سررسید</t>
  </si>
  <si>
    <t>‫-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</si>
  <si>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</si>
  <si>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</si>
  <si>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</si>
  <si>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</si>
  <si>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</si>
  <si>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‫مبلغ</t>
  </si>
  <si>
    <t>‫افزایش</t>
  </si>
  <si>
    <t>‫کاهش</t>
  </si>
  <si>
    <t>‫کوتاه مدت</t>
  </si>
  <si>
    <t>‫سپرده بانکی نزد بانک پاسارگاد</t>
  </si>
  <si>
    <t>‫سپرده بانکی نزد بانک گردشگري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</si>
  <si>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</si>
  <si>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</si>
  <si>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</si>
  <si>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</si>
  <si>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</si>
  <si>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</si>
  <si>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سپرده بانکی و گواهی سپرده</t>
  </si>
  <si>
    <t>‫سایر درآمدها</t>
  </si>
  <si>
    <t>‫هزینه تنزیل</t>
  </si>
  <si>
    <t>‫تاریخ دریافت سود</t>
  </si>
  <si>
    <t>‫درآمد سود</t>
  </si>
  <si>
    <t>‫خالص درآمد</t>
  </si>
  <si>
    <t>‫1404/08/01</t>
  </si>
  <si>
    <t>‫سود(زیان) حاصل از فروش اوراق بهادار</t>
  </si>
  <si>
    <t>‫ارزش دفتری</t>
  </si>
  <si>
    <t>‫سود و زیان ناشی از فروش</t>
  </si>
  <si>
    <t>‫درآمد ناشی از تغییر قیمت اوراق بهادار</t>
  </si>
  <si>
    <t>‫سود و زیان ناشی از تغییر قیمت</t>
  </si>
  <si>
    <t>‫درآمد تغییر ارزش</t>
  </si>
  <si>
    <t>‫درآمد فروش</t>
  </si>
  <si>
    <t>‫نام سپرده بانکی</t>
  </si>
  <si>
    <t>‫نام سپرده</t>
  </si>
  <si>
    <t>‫سود سپرده بانکی و گواهی سپرده</t>
  </si>
  <si>
    <t>‫سپرده بانکی کوتاه مدت - پاسارگاد</t>
  </si>
  <si>
    <t>‫سپرده بانکی کوتاه مدت - گردشگري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</si>
  <si>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</si>
  <si>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</si>
  <si>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</si>
  <si>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</si>
  <si>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</si>
  <si>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</si>
  <si>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</si>
  <si>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‫تغییرات طی آبان ماه</t>
  </si>
  <si>
    <t>‫خرید طی آبان ماه</t>
  </si>
  <si>
    <t>‫فروش طی آبان ماه</t>
  </si>
  <si>
    <t>‫گروه مالي مهرگان تامين پارس</t>
  </si>
  <si>
    <t>‫چادرملو</t>
  </si>
  <si>
    <t>‫پويا زركان آق دره</t>
  </si>
  <si>
    <t>‫پويا</t>
  </si>
  <si>
    <t>‫پست بانك ايران</t>
  </si>
  <si>
    <t>‫پتروشيمي شيراز</t>
  </si>
  <si>
    <t>‫نفت و گاز پارسیان</t>
  </si>
  <si>
    <t>‫نفت اصفهان</t>
  </si>
  <si>
    <t>‫ملي مس</t>
  </si>
  <si>
    <t>‫معادن روي</t>
  </si>
  <si>
    <t>‫قند چهار محال</t>
  </si>
  <si>
    <t>‫فولاد مباركه</t>
  </si>
  <si>
    <t>‫فولاد خوزستان</t>
  </si>
  <si>
    <t>‫صنعتی صبانور</t>
  </si>
  <si>
    <t>‫صندوق بازنشستگي</t>
  </si>
  <si>
    <t>‫صنايع پتروشيمي خليج فارس</t>
  </si>
  <si>
    <t>‫صنايع غذايي رضوي</t>
  </si>
  <si>
    <t>‫سيمان فارس و خوزستان</t>
  </si>
  <si>
    <t>‫سيمان سپاهان</t>
  </si>
  <si>
    <t>‫سرمايه گذاري غدير</t>
  </si>
  <si>
    <t>‫سرمايه گذاري صدرتامين</t>
  </si>
  <si>
    <t>‫سرمايه گذاري دارويي تامين</t>
  </si>
  <si>
    <t>‫سرمايه گذاري تامين اجتماعي</t>
  </si>
  <si>
    <t>‫س. و توسعه صنايع لاستيك</t>
  </si>
  <si>
    <t>‫توسعه معادن وص.معدني خاورميانه</t>
  </si>
  <si>
    <t>‫بانك صادرات</t>
  </si>
  <si>
    <t>‫ايران خودرو</t>
  </si>
  <si>
    <t>‫انتقال داده هاي آسياتك</t>
  </si>
  <si>
    <t>‫قیمت بازار هر سهم</t>
  </si>
  <si>
    <t>‫شرکت</t>
  </si>
  <si>
    <t>‫1-1- سرمایه گذاری در سهام و حق تقدم سهام</t>
  </si>
  <si>
    <t>‫1- سرمایه گذاری ها</t>
  </si>
  <si>
    <t>‫نام سهام</t>
  </si>
  <si>
    <t>‫1403/05/03</t>
  </si>
  <si>
    <t>‫2-2</t>
  </si>
  <si>
    <t>‫درآمد حاصل از سرمایه گذاری در سهام و حق تقدم سهام</t>
  </si>
  <si>
    <t>‫خالص درآمد سود سهام</t>
  </si>
  <si>
    <t>‫جمع درآمد سود سهام</t>
  </si>
  <si>
    <t>‫سود متعلق به هر سهم</t>
  </si>
  <si>
    <t>‫تعداد سهام متعلقه در زمان مجمع</t>
  </si>
  <si>
    <t>‫تاریخ تشکیل مجمع</t>
  </si>
  <si>
    <t>‫اطلاعات مجمع</t>
  </si>
  <si>
    <t>‫درآمد سود سهام</t>
  </si>
  <si>
    <t>‫گل گهر</t>
  </si>
  <si>
    <t>‫گسترش خودرو</t>
  </si>
  <si>
    <t>‫پتروشيمي پارس</t>
  </si>
  <si>
    <t>‫پتروشيمي بوعلي سينا</t>
  </si>
  <si>
    <t>‫نساجي بابكان</t>
  </si>
  <si>
    <t>‫معدنكاران نسوز</t>
  </si>
  <si>
    <t>‫مديريت نيروگاهي ايرانيان مپنا</t>
  </si>
  <si>
    <t>‫مخابرات</t>
  </si>
  <si>
    <t>‫مبين انرژي خليج فارس</t>
  </si>
  <si>
    <t>‫كاني كربن طبس</t>
  </si>
  <si>
    <t>‫فولاد اميركبير</t>
  </si>
  <si>
    <t>‫صنايع شيميايي كيمياگران امروز</t>
  </si>
  <si>
    <t>‫صنايع الكترونيك ماديران</t>
  </si>
  <si>
    <t>‫صنايع ارتباطي آوا</t>
  </si>
  <si>
    <t>‫صبا فولاد خليج فارس</t>
  </si>
  <si>
    <t>‫سرمايه گذاري پايا تدبيرپارسا</t>
  </si>
  <si>
    <t>‫سرمايه گذاري مهر</t>
  </si>
  <si>
    <t>‫سرمايه گذاري جامي</t>
  </si>
  <si>
    <t>‫ذوب آهن  اصفهان</t>
  </si>
  <si>
    <t>‫دارويي و نهاده هاي زاگرس دارو</t>
  </si>
  <si>
    <t>‫توليدي برنا باطري</t>
  </si>
  <si>
    <t>‫توليد انرژي برق شمس پاسارگاد</t>
  </si>
  <si>
    <t>‫توسعه نيشكر و صنايع جانبي</t>
  </si>
  <si>
    <t>‫بانك ملت</t>
  </si>
  <si>
    <t>‫اخشان خراسان</t>
  </si>
  <si>
    <t>‫درصد از کل درآمد ها</t>
  </si>
  <si>
    <t>‫جمع مبلغ</t>
  </si>
  <si>
    <t>‫سهام</t>
  </si>
  <si>
    <t>‫1404/04/23</t>
  </si>
  <si>
    <t>‫1404/04/21</t>
  </si>
  <si>
    <t>‫1404/04/29</t>
  </si>
  <si>
    <t>‫1404/05/11</t>
  </si>
  <si>
    <t>‫1404/04/30</t>
  </si>
  <si>
    <t>‫1404/04/31</t>
  </si>
  <si>
    <t>‫1404/05/08</t>
  </si>
  <si>
    <t>‫1404/03/28</t>
  </si>
  <si>
    <t>‫1404/05/13</t>
  </si>
  <si>
    <t>‫1404/05/12</t>
  </si>
  <si>
    <t>‫1404/04/28</t>
  </si>
  <si>
    <t>‫1404/04/17</t>
  </si>
  <si>
    <t>‫1404/01/31</t>
  </si>
  <si>
    <t>‫1403/12/08</t>
  </si>
  <si>
    <t>‫1404/06/17</t>
  </si>
  <si>
    <t>‫1403/12/22</t>
  </si>
  <si>
    <t>‫1403/12/20</t>
  </si>
  <si>
    <t>طی آبان ماه</t>
  </si>
  <si>
    <t>از ابتدای سال مالی تا پایان آبان ماه</t>
  </si>
  <si>
    <t>‫2-1- درآمد حاصل از سرمایه گذاری در سهام و حق تقدم سهام:</t>
  </si>
  <si>
    <t>‫2-2- درآمد حاصل از سرمایه گذاری در اختیار معاملات سهام:</t>
  </si>
  <si>
    <t>اختیار معامله</t>
  </si>
  <si>
    <t>اختيارخ خودرو-3250-1404/02/03</t>
  </si>
  <si>
    <t>اختيارخ خودرو-3750-1404/01/06</t>
  </si>
  <si>
    <t>اختيارخ خودرو-4000-1403/11/03</t>
  </si>
  <si>
    <t>اختيارخ خودرو-4000-1404/01/06</t>
  </si>
  <si>
    <t>اختيارخ خودرو-500-1404/07/02</t>
  </si>
  <si>
    <t>اختيارخ خودرو-500-1404/08/07</t>
  </si>
  <si>
    <t>اختيارخ خودرو-5000-1403/12/01</t>
  </si>
  <si>
    <t>اختيارخ خودرو-5000-1404/02/03</t>
  </si>
  <si>
    <t>اختيارخ خودرو-600-1404/04/04</t>
  </si>
  <si>
    <t>اختيارخ خودرو-600-1404/08/07</t>
  </si>
  <si>
    <t>اختيارخ خودرو-700-1404/03/07</t>
  </si>
  <si>
    <t>اختيارخ ذوب-400-1404/06/18</t>
  </si>
  <si>
    <t>اختيارخ ذوب-400-1404/09/19</t>
  </si>
  <si>
    <t>اختيارخ ذوب-500-1403/12/22</t>
  </si>
  <si>
    <t>اختيارخ ذوب-600-1403/11/24</t>
  </si>
  <si>
    <t>اختيارخ ذوب-700-1403/11/24</t>
  </si>
  <si>
    <t>اختيارخ شپنا-5500-1404/08/21</t>
  </si>
  <si>
    <t>اختيارخ شپنا-5500-1403/12/08</t>
  </si>
  <si>
    <t>اختيارخ شستا-1300-1404/06/12</t>
  </si>
  <si>
    <t>اختيارخ شستا-1300-1404/07/09</t>
  </si>
  <si>
    <t>اختيارخ شستا-1350-1403/10/12</t>
  </si>
  <si>
    <t>اختيارخ شستا-1450-1403/10/12</t>
  </si>
  <si>
    <t>اختيارخ شستا-1500-1404/01/20</t>
  </si>
  <si>
    <t>اختيارخ شستا-1500-1404/07/09</t>
  </si>
  <si>
    <t>اختيارخ شستا-1600-1404/08/14</t>
  </si>
  <si>
    <t>اختيارخ شستا-1650-1403/11/10</t>
  </si>
  <si>
    <t>اختيارخ شستا-1650-1403/12/08</t>
  </si>
  <si>
    <t>اختيارخ شستا-1700-1404/07/09</t>
  </si>
  <si>
    <t>اختيارخ شستا-1800-1404/08/14</t>
  </si>
  <si>
    <t>اختيارخ شستا-2000-1404/08/14</t>
  </si>
  <si>
    <t>اختيارخ شستا-2200-1404/04/11</t>
  </si>
  <si>
    <t>اختيارخ فملي-10000-1404/01/06</t>
  </si>
  <si>
    <t>اختيارخ فولاد-2600-1404/09/12</t>
  </si>
  <si>
    <t>اختيارخ فولاد-4320-1404/03/13</t>
  </si>
  <si>
    <t>اختيارخ وبصادر-2200-1403/11/17</t>
  </si>
  <si>
    <t>اختيارخ وبصادر-2400-1403/11/17</t>
  </si>
  <si>
    <t>اختيارخ وبصادر-700-1404/03/21</t>
  </si>
  <si>
    <t>اختيارخ وبصادر-700-1404/05/22</t>
  </si>
  <si>
    <t>اختيارخ وبصادر-800-1404/03/21</t>
  </si>
  <si>
    <t>اختيارخ وبصادر-800-1404/05/22</t>
  </si>
  <si>
    <t>اختيارخ وبصادر-900-1404/03/21</t>
  </si>
  <si>
    <t>اختيارخ وبملت-2934-1404/03/21</t>
  </si>
  <si>
    <t>اختيارخ وبملت-3000-1403/11/24</t>
  </si>
  <si>
    <t>اختيارخ وبملت-3500-1404/01/27</t>
  </si>
  <si>
    <t>اختيارخ وبملت-3750-1403/11/24</t>
  </si>
  <si>
    <t>اختيارف خساپا-300-1404/06/26</t>
  </si>
  <si>
    <t>اختيارف خساپا-543-1404/02/31</t>
  </si>
  <si>
    <t>اختيارف خودرو-300-1404/08/07</t>
  </si>
  <si>
    <t>اختيارف خودرو-3250-1403/11/03</t>
  </si>
  <si>
    <t>اختيارف خودرو-3250-1403/12/01</t>
  </si>
  <si>
    <t>اختيارف خودرو-3250-1404/01/06</t>
  </si>
  <si>
    <t>اختيارف خودرو-3500-1403/12/01</t>
  </si>
  <si>
    <t>اختيارف خودرو-3500-1404/01/06</t>
  </si>
  <si>
    <t>اختيارف خودرو-3750-1404/01/06</t>
  </si>
  <si>
    <t>اختيارف خودرو-400-1404/08/07</t>
  </si>
  <si>
    <t>اختيارف خودرو-500-1404/04/04</t>
  </si>
  <si>
    <t>اختيارف خودرو-600-1404/04/04</t>
  </si>
  <si>
    <t>اختيارف خودرو-647-1404/03/07</t>
  </si>
  <si>
    <t>اختيارف شستا-1100-1404/07/09</t>
  </si>
  <si>
    <t>اختيارف شستا-1300-1404/01/20</t>
  </si>
  <si>
    <t>اختيارف شستا-1400-1404/02/10</t>
  </si>
  <si>
    <t>اختيارف شستا-1500-1404/03/13</t>
  </si>
  <si>
    <t>اختيارف شستا-1500-1404/04/11</t>
  </si>
  <si>
    <t>اختيارف فولاد-3960-1404/03/13</t>
  </si>
  <si>
    <t>اختيارف وبملت-1175-1404/07/23</t>
  </si>
  <si>
    <t>اختيارف وبملت-1907-1404/03/21</t>
  </si>
  <si>
    <t>اختيارف وبملت-2054-1404/01/27</t>
  </si>
  <si>
    <t>اختيارف وبملت-2347-1404/03/21</t>
  </si>
  <si>
    <t>اختيارف وبملت-2640-1404/03/21</t>
  </si>
  <si>
    <t>اختيارف وبملت-3000-1403/11/24</t>
  </si>
  <si>
    <t>اختيارخ فولاد-3250-1404/09/12</t>
  </si>
  <si>
    <t>اختيارخ خودرو-550-1404/09/05</t>
  </si>
  <si>
    <t>اختيارخ فولاد-3000-1404/09/12</t>
  </si>
  <si>
    <t>اختيارف خودرو-500-1404/09/05</t>
  </si>
  <si>
    <t>اختيارخ شستا-1410-1404/09/12</t>
  </si>
  <si>
    <t>‫درصد سود به کل سود سپرده</t>
  </si>
  <si>
    <t>تعدیل کارمزد کارگزاری</t>
  </si>
  <si>
    <t>سایر درآمد ها</t>
  </si>
  <si>
    <t>2-1</t>
  </si>
  <si>
    <t>2-3</t>
  </si>
  <si>
    <t>2-4</t>
  </si>
  <si>
    <t>‫درآمد حاصل از سرمایه گذاری در اختیار معاملات سهام</t>
  </si>
  <si>
    <t>‫سود سپرده بانکی</t>
  </si>
  <si>
    <t>اختیار معاملات خرید سهام</t>
  </si>
  <si>
    <t>اختیار معاملات فروش سهام</t>
  </si>
  <si>
    <t>صندوق ‫سرمایه گذاری قابل معامله شاخصی بازار آشنا</t>
  </si>
  <si>
    <t>‫پتروشیمی تامین</t>
  </si>
  <si>
    <t>‫پتروشيمی پردیس</t>
  </si>
  <si>
    <t>‫پتروشيمي نوري</t>
  </si>
  <si>
    <t>‫پتروشيمي جم</t>
  </si>
  <si>
    <t>‫پارس مينو</t>
  </si>
  <si>
    <t>‫نفت تهران</t>
  </si>
  <si>
    <t>‫نفت تبريز</t>
  </si>
  <si>
    <t>‫نفت بندر عباس</t>
  </si>
  <si>
    <t>‫مپنا</t>
  </si>
  <si>
    <t>‫سيمان شاهرود</t>
  </si>
  <si>
    <t>‫سيمان تهران</t>
  </si>
  <si>
    <t>‫توسعه‌معادن‌وفلزات‌</t>
  </si>
  <si>
    <t>‫بانك تجارت</t>
  </si>
  <si>
    <t>‫اقتصاد نوين</t>
  </si>
  <si>
    <t>‫سرمایه گذاری قابل معامله شاخصی بازار آشنا</t>
  </si>
  <si>
    <t>‫132.9967.1270160.1</t>
  </si>
  <si>
    <t>‫1401/09/22</t>
  </si>
  <si>
    <t>‫جاري</t>
  </si>
  <si>
    <t>‫132-711270160-1</t>
  </si>
  <si>
    <t>‫1400/08/09</t>
  </si>
  <si>
    <t>‫415.8100.14938708.1</t>
  </si>
  <si>
    <t>‫1404/02/15</t>
  </si>
  <si>
    <t>‫پخش هجرت</t>
  </si>
  <si>
    <t>‫1404/06/26</t>
  </si>
  <si>
    <t>‫1404/06/23</t>
  </si>
  <si>
    <t>‫1404/03/03</t>
  </si>
  <si>
    <t>‫1403/10/19</t>
  </si>
  <si>
    <t>‫نفت بهران</t>
  </si>
  <si>
    <t>‫1404/07/20</t>
  </si>
  <si>
    <t>‫1404/04/12</t>
  </si>
  <si>
    <t>‫1404/01/27</t>
  </si>
  <si>
    <t>‫سرمايه گذاري ملي ايران</t>
  </si>
  <si>
    <t>‫1403/10/15</t>
  </si>
  <si>
    <t>‫بين المللي توسعه ص. معادن غدير</t>
  </si>
  <si>
    <t>‫1404/04/22</t>
  </si>
  <si>
    <t>‫1404/03/21</t>
  </si>
  <si>
    <t>‫ارتباطات سیار</t>
  </si>
  <si>
    <t>‫كوتاه مدت-1.14938708.8100.415-پاسارگاد</t>
  </si>
  <si>
    <t>‫1404/08/03</t>
  </si>
  <si>
    <t>‫كوتاه مدت-1.1270160.9967.132-گردشگري</t>
  </si>
  <si>
    <t>‫گروه مالي صبا تامين</t>
  </si>
  <si>
    <t>‫كشتيراني ايران</t>
  </si>
  <si>
    <t>‫فروشگاههاي زنجيره اي افق كوروش</t>
  </si>
  <si>
    <t>‫سرمايه گذاري اميد</t>
  </si>
  <si>
    <t>‫سايپا</t>
  </si>
  <si>
    <t>‫تولید برق دماوند</t>
  </si>
  <si>
    <t>‫ايران ترانسفو</t>
  </si>
  <si>
    <t>‫آلومينيوم ايران</t>
  </si>
  <si>
    <t>‫گسترش سرمايه گذاري ايران خودرو</t>
  </si>
  <si>
    <t>‫گروه مديريت سرمايه گذاري اميد</t>
  </si>
  <si>
    <t>‫كشتيراني جمهوري اسلامي ايران</t>
  </si>
  <si>
    <t>‫فولاد اميركبير كاشان</t>
  </si>
  <si>
    <t>‫فرآورده هاي غذايي و قند چهار محال</t>
  </si>
  <si>
    <t>‫شركت مخابرات ايران</t>
  </si>
  <si>
    <t>‫شركت ارتباطات سيار ايران</t>
  </si>
  <si>
    <t>‫ذوب آهن اصفهان</t>
  </si>
  <si>
    <t>‫توليد نيروي برق دماوند</t>
  </si>
  <si>
    <t>‫توسعه معدني و صنعتي صبانور</t>
  </si>
  <si>
    <t>‫توسعه معادن روي ايران</t>
  </si>
  <si>
    <t>‫بانك صادرات ايران</t>
  </si>
  <si>
    <t>‫گروه مپنا</t>
  </si>
  <si>
    <t>‫پتروشيمي پرديس</t>
  </si>
  <si>
    <t>‫پالايش نفت تهران</t>
  </si>
  <si>
    <t>‫پالايش نفت تبريز</t>
  </si>
  <si>
    <t>‫پالايش نفت اصفهان</t>
  </si>
  <si>
    <t>‫ملي صنايع مس ايران</t>
  </si>
  <si>
    <t>‫معدني و صنعتي گل گهر</t>
  </si>
  <si>
    <t>‫معدني و صنعتي چادر ملو</t>
  </si>
  <si>
    <t>‫فولاد مباركه اصفهان</t>
  </si>
  <si>
    <t>‫شركت گسترش نفت و گاز پارسيان</t>
  </si>
  <si>
    <t>‫شركت پالايش نفت بندر عباس</t>
  </si>
  <si>
    <t>‫سرمايه گذاري غدير (هلدينگ)</t>
  </si>
  <si>
    <t>‫سرمايه گذاري صندوق بازنشستگي كشوري (هلدينگ)</t>
  </si>
  <si>
    <t>‫سرمايه گذاري توسعه معادن و فلزات (هلدينگ)</t>
  </si>
  <si>
    <t>‫س. نفت و گاز و پتروشيمي تامين</t>
  </si>
  <si>
    <t>‫بانك اقتصاد نوين</t>
  </si>
  <si>
    <t>اختیارخ فولاد-2800-1404/09/12</t>
  </si>
  <si>
    <t>‫1-2- سرمایه گذاری در سپرده بانکی</t>
  </si>
  <si>
    <t>سرمایه گذاری قابل معامله شاخصی بازار آشنا</t>
  </si>
  <si>
    <t>اختيارخ اخابر-800-1404/05/22</t>
  </si>
  <si>
    <t>اختيارخ خساپا-3000-1403/12/22</t>
  </si>
  <si>
    <t>اختيارخ خساپا-3250-1403/12/22</t>
  </si>
  <si>
    <t>اختيارخ خساپا-500-1404/05/29</t>
  </si>
  <si>
    <t>اختيارخ خگستر-5500-1404/04/04</t>
  </si>
  <si>
    <t>اختيارخ خودرو-3750-1403/12/01</t>
  </si>
  <si>
    <t>اختيارخ خودرو-400-1404/06/05</t>
  </si>
  <si>
    <t>اختيارخ خودرو-400-1404/08/07</t>
  </si>
  <si>
    <t>اختيارخ خودرو-400-1404/09/05</t>
  </si>
  <si>
    <t>اختيارخ خودرو-647-1404/03/07</t>
  </si>
  <si>
    <t>اختيارخ شپنا-3873-1404/02/17</t>
  </si>
  <si>
    <t>اختيارخ شپنا-4930-1404/04/18</t>
  </si>
  <si>
    <t>اختيارخ شپنا-5000-1403/12/08</t>
  </si>
  <si>
    <t>اختيارخ شستا-1200-1404/06/12</t>
  </si>
  <si>
    <t>اختيارخ شستا-1400-1404/02/10</t>
  </si>
  <si>
    <t>اختيارخ شستا-1400-1404/07/09</t>
  </si>
  <si>
    <t>اختيارخ شستا-1400-1404/08/14</t>
  </si>
  <si>
    <t>اختيارخ شستا-1500-1404/05/15</t>
  </si>
  <si>
    <t>اختيارخ شستا-1500-1404/08/14</t>
  </si>
  <si>
    <t>اختيارخ شستا-1550-1403/11/10</t>
  </si>
  <si>
    <t>اختيارخ شستا-1600-1404/04/11</t>
  </si>
  <si>
    <t>اختيارخ شستا-1700-1404/04/11</t>
  </si>
  <si>
    <t>اختيارخ شستا-1800-1404/04/11</t>
  </si>
  <si>
    <t>اختيارخ شستا-2000-1404/03/13</t>
  </si>
  <si>
    <t>اختيارخ فملي-7429-1404/03/07</t>
  </si>
  <si>
    <t>اختيارخ فولاد-3500-1404/09/12</t>
  </si>
  <si>
    <t>اختيارخ فولاد-4000-1404/05/15</t>
  </si>
  <si>
    <t>اختيارخ فولاد-5000-1404/05/15</t>
  </si>
  <si>
    <t>اختيارخ فولاد-5040-1404/03/13</t>
  </si>
  <si>
    <t>اختيارخ فولاد-6000-1403/12/01</t>
  </si>
  <si>
    <t>اختيارخ فولاد-6500-1403/12/01</t>
  </si>
  <si>
    <t>اختيارخ وبصادر-585-1404/05/22</t>
  </si>
  <si>
    <t>اختيارخ وبملت-1073-1404/05/22</t>
  </si>
  <si>
    <t>اختيارخ وبملت-1073-1404/06/26</t>
  </si>
  <si>
    <t>اختيارخ وبملت-1073-1404/07/23</t>
  </si>
  <si>
    <t>اختيارخ وبملت-1175-1404/07/23</t>
  </si>
  <si>
    <t>اختيارخ وبملت-1277-1404/07/23</t>
  </si>
  <si>
    <t>اختيارخ وبملت-1400-1404/08/21</t>
  </si>
  <si>
    <t>اختيارخ وبملت-1600-1404/08/21</t>
  </si>
  <si>
    <t>اختيارخ وبملت-2600-1404/05/22</t>
  </si>
  <si>
    <t>اختيارخ وبملت-2640-1404/03/21</t>
  </si>
  <si>
    <t>اختيارخ وبملت-2800-1404/05/22</t>
  </si>
  <si>
    <t>اختيارخ وبملت-3000-1404/04/25</t>
  </si>
  <si>
    <t>اختيارخ وبملت-3250-1404/03/21</t>
  </si>
  <si>
    <t>اختيارخ وبملت-3750-1404/01/27</t>
  </si>
  <si>
    <t>اختيارخ وتجارت-1000-1404/04/18</t>
  </si>
  <si>
    <t>اختيارخ وتجارت-1800-1403/12/15</t>
  </si>
  <si>
    <t>اختيارخ وتجارت-2200-1403/12/15</t>
  </si>
  <si>
    <t>اختيارخ وتجارت-499-1404/02/17</t>
  </si>
  <si>
    <t>اختيارخ وتجارت-600-1404/06/18</t>
  </si>
  <si>
    <t>اختيارخ وتجارت-900-1404/04/18</t>
  </si>
  <si>
    <t>اختيارف خودرو-3000-1404/01/06</t>
  </si>
  <si>
    <t>اختيارف خودرو-3250-1404/02/03</t>
  </si>
  <si>
    <t>اختيارف شپنا-3521-1404/04/18</t>
  </si>
  <si>
    <t>اختيارف شستا-1350-1403/12/08</t>
  </si>
  <si>
    <t>اختيارف شستا-1500-1404/02/10</t>
  </si>
  <si>
    <t>اختيارف فملي-6686-1404/03/07</t>
  </si>
  <si>
    <t>اختيارف وبصادر-600-1404/03/21</t>
  </si>
  <si>
    <t>اختيارف وبملت-1073-1404/07/23</t>
  </si>
  <si>
    <t>اختيارف وبملت-1100-1404/08/21</t>
  </si>
  <si>
    <t>اختيارف وبملت-1907-1404/01/27</t>
  </si>
  <si>
    <t>اختيارف وتجارت-545-1404/02/17</t>
  </si>
  <si>
    <t>اختيارخ خودرو-450-1404/09/05</t>
  </si>
  <si>
    <t>اختيارخ فولاد-2800-1404/09/12</t>
  </si>
  <si>
    <t>اختيارخ وبملت-1300-1404/08/21</t>
  </si>
  <si>
    <t>اختيارخ وبملت-1500-1404/09/19</t>
  </si>
  <si>
    <t>اختيارخ وبملت-1400-1404/09/19</t>
  </si>
  <si>
    <t>اختيارخ فملي-9000-1404/09/05</t>
  </si>
  <si>
    <t>اختيارف شستا-1310-1404/08/14</t>
  </si>
  <si>
    <t>اختيارف وبملت-1200-1404/08/21</t>
  </si>
  <si>
    <t>اختيارف شستا-1210-1404/08/14</t>
  </si>
  <si>
    <t>‫2-3- درآمد حاصل از سرمایه گذاری در سپرده بانکی و گواهی سپرده:</t>
  </si>
  <si>
    <t>‫2-4- سایر درآمدها: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</si>
</sst>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b/>
      <sz val="12"/>
      <color indexed="8"/>
      <name val="B Zar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0" fontId="1" fillId="2" borderId="2"/>
    <xf numFmtId="0" fontId="1" fillId="2" borderId="2"/>
    <xf numFmtId="9" fontId="1" fillId="2" borderId="2" applyFont="0" applyFill="0" applyBorder="0" applyAlignment="0" applyProtection="0"/>
    <xf numFmtId="0" fontId="1" fillId="2" borderId="2"/>
    <xf numFmtId="0" fontId="1" fillId="2" borderId="2"/>
    <xf numFmtId="0" fontId="1" fillId="2" borderId="2"/>
    <xf numFmtId="0" fontId="1" fillId="2" borderId="2"/>
    <xf numFmtId="43" fontId="1" fillId="2" borderId="2" applyFont="0" applyFill="0" applyBorder="0" applyAlignment="0" applyProtection="0"/>
    <xf numFmtId="0" fontId="1" fillId="2" borderId="2"/>
  </cellStyleXfs>
  <cellXfs count="58">
    <xf numFmtId="0" fontId="0" fillId="0" borderId="0" xfId="0"/>
    <xf numFmtId="37" fontId="8" fillId="2" borderId="2" xfId="1" applyNumberFormat="1" applyFont="1" applyAlignment="1">
      <alignment horizontal="right" vertical="center" wrapText="1"/>
    </xf>
    <xf numFmtId="37" fontId="8" fillId="2" borderId="2" xfId="1" applyNumberFormat="1" applyFont="1" applyAlignment="1">
      <alignment horizontal="center" vertical="center"/>
    </xf>
    <xf numFmtId="10" fontId="8" fillId="2" borderId="2" xfId="1" applyNumberFormat="1" applyFont="1" applyAlignment="1">
      <alignment horizontal="center" vertical="center"/>
    </xf>
    <xf numFmtId="37" fontId="8" fillId="2" borderId="1" xfId="1" applyNumberFormat="1" applyFont="1" applyBorder="1" applyAlignment="1">
      <alignment horizontal="center" vertical="center"/>
    </xf>
    <xf numFmtId="37" fontId="8" fillId="2" borderId="2" xfId="1" applyNumberFormat="1" applyFont="1" applyBorder="1" applyAlignment="1">
      <alignment horizontal="center" vertical="center"/>
    </xf>
    <xf numFmtId="37" fontId="8" fillId="2" borderId="2" xfId="5" applyNumberFormat="1" applyFont="1" applyAlignment="1">
      <alignment horizontal="center" vertical="center"/>
    </xf>
    <xf numFmtId="37" fontId="7" fillId="2" borderId="6" xfId="1" applyNumberFormat="1" applyFont="1" applyBorder="1" applyAlignment="1">
      <alignment horizontal="center" vertical="center" wrapText="1"/>
    </xf>
    <xf numFmtId="0" fontId="3" fillId="2" borderId="2" xfId="1" applyFont="1"/>
    <xf numFmtId="37" fontId="7" fillId="2" borderId="6" xfId="1" applyNumberFormat="1" applyFont="1" applyBorder="1" applyAlignment="1">
      <alignment horizontal="center" vertical="center"/>
    </xf>
    <xf numFmtId="37" fontId="8" fillId="2" borderId="2" xfId="1" applyNumberFormat="1" applyFont="1" applyAlignment="1">
      <alignment horizontal="center" vertical="center" wrapText="1"/>
    </xf>
    <xf numFmtId="0" fontId="8" fillId="2" borderId="2" xfId="1" applyFont="1" applyAlignment="1">
      <alignment horizontal="center" vertical="center"/>
    </xf>
    <xf numFmtId="37" fontId="8" fillId="2" borderId="7" xfId="1" applyNumberFormat="1" applyFont="1" applyBorder="1" applyAlignment="1">
      <alignment horizontal="center" vertical="center"/>
    </xf>
    <xf numFmtId="10" fontId="8" fillId="2" borderId="7" xfId="1" applyNumberFormat="1" applyFont="1" applyBorder="1" applyAlignment="1">
      <alignment horizontal="center" vertical="center"/>
    </xf>
    <xf numFmtId="10" fontId="8" fillId="2" borderId="4" xfId="1" applyNumberFormat="1" applyFont="1" applyBorder="1" applyAlignment="1">
      <alignment horizontal="center" vertical="center"/>
    </xf>
    <xf numFmtId="9" fontId="8" fillId="2" borderId="7" xfId="1" applyNumberFormat="1" applyFont="1" applyBorder="1" applyAlignment="1">
      <alignment horizontal="center" vertical="center"/>
    </xf>
    <xf numFmtId="0" fontId="3" fillId="2" borderId="2" xfId="9" applyFont="1"/>
    <xf numFmtId="37" fontId="8" fillId="2" borderId="3" xfId="9" applyNumberFormat="1" applyFont="1" applyBorder="1" applyAlignment="1">
      <alignment horizontal="center" vertical="center"/>
    </xf>
    <xf numFmtId="37" fontId="8" fillId="2" borderId="2" xfId="9" applyNumberFormat="1" applyFont="1" applyAlignment="1">
      <alignment horizontal="right" vertical="center" wrapText="1"/>
    </xf>
    <xf numFmtId="0" fontId="8" fillId="2" borderId="2" xfId="9" applyFont="1" applyAlignment="1">
      <alignment horizontal="center" vertical="center"/>
    </xf>
    <xf numFmtId="37" fontId="8" fillId="2" borderId="2" xfId="9" applyNumberFormat="1" applyFont="1" applyAlignment="1">
      <alignment horizontal="center" vertical="center"/>
    </xf>
    <xf numFmtId="10" fontId="8" fillId="2" borderId="2" xfId="9" applyNumberFormat="1" applyFont="1" applyAlignment="1">
      <alignment horizontal="center" vertical="center"/>
    </xf>
    <xf numFmtId="37" fontId="8" fillId="2" borderId="7" xfId="9" applyNumberFormat="1" applyFont="1" applyBorder="1" applyAlignment="1">
      <alignment horizontal="center" vertical="center"/>
    </xf>
    <xf numFmtId="10" fontId="8" fillId="2" borderId="7" xfId="9" applyNumberFormat="1" applyFont="1" applyBorder="1" applyAlignment="1">
      <alignment horizontal="center" vertical="center"/>
    </xf>
    <xf numFmtId="37" fontId="8" fillId="2" borderId="1" xfId="9" applyNumberFormat="1" applyFont="1" applyBorder="1" applyAlignment="1">
      <alignment horizontal="center" vertical="center"/>
    </xf>
    <xf numFmtId="37" fontId="8" fillId="2" borderId="2" xfId="9" applyNumberFormat="1" applyFont="1" applyBorder="1" applyAlignment="1">
      <alignment horizontal="center" vertical="center"/>
    </xf>
    <xf numFmtId="0" fontId="3" fillId="2" borderId="2" xfId="5" applyFont="1"/>
    <xf numFmtId="37" fontId="8" fillId="2" borderId="1" xfId="5" applyNumberFormat="1" applyFont="1" applyBorder="1" applyAlignment="1">
      <alignment horizontal="center" vertical="center"/>
    </xf>
    <xf numFmtId="10" fontId="8" fillId="2" borderId="7" xfId="5" applyNumberFormat="1" applyFont="1" applyBorder="1" applyAlignment="1">
      <alignment horizontal="center" vertical="center"/>
    </xf>
    <xf numFmtId="9" fontId="8" fillId="2" borderId="7" xfId="5" applyNumberFormat="1" applyFont="1" applyBorder="1" applyAlignment="1">
      <alignment horizontal="center" vertical="center"/>
    </xf>
    <xf numFmtId="37" fontId="8" fillId="2" borderId="7" xfId="5" applyNumberFormat="1" applyFont="1" applyBorder="1" applyAlignment="1">
      <alignment horizontal="center" vertical="center"/>
    </xf>
    <xf numFmtId="37" fontId="7" fillId="2" borderId="7" xfId="5" applyNumberFormat="1" applyFont="1" applyBorder="1" applyAlignment="1">
      <alignment horizontal="center" vertical="center"/>
    </xf>
    <xf numFmtId="10" fontId="8" fillId="2" borderId="2" xfId="5" applyNumberFormat="1" applyFont="1" applyAlignment="1">
      <alignment horizontal="center" vertical="center"/>
    </xf>
    <xf numFmtId="49" fontId="8" fillId="2" borderId="2" xfId="5" applyNumberFormat="1" applyFont="1" applyAlignment="1">
      <alignment horizontal="center" vertical="center"/>
    </xf>
    <xf numFmtId="37" fontId="7" fillId="2" borderId="2" xfId="5" applyNumberFormat="1" applyFont="1" applyAlignment="1">
      <alignment horizontal="right" vertical="center"/>
    </xf>
    <xf numFmtId="37" fontId="7" fillId="2" borderId="6" xfId="5" applyNumberFormat="1" applyFont="1" applyBorder="1" applyAlignment="1">
      <alignment horizontal="center" vertical="center" wrapText="1"/>
    </xf>
    <xf numFmtId="37" fontId="7" fillId="2" borderId="6" xfId="5" applyNumberFormat="1" applyFont="1" applyBorder="1" applyAlignment="1">
      <alignment horizontal="center" vertical="center"/>
    </xf>
    <xf numFmtId="0" fontId="5" fillId="2" borderId="2" xfId="1" applyFont="1" applyAlignment="1">
      <alignment horizontal="center" vertical="center" wrapText="1" readingOrder="2"/>
    </xf>
    <xf numFmtId="37" fontId="2" fillId="2" borderId="2" xfId="1" applyNumberFormat="1" applyFont="1" applyAlignment="1">
      <alignment horizontal="center" vertical="center"/>
    </xf>
    <xf numFmtId="0" fontId="3" fillId="2" borderId="2" xfId="1" applyFont="1"/>
    <xf numFmtId="0" fontId="4" fillId="3" borderId="2" xfId="1" applyFont="1" applyFill="1" applyAlignment="1">
      <alignment horizontal="center" vertical="center" wrapText="1" readingOrder="2"/>
    </xf>
    <xf numFmtId="37" fontId="8" fillId="2" borderId="2" xfId="9" applyNumberFormat="1" applyFont="1" applyAlignment="1">
      <alignment horizontal="center" vertical="center" wrapText="1"/>
    </xf>
    <xf numFmtId="37" fontId="8" fillId="2" borderId="3" xfId="9" applyNumberFormat="1" applyFont="1" applyBorder="1" applyAlignment="1">
      <alignment horizontal="center" vertical="center"/>
    </xf>
    <xf numFmtId="0" fontId="8" fillId="2" borderId="2" xfId="9" applyFont="1" applyAlignment="1">
      <alignment horizontal="center" vertical="center"/>
    </xf>
    <xf numFmtId="37" fontId="6" fillId="2" borderId="2" xfId="9" applyNumberFormat="1" applyFont="1" applyAlignment="1">
      <alignment horizontal="center" vertical="center"/>
    </xf>
    <xf numFmtId="0" fontId="3" fillId="2" borderId="2" xfId="9" applyFont="1"/>
    <xf numFmtId="37" fontId="7" fillId="2" borderId="2" xfId="9" applyNumberFormat="1" applyFont="1" applyAlignment="1">
      <alignment horizontal="right" vertical="center"/>
    </xf>
    <xf numFmtId="37" fontId="7" fillId="2" borderId="6" xfId="9" applyNumberFormat="1" applyFont="1" applyBorder="1" applyAlignment="1">
      <alignment horizontal="center" vertical="center"/>
    </xf>
    <xf numFmtId="0" fontId="3" fillId="2" borderId="5" xfId="9" applyFont="1" applyBorder="1"/>
    <xf numFmtId="37" fontId="6" fillId="2" borderId="2" xfId="1" applyNumberFormat="1" applyFont="1" applyAlignment="1">
      <alignment horizontal="center" vertical="center"/>
    </xf>
    <xf numFmtId="37" fontId="7" fillId="2" borderId="2" xfId="1" applyNumberFormat="1" applyFont="1" applyAlignment="1">
      <alignment horizontal="right" vertical="center"/>
    </xf>
    <xf numFmtId="37" fontId="7" fillId="2" borderId="6" xfId="1" applyNumberFormat="1" applyFont="1" applyBorder="1" applyAlignment="1">
      <alignment horizontal="center" vertical="center"/>
    </xf>
    <xf numFmtId="0" fontId="3" fillId="2" borderId="5" xfId="1" applyFont="1" applyBorder="1"/>
    <xf numFmtId="37" fontId="6" fillId="2" borderId="2" xfId="5" applyNumberFormat="1" applyFont="1" applyAlignment="1">
      <alignment horizontal="center" vertical="center"/>
    </xf>
    <xf numFmtId="0" fontId="3" fillId="2" borderId="2" xfId="5" applyFont="1"/>
    <xf numFmtId="37" fontId="7" fillId="2" borderId="2" xfId="5" applyNumberFormat="1" applyFont="1" applyAlignment="1">
      <alignment horizontal="right" vertical="center"/>
    </xf>
    <xf numFmtId="0" fontId="9" fillId="2" borderId="6" xfId="5" applyFont="1" applyBorder="1" applyAlignment="1">
      <alignment horizontal="center"/>
    </xf>
    <xf numFmtId="0" fontId="9" fillId="2" borderId="5" xfId="1" applyFont="1" applyBorder="1" applyAlignment="1">
      <alignment horizontal="center"/>
    </xf>
  </cellXfs>
  <cellStyles count="10">
    <cellStyle name="Comma 2" xfId="8" xr:uid="{351CE06B-A4B5-47CC-9710-B02B13B6D453}"/>
    <cellStyle name="Normal" xfId="0" builtinId="0"/>
    <cellStyle name="Normal 2" xfId="1" xr:uid="{A9431FE7-D99A-4ACF-AC7D-406FA1CA8F34}"/>
    <cellStyle name="Normal 3" xfId="2" xr:uid="{3A1CBA4C-F447-46AA-BDB1-77D828E8F651}"/>
    <cellStyle name="Normal 4" xfId="4" xr:uid="{E7EA2C56-6726-44F2-BB5C-9B6A6B3CF944}"/>
    <cellStyle name="Normal 5" xfId="5" xr:uid="{61A637DE-CEEC-45F7-AE7C-B3A4D09EF615}"/>
    <cellStyle name="Normal 6" xfId="6" xr:uid="{E42ED7C0-7F57-4897-B257-B61BD2B367C3}"/>
    <cellStyle name="Normal 7" xfId="7" xr:uid="{2B6D02B7-BE1E-4E3A-B04B-93E269672D27}"/>
    <cellStyle name="Normal 8" xfId="9" xr:uid="{886685DF-0A1A-4D9C-A088-ED3CB4527EA3}"/>
    <cellStyle name="Percent 2" xfId="3" xr:uid="{AC429102-C7AE-42D0-B0CD-20002133B5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B0B79-54DB-47F0-9D62-F3B9E3F85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1010368</xdr:colOff>
      <xdr:row>3</xdr:row>
      <xdr:rowOff>137161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42F21-1B26-4EC4-83FA-E5E3510A3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480992" y="1"/>
          <a:ext cx="1010368" cy="891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1010368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CD377-1095-4FFC-BAF6-4FECC69F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298112" y="0"/>
          <a:ext cx="1010368" cy="8991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32647" cy="829235"/>
    <xdr:pic>
      <xdr:nvPicPr>
        <xdr:cNvPr id="2" name="Picture 1">
          <a:extLst>
            <a:ext uri="{FF2B5EF4-FFF2-40B4-BE49-F238E27FC236}">
              <a16:creationId xmlns:a16="http://schemas.microsoft.com/office/drawing/2014/main" id="{1F656A8E-47E8-4986-9264-AAE55BCCB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522393" y="0"/>
          <a:ext cx="932647" cy="82923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1010368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B7E97-561B-4B0F-B426-A1E6DD69E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182032" y="0"/>
          <a:ext cx="1010368" cy="8991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29284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4F8BF-584E-48B2-9CB4-D16E76F97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724699" y="0"/>
          <a:ext cx="871561" cy="7836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26018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EA7F9-0F25-452D-B01F-A2FAEF35B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061759" y="0"/>
          <a:ext cx="871561" cy="78039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26018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1832B-DE7E-4B44-910E-A6FD523F3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9484919" y="0"/>
          <a:ext cx="871561" cy="78039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26018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7B3AB9-5F61-4E4C-867E-C3E429795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328459" y="0"/>
          <a:ext cx="871561" cy="78039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33638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BAE442-8C5C-4339-A94D-D2368DF73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153199" y="0"/>
          <a:ext cx="871561" cy="78801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33638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2B0BD-2330-4FD3-9AAB-07D2735B9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320839" y="0"/>
          <a:ext cx="871561" cy="78801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41258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9A4248-75C8-4A0E-B084-3181C54B4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602779" y="0"/>
          <a:ext cx="871561" cy="795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84A3-A777-4367-81B8-8E4952587A29}">
  <sheetPr>
    <pageSetUpPr fitToPage="1"/>
  </sheetPr>
  <dimension ref="A18:J25"/>
  <sheetViews>
    <sheetView rightToLeft="1" tabSelected="1" view="pageBreakPreview" topLeftCell="A4" zoomScaleNormal="100" zoomScaleSheetLayoutView="100" workbookViewId="0">
      <selection activeCell="A21" sqref="A21"/>
    </sheetView>
  </sheetViews>
  <sheetFormatPr defaultColWidth="8.85546875" defaultRowHeight="19.5" x14ac:dyDescent="0.55000000000000004"/>
  <cols>
    <col min="1" max="16384" width="8.85546875" style="8"/>
  </cols>
  <sheetData>
    <row r="18" spans="1:10" ht="40.15" customHeight="1" x14ac:dyDescent="0.55000000000000004">
      <c r="A18" s="38" t="s">
        <v>236</v>
      </c>
      <c r="B18" s="39"/>
      <c r="C18" s="39"/>
      <c r="D18" s="39"/>
      <c r="E18" s="39"/>
      <c r="F18" s="39"/>
      <c r="G18" s="39"/>
      <c r="H18" s="39"/>
      <c r="I18" s="39"/>
      <c r="J18" s="39"/>
    </row>
    <row r="19" spans="1:10" ht="40.15" customHeight="1" x14ac:dyDescent="0.55000000000000004">
      <c r="A19" s="38" t="s">
        <v>0</v>
      </c>
      <c r="B19" s="39"/>
      <c r="C19" s="39"/>
      <c r="D19" s="39"/>
      <c r="E19" s="39"/>
      <c r="F19" s="39"/>
      <c r="G19" s="39"/>
      <c r="H19" s="39"/>
      <c r="I19" s="39"/>
      <c r="J19" s="39"/>
    </row>
    <row r="20" spans="1:10" ht="40.15" customHeight="1" x14ac:dyDescent="0.55000000000000004">
      <c r="A20" s="38" t="s">
        <v>1</v>
      </c>
      <c r="B20" s="39"/>
      <c r="C20" s="39"/>
      <c r="D20" s="39"/>
      <c r="E20" s="39"/>
      <c r="F20" s="39"/>
      <c r="G20" s="39"/>
      <c r="H20" s="39"/>
      <c r="I20" s="39"/>
      <c r="J20" s="39"/>
    </row>
    <row r="24" spans="1:10" ht="43.5" customHeight="1" x14ac:dyDescent="0.55000000000000004">
      <c r="B24" s="40" t="s">
        <v>48</v>
      </c>
      <c r="C24" s="40"/>
      <c r="D24" s="40" t="s">
        <v>49</v>
      </c>
      <c r="E24" s="40"/>
      <c r="F24" s="40" t="s">
        <v>50</v>
      </c>
      <c r="G24" s="40"/>
      <c r="H24" s="40" t="s">
        <v>51</v>
      </c>
      <c r="I24" s="40"/>
    </row>
    <row r="25" spans="1:10" ht="39.75" customHeight="1" x14ac:dyDescent="0.55000000000000004">
      <c r="B25" s="37" t="s">
        <v>52</v>
      </c>
      <c r="C25" s="37"/>
      <c r="D25" s="37" t="s">
        <v>53</v>
      </c>
      <c r="E25" s="37"/>
      <c r="F25" s="37" t="s">
        <v>54</v>
      </c>
      <c r="G25" s="37"/>
      <c r="H25" s="37"/>
      <c r="I25" s="37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3F62-B506-43BA-A74F-5F4487FC35EE}">
  <sheetPr>
    <pageSetUpPr fitToPage="1"/>
  </sheetPr>
  <dimension ref="A1:W52"/>
  <sheetViews>
    <sheetView rightToLeft="1" view="pageBreakPreview" topLeftCell="A34" zoomScale="60" zoomScaleNormal="100" workbookViewId="0">
      <selection activeCell="A50" sqref="A50"/>
    </sheetView>
  </sheetViews>
  <sheetFormatPr defaultColWidth="8.85546875" defaultRowHeight="19.5" x14ac:dyDescent="0.55000000000000004"/>
  <cols>
    <col min="1" max="1" width="35.42578125" style="16" customWidth="1"/>
    <col min="2" max="2" width="1.42578125" style="16" customWidth="1"/>
    <col min="3" max="3" width="12.85546875" style="16" customWidth="1"/>
    <col min="4" max="4" width="1.42578125" style="16" customWidth="1"/>
    <col min="5" max="5" width="17" style="16" customWidth="1"/>
    <col min="6" max="6" width="1.42578125" style="16" customWidth="1"/>
    <col min="7" max="7" width="23.7109375" style="16" customWidth="1"/>
    <col min="8" max="8" width="1.42578125" style="16" customWidth="1"/>
    <col min="9" max="9" width="14.5703125" style="16" customWidth="1"/>
    <col min="10" max="10" width="21.85546875" style="16" customWidth="1"/>
    <col min="11" max="11" width="1.42578125" style="16" customWidth="1"/>
    <col min="12" max="12" width="14.85546875" style="16" customWidth="1"/>
    <col min="13" max="13" width="21" style="16" customWidth="1"/>
    <col min="14" max="14" width="1.42578125" style="16" customWidth="1"/>
    <col min="15" max="15" width="12.85546875" style="16" customWidth="1"/>
    <col min="16" max="16" width="1.42578125" style="16" customWidth="1"/>
    <col min="17" max="17" width="15.85546875" style="16" customWidth="1"/>
    <col min="18" max="18" width="1.42578125" style="16" customWidth="1"/>
    <col min="19" max="19" width="17" style="16" customWidth="1"/>
    <col min="20" max="20" width="1.42578125" style="16" customWidth="1"/>
    <col min="21" max="21" width="22.28515625" style="16" customWidth="1"/>
    <col min="22" max="22" width="1.42578125" style="16" customWidth="1"/>
    <col min="23" max="23" width="17.42578125" style="16" customWidth="1"/>
    <col min="24" max="16384" width="8.85546875" style="16"/>
  </cols>
  <sheetData>
    <row r="1" spans="1:23" ht="19.899999999999999" customHeight="1" x14ac:dyDescent="0.55000000000000004">
      <c r="A1" s="44" t="s">
        <v>251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3" ht="19.899999999999999" customHeight="1" x14ac:dyDescent="0.55000000000000004">
      <c r="A2" s="44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3" ht="19.899999999999999" customHeight="1" x14ac:dyDescent="0.55000000000000004">
      <c r="A3" s="44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5" spans="1:23" ht="21" x14ac:dyDescent="0.55000000000000004">
      <c r="A5" s="46" t="s">
        <v>89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 ht="21" x14ac:dyDescent="0.55000000000000004">
      <c r="A6" s="46" t="s">
        <v>88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</row>
    <row r="8" spans="1:23" ht="21" x14ac:dyDescent="0.55000000000000004">
      <c r="C8" s="47" t="s">
        <v>2</v>
      </c>
      <c r="D8" s="48"/>
      <c r="E8" s="48"/>
      <c r="F8" s="48"/>
      <c r="G8" s="48"/>
      <c r="I8" s="47" t="s">
        <v>55</v>
      </c>
      <c r="J8" s="48"/>
      <c r="K8" s="48"/>
      <c r="L8" s="48"/>
      <c r="M8" s="48"/>
      <c r="O8" s="47" t="s">
        <v>3</v>
      </c>
      <c r="P8" s="48"/>
      <c r="Q8" s="48"/>
      <c r="R8" s="48"/>
      <c r="S8" s="48"/>
      <c r="T8" s="48"/>
      <c r="U8" s="48"/>
      <c r="V8" s="48"/>
      <c r="W8" s="48"/>
    </row>
    <row r="9" spans="1:23" ht="21" x14ac:dyDescent="0.55000000000000004">
      <c r="A9" s="43" t="s">
        <v>87</v>
      </c>
      <c r="C9" s="43" t="s">
        <v>4</v>
      </c>
      <c r="E9" s="43" t="s">
        <v>5</v>
      </c>
      <c r="G9" s="43" t="s">
        <v>6</v>
      </c>
      <c r="I9" s="43" t="s">
        <v>56</v>
      </c>
      <c r="J9" s="45"/>
      <c r="L9" s="43" t="s">
        <v>57</v>
      </c>
      <c r="M9" s="45"/>
      <c r="O9" s="43" t="s">
        <v>4</v>
      </c>
      <c r="Q9" s="41" t="s">
        <v>86</v>
      </c>
      <c r="S9" s="43" t="s">
        <v>5</v>
      </c>
      <c r="U9" s="43" t="s">
        <v>6</v>
      </c>
      <c r="W9" s="41" t="s">
        <v>7</v>
      </c>
    </row>
    <row r="10" spans="1:23" ht="21" x14ac:dyDescent="0.55000000000000004">
      <c r="A10" s="42"/>
      <c r="C10" s="42"/>
      <c r="E10" s="42"/>
      <c r="G10" s="42"/>
      <c r="I10" s="17" t="s">
        <v>4</v>
      </c>
      <c r="J10" s="17" t="s">
        <v>5</v>
      </c>
      <c r="L10" s="17" t="s">
        <v>4</v>
      </c>
      <c r="M10" s="17" t="s">
        <v>8</v>
      </c>
      <c r="O10" s="42"/>
      <c r="Q10" s="42"/>
      <c r="S10" s="42"/>
      <c r="U10" s="42"/>
      <c r="W10" s="42"/>
    </row>
    <row r="11" spans="1:23" ht="21" x14ac:dyDescent="0.55000000000000004">
      <c r="A11" s="18" t="s">
        <v>250</v>
      </c>
      <c r="C11" s="20">
        <v>4200000</v>
      </c>
      <c r="E11" s="20">
        <v>14099676972</v>
      </c>
      <c r="G11" s="20">
        <v>17668642320</v>
      </c>
      <c r="I11" s="20">
        <v>0</v>
      </c>
      <c r="J11" s="20">
        <v>0</v>
      </c>
      <c r="L11" s="20">
        <v>0</v>
      </c>
      <c r="M11" s="20">
        <v>0</v>
      </c>
      <c r="N11" s="19"/>
      <c r="O11" s="20">
        <v>4200000</v>
      </c>
      <c r="Q11" s="20">
        <v>4392</v>
      </c>
      <c r="S11" s="20">
        <v>14099676972</v>
      </c>
      <c r="U11" s="20">
        <v>18174615774</v>
      </c>
      <c r="W11" s="21">
        <v>2.0018112302813234E-2</v>
      </c>
    </row>
    <row r="12" spans="1:23" ht="21" x14ac:dyDescent="0.55000000000000004">
      <c r="A12" s="18" t="s">
        <v>84</v>
      </c>
      <c r="C12" s="20">
        <v>56000000</v>
      </c>
      <c r="E12" s="20">
        <v>18616376041</v>
      </c>
      <c r="G12" s="20">
        <v>29614737600</v>
      </c>
      <c r="I12" s="20">
        <v>14000</v>
      </c>
      <c r="J12" s="20">
        <v>5602800</v>
      </c>
      <c r="L12" s="20">
        <v>7614000</v>
      </c>
      <c r="M12" s="20">
        <v>3981224036</v>
      </c>
      <c r="O12" s="20">
        <v>48400000</v>
      </c>
      <c r="Q12" s="20">
        <v>532</v>
      </c>
      <c r="S12" s="20">
        <v>16090785954</v>
      </c>
      <c r="U12" s="20">
        <v>25741865248</v>
      </c>
      <c r="W12" s="21">
        <v>2.8352926731773077E-2</v>
      </c>
    </row>
    <row r="13" spans="1:23" ht="21" x14ac:dyDescent="0.55000000000000004">
      <c r="A13" s="18" t="s">
        <v>313</v>
      </c>
      <c r="C13" s="20">
        <v>0</v>
      </c>
      <c r="D13" s="20"/>
      <c r="E13" s="20">
        <v>0</v>
      </c>
      <c r="F13" s="20"/>
      <c r="G13" s="20">
        <v>0</v>
      </c>
      <c r="I13" s="20">
        <v>1000000</v>
      </c>
      <c r="J13" s="20">
        <v>354857347</v>
      </c>
      <c r="L13" s="20">
        <v>0</v>
      </c>
      <c r="M13" s="20">
        <v>0</v>
      </c>
      <c r="O13" s="20">
        <v>1000000</v>
      </c>
      <c r="Q13" s="20">
        <v>262</v>
      </c>
      <c r="S13" s="20">
        <v>354857347</v>
      </c>
      <c r="U13" s="20">
        <v>265382612</v>
      </c>
      <c r="W13" s="21">
        <v>2.9230103108037847E-4</v>
      </c>
    </row>
    <row r="14" spans="1:23" ht="21" x14ac:dyDescent="0.55000000000000004">
      <c r="A14" s="18" t="s">
        <v>249</v>
      </c>
      <c r="C14" s="20">
        <v>0</v>
      </c>
      <c r="D14" s="20"/>
      <c r="E14" s="20">
        <v>0</v>
      </c>
      <c r="F14" s="20"/>
      <c r="G14" s="20">
        <v>0</v>
      </c>
      <c r="H14" s="19"/>
      <c r="I14" s="20">
        <v>8800000</v>
      </c>
      <c r="J14" s="20">
        <v>4172509660</v>
      </c>
      <c r="L14" s="20">
        <v>0</v>
      </c>
      <c r="M14" s="20">
        <v>0</v>
      </c>
      <c r="O14" s="20">
        <v>8800000</v>
      </c>
      <c r="Q14" s="20">
        <v>469</v>
      </c>
      <c r="S14" s="20">
        <v>4172509660</v>
      </c>
      <c r="U14" s="20">
        <v>4095296744</v>
      </c>
      <c r="W14" s="21">
        <v>4.5106928891457164E-3</v>
      </c>
    </row>
    <row r="15" spans="1:23" ht="21" x14ac:dyDescent="0.55000000000000004">
      <c r="A15" s="18" t="s">
        <v>124</v>
      </c>
      <c r="C15" s="20">
        <v>35313066</v>
      </c>
      <c r="E15" s="20">
        <v>18266640077</v>
      </c>
      <c r="G15" s="20">
        <v>42966014787</v>
      </c>
      <c r="I15" s="20">
        <v>2400000</v>
      </c>
      <c r="J15" s="20">
        <v>3009990630</v>
      </c>
      <c r="L15" s="20">
        <v>1513066</v>
      </c>
      <c r="M15" s="20">
        <v>1890607540</v>
      </c>
      <c r="O15" s="20">
        <v>36200000</v>
      </c>
      <c r="Q15" s="20">
        <v>1189</v>
      </c>
      <c r="S15" s="20">
        <v>20423002245</v>
      </c>
      <c r="U15" s="20">
        <v>42888687756</v>
      </c>
      <c r="W15" s="21">
        <v>4.7238994138633326E-2</v>
      </c>
    </row>
    <row r="16" spans="1:23" ht="21" x14ac:dyDescent="0.55000000000000004">
      <c r="A16" s="18" t="s">
        <v>82</v>
      </c>
      <c r="C16" s="20">
        <v>2400000</v>
      </c>
      <c r="E16" s="20">
        <v>10830040925</v>
      </c>
      <c r="G16" s="20">
        <v>10241895960</v>
      </c>
      <c r="I16" s="20">
        <v>800000</v>
      </c>
      <c r="J16" s="20">
        <v>4010918668</v>
      </c>
      <c r="L16" s="20">
        <v>1500000</v>
      </c>
      <c r="M16" s="20">
        <v>7393899972</v>
      </c>
      <c r="O16" s="20">
        <v>1700000</v>
      </c>
      <c r="Q16" s="20">
        <v>4920</v>
      </c>
      <c r="S16" s="20">
        <v>7884259784</v>
      </c>
      <c r="U16" s="20">
        <v>8353325768</v>
      </c>
      <c r="W16" s="21">
        <v>9.200624398619961E-3</v>
      </c>
    </row>
    <row r="17" spans="1:23" ht="21" x14ac:dyDescent="0.55000000000000004">
      <c r="A17" s="18" t="s">
        <v>248</v>
      </c>
      <c r="C17" s="20">
        <v>1450000</v>
      </c>
      <c r="E17" s="20">
        <v>3000155735</v>
      </c>
      <c r="G17" s="20">
        <v>2928868920</v>
      </c>
      <c r="I17" s="20">
        <v>1200000</v>
      </c>
      <c r="J17" s="20">
        <v>2524306865</v>
      </c>
      <c r="L17" s="20">
        <v>0</v>
      </c>
      <c r="M17" s="20">
        <v>0</v>
      </c>
      <c r="O17" s="20">
        <v>2650000</v>
      </c>
      <c r="Q17" s="20">
        <v>2154</v>
      </c>
      <c r="S17" s="20">
        <v>5524462600</v>
      </c>
      <c r="U17" s="20">
        <v>5734973305</v>
      </c>
      <c r="W17" s="21">
        <v>6.3166859261674074E-3</v>
      </c>
    </row>
    <row r="18" spans="1:23" ht="21" x14ac:dyDescent="0.55000000000000004">
      <c r="A18" s="18" t="s">
        <v>81</v>
      </c>
      <c r="C18" s="20">
        <v>0</v>
      </c>
      <c r="D18" s="20"/>
      <c r="E18" s="20">
        <v>0</v>
      </c>
      <c r="F18" s="20"/>
      <c r="G18" s="20">
        <v>0</v>
      </c>
      <c r="H18" s="19"/>
      <c r="I18" s="20">
        <v>1125000</v>
      </c>
      <c r="J18" s="20">
        <v>10246795650</v>
      </c>
      <c r="L18" s="20">
        <v>562500</v>
      </c>
      <c r="M18" s="20">
        <v>5927023203</v>
      </c>
      <c r="O18" s="20">
        <v>562500</v>
      </c>
      <c r="Q18" s="20">
        <v>10190</v>
      </c>
      <c r="S18" s="20">
        <v>5123397825</v>
      </c>
      <c r="U18" s="20">
        <v>5654078494</v>
      </c>
      <c r="W18" s="21">
        <v>6.2275857530771214E-3</v>
      </c>
    </row>
    <row r="19" spans="1:23" ht="21" x14ac:dyDescent="0.55000000000000004">
      <c r="A19" s="18" t="s">
        <v>80</v>
      </c>
      <c r="C19" s="20">
        <v>21935000</v>
      </c>
      <c r="E19" s="20">
        <v>29796269811</v>
      </c>
      <c r="G19" s="20">
        <v>31245829513</v>
      </c>
      <c r="I19" s="20">
        <v>6000</v>
      </c>
      <c r="J19" s="20">
        <v>7263630</v>
      </c>
      <c r="L19" s="20">
        <v>0</v>
      </c>
      <c r="M19" s="20">
        <v>0</v>
      </c>
      <c r="O19" s="20">
        <v>21941000</v>
      </c>
      <c r="Q19" s="20">
        <v>1310</v>
      </c>
      <c r="S19" s="20">
        <v>29803533441</v>
      </c>
      <c r="U19" s="20">
        <v>28999499565</v>
      </c>
      <c r="W19" s="21">
        <v>3.1940991008350191E-2</v>
      </c>
    </row>
    <row r="20" spans="1:23" ht="21" x14ac:dyDescent="0.55000000000000004">
      <c r="A20" s="18" t="s">
        <v>79</v>
      </c>
      <c r="C20" s="20">
        <v>500000</v>
      </c>
      <c r="E20" s="20">
        <v>12337402274</v>
      </c>
      <c r="G20" s="20">
        <v>13051876500</v>
      </c>
      <c r="I20" s="20">
        <v>0</v>
      </c>
      <c r="J20" s="20">
        <v>0</v>
      </c>
      <c r="L20" s="20">
        <v>150000</v>
      </c>
      <c r="M20" s="20">
        <v>4310101431</v>
      </c>
      <c r="O20" s="20">
        <v>350000</v>
      </c>
      <c r="Q20" s="20">
        <v>29140</v>
      </c>
      <c r="S20" s="20">
        <v>8636181592</v>
      </c>
      <c r="U20" s="20">
        <v>10064594610</v>
      </c>
      <c r="W20" s="21">
        <v>1.1085471499952752E-2</v>
      </c>
    </row>
    <row r="21" spans="1:23" ht="21" x14ac:dyDescent="0.55000000000000004">
      <c r="A21" s="18" t="s">
        <v>78</v>
      </c>
      <c r="C21" s="20">
        <v>2250000</v>
      </c>
      <c r="E21" s="20">
        <v>23137117508</v>
      </c>
      <c r="G21" s="20">
        <v>24826398750</v>
      </c>
      <c r="I21" s="20">
        <v>0</v>
      </c>
      <c r="J21" s="20">
        <v>0</v>
      </c>
      <c r="L21" s="20">
        <v>0</v>
      </c>
      <c r="M21" s="20">
        <v>0</v>
      </c>
      <c r="N21" s="19"/>
      <c r="O21" s="20">
        <v>2250000</v>
      </c>
      <c r="Q21" s="20">
        <v>9510</v>
      </c>
      <c r="S21" s="20">
        <v>23137117508</v>
      </c>
      <c r="U21" s="20">
        <v>21366053775</v>
      </c>
      <c r="W21" s="21">
        <v>2.3533265806243975E-2</v>
      </c>
    </row>
    <row r="22" spans="1:23" ht="21" x14ac:dyDescent="0.55000000000000004">
      <c r="A22" s="18" t="s">
        <v>77</v>
      </c>
      <c r="C22" s="20">
        <v>3600000</v>
      </c>
      <c r="E22" s="20">
        <v>29726590034</v>
      </c>
      <c r="G22" s="20">
        <v>36072086400</v>
      </c>
      <c r="I22" s="20">
        <v>500000</v>
      </c>
      <c r="J22" s="20">
        <v>5159783816</v>
      </c>
      <c r="L22" s="20">
        <v>500000</v>
      </c>
      <c r="M22" s="20">
        <v>5439878259</v>
      </c>
      <c r="O22" s="20">
        <v>3600000</v>
      </c>
      <c r="Q22" s="20">
        <v>11230</v>
      </c>
      <c r="S22" s="20">
        <v>30631938014</v>
      </c>
      <c r="U22" s="20">
        <v>40151213280</v>
      </c>
      <c r="W22" s="21">
        <v>4.4223850810814175E-2</v>
      </c>
    </row>
    <row r="23" spans="1:23" ht="21" x14ac:dyDescent="0.55000000000000004">
      <c r="A23" s="18" t="s">
        <v>247</v>
      </c>
      <c r="C23" s="20">
        <v>2000000</v>
      </c>
      <c r="E23" s="20">
        <v>18537283220</v>
      </c>
      <c r="G23" s="20">
        <v>16441587000</v>
      </c>
      <c r="I23" s="20">
        <v>0</v>
      </c>
      <c r="J23" s="20">
        <v>0</v>
      </c>
      <c r="L23" s="20">
        <v>150000</v>
      </c>
      <c r="M23" s="20">
        <v>1347242876</v>
      </c>
      <c r="O23" s="20">
        <v>1850000</v>
      </c>
      <c r="Q23" s="20">
        <v>9110</v>
      </c>
      <c r="S23" s="20">
        <v>17251259197</v>
      </c>
      <c r="U23" s="20">
        <v>16759936435</v>
      </c>
      <c r="W23" s="21">
        <v>1.8459938516213345E-2</v>
      </c>
    </row>
    <row r="24" spans="1:23" ht="21" x14ac:dyDescent="0.55000000000000004">
      <c r="A24" s="18" t="s">
        <v>246</v>
      </c>
      <c r="C24" s="20">
        <v>0</v>
      </c>
      <c r="D24" s="20"/>
      <c r="E24" s="20">
        <v>0</v>
      </c>
      <c r="F24" s="20"/>
      <c r="G24" s="20">
        <v>0</v>
      </c>
      <c r="H24" s="19"/>
      <c r="I24" s="20">
        <v>200000</v>
      </c>
      <c r="J24" s="20">
        <v>1521041283</v>
      </c>
      <c r="L24" s="20">
        <v>0</v>
      </c>
      <c r="M24" s="20">
        <v>0</v>
      </c>
      <c r="O24" s="20">
        <v>200000</v>
      </c>
      <c r="Q24" s="20">
        <v>7630</v>
      </c>
      <c r="S24" s="20">
        <v>1519709532</v>
      </c>
      <c r="U24" s="20">
        <v>1530080340</v>
      </c>
      <c r="W24" s="21">
        <v>1.6852801984548107E-3</v>
      </c>
    </row>
    <row r="25" spans="1:23" ht="21" x14ac:dyDescent="0.55000000000000004">
      <c r="A25" s="18" t="s">
        <v>75</v>
      </c>
      <c r="C25" s="20">
        <v>500000</v>
      </c>
      <c r="E25" s="20">
        <v>8097217708</v>
      </c>
      <c r="G25" s="20">
        <v>8449425000</v>
      </c>
      <c r="I25" s="20">
        <v>80000</v>
      </c>
      <c r="J25" s="20">
        <v>1380880262</v>
      </c>
      <c r="L25" s="20">
        <v>0</v>
      </c>
      <c r="M25" s="20">
        <v>0</v>
      </c>
      <c r="O25" s="20">
        <v>580000</v>
      </c>
      <c r="Q25" s="20">
        <v>18180</v>
      </c>
      <c r="S25" s="20">
        <v>9478097970</v>
      </c>
      <c r="U25" s="20">
        <v>10474402120</v>
      </c>
      <c r="W25" s="21">
        <v>1.1536846806023984E-2</v>
      </c>
    </row>
    <row r="26" spans="1:23" ht="21" x14ac:dyDescent="0.55000000000000004">
      <c r="A26" s="18" t="s">
        <v>74</v>
      </c>
      <c r="C26" s="20">
        <v>1875000</v>
      </c>
      <c r="E26" s="20">
        <v>6098945898</v>
      </c>
      <c r="G26" s="20">
        <v>6018351469</v>
      </c>
      <c r="I26" s="20">
        <v>0</v>
      </c>
      <c r="J26" s="20">
        <v>0</v>
      </c>
      <c r="L26" s="20">
        <v>0</v>
      </c>
      <c r="M26" s="20">
        <v>0</v>
      </c>
      <c r="N26" s="19"/>
      <c r="O26" s="20">
        <v>1875000</v>
      </c>
      <c r="Q26" s="20">
        <v>3363</v>
      </c>
      <c r="S26" s="20">
        <v>6098945898</v>
      </c>
      <c r="U26" s="20">
        <v>6295953150</v>
      </c>
      <c r="W26" s="21">
        <v>6.9345673535640556E-3</v>
      </c>
    </row>
    <row r="27" spans="1:23" ht="21" x14ac:dyDescent="0.55000000000000004">
      <c r="A27" s="18" t="s">
        <v>73</v>
      </c>
      <c r="C27" s="20">
        <v>9100000</v>
      </c>
      <c r="E27" s="20">
        <v>44348561527</v>
      </c>
      <c r="G27" s="20">
        <v>79332148350</v>
      </c>
      <c r="I27" s="20">
        <v>1000000</v>
      </c>
      <c r="J27" s="20">
        <v>8738101404</v>
      </c>
      <c r="L27" s="20">
        <v>300000</v>
      </c>
      <c r="M27" s="20">
        <v>2699839811</v>
      </c>
      <c r="O27" s="20">
        <v>9800000</v>
      </c>
      <c r="Q27" s="20">
        <v>8780</v>
      </c>
      <c r="S27" s="20">
        <v>51509831359</v>
      </c>
      <c r="U27" s="20">
        <v>86448546940</v>
      </c>
      <c r="W27" s="21">
        <v>9.5217238294280165E-2</v>
      </c>
    </row>
    <row r="28" spans="1:23" ht="21" x14ac:dyDescent="0.55000000000000004">
      <c r="A28" s="18" t="s">
        <v>72</v>
      </c>
      <c r="C28" s="20">
        <v>986500</v>
      </c>
      <c r="E28" s="20">
        <v>16268572815</v>
      </c>
      <c r="G28" s="20">
        <v>15003643972</v>
      </c>
      <c r="I28" s="20">
        <v>0</v>
      </c>
      <c r="J28" s="20">
        <v>0</v>
      </c>
      <c r="L28" s="20">
        <v>336500</v>
      </c>
      <c r="M28" s="20">
        <v>5444124375</v>
      </c>
      <c r="O28" s="20">
        <v>650000</v>
      </c>
      <c r="Q28" s="20">
        <v>15970</v>
      </c>
      <c r="S28" s="20">
        <v>10719282645</v>
      </c>
      <c r="U28" s="20">
        <v>10351856775</v>
      </c>
      <c r="W28" s="21">
        <v>1.1401871381569268E-2</v>
      </c>
    </row>
    <row r="29" spans="1:23" ht="21" x14ac:dyDescent="0.55000000000000004">
      <c r="A29" s="18" t="s">
        <v>69</v>
      </c>
      <c r="C29" s="20">
        <v>14100000</v>
      </c>
      <c r="E29" s="20">
        <v>44228768769</v>
      </c>
      <c r="G29" s="20">
        <v>38852643060</v>
      </c>
      <c r="I29" s="20">
        <v>2800000</v>
      </c>
      <c r="J29" s="20">
        <v>8248447405</v>
      </c>
      <c r="L29" s="20">
        <v>0</v>
      </c>
      <c r="M29" s="20">
        <v>0</v>
      </c>
      <c r="O29" s="20">
        <v>16900000</v>
      </c>
      <c r="Q29" s="20">
        <v>3061</v>
      </c>
      <c r="S29" s="20">
        <v>52477216174</v>
      </c>
      <c r="U29" s="20">
        <v>51481944410</v>
      </c>
      <c r="W29" s="21">
        <v>5.6703886210396202E-2</v>
      </c>
    </row>
    <row r="30" spans="1:23" ht="21" x14ac:dyDescent="0.55000000000000004">
      <c r="A30" s="18" t="s">
        <v>109</v>
      </c>
      <c r="C30" s="20">
        <v>500000</v>
      </c>
      <c r="E30" s="20">
        <v>6325570798</v>
      </c>
      <c r="G30" s="20">
        <v>6396711750</v>
      </c>
      <c r="I30" s="20">
        <v>0</v>
      </c>
      <c r="J30" s="20">
        <v>0</v>
      </c>
      <c r="L30" s="20">
        <v>0</v>
      </c>
      <c r="M30" s="20">
        <v>0</v>
      </c>
      <c r="N30" s="19"/>
      <c r="O30" s="20">
        <v>500000</v>
      </c>
      <c r="Q30" s="20">
        <v>12310</v>
      </c>
      <c r="S30" s="20">
        <v>6325570798</v>
      </c>
      <c r="U30" s="20">
        <v>6067731050</v>
      </c>
      <c r="W30" s="21">
        <v>6.6831961177374628E-3</v>
      </c>
    </row>
    <row r="31" spans="1:23" ht="21" x14ac:dyDescent="0.55000000000000004">
      <c r="A31" s="18" t="s">
        <v>66</v>
      </c>
      <c r="C31" s="20">
        <v>11000000</v>
      </c>
      <c r="E31" s="20">
        <v>44697071750</v>
      </c>
      <c r="G31" s="20">
        <v>86710981500</v>
      </c>
      <c r="I31" s="20">
        <v>0</v>
      </c>
      <c r="J31" s="20">
        <v>0</v>
      </c>
      <c r="L31" s="20">
        <v>0</v>
      </c>
      <c r="M31" s="20">
        <v>0</v>
      </c>
      <c r="N31" s="19"/>
      <c r="O31" s="20">
        <v>11000000</v>
      </c>
      <c r="Q31" s="20">
        <v>8650</v>
      </c>
      <c r="S31" s="20">
        <v>44697071750</v>
      </c>
      <c r="U31" s="20">
        <v>95178538400</v>
      </c>
      <c r="W31" s="21">
        <v>0.10483273452385568</v>
      </c>
    </row>
    <row r="32" spans="1:23" ht="21" x14ac:dyDescent="0.55000000000000004">
      <c r="A32" s="18" t="s">
        <v>245</v>
      </c>
      <c r="C32" s="20">
        <v>700000</v>
      </c>
      <c r="E32" s="20">
        <v>9935597718</v>
      </c>
      <c r="G32" s="20">
        <v>9449439300</v>
      </c>
      <c r="I32" s="20">
        <v>0</v>
      </c>
      <c r="J32" s="20">
        <v>0</v>
      </c>
      <c r="L32" s="20">
        <v>0</v>
      </c>
      <c r="M32" s="20">
        <v>0</v>
      </c>
      <c r="N32" s="19"/>
      <c r="O32" s="20">
        <v>700000</v>
      </c>
      <c r="Q32" s="20">
        <v>13690</v>
      </c>
      <c r="S32" s="20">
        <v>9935597718</v>
      </c>
      <c r="U32" s="20">
        <v>9425572730</v>
      </c>
      <c r="W32" s="21">
        <v>1.0381632039638293E-2</v>
      </c>
    </row>
    <row r="33" spans="1:23" ht="21" x14ac:dyDescent="0.55000000000000004">
      <c r="A33" s="18" t="s">
        <v>65</v>
      </c>
      <c r="C33" s="20">
        <v>8650000</v>
      </c>
      <c r="E33" s="20">
        <v>23820967913</v>
      </c>
      <c r="G33" s="20">
        <v>42132809250</v>
      </c>
      <c r="I33" s="20">
        <v>0</v>
      </c>
      <c r="J33" s="20">
        <v>0</v>
      </c>
      <c r="L33" s="20">
        <v>0</v>
      </c>
      <c r="M33" s="20">
        <v>0</v>
      </c>
      <c r="N33" s="19"/>
      <c r="O33" s="20">
        <v>8650000</v>
      </c>
      <c r="Q33" s="20">
        <v>5220</v>
      </c>
      <c r="S33" s="20">
        <v>23820967913</v>
      </c>
      <c r="U33" s="20">
        <v>44915548071</v>
      </c>
      <c r="W33" s="21">
        <v>4.9471443941826919E-2</v>
      </c>
    </row>
    <row r="34" spans="1:23" ht="21" x14ac:dyDescent="0.55000000000000004">
      <c r="A34" s="18" t="s">
        <v>244</v>
      </c>
      <c r="C34" s="20">
        <v>1500000</v>
      </c>
      <c r="E34" s="20">
        <v>15537437821</v>
      </c>
      <c r="G34" s="20">
        <v>18787545000</v>
      </c>
      <c r="I34" s="20">
        <v>0</v>
      </c>
      <c r="J34" s="20">
        <v>0</v>
      </c>
      <c r="L34" s="20">
        <v>0</v>
      </c>
      <c r="M34" s="20">
        <v>0</v>
      </c>
      <c r="N34" s="19"/>
      <c r="O34" s="20">
        <v>4575000</v>
      </c>
      <c r="Q34" s="20">
        <v>4144</v>
      </c>
      <c r="S34" s="20">
        <v>15537437821</v>
      </c>
      <c r="U34" s="20">
        <v>18753233218</v>
      </c>
      <c r="W34" s="21">
        <v>2.065542035479025E-2</v>
      </c>
    </row>
    <row r="35" spans="1:23" ht="21" x14ac:dyDescent="0.55000000000000004">
      <c r="A35" s="18" t="s">
        <v>243</v>
      </c>
      <c r="C35" s="20">
        <v>800000</v>
      </c>
      <c r="E35" s="20">
        <v>13433680485</v>
      </c>
      <c r="G35" s="20">
        <v>18902854800</v>
      </c>
      <c r="I35" s="20">
        <v>0</v>
      </c>
      <c r="J35" s="20">
        <v>0</v>
      </c>
      <c r="L35" s="20">
        <v>551000</v>
      </c>
      <c r="M35" s="20">
        <v>12008637542</v>
      </c>
      <c r="O35" s="20">
        <v>249000</v>
      </c>
      <c r="Q35" s="20">
        <v>20570</v>
      </c>
      <c r="S35" s="20">
        <v>4181233051</v>
      </c>
      <c r="U35" s="20">
        <v>5121869518</v>
      </c>
      <c r="W35" s="21">
        <v>5.6413934955563743E-3</v>
      </c>
    </row>
    <row r="36" spans="1:23" ht="21" x14ac:dyDescent="0.55000000000000004">
      <c r="A36" s="18" t="s">
        <v>242</v>
      </c>
      <c r="C36" s="20">
        <v>5500000</v>
      </c>
      <c r="E36" s="20">
        <v>10982072329</v>
      </c>
      <c r="G36" s="20">
        <v>15948041175</v>
      </c>
      <c r="I36" s="20">
        <v>0</v>
      </c>
      <c r="J36" s="20">
        <v>0</v>
      </c>
      <c r="L36" s="20">
        <v>0</v>
      </c>
      <c r="M36" s="20">
        <v>0</v>
      </c>
      <c r="N36" s="19"/>
      <c r="O36" s="20">
        <v>5500000</v>
      </c>
      <c r="Q36" s="20">
        <v>3110</v>
      </c>
      <c r="S36" s="20">
        <v>10982072329</v>
      </c>
      <c r="U36" s="20">
        <v>17016438230</v>
      </c>
      <c r="W36" s="21">
        <v>1.8742457926914105E-2</v>
      </c>
    </row>
    <row r="37" spans="1:23" ht="21" x14ac:dyDescent="0.55000000000000004">
      <c r="A37" s="18" t="s">
        <v>64</v>
      </c>
      <c r="C37" s="20">
        <v>450000</v>
      </c>
      <c r="E37" s="20">
        <v>17967312376</v>
      </c>
      <c r="G37" s="20">
        <v>30136116825</v>
      </c>
      <c r="I37" s="20">
        <v>200000</v>
      </c>
      <c r="J37" s="20">
        <v>13738737710</v>
      </c>
      <c r="L37" s="20">
        <v>100000</v>
      </c>
      <c r="M37" s="20">
        <v>7242158695</v>
      </c>
      <c r="O37" s="20">
        <v>550000</v>
      </c>
      <c r="Q37" s="20">
        <v>64340</v>
      </c>
      <c r="S37" s="20">
        <v>26828196226</v>
      </c>
      <c r="U37" s="20">
        <v>35719239325</v>
      </c>
      <c r="W37" s="21">
        <v>3.9342330702903404E-2</v>
      </c>
    </row>
    <row r="38" spans="1:23" ht="21" x14ac:dyDescent="0.55000000000000004">
      <c r="A38" s="18" t="s">
        <v>241</v>
      </c>
      <c r="C38" s="20">
        <v>2550000</v>
      </c>
      <c r="E38" s="20">
        <v>11410312972</v>
      </c>
      <c r="G38" s="20">
        <v>13690603327</v>
      </c>
      <c r="I38" s="20">
        <v>0</v>
      </c>
      <c r="J38" s="20">
        <v>0</v>
      </c>
      <c r="L38" s="20">
        <v>1150000</v>
      </c>
      <c r="M38" s="20">
        <v>6477414731</v>
      </c>
      <c r="O38" s="20">
        <v>1400000</v>
      </c>
      <c r="Q38" s="20">
        <v>5620</v>
      </c>
      <c r="S38" s="20">
        <v>6264485553</v>
      </c>
      <c r="U38" s="20">
        <v>7821072140</v>
      </c>
      <c r="W38" s="21">
        <v>8.6143829599356798E-3</v>
      </c>
    </row>
    <row r="39" spans="1:23" ht="21" x14ac:dyDescent="0.55000000000000004">
      <c r="A39" s="18" t="s">
        <v>240</v>
      </c>
      <c r="C39" s="20">
        <v>200000</v>
      </c>
      <c r="E39" s="20">
        <v>8564224465</v>
      </c>
      <c r="G39" s="20">
        <v>8588592000</v>
      </c>
      <c r="I39" s="20">
        <v>0</v>
      </c>
      <c r="J39" s="20">
        <v>0</v>
      </c>
      <c r="L39" s="20">
        <v>0</v>
      </c>
      <c r="M39" s="20">
        <v>0</v>
      </c>
      <c r="N39" s="19"/>
      <c r="O39" s="20">
        <v>200000</v>
      </c>
      <c r="Q39" s="20">
        <v>44560</v>
      </c>
      <c r="S39" s="20">
        <v>8564224465</v>
      </c>
      <c r="U39" s="20">
        <v>8870893800</v>
      </c>
      <c r="W39" s="21">
        <v>9.7706906447380081E-3</v>
      </c>
    </row>
    <row r="40" spans="1:23" ht="21" x14ac:dyDescent="0.55000000000000004">
      <c r="A40" s="18" t="s">
        <v>63</v>
      </c>
      <c r="C40" s="20">
        <v>600000</v>
      </c>
      <c r="E40" s="20">
        <v>20419932104</v>
      </c>
      <c r="G40" s="20">
        <v>21483408600</v>
      </c>
      <c r="I40" s="20">
        <v>100000</v>
      </c>
      <c r="J40" s="20">
        <v>3585252189</v>
      </c>
      <c r="L40" s="20">
        <v>0</v>
      </c>
      <c r="M40" s="20">
        <v>0</v>
      </c>
      <c r="O40" s="20">
        <v>700000</v>
      </c>
      <c r="Q40" s="20">
        <v>35730</v>
      </c>
      <c r="S40" s="20">
        <v>24005614258</v>
      </c>
      <c r="U40" s="20">
        <v>24949636880</v>
      </c>
      <c r="W40" s="21">
        <v>2.7480340667929808E-2</v>
      </c>
    </row>
    <row r="41" spans="1:23" ht="21" x14ac:dyDescent="0.55000000000000004">
      <c r="A41" s="18" t="s">
        <v>239</v>
      </c>
      <c r="C41" s="20">
        <v>650000</v>
      </c>
      <c r="E41" s="20">
        <v>17002674735</v>
      </c>
      <c r="G41" s="20">
        <v>28940274675</v>
      </c>
      <c r="I41" s="20">
        <v>0</v>
      </c>
      <c r="J41" s="20">
        <v>0</v>
      </c>
      <c r="L41" s="20">
        <v>150000</v>
      </c>
      <c r="M41" s="20">
        <v>6661016859</v>
      </c>
      <c r="O41" s="20">
        <v>500000</v>
      </c>
      <c r="Q41" s="20">
        <v>41120</v>
      </c>
      <c r="S41" s="20">
        <v>13078980565</v>
      </c>
      <c r="U41" s="20">
        <v>20673945450</v>
      </c>
      <c r="W41" s="21">
        <v>2.2770955210639418E-2</v>
      </c>
    </row>
    <row r="42" spans="1:23" ht="21" x14ac:dyDescent="0.55000000000000004">
      <c r="A42" s="18" t="s">
        <v>103</v>
      </c>
      <c r="C42" s="20">
        <v>3000000</v>
      </c>
      <c r="E42" s="20">
        <v>8292444580</v>
      </c>
      <c r="G42" s="20">
        <v>8373877200</v>
      </c>
      <c r="I42" s="20">
        <v>0</v>
      </c>
      <c r="J42" s="20">
        <v>0</v>
      </c>
      <c r="L42" s="20">
        <v>0</v>
      </c>
      <c r="M42" s="20">
        <v>0</v>
      </c>
      <c r="N42" s="19"/>
      <c r="O42" s="20">
        <v>3000000</v>
      </c>
      <c r="Q42" s="20">
        <v>2593</v>
      </c>
      <c r="S42" s="20">
        <v>8292444580</v>
      </c>
      <c r="U42" s="20">
        <v>7721845140</v>
      </c>
      <c r="W42" s="21">
        <v>8.5050911182719437E-3</v>
      </c>
    </row>
    <row r="43" spans="1:23" ht="21" x14ac:dyDescent="0.55000000000000004">
      <c r="A43" s="18" t="s">
        <v>238</v>
      </c>
      <c r="C43" s="20">
        <v>120000</v>
      </c>
      <c r="E43" s="20">
        <v>18239142954</v>
      </c>
      <c r="G43" s="20">
        <v>33984581400</v>
      </c>
      <c r="I43" s="20">
        <v>0</v>
      </c>
      <c r="J43" s="20">
        <v>0</v>
      </c>
      <c r="L43" s="20">
        <v>0</v>
      </c>
      <c r="M43" s="20">
        <v>0</v>
      </c>
      <c r="N43" s="19"/>
      <c r="O43" s="20">
        <v>120000</v>
      </c>
      <c r="Q43" s="20">
        <v>298870</v>
      </c>
      <c r="S43" s="20">
        <v>18239142954</v>
      </c>
      <c r="U43" s="20">
        <v>35685998280</v>
      </c>
      <c r="W43" s="21">
        <v>3.9305717935946054E-2</v>
      </c>
    </row>
    <row r="44" spans="1:23" ht="21" x14ac:dyDescent="0.55000000000000004">
      <c r="A44" s="18" t="s">
        <v>237</v>
      </c>
      <c r="C44" s="20">
        <v>1100000</v>
      </c>
      <c r="E44" s="20">
        <v>16548215065</v>
      </c>
      <c r="G44" s="20">
        <v>19507237200</v>
      </c>
      <c r="I44" s="20">
        <v>0</v>
      </c>
      <c r="J44" s="20">
        <v>0</v>
      </c>
      <c r="L44" s="20">
        <v>0</v>
      </c>
      <c r="M44" s="20">
        <v>0</v>
      </c>
      <c r="N44" s="19"/>
      <c r="O44" s="20">
        <v>1100000</v>
      </c>
      <c r="Q44" s="20">
        <v>16450</v>
      </c>
      <c r="S44" s="20">
        <v>16548215065</v>
      </c>
      <c r="U44" s="20">
        <v>17976955590</v>
      </c>
      <c r="W44" s="21">
        <v>1.980040295421907E-2</v>
      </c>
    </row>
    <row r="45" spans="1:23" ht="21" x14ac:dyDescent="0.55000000000000004">
      <c r="A45" s="18" t="s">
        <v>62</v>
      </c>
      <c r="C45" s="20">
        <v>2000000</v>
      </c>
      <c r="E45" s="20">
        <v>10526832667</v>
      </c>
      <c r="G45" s="20">
        <v>14552892000</v>
      </c>
      <c r="I45" s="20">
        <v>0</v>
      </c>
      <c r="J45" s="20">
        <v>0</v>
      </c>
      <c r="L45" s="20">
        <v>0</v>
      </c>
      <c r="M45" s="20">
        <v>0</v>
      </c>
      <c r="N45" s="19"/>
      <c r="O45" s="20">
        <v>2000000</v>
      </c>
      <c r="Q45" s="20">
        <v>7980</v>
      </c>
      <c r="S45" s="20">
        <v>10526832667</v>
      </c>
      <c r="U45" s="20">
        <v>15955701600</v>
      </c>
      <c r="W45" s="21">
        <v>1.7574128139528765E-2</v>
      </c>
    </row>
    <row r="46" spans="1:23" ht="21" x14ac:dyDescent="0.55000000000000004">
      <c r="A46" s="18" t="s">
        <v>61</v>
      </c>
      <c r="C46" s="20">
        <v>100000</v>
      </c>
      <c r="E46" s="20">
        <v>2552366400</v>
      </c>
      <c r="G46" s="20">
        <v>3002031000</v>
      </c>
      <c r="I46" s="20">
        <v>0</v>
      </c>
      <c r="J46" s="20">
        <v>0</v>
      </c>
      <c r="L46" s="20">
        <v>0</v>
      </c>
      <c r="M46" s="20">
        <v>0</v>
      </c>
      <c r="N46" s="19"/>
      <c r="O46" s="20">
        <v>100000</v>
      </c>
      <c r="Q46" s="20">
        <v>33950</v>
      </c>
      <c r="S46" s="20">
        <v>2552366400</v>
      </c>
      <c r="U46" s="20">
        <v>3443176900</v>
      </c>
      <c r="W46" s="21">
        <v>3.7924269057316427E-3</v>
      </c>
    </row>
    <row r="47" spans="1:23" ht="21" x14ac:dyDescent="0.55000000000000004">
      <c r="A47" s="18" t="s">
        <v>60</v>
      </c>
      <c r="C47" s="20">
        <v>400000</v>
      </c>
      <c r="E47" s="20">
        <v>19003695696</v>
      </c>
      <c r="G47" s="20">
        <v>30855312000</v>
      </c>
      <c r="I47" s="20">
        <v>0</v>
      </c>
      <c r="J47" s="20">
        <v>0</v>
      </c>
      <c r="L47" s="20">
        <v>50000</v>
      </c>
      <c r="M47" s="20">
        <v>3702836318</v>
      </c>
      <c r="O47" s="20">
        <v>350000</v>
      </c>
      <c r="Q47" s="20">
        <v>93100</v>
      </c>
      <c r="S47" s="20">
        <v>16628233734</v>
      </c>
      <c r="U47" s="20">
        <v>32402576850</v>
      </c>
      <c r="W47" s="21">
        <v>3.5689250895293026E-2</v>
      </c>
    </row>
    <row r="48" spans="1:23" ht="21" x14ac:dyDescent="0.55000000000000004">
      <c r="A48" s="18" t="s">
        <v>59</v>
      </c>
      <c r="C48" s="20">
        <v>5802960</v>
      </c>
      <c r="E48" s="20">
        <v>17199552966</v>
      </c>
      <c r="G48" s="20">
        <v>14992155776</v>
      </c>
      <c r="I48" s="20">
        <v>0</v>
      </c>
      <c r="J48" s="20">
        <v>0</v>
      </c>
      <c r="L48" s="20">
        <v>0</v>
      </c>
      <c r="M48" s="20">
        <v>0</v>
      </c>
      <c r="N48" s="19"/>
      <c r="O48" s="20">
        <v>5802960</v>
      </c>
      <c r="Q48" s="20">
        <v>2486</v>
      </c>
      <c r="S48" s="20">
        <v>17199552966</v>
      </c>
      <c r="U48" s="20">
        <v>14280095736</v>
      </c>
      <c r="W48" s="21">
        <v>1.5728561400847604E-2</v>
      </c>
    </row>
    <row r="49" spans="1:23" ht="21" x14ac:dyDescent="0.55000000000000004">
      <c r="A49" s="18" t="s">
        <v>58</v>
      </c>
      <c r="C49" s="20">
        <v>0</v>
      </c>
      <c r="D49" s="20"/>
      <c r="E49" s="20">
        <v>0</v>
      </c>
      <c r="F49" s="20"/>
      <c r="G49" s="20">
        <v>0</v>
      </c>
      <c r="H49" s="19"/>
      <c r="I49" s="20">
        <v>2283</v>
      </c>
      <c r="J49" s="20">
        <v>11580979</v>
      </c>
      <c r="L49" s="20">
        <v>2283</v>
      </c>
      <c r="M49" s="20">
        <v>14501572</v>
      </c>
      <c r="O49" s="20">
        <v>0</v>
      </c>
      <c r="Q49" s="20">
        <v>0</v>
      </c>
      <c r="S49" s="20">
        <v>0</v>
      </c>
      <c r="U49" s="20">
        <v>0</v>
      </c>
      <c r="W49" s="21">
        <v>0</v>
      </c>
    </row>
    <row r="50" spans="1:23" ht="21" x14ac:dyDescent="0.55000000000000004">
      <c r="A50" s="18" t="s">
        <v>101</v>
      </c>
      <c r="C50" s="20">
        <v>1800000</v>
      </c>
      <c r="E50" s="20">
        <v>3883758963</v>
      </c>
      <c r="G50" s="20">
        <v>3634047990</v>
      </c>
      <c r="I50" s="20">
        <v>0</v>
      </c>
      <c r="J50" s="20">
        <v>0</v>
      </c>
      <c r="L50" s="20">
        <v>1800000</v>
      </c>
      <c r="M50" s="20">
        <v>3675691659</v>
      </c>
      <c r="O50" s="20">
        <v>0</v>
      </c>
      <c r="Q50" s="20">
        <v>0</v>
      </c>
      <c r="S50" s="20">
        <v>0</v>
      </c>
      <c r="U50" s="20">
        <v>0</v>
      </c>
      <c r="W50" s="21">
        <v>0</v>
      </c>
    </row>
    <row r="51" spans="1:23" ht="21.75" thickBot="1" x14ac:dyDescent="0.6">
      <c r="A51" s="22" t="s">
        <v>9</v>
      </c>
      <c r="C51" s="25"/>
      <c r="E51" s="22">
        <f>SUM(E11:$E$50)</f>
        <v>593732484071</v>
      </c>
      <c r="G51" s="22">
        <f>SUM(G11:$G$50)</f>
        <v>802783662369</v>
      </c>
      <c r="I51" s="25"/>
      <c r="J51" s="22">
        <f>SUM(J11:$J$50)</f>
        <v>66716070298</v>
      </c>
      <c r="L51" s="25"/>
      <c r="M51" s="22">
        <f>SUM(M11:$M$50)</f>
        <v>78216198879</v>
      </c>
      <c r="O51" s="25"/>
      <c r="Q51" s="25"/>
      <c r="S51" s="22">
        <f>SUM(S11:$S$50)</f>
        <v>599144306530</v>
      </c>
      <c r="U51" s="22">
        <f>SUM(U11:$U$50)</f>
        <v>816812376009</v>
      </c>
      <c r="W51" s="23">
        <f>SUM(W11:$W$50)</f>
        <v>0.8996636889934766</v>
      </c>
    </row>
    <row r="52" spans="1:23" ht="21.75" thickTop="1" x14ac:dyDescent="0.55000000000000004">
      <c r="C52" s="25"/>
      <c r="E52" s="24"/>
      <c r="G52" s="24"/>
      <c r="I52" s="25"/>
      <c r="J52" s="24"/>
      <c r="L52" s="25"/>
      <c r="M52" s="24"/>
      <c r="O52" s="25"/>
      <c r="Q52" s="25"/>
      <c r="S52" s="24"/>
      <c r="U52" s="24"/>
      <c r="W52" s="24"/>
    </row>
  </sheetData>
  <mergeCells count="19"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</mergeCells>
  <pageMargins left="0.7" right="0.7" top="0.75" bottom="0.75" header="0.3" footer="0.3"/>
  <pageSetup paperSize="9" scale="5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4694-AE4E-4C0D-BC8F-7BF41B75AC94}">
  <sheetPr>
    <pageSetUpPr fitToPage="1"/>
  </sheetPr>
  <dimension ref="A1:Q13"/>
  <sheetViews>
    <sheetView rightToLeft="1" view="pageBreakPreview" zoomScaleNormal="100" zoomScaleSheetLayoutView="100" workbookViewId="0">
      <selection activeCell="R9" sqref="R9"/>
    </sheetView>
  </sheetViews>
  <sheetFormatPr defaultColWidth="8.85546875" defaultRowHeight="19.5" x14ac:dyDescent="0.55000000000000004"/>
  <cols>
    <col min="1" max="1" width="25.140625" style="8" customWidth="1"/>
    <col min="2" max="2" width="1.42578125" style="8" customWidth="1"/>
    <col min="3" max="3" width="18.42578125" style="8" customWidth="1"/>
    <col min="4" max="4" width="1.42578125" style="8" customWidth="1"/>
    <col min="5" max="5" width="9.85546875" style="8" customWidth="1"/>
    <col min="6" max="6" width="1.42578125" style="8" customWidth="1"/>
    <col min="7" max="7" width="11.42578125" style="8" customWidth="1"/>
    <col min="8" max="8" width="1.42578125" style="8" customWidth="1"/>
    <col min="9" max="9" width="18.42578125" style="8" customWidth="1"/>
    <col min="10" max="10" width="1.42578125" style="8" customWidth="1"/>
    <col min="11" max="11" width="18.42578125" style="8" customWidth="1"/>
    <col min="12" max="12" width="1.42578125" style="8" customWidth="1"/>
    <col min="13" max="13" width="18.42578125" style="8" customWidth="1"/>
    <col min="14" max="14" width="1.42578125" style="8" customWidth="1"/>
    <col min="15" max="15" width="18.42578125" style="8" customWidth="1"/>
    <col min="16" max="16" width="1.42578125" style="8" customWidth="1"/>
    <col min="17" max="17" width="10.5703125" style="8" customWidth="1"/>
    <col min="18" max="16384" width="8.85546875" style="8"/>
  </cols>
  <sheetData>
    <row r="1" spans="1:17" ht="19.899999999999999" customHeight="1" x14ac:dyDescent="0.55000000000000004">
      <c r="A1" s="49" t="s">
        <v>251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9.899999999999999" customHeight="1" x14ac:dyDescent="0.55000000000000004">
      <c r="A2" s="4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5" spans="1:17" ht="21" x14ac:dyDescent="0.55000000000000004">
      <c r="A5" s="50" t="s">
        <v>314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7" spans="1:17" ht="21" x14ac:dyDescent="0.55000000000000004">
      <c r="C7" s="51" t="s">
        <v>12</v>
      </c>
      <c r="D7" s="52"/>
      <c r="E7" s="52"/>
      <c r="F7" s="52"/>
      <c r="G7" s="52"/>
      <c r="I7" s="9" t="s">
        <v>2</v>
      </c>
      <c r="K7" s="51" t="s">
        <v>55</v>
      </c>
      <c r="L7" s="52"/>
      <c r="M7" s="52"/>
      <c r="O7" s="51" t="s">
        <v>3</v>
      </c>
      <c r="P7" s="52"/>
      <c r="Q7" s="52"/>
    </row>
    <row r="8" spans="1:17" ht="63" x14ac:dyDescent="0.55000000000000004">
      <c r="A8" s="9" t="s">
        <v>13</v>
      </c>
      <c r="C8" s="9" t="s">
        <v>14</v>
      </c>
      <c r="E8" s="9" t="s">
        <v>15</v>
      </c>
      <c r="G8" s="7" t="s">
        <v>16</v>
      </c>
      <c r="I8" s="9" t="s">
        <v>17</v>
      </c>
      <c r="K8" s="9" t="s">
        <v>18</v>
      </c>
      <c r="M8" s="9" t="s">
        <v>19</v>
      </c>
      <c r="O8" s="9" t="s">
        <v>17</v>
      </c>
      <c r="Q8" s="7" t="s">
        <v>7</v>
      </c>
    </row>
    <row r="9" spans="1:17" ht="21" x14ac:dyDescent="0.55000000000000004">
      <c r="A9" s="1" t="s">
        <v>21</v>
      </c>
      <c r="C9" s="11" t="s">
        <v>257</v>
      </c>
      <c r="E9" s="10" t="s">
        <v>20</v>
      </c>
      <c r="G9" s="11" t="s">
        <v>256</v>
      </c>
      <c r="I9" s="2">
        <v>3759660316</v>
      </c>
      <c r="K9" s="2">
        <v>13075787903</v>
      </c>
      <c r="M9" s="2">
        <v>10000750000</v>
      </c>
      <c r="O9" s="2">
        <v>6834698219</v>
      </c>
      <c r="Q9" s="3">
        <v>7.5279586762712486E-3</v>
      </c>
    </row>
    <row r="10" spans="1:17" ht="21" x14ac:dyDescent="0.55000000000000004">
      <c r="A10" s="1" t="s">
        <v>22</v>
      </c>
      <c r="C10" s="11" t="s">
        <v>255</v>
      </c>
      <c r="E10" s="10" t="s">
        <v>254</v>
      </c>
      <c r="G10" s="11" t="s">
        <v>253</v>
      </c>
      <c r="I10" s="2">
        <v>18863893</v>
      </c>
      <c r="K10" s="2">
        <v>0</v>
      </c>
      <c r="L10" s="2"/>
      <c r="M10" s="2">
        <v>0</v>
      </c>
      <c r="N10" s="11"/>
      <c r="O10" s="2">
        <v>18863893</v>
      </c>
      <c r="Q10" s="3">
        <v>2.0777304633997398E-5</v>
      </c>
    </row>
    <row r="11" spans="1:17" ht="21" x14ac:dyDescent="0.55000000000000004">
      <c r="A11" s="1" t="s">
        <v>22</v>
      </c>
      <c r="C11" s="11" t="s">
        <v>252</v>
      </c>
      <c r="E11" s="10" t="s">
        <v>20</v>
      </c>
      <c r="G11" s="11" t="s">
        <v>91</v>
      </c>
      <c r="I11" s="2">
        <v>37900657490</v>
      </c>
      <c r="K11" s="2">
        <v>41987575981</v>
      </c>
      <c r="M11" s="2">
        <v>24289245000</v>
      </c>
      <c r="O11" s="2">
        <v>55598988471</v>
      </c>
      <c r="Q11" s="3">
        <v>6.1238532301051335E-2</v>
      </c>
    </row>
    <row r="12" spans="1:17" ht="21.75" thickBot="1" x14ac:dyDescent="0.6">
      <c r="A12" s="12" t="s">
        <v>9</v>
      </c>
      <c r="I12" s="12">
        <f>SUM(I9:$I$11)</f>
        <v>41679181699</v>
      </c>
      <c r="K12" s="12">
        <f>SUM(K9:$K$11)</f>
        <v>55063363884</v>
      </c>
      <c r="M12" s="12">
        <f>SUM(M9:$M$11)</f>
        <v>34289995000</v>
      </c>
      <c r="O12" s="12">
        <f>SUM(O9:$O$11)</f>
        <v>62452550583</v>
      </c>
      <c r="Q12" s="13">
        <f>SUM(Q9:$Q$11)</f>
        <v>6.8787268281956582E-2</v>
      </c>
    </row>
    <row r="13" spans="1:17" ht="21.75" thickTop="1" x14ac:dyDescent="0.55000000000000004">
      <c r="I13" s="4"/>
      <c r="K13" s="4"/>
      <c r="M13" s="4"/>
      <c r="O13" s="4"/>
      <c r="Q13" s="4"/>
    </row>
  </sheetData>
  <mergeCells count="7">
    <mergeCell ref="A1:Q1"/>
    <mergeCell ref="A2:Q2"/>
    <mergeCell ref="A3:Q3"/>
    <mergeCell ref="A5:Q5"/>
    <mergeCell ref="C7:G7"/>
    <mergeCell ref="K7:M7"/>
    <mergeCell ref="O7:Q7"/>
  </mergeCells>
  <pageMargins left="0.7" right="0.7" top="0.75" bottom="0.75" header="0.3" footer="0.3"/>
  <pageSetup paperSize="9" scale="8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88D1-E215-4882-BBA3-F2F33F2D9DAD}">
  <sheetPr>
    <pageSetUpPr fitToPage="1"/>
  </sheetPr>
  <dimension ref="A1:I13"/>
  <sheetViews>
    <sheetView rightToLeft="1" view="pageBreakPreview" zoomScaleNormal="100" zoomScaleSheetLayoutView="100" workbookViewId="0">
      <selection activeCell="K1" sqref="K1:L1048576"/>
    </sheetView>
  </sheetViews>
  <sheetFormatPr defaultColWidth="8.85546875" defaultRowHeight="19.5" x14ac:dyDescent="0.55000000000000004"/>
  <cols>
    <col min="1" max="1" width="49.7109375" style="26" customWidth="1"/>
    <col min="2" max="2" width="1.42578125" style="26" customWidth="1"/>
    <col min="3" max="3" width="11.42578125" style="26" customWidth="1"/>
    <col min="4" max="4" width="1.42578125" style="26" customWidth="1"/>
    <col min="5" max="5" width="21.28515625" style="26" customWidth="1"/>
    <col min="6" max="6" width="1.42578125" style="26" customWidth="1"/>
    <col min="7" max="7" width="11.42578125" style="26" customWidth="1"/>
    <col min="8" max="8" width="1.42578125" style="26" customWidth="1"/>
    <col min="9" max="9" width="11.42578125" style="26" customWidth="1"/>
    <col min="10" max="16384" width="8.85546875" style="26"/>
  </cols>
  <sheetData>
    <row r="1" spans="1:9" ht="19.899999999999999" customHeight="1" x14ac:dyDescent="0.55000000000000004">
      <c r="A1" s="53" t="s">
        <v>251</v>
      </c>
      <c r="B1" s="54"/>
      <c r="C1" s="54"/>
      <c r="D1" s="54"/>
      <c r="E1" s="54"/>
      <c r="F1" s="54"/>
      <c r="G1" s="54"/>
      <c r="H1" s="54"/>
      <c r="I1" s="54"/>
    </row>
    <row r="2" spans="1:9" ht="19.899999999999999" customHeight="1" x14ac:dyDescent="0.55000000000000004">
      <c r="A2" s="53" t="s">
        <v>23</v>
      </c>
      <c r="B2" s="54"/>
      <c r="C2" s="54"/>
      <c r="D2" s="54"/>
      <c r="E2" s="54"/>
      <c r="F2" s="54"/>
      <c r="G2" s="54"/>
      <c r="H2" s="54"/>
      <c r="I2" s="54"/>
    </row>
    <row r="3" spans="1:9" ht="19.899999999999999" customHeight="1" x14ac:dyDescent="0.55000000000000004">
      <c r="A3" s="53" t="s">
        <v>1</v>
      </c>
      <c r="B3" s="54"/>
      <c r="C3" s="54"/>
      <c r="D3" s="54"/>
      <c r="E3" s="54"/>
      <c r="F3" s="54"/>
      <c r="G3" s="54"/>
      <c r="H3" s="54"/>
      <c r="I3" s="54"/>
    </row>
    <row r="5" spans="1:9" ht="21" x14ac:dyDescent="0.55000000000000004">
      <c r="A5" s="55" t="s">
        <v>24</v>
      </c>
      <c r="B5" s="54"/>
      <c r="C5" s="54"/>
      <c r="D5" s="54"/>
      <c r="E5" s="54"/>
      <c r="F5" s="54"/>
      <c r="G5" s="54"/>
      <c r="H5" s="54"/>
      <c r="I5" s="54"/>
    </row>
    <row r="6" spans="1:9" ht="21" x14ac:dyDescent="0.55000000000000004">
      <c r="E6" s="56" t="s">
        <v>147</v>
      </c>
      <c r="F6" s="56"/>
      <c r="G6" s="56"/>
      <c r="H6" s="56"/>
      <c r="I6" s="56"/>
    </row>
    <row r="7" spans="1:9" ht="63" x14ac:dyDescent="0.55000000000000004">
      <c r="A7" s="36" t="s">
        <v>25</v>
      </c>
      <c r="C7" s="36" t="s">
        <v>26</v>
      </c>
      <c r="E7" s="36" t="s">
        <v>17</v>
      </c>
      <c r="G7" s="35" t="s">
        <v>27</v>
      </c>
      <c r="I7" s="35" t="s">
        <v>28</v>
      </c>
    </row>
    <row r="8" spans="1:9" ht="21" x14ac:dyDescent="0.55000000000000004">
      <c r="A8" s="34" t="s">
        <v>93</v>
      </c>
      <c r="C8" s="33" t="s">
        <v>229</v>
      </c>
      <c r="E8" s="6">
        <f>'4'!$S$89</f>
        <v>169164341415</v>
      </c>
      <c r="G8" s="32">
        <f>E8/$E$12</f>
        <v>0.81482699044389661</v>
      </c>
      <c r="I8" s="32">
        <v>0.1863231017472903</v>
      </c>
    </row>
    <row r="9" spans="1:9" ht="21" x14ac:dyDescent="0.55000000000000004">
      <c r="A9" s="34" t="s">
        <v>232</v>
      </c>
      <c r="C9" s="33" t="s">
        <v>92</v>
      </c>
      <c r="E9" s="6">
        <f>'5'!$O$156</f>
        <v>25720553275</v>
      </c>
      <c r="G9" s="32">
        <f>E9/$E$12</f>
        <v>0.12389018183333173</v>
      </c>
      <c r="I9" s="32">
        <v>2.8329453032289488E-2</v>
      </c>
    </row>
    <row r="10" spans="1:9" ht="21" x14ac:dyDescent="0.55000000000000004">
      <c r="A10" s="34" t="s">
        <v>29</v>
      </c>
      <c r="C10" s="33" t="s">
        <v>230</v>
      </c>
      <c r="E10" s="6">
        <f>'6'!$I$11</f>
        <v>12553018780</v>
      </c>
      <c r="G10" s="32">
        <f>E10/$E$12</f>
        <v>6.04650981875672E-2</v>
      </c>
      <c r="I10" s="32">
        <v>1.3826302729153011E-2</v>
      </c>
    </row>
    <row r="11" spans="1:9" ht="21" x14ac:dyDescent="0.55000000000000004">
      <c r="A11" s="34" t="s">
        <v>30</v>
      </c>
      <c r="C11" s="33" t="s">
        <v>231</v>
      </c>
      <c r="E11" s="6">
        <f>'7'!$E$11</f>
        <v>169766932</v>
      </c>
      <c r="G11" s="32">
        <f>E11/$E$12</f>
        <v>8.1772953520444294E-4</v>
      </c>
      <c r="I11" s="32">
        <v>1.8698681459564689E-4</v>
      </c>
    </row>
    <row r="12" spans="1:9" ht="21.75" thickBot="1" x14ac:dyDescent="0.6">
      <c r="A12" s="31" t="s">
        <v>9</v>
      </c>
      <c r="E12" s="30">
        <f>SUM(E8:$E$11)</f>
        <v>207607680402</v>
      </c>
      <c r="G12" s="29">
        <f>SUM(G8:$G$11)</f>
        <v>0.99999999999999989</v>
      </c>
      <c r="I12" s="28">
        <f>SUM(I8:$I$11)</f>
        <v>0.22866584432332843</v>
      </c>
    </row>
    <row r="13" spans="1:9" ht="21.75" thickTop="1" x14ac:dyDescent="0.55000000000000004">
      <c r="E13" s="27"/>
      <c r="G13" s="27"/>
      <c r="I13" s="27"/>
    </row>
  </sheetData>
  <mergeCells count="5">
    <mergeCell ref="A1:I1"/>
    <mergeCell ref="A2:I2"/>
    <mergeCell ref="A3:I3"/>
    <mergeCell ref="A5:I5"/>
    <mergeCell ref="E6:I6"/>
  </mergeCells>
  <pageMargins left="0.7" right="0.7" top="0.75" bottom="0.75" header="0.3" footer="0.3"/>
  <pageSetup paperSize="9" scale="7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44C2-A050-426F-9E0E-AD61BE1C1432}">
  <sheetPr>
    <pageSetUpPr fitToPage="1"/>
  </sheetPr>
  <dimension ref="A1:U90"/>
  <sheetViews>
    <sheetView rightToLeft="1" view="pageBreakPreview" topLeftCell="A61" zoomScale="60" zoomScaleNormal="100" workbookViewId="0">
      <selection activeCell="C39" sqref="C39"/>
    </sheetView>
  </sheetViews>
  <sheetFormatPr defaultColWidth="8.85546875" defaultRowHeight="19.5" x14ac:dyDescent="0.55000000000000004"/>
  <cols>
    <col min="1" max="1" width="36.42578125" style="8" customWidth="1"/>
    <col min="2" max="2" width="1.42578125" style="8" customWidth="1"/>
    <col min="3" max="3" width="17" style="8" customWidth="1"/>
    <col min="4" max="4" width="1.42578125" style="8" customWidth="1"/>
    <col min="5" max="5" width="17" style="8" customWidth="1"/>
    <col min="6" max="6" width="1.42578125" style="8" customWidth="1"/>
    <col min="7" max="7" width="17" style="8" customWidth="1"/>
    <col min="8" max="8" width="1.42578125" style="8" customWidth="1"/>
    <col min="9" max="9" width="17" style="8" customWidth="1"/>
    <col min="10" max="10" width="1.42578125" style="8" customWidth="1"/>
    <col min="11" max="11" width="10.5703125" style="8" customWidth="1"/>
    <col min="12" max="12" width="1.42578125" style="8" customWidth="1"/>
    <col min="13" max="13" width="17" style="8" customWidth="1"/>
    <col min="14" max="14" width="1.42578125" style="8" customWidth="1"/>
    <col min="15" max="15" width="17" style="8" customWidth="1"/>
    <col min="16" max="16" width="1.42578125" style="8" customWidth="1"/>
    <col min="17" max="17" width="17" style="8" customWidth="1"/>
    <col min="18" max="18" width="1.42578125" style="8" customWidth="1"/>
    <col min="19" max="19" width="17" style="8" customWidth="1"/>
    <col min="20" max="20" width="1.42578125" style="8" customWidth="1"/>
    <col min="21" max="21" width="10.5703125" style="8" customWidth="1"/>
    <col min="22" max="16384" width="8.85546875" style="8"/>
  </cols>
  <sheetData>
    <row r="1" spans="1:21" ht="19.899999999999999" customHeight="1" x14ac:dyDescent="0.55000000000000004">
      <c r="A1" s="49" t="s">
        <v>251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ht="19.899999999999999" customHeight="1" x14ac:dyDescent="0.55000000000000004">
      <c r="A2" s="49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</row>
    <row r="5" spans="1:21" ht="21" x14ac:dyDescent="0.55000000000000004">
      <c r="A5" s="50" t="s">
        <v>148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</row>
    <row r="7" spans="1:21" ht="21" x14ac:dyDescent="0.55000000000000004">
      <c r="C7" s="51" t="s">
        <v>146</v>
      </c>
      <c r="D7" s="52"/>
      <c r="E7" s="52"/>
      <c r="F7" s="52"/>
      <c r="G7" s="52"/>
      <c r="H7" s="52"/>
      <c r="I7" s="52"/>
      <c r="J7" s="52"/>
      <c r="K7" s="52"/>
      <c r="M7" s="51" t="s">
        <v>147</v>
      </c>
      <c r="N7" s="52"/>
      <c r="O7" s="52"/>
      <c r="P7" s="52"/>
      <c r="Q7" s="52"/>
      <c r="R7" s="52"/>
      <c r="S7" s="52"/>
      <c r="T7" s="52"/>
      <c r="U7" s="52"/>
    </row>
    <row r="8" spans="1:21" ht="63" x14ac:dyDescent="0.55000000000000004">
      <c r="A8" s="9" t="s">
        <v>128</v>
      </c>
      <c r="C8" s="7" t="s">
        <v>100</v>
      </c>
      <c r="E8" s="7" t="s">
        <v>41</v>
      </c>
      <c r="G8" s="7" t="s">
        <v>42</v>
      </c>
      <c r="I8" s="7" t="s">
        <v>127</v>
      </c>
      <c r="K8" s="7" t="s">
        <v>126</v>
      </c>
      <c r="M8" s="7" t="s">
        <v>100</v>
      </c>
      <c r="O8" s="7" t="s">
        <v>41</v>
      </c>
      <c r="Q8" s="7" t="s">
        <v>42</v>
      </c>
      <c r="S8" s="7" t="s">
        <v>127</v>
      </c>
      <c r="U8" s="7" t="s">
        <v>126</v>
      </c>
    </row>
    <row r="9" spans="1:21" ht="21" x14ac:dyDescent="0.55000000000000004">
      <c r="A9" s="10" t="s">
        <v>84</v>
      </c>
      <c r="C9" s="2">
        <v>0</v>
      </c>
      <c r="E9" s="2">
        <v>-506732274</v>
      </c>
      <c r="G9" s="2">
        <v>633311122</v>
      </c>
      <c r="I9" s="2">
        <v>126578848</v>
      </c>
      <c r="K9" s="3">
        <v>3.5641329290447151E-3</v>
      </c>
      <c r="M9" s="2">
        <v>0</v>
      </c>
      <c r="O9" s="2">
        <v>4309124330</v>
      </c>
      <c r="Q9" s="2">
        <v>-199604283</v>
      </c>
      <c r="S9" s="2">
        <v>4109520047</v>
      </c>
      <c r="U9" s="3">
        <v>1.9792788925027227E-2</v>
      </c>
    </row>
    <row r="10" spans="1:21" ht="21" x14ac:dyDescent="0.55000000000000004">
      <c r="A10" s="10" t="s">
        <v>312</v>
      </c>
      <c r="C10" s="2">
        <v>0</v>
      </c>
      <c r="E10" s="2">
        <v>505973454</v>
      </c>
      <c r="G10" s="2">
        <v>0</v>
      </c>
      <c r="I10" s="2">
        <v>505973454</v>
      </c>
      <c r="K10" s="3">
        <v>1.4246903626614547E-2</v>
      </c>
      <c r="M10" s="2">
        <v>1258089360</v>
      </c>
      <c r="O10" s="2">
        <v>4074938802</v>
      </c>
      <c r="Q10" s="2">
        <v>1338953748</v>
      </c>
      <c r="S10" s="2">
        <v>6671981910</v>
      </c>
      <c r="U10" s="3">
        <v>3.2134441040781232E-2</v>
      </c>
    </row>
    <row r="11" spans="1:21" ht="21" x14ac:dyDescent="0.55000000000000004">
      <c r="A11" s="10" t="s">
        <v>249</v>
      </c>
      <c r="C11" s="2">
        <v>0</v>
      </c>
      <c r="E11" s="2">
        <v>-77212916</v>
      </c>
      <c r="G11" s="2">
        <v>0</v>
      </c>
      <c r="I11" s="2">
        <v>-77212916</v>
      </c>
      <c r="K11" s="3">
        <v>-2.1741159823414065E-3</v>
      </c>
      <c r="M11" s="2">
        <v>291128585</v>
      </c>
      <c r="O11" s="2">
        <v>-77212916</v>
      </c>
      <c r="Q11" s="2">
        <v>820651110</v>
      </c>
      <c r="S11" s="2">
        <v>1034566779</v>
      </c>
      <c r="U11" s="3">
        <v>4.9828110463996213E-3</v>
      </c>
    </row>
    <row r="12" spans="1:21" ht="21" x14ac:dyDescent="0.55000000000000004">
      <c r="A12" s="10" t="s">
        <v>124</v>
      </c>
      <c r="C12" s="2">
        <v>0</v>
      </c>
      <c r="E12" s="2">
        <v>-1581777092</v>
      </c>
      <c r="G12" s="2">
        <v>396383393</v>
      </c>
      <c r="I12" s="2">
        <v>-1185393699</v>
      </c>
      <c r="K12" s="3">
        <v>-3.3377620220465427E-2</v>
      </c>
      <c r="M12" s="2">
        <v>1800000000</v>
      </c>
      <c r="O12" s="2">
        <v>6868733174</v>
      </c>
      <c r="Q12" s="2">
        <v>3948714227</v>
      </c>
      <c r="S12" s="2">
        <v>12617447401</v>
      </c>
      <c r="U12" s="3">
        <v>6.0769742043948805E-2</v>
      </c>
    </row>
    <row r="13" spans="1:21" ht="21" x14ac:dyDescent="0.55000000000000004">
      <c r="A13" s="10" t="s">
        <v>82</v>
      </c>
      <c r="C13" s="2">
        <v>0</v>
      </c>
      <c r="E13" s="2">
        <v>1057210949</v>
      </c>
      <c r="G13" s="2">
        <v>494800191</v>
      </c>
      <c r="I13" s="2">
        <v>1552011140</v>
      </c>
      <c r="K13" s="3">
        <v>4.370061900324948E-2</v>
      </c>
      <c r="M13" s="2">
        <v>0</v>
      </c>
      <c r="O13" s="2">
        <v>469065984</v>
      </c>
      <c r="Q13" s="2">
        <v>358011688</v>
      </c>
      <c r="S13" s="2">
        <v>827077672</v>
      </c>
      <c r="U13" s="3">
        <v>3.9834758315510175E-3</v>
      </c>
    </row>
    <row r="14" spans="1:21" ht="21" x14ac:dyDescent="0.55000000000000004">
      <c r="A14" s="10" t="s">
        <v>311</v>
      </c>
      <c r="C14" s="2">
        <v>0</v>
      </c>
      <c r="E14" s="2">
        <v>-1530281610</v>
      </c>
      <c r="G14" s="2">
        <v>0</v>
      </c>
      <c r="I14" s="2">
        <v>-1530281610</v>
      </c>
      <c r="K14" s="3">
        <v>-4.3088771647791915E-2</v>
      </c>
      <c r="M14" s="2">
        <v>2200000000</v>
      </c>
      <c r="O14" s="2">
        <v>-3601686852</v>
      </c>
      <c r="Q14" s="2">
        <v>-3087240096</v>
      </c>
      <c r="S14" s="2">
        <v>-4488926948</v>
      </c>
      <c r="U14" s="3">
        <v>-2.1620136309224498E-2</v>
      </c>
    </row>
    <row r="15" spans="1:21" ht="21" x14ac:dyDescent="0.55000000000000004">
      <c r="A15" s="10" t="s">
        <v>81</v>
      </c>
      <c r="C15" s="2">
        <v>0</v>
      </c>
      <c r="E15" s="2">
        <v>530680669</v>
      </c>
      <c r="G15" s="2">
        <v>839102175</v>
      </c>
      <c r="I15" s="2">
        <v>1369782844</v>
      </c>
      <c r="K15" s="3">
        <v>3.8569541570965475E-2</v>
      </c>
      <c r="M15" s="2">
        <v>0</v>
      </c>
      <c r="O15" s="2">
        <v>530680669</v>
      </c>
      <c r="Q15" s="2">
        <v>839102175</v>
      </c>
      <c r="S15" s="2">
        <v>1369782844</v>
      </c>
      <c r="U15" s="3">
        <v>6.5973209509483863E-3</v>
      </c>
    </row>
    <row r="16" spans="1:21" ht="21" x14ac:dyDescent="0.55000000000000004">
      <c r="A16" s="10" t="s">
        <v>80</v>
      </c>
      <c r="C16" s="2">
        <v>4167650000</v>
      </c>
      <c r="E16" s="2">
        <v>-2253593578</v>
      </c>
      <c r="G16" s="2">
        <v>0</v>
      </c>
      <c r="I16" s="2">
        <v>1914056422</v>
      </c>
      <c r="K16" s="3">
        <v>5.3894877615726977E-2</v>
      </c>
      <c r="M16" s="2">
        <v>4167650000</v>
      </c>
      <c r="O16" s="2">
        <v>-2480435881</v>
      </c>
      <c r="Q16" s="2">
        <v>-6456662846</v>
      </c>
      <c r="S16" s="2">
        <v>-4769448727</v>
      </c>
      <c r="U16" s="3">
        <v>-2.297122069307448E-2</v>
      </c>
    </row>
    <row r="17" spans="1:21" ht="21" x14ac:dyDescent="0.55000000000000004">
      <c r="A17" s="10" t="s">
        <v>310</v>
      </c>
      <c r="C17" s="2">
        <v>476566610</v>
      </c>
      <c r="E17" s="2">
        <v>281797520</v>
      </c>
      <c r="G17" s="2">
        <v>0</v>
      </c>
      <c r="I17" s="2">
        <v>758364130</v>
      </c>
      <c r="K17" s="3">
        <v>2.1353572185609931E-2</v>
      </c>
      <c r="M17" s="2">
        <v>1122566610</v>
      </c>
      <c r="O17" s="2">
        <v>-786365861</v>
      </c>
      <c r="Q17" s="2">
        <v>-6846862313</v>
      </c>
      <c r="S17" s="2">
        <v>-6510661564</v>
      </c>
      <c r="U17" s="3">
        <v>-3.1357469637509627E-2</v>
      </c>
    </row>
    <row r="18" spans="1:21" ht="21" x14ac:dyDescent="0.55000000000000004">
      <c r="A18" s="10" t="s">
        <v>79</v>
      </c>
      <c r="C18" s="2">
        <v>0</v>
      </c>
      <c r="E18" s="2">
        <v>823643785</v>
      </c>
      <c r="G18" s="2">
        <v>524974325</v>
      </c>
      <c r="I18" s="2">
        <v>1348618110</v>
      </c>
      <c r="K18" s="3">
        <v>3.7973597409869365E-2</v>
      </c>
      <c r="M18" s="2">
        <v>1330000000</v>
      </c>
      <c r="O18" s="2">
        <v>1172434705</v>
      </c>
      <c r="Q18" s="2">
        <v>1828471751</v>
      </c>
      <c r="S18" s="2">
        <v>4330906456</v>
      </c>
      <c r="U18" s="3">
        <v>2.0859058079111426E-2</v>
      </c>
    </row>
    <row r="19" spans="1:21" ht="21" x14ac:dyDescent="0.55000000000000004">
      <c r="A19" s="10" t="s">
        <v>78</v>
      </c>
      <c r="C19" s="2">
        <v>0</v>
      </c>
      <c r="E19" s="2">
        <v>-3460344975</v>
      </c>
      <c r="G19" s="2">
        <v>0</v>
      </c>
      <c r="I19" s="2">
        <v>-3460344975</v>
      </c>
      <c r="K19" s="3">
        <v>-9.7434363372084984E-2</v>
      </c>
      <c r="M19" s="2">
        <v>1705000000</v>
      </c>
      <c r="O19" s="2">
        <v>-3315998030</v>
      </c>
      <c r="Q19" s="2">
        <v>-76931900</v>
      </c>
      <c r="S19" s="2">
        <v>-1687929930</v>
      </c>
      <c r="U19" s="3">
        <v>-8.1296210853417893E-3</v>
      </c>
    </row>
    <row r="20" spans="1:21" ht="42" x14ac:dyDescent="0.55000000000000004">
      <c r="A20" s="10" t="s">
        <v>309</v>
      </c>
      <c r="C20" s="2">
        <v>0</v>
      </c>
      <c r="E20" s="2">
        <v>1556881580</v>
      </c>
      <c r="G20" s="2">
        <v>-731958267</v>
      </c>
      <c r="I20" s="2">
        <v>824923313</v>
      </c>
      <c r="K20" s="3">
        <v>2.322770660545086E-2</v>
      </c>
      <c r="M20" s="2">
        <v>1553500000</v>
      </c>
      <c r="O20" s="2">
        <v>-1641114116</v>
      </c>
      <c r="Q20" s="2">
        <v>-1913723493</v>
      </c>
      <c r="S20" s="2">
        <v>-2001337609</v>
      </c>
      <c r="U20" s="3">
        <v>-9.6390946897978898E-3</v>
      </c>
    </row>
    <row r="21" spans="1:21" ht="21" x14ac:dyDescent="0.55000000000000004">
      <c r="A21" s="10" t="s">
        <v>308</v>
      </c>
      <c r="C21" s="2">
        <v>0</v>
      </c>
      <c r="E21" s="2">
        <v>4047378965</v>
      </c>
      <c r="G21" s="2">
        <v>344403319</v>
      </c>
      <c r="I21" s="2">
        <v>4391782284</v>
      </c>
      <c r="K21" s="3">
        <v>0.12366122857746036</v>
      </c>
      <c r="M21" s="2">
        <v>5006486160</v>
      </c>
      <c r="O21" s="2">
        <v>3229354789</v>
      </c>
      <c r="Q21" s="2">
        <v>-3980233956</v>
      </c>
      <c r="S21" s="2">
        <v>4255606993</v>
      </c>
      <c r="U21" s="3">
        <v>2.0496391305307782E-2</v>
      </c>
    </row>
    <row r="22" spans="1:21" ht="21" x14ac:dyDescent="0.55000000000000004">
      <c r="A22" s="10" t="s">
        <v>247</v>
      </c>
      <c r="C22" s="2">
        <v>0</v>
      </c>
      <c r="E22" s="2">
        <v>1604373458</v>
      </c>
      <c r="G22" s="2">
        <v>71714147</v>
      </c>
      <c r="I22" s="2">
        <v>1676087605</v>
      </c>
      <c r="K22" s="3">
        <v>4.7194291300108784E-2</v>
      </c>
      <c r="M22" s="2">
        <v>2100000000</v>
      </c>
      <c r="O22" s="2">
        <v>-491322762</v>
      </c>
      <c r="Q22" s="2">
        <v>1069725049</v>
      </c>
      <c r="S22" s="2">
        <v>2678402287</v>
      </c>
      <c r="U22" s="3">
        <v>1.2900059013363708E-2</v>
      </c>
    </row>
    <row r="23" spans="1:21" ht="21" x14ac:dyDescent="0.55000000000000004">
      <c r="A23" s="10" t="s">
        <v>246</v>
      </c>
      <c r="C23" s="2">
        <v>0</v>
      </c>
      <c r="E23" s="2">
        <v>10370808</v>
      </c>
      <c r="G23" s="2">
        <v>0</v>
      </c>
      <c r="I23" s="2">
        <v>10370808</v>
      </c>
      <c r="K23" s="3">
        <v>2.9201512636297945E-4</v>
      </c>
      <c r="M23" s="2">
        <v>0</v>
      </c>
      <c r="O23" s="2">
        <v>10370808</v>
      </c>
      <c r="Q23" s="2">
        <v>0</v>
      </c>
      <c r="S23" s="2">
        <v>10370808</v>
      </c>
      <c r="U23" s="3">
        <v>4.9949193915194875E-5</v>
      </c>
    </row>
    <row r="24" spans="1:21" ht="21" x14ac:dyDescent="0.55000000000000004">
      <c r="A24" s="10" t="s">
        <v>75</v>
      </c>
      <c r="C24" s="2">
        <v>0</v>
      </c>
      <c r="E24" s="2">
        <v>644096858</v>
      </c>
      <c r="G24" s="2">
        <v>0</v>
      </c>
      <c r="I24" s="2">
        <v>644096858</v>
      </c>
      <c r="K24" s="3">
        <v>1.8136101389483638E-2</v>
      </c>
      <c r="M24" s="2">
        <v>0</v>
      </c>
      <c r="O24" s="2">
        <v>996304150</v>
      </c>
      <c r="Q24" s="2">
        <v>206564937</v>
      </c>
      <c r="S24" s="2">
        <v>1202869087</v>
      </c>
      <c r="U24" s="3">
        <v>5.7934098559298776E-3</v>
      </c>
    </row>
    <row r="25" spans="1:21" ht="21" x14ac:dyDescent="0.55000000000000004">
      <c r="A25" s="10" t="s">
        <v>307</v>
      </c>
      <c r="C25" s="2">
        <v>0</v>
      </c>
      <c r="E25" s="2">
        <v>-34311782</v>
      </c>
      <c r="G25" s="2">
        <v>0</v>
      </c>
      <c r="I25" s="2">
        <v>-34311782</v>
      </c>
      <c r="K25" s="3">
        <v>-9.6613102435885452E-4</v>
      </c>
      <c r="M25" s="2">
        <v>1310400000</v>
      </c>
      <c r="O25" s="2">
        <v>3215795397</v>
      </c>
      <c r="Q25" s="2">
        <v>44473593</v>
      </c>
      <c r="S25" s="2">
        <v>4570668990</v>
      </c>
      <c r="U25" s="3">
        <v>2.2013832644831331E-2</v>
      </c>
    </row>
    <row r="26" spans="1:21" ht="21" x14ac:dyDescent="0.55000000000000004">
      <c r="A26" s="10" t="s">
        <v>306</v>
      </c>
      <c r="C26" s="2">
        <v>0</v>
      </c>
      <c r="E26" s="2">
        <v>-1937187396</v>
      </c>
      <c r="G26" s="2">
        <v>1067079586</v>
      </c>
      <c r="I26" s="2">
        <v>-870107810</v>
      </c>
      <c r="K26" s="3">
        <v>-2.4499985158973659E-2</v>
      </c>
      <c r="M26" s="2">
        <v>4394680000</v>
      </c>
      <c r="O26" s="2">
        <v>1517886345</v>
      </c>
      <c r="Q26" s="2">
        <v>-241918659</v>
      </c>
      <c r="S26" s="2">
        <v>5670647686</v>
      </c>
      <c r="U26" s="3">
        <v>2.7311688818534206E-2</v>
      </c>
    </row>
    <row r="27" spans="1:21" ht="21" x14ac:dyDescent="0.55000000000000004">
      <c r="A27" s="10" t="s">
        <v>74</v>
      </c>
      <c r="C27" s="2">
        <v>0</v>
      </c>
      <c r="E27" s="2">
        <v>277601681</v>
      </c>
      <c r="G27" s="2">
        <v>0</v>
      </c>
      <c r="I27" s="2">
        <v>277601681</v>
      </c>
      <c r="K27" s="3">
        <v>7.8165452446704742E-3</v>
      </c>
      <c r="M27" s="2">
        <v>562500000</v>
      </c>
      <c r="O27" s="2">
        <v>197007252</v>
      </c>
      <c r="Q27" s="2">
        <v>598442884</v>
      </c>
      <c r="S27" s="2">
        <v>1357950136</v>
      </c>
      <c r="U27" s="3">
        <v>6.5403307698136204E-3</v>
      </c>
    </row>
    <row r="28" spans="1:21" ht="21" x14ac:dyDescent="0.55000000000000004">
      <c r="A28" s="10" t="s">
        <v>73</v>
      </c>
      <c r="C28" s="2">
        <v>4641000000</v>
      </c>
      <c r="E28" s="2">
        <v>494748437</v>
      </c>
      <c r="G28" s="2">
        <v>599548749</v>
      </c>
      <c r="I28" s="2">
        <v>5735297186</v>
      </c>
      <c r="K28" s="3">
        <v>0.1614911328508859</v>
      </c>
      <c r="M28" s="2">
        <v>4641000000</v>
      </c>
      <c r="O28" s="2">
        <v>17311139408</v>
      </c>
      <c r="Q28" s="2">
        <v>5484195818</v>
      </c>
      <c r="S28" s="2">
        <v>27436335226</v>
      </c>
      <c r="U28" s="3">
        <v>0.13214233920112745</v>
      </c>
    </row>
    <row r="29" spans="1:21" ht="21" x14ac:dyDescent="0.55000000000000004">
      <c r="A29" s="10" t="s">
        <v>305</v>
      </c>
      <c r="C29" s="2">
        <v>0</v>
      </c>
      <c r="E29" s="2">
        <v>4380853945</v>
      </c>
      <c r="G29" s="2">
        <v>0</v>
      </c>
      <c r="I29" s="2">
        <v>4380853945</v>
      </c>
      <c r="K29" s="3">
        <v>0.12335351482034301</v>
      </c>
      <c r="M29" s="2">
        <v>4760000000</v>
      </c>
      <c r="O29" s="2">
        <v>-9908210738</v>
      </c>
      <c r="Q29" s="2">
        <v>-13375259315</v>
      </c>
      <c r="S29" s="2">
        <v>-18523470053</v>
      </c>
      <c r="U29" s="3">
        <v>-8.9215073469646924E-2</v>
      </c>
    </row>
    <row r="30" spans="1:21" ht="21" x14ac:dyDescent="0.55000000000000004">
      <c r="A30" s="10" t="s">
        <v>109</v>
      </c>
      <c r="C30" s="2">
        <v>0</v>
      </c>
      <c r="E30" s="2">
        <v>-328980700</v>
      </c>
      <c r="G30" s="2">
        <v>0</v>
      </c>
      <c r="I30" s="2">
        <v>-328980700</v>
      </c>
      <c r="K30" s="3">
        <v>-9.2632455138964512E-3</v>
      </c>
      <c r="M30" s="2">
        <v>0</v>
      </c>
      <c r="O30" s="2">
        <v>-257839748</v>
      </c>
      <c r="Q30" s="2">
        <v>99830342</v>
      </c>
      <c r="S30" s="2">
        <v>-158009406</v>
      </c>
      <c r="U30" s="3">
        <v>-7.6102483632121596E-4</v>
      </c>
    </row>
    <row r="31" spans="1:21" ht="21" x14ac:dyDescent="0.55000000000000004">
      <c r="A31" s="10" t="s">
        <v>304</v>
      </c>
      <c r="C31" s="2">
        <v>0</v>
      </c>
      <c r="E31" s="2">
        <v>-712060040</v>
      </c>
      <c r="G31" s="2">
        <v>0</v>
      </c>
      <c r="I31" s="2">
        <v>-712060040</v>
      </c>
      <c r="K31" s="3">
        <v>-2.0049768789339093E-2</v>
      </c>
      <c r="M31" s="2">
        <v>1976000000</v>
      </c>
      <c r="O31" s="2">
        <v>-3826836619</v>
      </c>
      <c r="Q31" s="2">
        <v>-1626775972</v>
      </c>
      <c r="S31" s="2">
        <v>-3477612591</v>
      </c>
      <c r="U31" s="3">
        <v>-1.6749316511286517E-2</v>
      </c>
    </row>
    <row r="32" spans="1:21" ht="21" x14ac:dyDescent="0.55000000000000004">
      <c r="A32" s="10" t="s">
        <v>303</v>
      </c>
      <c r="C32" s="2">
        <v>0</v>
      </c>
      <c r="E32" s="2">
        <v>2246210499</v>
      </c>
      <c r="G32" s="2">
        <v>-2182565585</v>
      </c>
      <c r="I32" s="2">
        <v>63644914</v>
      </c>
      <c r="K32" s="3">
        <v>1.7920761433507359E-3</v>
      </c>
      <c r="M32" s="2">
        <v>1612000000</v>
      </c>
      <c r="O32" s="2">
        <v>0</v>
      </c>
      <c r="Q32" s="2">
        <v>-9181696722</v>
      </c>
      <c r="S32" s="2">
        <v>-7569696722</v>
      </c>
      <c r="U32" s="3">
        <v>-3.645812837788464E-2</v>
      </c>
    </row>
    <row r="33" spans="1:21" ht="21" x14ac:dyDescent="0.55000000000000004">
      <c r="A33" s="10" t="s">
        <v>302</v>
      </c>
      <c r="C33" s="2">
        <v>0</v>
      </c>
      <c r="E33" s="2">
        <v>8467556900</v>
      </c>
      <c r="G33" s="2">
        <v>0</v>
      </c>
      <c r="I33" s="2">
        <v>8467556900</v>
      </c>
      <c r="K33" s="3">
        <v>0.23842449866386672</v>
      </c>
      <c r="M33" s="2">
        <v>4440000000</v>
      </c>
      <c r="O33" s="2">
        <v>31089576507</v>
      </c>
      <c r="Q33" s="2">
        <v>2388053323</v>
      </c>
      <c r="S33" s="2">
        <v>37917629830</v>
      </c>
      <c r="U33" s="3">
        <v>0.18262367263797072</v>
      </c>
    </row>
    <row r="34" spans="1:21" ht="21" x14ac:dyDescent="0.55000000000000004">
      <c r="A34" s="10" t="s">
        <v>241</v>
      </c>
      <c r="C34" s="2">
        <v>0</v>
      </c>
      <c r="E34" s="2">
        <v>-723703768</v>
      </c>
      <c r="G34" s="2">
        <v>1370358481</v>
      </c>
      <c r="I34" s="2">
        <v>646654713</v>
      </c>
      <c r="K34" s="3">
        <v>1.8208123969695629E-2</v>
      </c>
      <c r="M34" s="2">
        <v>1891500000</v>
      </c>
      <c r="O34" s="2">
        <v>1556586587</v>
      </c>
      <c r="Q34" s="2">
        <v>2225489283</v>
      </c>
      <c r="S34" s="2">
        <v>5673575870</v>
      </c>
      <c r="U34" s="3">
        <v>2.7325791907747254E-2</v>
      </c>
    </row>
    <row r="35" spans="1:21" ht="21" x14ac:dyDescent="0.55000000000000004">
      <c r="A35" s="10" t="s">
        <v>301</v>
      </c>
      <c r="C35" s="2">
        <v>0</v>
      </c>
      <c r="E35" s="2">
        <v>2782738821</v>
      </c>
      <c r="G35" s="2">
        <v>0</v>
      </c>
      <c r="I35" s="2">
        <v>2782738821</v>
      </c>
      <c r="K35" s="3">
        <v>7.8354726888154078E-2</v>
      </c>
      <c r="M35" s="2">
        <v>3330000000</v>
      </c>
      <c r="O35" s="2">
        <v>15110871332</v>
      </c>
      <c r="Q35" s="2">
        <v>1386090593</v>
      </c>
      <c r="S35" s="2">
        <v>19826961925</v>
      </c>
      <c r="U35" s="3">
        <v>9.5493115477695706E-2</v>
      </c>
    </row>
    <row r="36" spans="1:21" ht="21" x14ac:dyDescent="0.55000000000000004">
      <c r="A36" s="10" t="s">
        <v>300</v>
      </c>
      <c r="C36" s="2">
        <v>0</v>
      </c>
      <c r="E36" s="2">
        <v>-4221693945</v>
      </c>
      <c r="G36" s="2">
        <v>2521225163</v>
      </c>
      <c r="I36" s="2">
        <v>-1700468782</v>
      </c>
      <c r="K36" s="3">
        <v>-4.7880802175879811E-2</v>
      </c>
      <c r="M36" s="2">
        <v>1298050000</v>
      </c>
      <c r="O36" s="2">
        <v>801971981</v>
      </c>
      <c r="Q36" s="2">
        <v>2526827618</v>
      </c>
      <c r="S36" s="2">
        <v>4626849599</v>
      </c>
      <c r="U36" s="3">
        <v>2.2284416781883597E-2</v>
      </c>
    </row>
    <row r="37" spans="1:21" ht="21" x14ac:dyDescent="0.55000000000000004">
      <c r="A37" s="10" t="s">
        <v>299</v>
      </c>
      <c r="C37" s="2">
        <v>0</v>
      </c>
      <c r="E37" s="2">
        <v>1068397055</v>
      </c>
      <c r="G37" s="2">
        <v>0</v>
      </c>
      <c r="I37" s="2">
        <v>1068397055</v>
      </c>
      <c r="K37" s="3">
        <v>3.0083297369082534E-2</v>
      </c>
      <c r="M37" s="2">
        <v>1080336390</v>
      </c>
      <c r="O37" s="2">
        <v>5075162339</v>
      </c>
      <c r="Q37" s="2">
        <v>543714539</v>
      </c>
      <c r="S37" s="2">
        <v>6699213268</v>
      </c>
      <c r="U37" s="3">
        <v>3.2265596142805691E-2</v>
      </c>
    </row>
    <row r="38" spans="1:21" ht="21" x14ac:dyDescent="0.55000000000000004">
      <c r="A38" s="10" t="s">
        <v>240</v>
      </c>
      <c r="C38" s="2">
        <v>0</v>
      </c>
      <c r="E38" s="2">
        <v>282301800</v>
      </c>
      <c r="G38" s="2">
        <v>0</v>
      </c>
      <c r="I38" s="2">
        <v>282301800</v>
      </c>
      <c r="K38" s="3">
        <v>7.9488884375736729E-3</v>
      </c>
      <c r="M38" s="2">
        <v>953521800</v>
      </c>
      <c r="O38" s="2">
        <v>-1328059200</v>
      </c>
      <c r="Q38" s="2">
        <v>564872035</v>
      </c>
      <c r="S38" s="2">
        <v>190334635</v>
      </c>
      <c r="U38" s="3">
        <v>9.1671368252047849E-4</v>
      </c>
    </row>
    <row r="39" spans="1:21" ht="21" x14ac:dyDescent="0.55000000000000004">
      <c r="A39" s="10" t="s">
        <v>63</v>
      </c>
      <c r="C39" s="2">
        <v>0</v>
      </c>
      <c r="E39" s="2">
        <v>-119453874</v>
      </c>
      <c r="G39" s="2">
        <v>0</v>
      </c>
      <c r="I39" s="2">
        <v>-119453874</v>
      </c>
      <c r="K39" s="3">
        <v>-3.3635120918888311E-3</v>
      </c>
      <c r="M39" s="2">
        <v>2492000000</v>
      </c>
      <c r="O39" s="2">
        <v>872990446</v>
      </c>
      <c r="Q39" s="2">
        <v>0</v>
      </c>
      <c r="S39" s="2">
        <v>3364990446</v>
      </c>
      <c r="U39" s="3">
        <v>1.6206891527644915E-2</v>
      </c>
    </row>
    <row r="40" spans="1:21" ht="21" x14ac:dyDescent="0.55000000000000004">
      <c r="A40" s="10" t="s">
        <v>239</v>
      </c>
      <c r="C40" s="2">
        <v>0</v>
      </c>
      <c r="E40" s="2">
        <v>-3268547561</v>
      </c>
      <c r="G40" s="2">
        <v>1703105316</v>
      </c>
      <c r="I40" s="2">
        <v>-1565442245</v>
      </c>
      <c r="K40" s="3">
        <v>-4.4078804176841499E-2</v>
      </c>
      <c r="M40" s="2">
        <v>2380003400</v>
      </c>
      <c r="O40" s="2">
        <v>4014673235</v>
      </c>
      <c r="Q40" s="2">
        <v>4493528293</v>
      </c>
      <c r="S40" s="2">
        <v>10888204928</v>
      </c>
      <c r="U40" s="3">
        <v>5.244114627684289E-2</v>
      </c>
    </row>
    <row r="41" spans="1:21" ht="21" x14ac:dyDescent="0.55000000000000004">
      <c r="A41" s="10" t="s">
        <v>103</v>
      </c>
      <c r="C41" s="2">
        <v>0</v>
      </c>
      <c r="E41" s="2">
        <v>-652032060</v>
      </c>
      <c r="G41" s="2">
        <v>0</v>
      </c>
      <c r="I41" s="2">
        <v>-652032060</v>
      </c>
      <c r="K41" s="3">
        <v>-1.8359536151244318E-2</v>
      </c>
      <c r="M41" s="2">
        <v>864000000</v>
      </c>
      <c r="O41" s="2">
        <v>-1669999924</v>
      </c>
      <c r="Q41" s="2">
        <v>-262326308</v>
      </c>
      <c r="S41" s="2">
        <v>-1068326232</v>
      </c>
      <c r="U41" s="3">
        <v>-5.1454075831755316E-3</v>
      </c>
    </row>
    <row r="42" spans="1:21" ht="21" x14ac:dyDescent="0.55000000000000004">
      <c r="A42" s="10" t="s">
        <v>298</v>
      </c>
      <c r="C42" s="2">
        <v>0</v>
      </c>
      <c r="E42" s="2">
        <v>1701416880</v>
      </c>
      <c r="G42" s="2">
        <v>0</v>
      </c>
      <c r="I42" s="2">
        <v>1701416880</v>
      </c>
      <c r="K42" s="3">
        <v>4.7907498163046333E-2</v>
      </c>
      <c r="M42" s="2">
        <v>4560000000</v>
      </c>
      <c r="O42" s="2">
        <v>9994643022</v>
      </c>
      <c r="Q42" s="2">
        <v>778763390</v>
      </c>
      <c r="S42" s="2">
        <v>15333406412</v>
      </c>
      <c r="U42" s="3">
        <v>7.3850686489758607E-2</v>
      </c>
    </row>
    <row r="43" spans="1:21" ht="21" x14ac:dyDescent="0.55000000000000004">
      <c r="A43" s="10" t="s">
        <v>62</v>
      </c>
      <c r="C43" s="2">
        <v>0</v>
      </c>
      <c r="E43" s="2">
        <v>1402809600</v>
      </c>
      <c r="G43" s="2">
        <v>0</v>
      </c>
      <c r="I43" s="2">
        <v>1402809600</v>
      </c>
      <c r="K43" s="3">
        <v>3.9499489587233767E-2</v>
      </c>
      <c r="M43" s="2">
        <v>3248000000</v>
      </c>
      <c r="O43" s="2">
        <v>5518176600</v>
      </c>
      <c r="Q43" s="2">
        <v>3233980000</v>
      </c>
      <c r="S43" s="2">
        <v>12000156600</v>
      </c>
      <c r="U43" s="3">
        <v>5.7796668208118948E-2</v>
      </c>
    </row>
    <row r="44" spans="1:21" ht="21" x14ac:dyDescent="0.55000000000000004">
      <c r="A44" s="10" t="s">
        <v>61</v>
      </c>
      <c r="C44" s="2">
        <v>0</v>
      </c>
      <c r="E44" s="2">
        <v>441145900</v>
      </c>
      <c r="G44" s="2">
        <v>0</v>
      </c>
      <c r="I44" s="2">
        <v>441145900</v>
      </c>
      <c r="K44" s="3">
        <v>1.2421527400083994E-2</v>
      </c>
      <c r="M44" s="2">
        <v>235000000</v>
      </c>
      <c r="O44" s="2">
        <v>890810500</v>
      </c>
      <c r="Q44" s="2">
        <v>560334700</v>
      </c>
      <c r="S44" s="2">
        <v>1686145200</v>
      </c>
      <c r="U44" s="3">
        <v>8.1210252435466018E-3</v>
      </c>
    </row>
    <row r="45" spans="1:21" ht="21" x14ac:dyDescent="0.55000000000000004">
      <c r="A45" s="10" t="s">
        <v>60</v>
      </c>
      <c r="C45" s="2">
        <v>0</v>
      </c>
      <c r="E45" s="2">
        <v>3922726812</v>
      </c>
      <c r="G45" s="2">
        <v>1349538038</v>
      </c>
      <c r="I45" s="2">
        <v>5272264850</v>
      </c>
      <c r="K45" s="3">
        <v>0.14845334002826441</v>
      </c>
      <c r="M45" s="2">
        <v>0</v>
      </c>
      <c r="O45" s="2">
        <v>15774343116</v>
      </c>
      <c r="Q45" s="2">
        <v>11225788189</v>
      </c>
      <c r="S45" s="2">
        <v>27000131305</v>
      </c>
      <c r="U45" s="3">
        <v>0.13004143884345065</v>
      </c>
    </row>
    <row r="46" spans="1:21" ht="21" x14ac:dyDescent="0.55000000000000004">
      <c r="A46" s="10" t="s">
        <v>58</v>
      </c>
      <c r="C46" s="2">
        <v>0</v>
      </c>
      <c r="E46" s="2">
        <v>0</v>
      </c>
      <c r="G46" s="2">
        <v>3007391</v>
      </c>
      <c r="I46" s="2">
        <v>3007391</v>
      </c>
      <c r="K46" s="3">
        <v>8.4680351124800211E-5</v>
      </c>
      <c r="M46" s="2">
        <v>0</v>
      </c>
      <c r="O46" s="2">
        <v>0</v>
      </c>
      <c r="Q46" s="2">
        <v>3007391</v>
      </c>
      <c r="S46" s="2">
        <v>3007391</v>
      </c>
      <c r="U46" s="3">
        <v>1.4484575959540649E-5</v>
      </c>
    </row>
    <row r="47" spans="1:21" ht="21" x14ac:dyDescent="0.55000000000000004">
      <c r="A47" s="10" t="s">
        <v>297</v>
      </c>
      <c r="C47" s="2">
        <v>0</v>
      </c>
      <c r="E47" s="2">
        <v>-23866570</v>
      </c>
      <c r="G47" s="2">
        <v>0</v>
      </c>
      <c r="I47" s="2">
        <v>-23866570</v>
      </c>
      <c r="K47" s="3">
        <v>-6.7202087382206804E-4</v>
      </c>
      <c r="M47" s="2">
        <v>434000000</v>
      </c>
      <c r="O47" s="2">
        <v>-510024988</v>
      </c>
      <c r="Q47" s="2">
        <v>-153952245</v>
      </c>
      <c r="S47" s="2">
        <v>-229977233</v>
      </c>
      <c r="U47" s="3">
        <v>-1.107645364488182E-3</v>
      </c>
    </row>
    <row r="48" spans="1:21" ht="21" x14ac:dyDescent="0.55000000000000004">
      <c r="A48" s="10" t="s">
        <v>284</v>
      </c>
      <c r="C48" s="2">
        <v>0</v>
      </c>
      <c r="E48" s="2">
        <v>0</v>
      </c>
      <c r="G48" s="2">
        <v>0</v>
      </c>
      <c r="I48" s="2">
        <v>0</v>
      </c>
      <c r="K48" s="3">
        <v>0</v>
      </c>
      <c r="L48" s="11"/>
      <c r="M48" s="2">
        <v>0</v>
      </c>
      <c r="O48" s="2">
        <v>0</v>
      </c>
      <c r="Q48" s="2">
        <v>410312059</v>
      </c>
      <c r="S48" s="2">
        <v>410312059</v>
      </c>
      <c r="U48" s="3">
        <v>1.9761967052840898E-3</v>
      </c>
    </row>
    <row r="49" spans="1:21" ht="21" x14ac:dyDescent="0.55000000000000004">
      <c r="A49" s="10" t="s">
        <v>125</v>
      </c>
      <c r="C49" s="2">
        <v>0</v>
      </c>
      <c r="E49" s="2">
        <v>0</v>
      </c>
      <c r="G49" s="2">
        <v>0</v>
      </c>
      <c r="I49" s="2">
        <v>0</v>
      </c>
      <c r="K49" s="3">
        <v>0</v>
      </c>
      <c r="L49" s="11"/>
      <c r="M49" s="2">
        <v>0</v>
      </c>
      <c r="O49" s="2">
        <v>0</v>
      </c>
      <c r="Q49" s="2">
        <v>191025600</v>
      </c>
      <c r="S49" s="2">
        <v>191025600</v>
      </c>
      <c r="U49" s="3">
        <v>9.2004159532858485E-4</v>
      </c>
    </row>
    <row r="50" spans="1:21" ht="21" x14ac:dyDescent="0.55000000000000004">
      <c r="A50" s="10" t="s">
        <v>85</v>
      </c>
      <c r="C50" s="2">
        <v>0</v>
      </c>
      <c r="E50" s="2">
        <v>0</v>
      </c>
      <c r="G50" s="2">
        <v>0</v>
      </c>
      <c r="I50" s="2">
        <v>0</v>
      </c>
      <c r="K50" s="3">
        <v>0</v>
      </c>
      <c r="L50" s="11"/>
      <c r="M50" s="2">
        <v>0</v>
      </c>
      <c r="O50" s="2">
        <v>0</v>
      </c>
      <c r="Q50" s="2">
        <v>-1476525993</v>
      </c>
      <c r="S50" s="2">
        <v>-1476525993</v>
      </c>
      <c r="U50" s="3">
        <v>-7.111430772335451E-3</v>
      </c>
    </row>
    <row r="51" spans="1:21" ht="21" x14ac:dyDescent="0.55000000000000004">
      <c r="A51" s="10" t="s">
        <v>283</v>
      </c>
      <c r="C51" s="2">
        <v>0</v>
      </c>
      <c r="E51" s="2">
        <v>0</v>
      </c>
      <c r="G51" s="2">
        <v>0</v>
      </c>
      <c r="I51" s="2">
        <v>0</v>
      </c>
      <c r="K51" s="3">
        <v>0</v>
      </c>
      <c r="L51" s="11"/>
      <c r="M51" s="2">
        <v>0</v>
      </c>
      <c r="O51" s="2">
        <v>0</v>
      </c>
      <c r="Q51" s="2">
        <v>254827730</v>
      </c>
      <c r="S51" s="2">
        <v>254827730</v>
      </c>
      <c r="U51" s="3">
        <v>1.2273334633848127E-3</v>
      </c>
    </row>
    <row r="52" spans="1:21" ht="21" x14ac:dyDescent="0.55000000000000004">
      <c r="A52" s="10" t="s">
        <v>296</v>
      </c>
      <c r="C52" s="2">
        <v>0</v>
      </c>
      <c r="E52" s="2">
        <v>0</v>
      </c>
      <c r="G52" s="2">
        <v>0</v>
      </c>
      <c r="I52" s="2">
        <v>0</v>
      </c>
      <c r="K52" s="3">
        <v>0</v>
      </c>
      <c r="L52" s="11"/>
      <c r="M52" s="2">
        <v>0</v>
      </c>
      <c r="O52" s="2">
        <v>0</v>
      </c>
      <c r="Q52" s="2">
        <v>-2841925362</v>
      </c>
      <c r="S52" s="2">
        <v>-2841925362</v>
      </c>
      <c r="U52" s="3">
        <v>-1.368763947795084E-2</v>
      </c>
    </row>
    <row r="53" spans="1:21" ht="21" x14ac:dyDescent="0.55000000000000004">
      <c r="A53" s="10" t="s">
        <v>270</v>
      </c>
      <c r="C53" s="2">
        <v>0</v>
      </c>
      <c r="E53" s="2">
        <v>0</v>
      </c>
      <c r="G53" s="2">
        <v>0</v>
      </c>
      <c r="I53" s="2">
        <v>0</v>
      </c>
      <c r="K53" s="3">
        <v>0</v>
      </c>
      <c r="L53" s="11"/>
      <c r="M53" s="2">
        <v>952000000</v>
      </c>
      <c r="O53" s="2">
        <v>0</v>
      </c>
      <c r="Q53" s="2">
        <v>-2453485900</v>
      </c>
      <c r="S53" s="2">
        <v>-1501485900</v>
      </c>
      <c r="U53" s="3">
        <v>-7.2316458254777167E-3</v>
      </c>
    </row>
    <row r="54" spans="1:21" ht="21" x14ac:dyDescent="0.55000000000000004">
      <c r="A54" s="10" t="s">
        <v>295</v>
      </c>
      <c r="C54" s="2">
        <v>0</v>
      </c>
      <c r="E54" s="2">
        <v>0</v>
      </c>
      <c r="G54" s="2">
        <v>0</v>
      </c>
      <c r="I54" s="2">
        <v>0</v>
      </c>
      <c r="K54" s="3">
        <v>0</v>
      </c>
      <c r="L54" s="11"/>
      <c r="M54" s="2">
        <v>0</v>
      </c>
      <c r="O54" s="2">
        <v>0</v>
      </c>
      <c r="Q54" s="2">
        <v>-707351562</v>
      </c>
      <c r="S54" s="2">
        <v>-707351562</v>
      </c>
      <c r="U54" s="3">
        <v>-3.4068358354097379E-3</v>
      </c>
    </row>
    <row r="55" spans="1:21" ht="21" x14ac:dyDescent="0.55000000000000004">
      <c r="A55" s="10" t="s">
        <v>294</v>
      </c>
      <c r="C55" s="2">
        <v>0</v>
      </c>
      <c r="E55" s="2">
        <v>0</v>
      </c>
      <c r="G55" s="2">
        <v>0</v>
      </c>
      <c r="I55" s="2">
        <v>0</v>
      </c>
      <c r="K55" s="3">
        <v>0</v>
      </c>
      <c r="L55" s="11"/>
      <c r="M55" s="2">
        <v>0</v>
      </c>
      <c r="O55" s="2">
        <v>0</v>
      </c>
      <c r="Q55" s="2">
        <v>-2314315880</v>
      </c>
      <c r="S55" s="2">
        <v>-2314315880</v>
      </c>
      <c r="U55" s="3">
        <v>-1.1146500125268435E-2</v>
      </c>
    </row>
    <row r="56" spans="1:21" ht="21" x14ac:dyDescent="0.55000000000000004">
      <c r="A56" s="10" t="s">
        <v>123</v>
      </c>
      <c r="C56" s="2">
        <v>0</v>
      </c>
      <c r="E56" s="2">
        <v>0</v>
      </c>
      <c r="G56" s="2">
        <v>0</v>
      </c>
      <c r="I56" s="2">
        <v>0</v>
      </c>
      <c r="K56" s="3">
        <v>0</v>
      </c>
      <c r="L56" s="11"/>
      <c r="M56" s="2">
        <v>1257300000</v>
      </c>
      <c r="O56" s="2">
        <v>0</v>
      </c>
      <c r="Q56" s="2">
        <v>2831026152</v>
      </c>
      <c r="S56" s="2">
        <v>4088326152</v>
      </c>
      <c r="U56" s="3">
        <v>1.9690712214015579E-2</v>
      </c>
    </row>
    <row r="57" spans="1:21" ht="21" x14ac:dyDescent="0.55000000000000004">
      <c r="A57" s="10" t="s">
        <v>122</v>
      </c>
      <c r="C57" s="2">
        <v>0</v>
      </c>
      <c r="E57" s="2">
        <v>0</v>
      </c>
      <c r="G57" s="2">
        <v>0</v>
      </c>
      <c r="I57" s="2">
        <v>0</v>
      </c>
      <c r="K57" s="3">
        <v>0</v>
      </c>
      <c r="L57" s="11"/>
      <c r="M57" s="2">
        <v>292500000</v>
      </c>
      <c r="O57" s="2">
        <v>0</v>
      </c>
      <c r="Q57" s="2">
        <v>1119306895</v>
      </c>
      <c r="S57" s="2">
        <v>1411806895</v>
      </c>
      <c r="U57" s="3">
        <v>6.7997224873090093E-3</v>
      </c>
    </row>
    <row r="58" spans="1:21" ht="21" x14ac:dyDescent="0.55000000000000004">
      <c r="A58" s="10" t="s">
        <v>293</v>
      </c>
      <c r="C58" s="2">
        <v>0</v>
      </c>
      <c r="E58" s="2">
        <v>0</v>
      </c>
      <c r="G58" s="2">
        <v>0</v>
      </c>
      <c r="I58" s="2">
        <v>0</v>
      </c>
      <c r="K58" s="3">
        <v>0</v>
      </c>
      <c r="L58" s="11"/>
      <c r="M58" s="2">
        <v>0</v>
      </c>
      <c r="O58" s="2">
        <v>0</v>
      </c>
      <c r="Q58" s="2">
        <v>-201510906</v>
      </c>
      <c r="S58" s="2">
        <v>-201510906</v>
      </c>
      <c r="U58" s="3">
        <v>-9.7054224895693831E-4</v>
      </c>
    </row>
    <row r="59" spans="1:21" ht="21" x14ac:dyDescent="0.55000000000000004">
      <c r="A59" s="10" t="s">
        <v>121</v>
      </c>
      <c r="C59" s="2">
        <v>0</v>
      </c>
      <c r="E59" s="2">
        <v>0</v>
      </c>
      <c r="G59" s="2">
        <v>0</v>
      </c>
      <c r="I59" s="2">
        <v>0</v>
      </c>
      <c r="K59" s="3">
        <v>0</v>
      </c>
      <c r="L59" s="11"/>
      <c r="M59" s="2">
        <v>0</v>
      </c>
      <c r="O59" s="2">
        <v>0</v>
      </c>
      <c r="Q59" s="2">
        <v>694641600</v>
      </c>
      <c r="S59" s="2">
        <v>694641600</v>
      </c>
      <c r="U59" s="3">
        <v>3.3456205128820468E-3</v>
      </c>
    </row>
    <row r="60" spans="1:21" ht="21" x14ac:dyDescent="0.55000000000000004">
      <c r="A60" s="10" t="s">
        <v>120</v>
      </c>
      <c r="C60" s="2">
        <v>0</v>
      </c>
      <c r="E60" s="2">
        <v>0</v>
      </c>
      <c r="G60" s="2">
        <v>0</v>
      </c>
      <c r="I60" s="2">
        <v>0</v>
      </c>
      <c r="K60" s="3">
        <v>0</v>
      </c>
      <c r="L60" s="11"/>
      <c r="M60" s="2">
        <v>0</v>
      </c>
      <c r="O60" s="2">
        <v>0</v>
      </c>
      <c r="Q60" s="2">
        <v>6310789540</v>
      </c>
      <c r="S60" s="2">
        <v>6310789540</v>
      </c>
      <c r="U60" s="3">
        <v>3.0394820778809471E-2</v>
      </c>
    </row>
    <row r="61" spans="1:21" ht="21" x14ac:dyDescent="0.55000000000000004">
      <c r="A61" s="10" t="s">
        <v>292</v>
      </c>
      <c r="C61" s="2">
        <v>0</v>
      </c>
      <c r="E61" s="2">
        <v>0</v>
      </c>
      <c r="G61" s="2">
        <v>0</v>
      </c>
      <c r="I61" s="2">
        <v>0</v>
      </c>
      <c r="K61" s="3">
        <v>0</v>
      </c>
      <c r="L61" s="11"/>
      <c r="M61" s="2">
        <v>0</v>
      </c>
      <c r="O61" s="2">
        <v>0</v>
      </c>
      <c r="Q61" s="2">
        <v>-2455634450</v>
      </c>
      <c r="S61" s="2">
        <v>-2455634450</v>
      </c>
      <c r="U61" s="3">
        <v>-1.182713645145903E-2</v>
      </c>
    </row>
    <row r="62" spans="1:21" ht="21" x14ac:dyDescent="0.55000000000000004">
      <c r="A62" s="10" t="s">
        <v>281</v>
      </c>
      <c r="C62" s="2">
        <v>0</v>
      </c>
      <c r="E62" s="2">
        <v>0</v>
      </c>
      <c r="G62" s="2">
        <v>0</v>
      </c>
      <c r="I62" s="2">
        <v>0</v>
      </c>
      <c r="K62" s="3">
        <v>0</v>
      </c>
      <c r="L62" s="11"/>
      <c r="M62" s="2">
        <v>0</v>
      </c>
      <c r="O62" s="2">
        <v>0</v>
      </c>
      <c r="Q62" s="2">
        <v>1736288324</v>
      </c>
      <c r="S62" s="2">
        <v>1736288324</v>
      </c>
      <c r="U62" s="3">
        <v>8.36253088362688E-3</v>
      </c>
    </row>
    <row r="63" spans="1:21" ht="21" x14ac:dyDescent="0.55000000000000004">
      <c r="A63" s="10" t="s">
        <v>118</v>
      </c>
      <c r="C63" s="2">
        <v>0</v>
      </c>
      <c r="E63" s="2">
        <v>0</v>
      </c>
      <c r="G63" s="2">
        <v>0</v>
      </c>
      <c r="I63" s="2">
        <v>0</v>
      </c>
      <c r="K63" s="3">
        <v>0</v>
      </c>
      <c r="L63" s="11"/>
      <c r="M63" s="2">
        <v>0</v>
      </c>
      <c r="O63" s="2">
        <v>0</v>
      </c>
      <c r="Q63" s="2">
        <v>-436957507</v>
      </c>
      <c r="S63" s="2">
        <v>-436957507</v>
      </c>
      <c r="U63" s="3">
        <v>-2.1045298736456332E-3</v>
      </c>
    </row>
    <row r="64" spans="1:21" ht="21" x14ac:dyDescent="0.55000000000000004">
      <c r="A64" s="10" t="s">
        <v>268</v>
      </c>
      <c r="C64" s="2">
        <v>0</v>
      </c>
      <c r="E64" s="2">
        <v>0</v>
      </c>
      <c r="G64" s="2">
        <v>0</v>
      </c>
      <c r="I64" s="2">
        <v>0</v>
      </c>
      <c r="K64" s="3">
        <v>0</v>
      </c>
      <c r="L64" s="11"/>
      <c r="M64" s="2">
        <v>642857000</v>
      </c>
      <c r="O64" s="2">
        <v>0</v>
      </c>
      <c r="Q64" s="2">
        <v>901828280</v>
      </c>
      <c r="S64" s="2">
        <v>1544685280</v>
      </c>
      <c r="U64" s="3">
        <v>7.4397081296526842E-3</v>
      </c>
    </row>
    <row r="65" spans="1:21" ht="21" x14ac:dyDescent="0.55000000000000004">
      <c r="A65" s="10" t="s">
        <v>117</v>
      </c>
      <c r="C65" s="2">
        <v>0</v>
      </c>
      <c r="E65" s="2">
        <v>0</v>
      </c>
      <c r="G65" s="2">
        <v>0</v>
      </c>
      <c r="I65" s="2">
        <v>0</v>
      </c>
      <c r="K65" s="3">
        <v>0</v>
      </c>
      <c r="L65" s="11"/>
      <c r="M65" s="2">
        <v>0</v>
      </c>
      <c r="O65" s="2">
        <v>0</v>
      </c>
      <c r="Q65" s="2">
        <v>402934800</v>
      </c>
      <c r="S65" s="2">
        <v>402934800</v>
      </c>
      <c r="U65" s="3">
        <v>1.9406654197416696E-3</v>
      </c>
    </row>
    <row r="66" spans="1:21" ht="21" x14ac:dyDescent="0.55000000000000004">
      <c r="A66" s="10" t="s">
        <v>116</v>
      </c>
      <c r="C66" s="2">
        <v>0</v>
      </c>
      <c r="E66" s="2">
        <v>0</v>
      </c>
      <c r="G66" s="2">
        <v>0</v>
      </c>
      <c r="I66" s="2">
        <v>0</v>
      </c>
      <c r="K66" s="3">
        <v>0</v>
      </c>
      <c r="L66" s="11"/>
      <c r="M66" s="2">
        <v>0</v>
      </c>
      <c r="O66" s="2">
        <v>0</v>
      </c>
      <c r="Q66" s="2">
        <v>229043646</v>
      </c>
      <c r="S66" s="2">
        <v>229043646</v>
      </c>
      <c r="U66" s="3">
        <v>1.1031489049934441E-3</v>
      </c>
    </row>
    <row r="67" spans="1:21" ht="21" x14ac:dyDescent="0.55000000000000004">
      <c r="A67" s="10" t="s">
        <v>76</v>
      </c>
      <c r="C67" s="2">
        <v>0</v>
      </c>
      <c r="E67" s="2">
        <v>0</v>
      </c>
      <c r="G67" s="2">
        <v>0</v>
      </c>
      <c r="I67" s="2">
        <v>0</v>
      </c>
      <c r="K67" s="3">
        <v>0</v>
      </c>
      <c r="L67" s="11"/>
      <c r="M67" s="2">
        <v>0</v>
      </c>
      <c r="O67" s="2">
        <v>0</v>
      </c>
      <c r="Q67" s="2">
        <v>2814038028</v>
      </c>
      <c r="S67" s="2">
        <v>2814038028</v>
      </c>
      <c r="U67" s="3">
        <v>1.3553324981554435E-2</v>
      </c>
    </row>
    <row r="68" spans="1:21" ht="21" x14ac:dyDescent="0.55000000000000004">
      <c r="A68" s="10" t="s">
        <v>291</v>
      </c>
      <c r="C68" s="2">
        <v>0</v>
      </c>
      <c r="E68" s="2">
        <v>0</v>
      </c>
      <c r="G68" s="2">
        <v>0</v>
      </c>
      <c r="I68" s="2">
        <v>0</v>
      </c>
      <c r="K68" s="3">
        <v>0</v>
      </c>
      <c r="L68" s="11"/>
      <c r="M68" s="2">
        <v>637000000</v>
      </c>
      <c r="O68" s="2">
        <v>0</v>
      </c>
      <c r="Q68" s="2">
        <v>-714788246</v>
      </c>
      <c r="S68" s="2">
        <v>-77788246</v>
      </c>
      <c r="U68" s="3">
        <v>-3.7465356448377815E-4</v>
      </c>
    </row>
    <row r="69" spans="1:21" ht="21" x14ac:dyDescent="0.55000000000000004">
      <c r="A69" s="10" t="s">
        <v>290</v>
      </c>
      <c r="C69" s="2">
        <v>0</v>
      </c>
      <c r="E69" s="2">
        <v>0</v>
      </c>
      <c r="G69" s="2">
        <v>0</v>
      </c>
      <c r="I69" s="2">
        <v>0</v>
      </c>
      <c r="K69" s="3">
        <v>0</v>
      </c>
      <c r="L69" s="11"/>
      <c r="M69" s="2">
        <v>1160426080</v>
      </c>
      <c r="O69" s="2">
        <v>0</v>
      </c>
      <c r="Q69" s="2">
        <v>-2799209091</v>
      </c>
      <c r="S69" s="2">
        <v>-1638783011</v>
      </c>
      <c r="U69" s="3">
        <v>-7.8929134934680057E-3</v>
      </c>
    </row>
    <row r="70" spans="1:21" ht="21" x14ac:dyDescent="0.55000000000000004">
      <c r="A70" s="10" t="s">
        <v>115</v>
      </c>
      <c r="C70" s="2">
        <v>0</v>
      </c>
      <c r="E70" s="2">
        <v>0</v>
      </c>
      <c r="G70" s="2">
        <v>0</v>
      </c>
      <c r="I70" s="2">
        <v>0</v>
      </c>
      <c r="K70" s="3">
        <v>0</v>
      </c>
      <c r="L70" s="11"/>
      <c r="M70" s="2">
        <v>1344000000</v>
      </c>
      <c r="O70" s="2">
        <v>0</v>
      </c>
      <c r="Q70" s="2">
        <v>-4634389748</v>
      </c>
      <c r="S70" s="2">
        <v>-3290389748</v>
      </c>
      <c r="U70" s="3">
        <v>-1.5847590233993455E-2</v>
      </c>
    </row>
    <row r="71" spans="1:21" ht="21" x14ac:dyDescent="0.55000000000000004">
      <c r="A71" s="10" t="s">
        <v>114</v>
      </c>
      <c r="C71" s="2">
        <v>0</v>
      </c>
      <c r="E71" s="2">
        <v>0</v>
      </c>
      <c r="G71" s="2">
        <v>0</v>
      </c>
      <c r="I71" s="2">
        <v>0</v>
      </c>
      <c r="K71" s="3">
        <v>0</v>
      </c>
      <c r="L71" s="11"/>
      <c r="M71" s="2">
        <v>0</v>
      </c>
      <c r="O71" s="2">
        <v>0</v>
      </c>
      <c r="Q71" s="2">
        <v>597495097</v>
      </c>
      <c r="S71" s="2">
        <v>597495097</v>
      </c>
      <c r="U71" s="3">
        <v>2.8777312687141804E-3</v>
      </c>
    </row>
    <row r="72" spans="1:21" ht="21" x14ac:dyDescent="0.55000000000000004">
      <c r="A72" s="10" t="s">
        <v>113</v>
      </c>
      <c r="C72" s="2">
        <v>0</v>
      </c>
      <c r="E72" s="2">
        <v>0</v>
      </c>
      <c r="G72" s="2">
        <v>0</v>
      </c>
      <c r="I72" s="2">
        <v>0</v>
      </c>
      <c r="K72" s="3">
        <v>0</v>
      </c>
      <c r="L72" s="11"/>
      <c r="M72" s="2">
        <v>225000000</v>
      </c>
      <c r="O72" s="2">
        <v>0</v>
      </c>
      <c r="Q72" s="2">
        <v>2133705317</v>
      </c>
      <c r="S72" s="2">
        <v>2358705317</v>
      </c>
      <c r="U72" s="3">
        <v>1.1360294132109495E-2</v>
      </c>
    </row>
    <row r="73" spans="1:21" ht="21" x14ac:dyDescent="0.55000000000000004">
      <c r="A73" s="10" t="s">
        <v>112</v>
      </c>
      <c r="C73" s="2">
        <v>0</v>
      </c>
      <c r="E73" s="2">
        <v>0</v>
      </c>
      <c r="G73" s="2">
        <v>0</v>
      </c>
      <c r="I73" s="2">
        <v>0</v>
      </c>
      <c r="K73" s="3">
        <v>0</v>
      </c>
      <c r="L73" s="11"/>
      <c r="M73" s="2">
        <v>0</v>
      </c>
      <c r="O73" s="2">
        <v>0</v>
      </c>
      <c r="Q73" s="2">
        <v>1447873382</v>
      </c>
      <c r="S73" s="2">
        <v>1447873382</v>
      </c>
      <c r="U73" s="3">
        <v>6.9734304523010196E-3</v>
      </c>
    </row>
    <row r="74" spans="1:21" ht="21" x14ac:dyDescent="0.55000000000000004">
      <c r="A74" s="10" t="s">
        <v>289</v>
      </c>
      <c r="C74" s="2">
        <v>0</v>
      </c>
      <c r="E74" s="2">
        <v>0</v>
      </c>
      <c r="G74" s="2">
        <v>0</v>
      </c>
      <c r="I74" s="2">
        <v>0</v>
      </c>
      <c r="K74" s="3">
        <v>0</v>
      </c>
      <c r="L74" s="11"/>
      <c r="M74" s="2">
        <v>0</v>
      </c>
      <c r="O74" s="2">
        <v>0</v>
      </c>
      <c r="Q74" s="2">
        <v>-2220221191</v>
      </c>
      <c r="S74" s="2">
        <v>-2220221191</v>
      </c>
      <c r="U74" s="3">
        <v>-1.0693309412717305E-2</v>
      </c>
    </row>
    <row r="75" spans="1:21" ht="21" x14ac:dyDescent="0.55000000000000004">
      <c r="A75" s="10" t="s">
        <v>279</v>
      </c>
      <c r="C75" s="2">
        <v>0</v>
      </c>
      <c r="E75" s="2">
        <v>0</v>
      </c>
      <c r="G75" s="2">
        <v>0</v>
      </c>
      <c r="I75" s="2">
        <v>0</v>
      </c>
      <c r="K75" s="3">
        <v>0</v>
      </c>
      <c r="L75" s="11"/>
      <c r="M75" s="2">
        <v>0</v>
      </c>
      <c r="O75" s="2">
        <v>0</v>
      </c>
      <c r="Q75" s="2">
        <v>157727</v>
      </c>
      <c r="S75" s="2">
        <v>157727</v>
      </c>
      <c r="U75" s="3">
        <v>7.5966467691446438E-7</v>
      </c>
    </row>
    <row r="76" spans="1:21" ht="21" x14ac:dyDescent="0.55000000000000004">
      <c r="A76" s="10" t="s">
        <v>288</v>
      </c>
      <c r="C76" s="2">
        <v>0</v>
      </c>
      <c r="E76" s="2">
        <v>0</v>
      </c>
      <c r="G76" s="2">
        <v>0</v>
      </c>
      <c r="I76" s="2">
        <v>0</v>
      </c>
      <c r="K76" s="3">
        <v>0</v>
      </c>
      <c r="L76" s="11"/>
      <c r="M76" s="2">
        <v>0</v>
      </c>
      <c r="O76" s="2">
        <v>0</v>
      </c>
      <c r="Q76" s="2">
        <v>-364180561</v>
      </c>
      <c r="S76" s="2">
        <v>-364180561</v>
      </c>
      <c r="U76" s="3">
        <v>-1.7540123644689456E-3</v>
      </c>
    </row>
    <row r="77" spans="1:21" ht="21" x14ac:dyDescent="0.55000000000000004">
      <c r="A77" s="10" t="s">
        <v>70</v>
      </c>
      <c r="C77" s="2">
        <v>0</v>
      </c>
      <c r="E77" s="2">
        <v>0</v>
      </c>
      <c r="G77" s="2">
        <v>0</v>
      </c>
      <c r="I77" s="2">
        <v>0</v>
      </c>
      <c r="K77" s="3">
        <v>0</v>
      </c>
      <c r="L77" s="11"/>
      <c r="M77" s="2">
        <v>0</v>
      </c>
      <c r="O77" s="2">
        <v>0</v>
      </c>
      <c r="Q77" s="2">
        <v>-7535029565</v>
      </c>
      <c r="S77" s="2">
        <v>-7535029565</v>
      </c>
      <c r="U77" s="3">
        <v>-3.6291160042584099E-2</v>
      </c>
    </row>
    <row r="78" spans="1:21" ht="21" x14ac:dyDescent="0.55000000000000004">
      <c r="A78" s="10" t="s">
        <v>110</v>
      </c>
      <c r="C78" s="2">
        <v>0</v>
      </c>
      <c r="E78" s="2">
        <v>0</v>
      </c>
      <c r="G78" s="2">
        <v>0</v>
      </c>
      <c r="I78" s="2">
        <v>0</v>
      </c>
      <c r="K78" s="3">
        <v>0</v>
      </c>
      <c r="L78" s="11"/>
      <c r="M78" s="2">
        <v>296000000</v>
      </c>
      <c r="O78" s="2">
        <v>0</v>
      </c>
      <c r="Q78" s="2">
        <v>-1418258700</v>
      </c>
      <c r="S78" s="2">
        <v>-1122258700</v>
      </c>
      <c r="U78" s="3">
        <v>-5.4051639399084923E-3</v>
      </c>
    </row>
    <row r="79" spans="1:21" ht="21" x14ac:dyDescent="0.55000000000000004">
      <c r="A79" s="10" t="s">
        <v>287</v>
      </c>
      <c r="C79" s="2">
        <v>0</v>
      </c>
      <c r="E79" s="2">
        <v>0</v>
      </c>
      <c r="G79" s="2">
        <v>0</v>
      </c>
      <c r="I79" s="2">
        <v>0</v>
      </c>
      <c r="K79" s="3">
        <v>0</v>
      </c>
      <c r="L79" s="11"/>
      <c r="M79" s="2">
        <v>0</v>
      </c>
      <c r="O79" s="2">
        <v>0</v>
      </c>
      <c r="Q79" s="2">
        <v>-2474802263</v>
      </c>
      <c r="S79" s="2">
        <v>-2474802263</v>
      </c>
      <c r="U79" s="3">
        <v>-1.1919454890723087E-2</v>
      </c>
    </row>
    <row r="80" spans="1:21" ht="21" x14ac:dyDescent="0.55000000000000004">
      <c r="A80" s="10" t="s">
        <v>107</v>
      </c>
      <c r="C80" s="2">
        <v>0</v>
      </c>
      <c r="E80" s="2">
        <v>0</v>
      </c>
      <c r="G80" s="2">
        <v>0</v>
      </c>
      <c r="I80" s="2">
        <v>0</v>
      </c>
      <c r="K80" s="3">
        <v>0</v>
      </c>
      <c r="L80" s="11"/>
      <c r="M80" s="2">
        <v>0</v>
      </c>
      <c r="O80" s="2">
        <v>0</v>
      </c>
      <c r="Q80" s="2">
        <v>1102917532</v>
      </c>
      <c r="S80" s="2">
        <v>1102917532</v>
      </c>
      <c r="U80" s="3">
        <v>5.3120105664222258E-3</v>
      </c>
    </row>
    <row r="81" spans="1:21" ht="21" x14ac:dyDescent="0.55000000000000004">
      <c r="A81" s="10" t="s">
        <v>106</v>
      </c>
      <c r="C81" s="2">
        <v>0</v>
      </c>
      <c r="E81" s="2">
        <v>0</v>
      </c>
      <c r="G81" s="2">
        <v>0</v>
      </c>
      <c r="I81" s="2">
        <v>0</v>
      </c>
      <c r="K81" s="3">
        <v>0</v>
      </c>
      <c r="L81" s="11"/>
      <c r="M81" s="2">
        <v>262500000</v>
      </c>
      <c r="O81" s="2">
        <v>0</v>
      </c>
      <c r="Q81" s="2">
        <v>808314250</v>
      </c>
      <c r="S81" s="2">
        <v>1070814250</v>
      </c>
      <c r="U81" s="3">
        <v>5.1573906893661488E-3</v>
      </c>
    </row>
    <row r="82" spans="1:21" ht="21" x14ac:dyDescent="0.55000000000000004">
      <c r="A82" s="10" t="s">
        <v>105</v>
      </c>
      <c r="C82" s="2">
        <v>0</v>
      </c>
      <c r="E82" s="2">
        <v>0</v>
      </c>
      <c r="G82" s="2">
        <v>0</v>
      </c>
      <c r="I82" s="2">
        <v>0</v>
      </c>
      <c r="K82" s="3">
        <v>0</v>
      </c>
      <c r="L82" s="11"/>
      <c r="M82" s="2">
        <v>0</v>
      </c>
      <c r="O82" s="2">
        <v>0</v>
      </c>
      <c r="Q82" s="2">
        <v>2697705400</v>
      </c>
      <c r="S82" s="2">
        <v>2697705400</v>
      </c>
      <c r="U82" s="3">
        <v>1.2993029101557791E-2</v>
      </c>
    </row>
    <row r="83" spans="1:21" ht="21" x14ac:dyDescent="0.55000000000000004">
      <c r="A83" s="10" t="s">
        <v>264</v>
      </c>
      <c r="C83" s="2">
        <v>0</v>
      </c>
      <c r="E83" s="2">
        <v>0</v>
      </c>
      <c r="G83" s="2">
        <v>0</v>
      </c>
      <c r="I83" s="2">
        <v>0</v>
      </c>
      <c r="K83" s="3">
        <v>0</v>
      </c>
      <c r="L83" s="11"/>
      <c r="M83" s="2">
        <v>420000000</v>
      </c>
      <c r="O83" s="2">
        <v>0</v>
      </c>
      <c r="Q83" s="2">
        <v>-1983363651</v>
      </c>
      <c r="S83" s="2">
        <v>-1563363651</v>
      </c>
      <c r="U83" s="3">
        <v>-7.5296692566062398E-3</v>
      </c>
    </row>
    <row r="84" spans="1:21" ht="21" x14ac:dyDescent="0.55000000000000004">
      <c r="A84" s="10" t="s">
        <v>104</v>
      </c>
      <c r="C84" s="2">
        <v>0</v>
      </c>
      <c r="E84" s="2">
        <v>0</v>
      </c>
      <c r="G84" s="2">
        <v>0</v>
      </c>
      <c r="I84" s="2">
        <v>0</v>
      </c>
      <c r="K84" s="3">
        <v>0</v>
      </c>
      <c r="L84" s="11"/>
      <c r="M84" s="2">
        <v>1839860000</v>
      </c>
      <c r="O84" s="2">
        <v>0</v>
      </c>
      <c r="Q84" s="2">
        <v>-2090606228</v>
      </c>
      <c r="S84" s="2">
        <v>-250746228</v>
      </c>
      <c r="U84" s="3">
        <v>-1.2076756185126238E-3</v>
      </c>
    </row>
    <row r="85" spans="1:21" ht="21" x14ac:dyDescent="0.55000000000000004">
      <c r="A85" s="10" t="s">
        <v>259</v>
      </c>
      <c r="C85" s="2">
        <v>0</v>
      </c>
      <c r="E85" s="2">
        <v>0</v>
      </c>
      <c r="G85" s="2">
        <v>0</v>
      </c>
      <c r="I85" s="2">
        <v>0</v>
      </c>
      <c r="K85" s="3">
        <v>0</v>
      </c>
      <c r="L85" s="11"/>
      <c r="M85" s="2">
        <v>1865500000</v>
      </c>
      <c r="O85" s="2">
        <v>0</v>
      </c>
      <c r="Q85" s="2">
        <v>433500928</v>
      </c>
      <c r="S85" s="2">
        <v>2299000928</v>
      </c>
      <c r="U85" s="3">
        <v>1.1072738321246037E-2</v>
      </c>
    </row>
    <row r="86" spans="1:21" ht="21" x14ac:dyDescent="0.55000000000000004">
      <c r="A86" s="10" t="s">
        <v>277</v>
      </c>
      <c r="C86" s="2">
        <v>0</v>
      </c>
      <c r="E86" s="2">
        <v>0</v>
      </c>
      <c r="G86" s="2">
        <v>0</v>
      </c>
      <c r="I86" s="2">
        <v>0</v>
      </c>
      <c r="K86" s="3">
        <v>0</v>
      </c>
      <c r="L86" s="11"/>
      <c r="M86" s="2">
        <v>0</v>
      </c>
      <c r="O86" s="2">
        <v>0</v>
      </c>
      <c r="Q86" s="2">
        <v>-2496132153</v>
      </c>
      <c r="S86" s="2">
        <v>-2496132153</v>
      </c>
      <c r="U86" s="3">
        <v>-1.2022186598011447E-2</v>
      </c>
    </row>
    <row r="87" spans="1:21" ht="21" x14ac:dyDescent="0.55000000000000004">
      <c r="A87" s="10" t="s">
        <v>286</v>
      </c>
      <c r="C87" s="2">
        <v>0</v>
      </c>
      <c r="E87" s="2">
        <v>0</v>
      </c>
      <c r="G87" s="2">
        <v>0</v>
      </c>
      <c r="I87" s="2">
        <v>0</v>
      </c>
      <c r="K87" s="3">
        <v>0</v>
      </c>
      <c r="L87" s="11"/>
      <c r="M87" s="2">
        <v>0</v>
      </c>
      <c r="O87" s="2">
        <v>0</v>
      </c>
      <c r="Q87" s="2">
        <v>1118081095</v>
      </c>
      <c r="S87" s="2">
        <v>1118081095</v>
      </c>
      <c r="U87" s="3">
        <v>5.3850432316429374E-3</v>
      </c>
    </row>
    <row r="88" spans="1:21" ht="21" x14ac:dyDescent="0.55000000000000004">
      <c r="A88" s="10" t="s">
        <v>285</v>
      </c>
      <c r="C88" s="2">
        <v>0</v>
      </c>
      <c r="E88" s="2">
        <v>0</v>
      </c>
      <c r="G88" s="2">
        <v>0</v>
      </c>
      <c r="I88" s="2">
        <v>0</v>
      </c>
      <c r="K88" s="3">
        <v>0</v>
      </c>
      <c r="L88" s="11"/>
      <c r="M88" s="2">
        <v>0</v>
      </c>
      <c r="O88" s="2">
        <v>0</v>
      </c>
      <c r="Q88" s="2">
        <v>-1517070806</v>
      </c>
      <c r="S88" s="2">
        <v>-1517070806</v>
      </c>
      <c r="U88" s="3">
        <v>-7.3067078160134668E-3</v>
      </c>
    </row>
    <row r="89" spans="1:21" ht="21.75" thickBot="1" x14ac:dyDescent="0.6">
      <c r="A89" s="12" t="s">
        <v>9</v>
      </c>
      <c r="C89" s="12">
        <f>SUM(C9:$C$88)</f>
        <v>9285216610</v>
      </c>
      <c r="E89" s="12">
        <f>SUM(E9:$E$88)</f>
        <v>17099136235</v>
      </c>
      <c r="G89" s="12">
        <f>SUM(G9:$G$88)</f>
        <v>9004027544</v>
      </c>
      <c r="I89" s="12">
        <f>SUM(I9:$I$88)</f>
        <v>35388380389</v>
      </c>
      <c r="K89" s="13">
        <f>SUM(K9:$K$88)</f>
        <v>0.99644525007839491</v>
      </c>
      <c r="M89" s="12">
        <f>SUM(M9:$M$88)</f>
        <v>80192355385</v>
      </c>
      <c r="O89" s="12">
        <f>SUM(O9:$O$88)</f>
        <v>104707533843</v>
      </c>
      <c r="Q89" s="12">
        <f>SUM(Q9:$Q$88)</f>
        <v>-15735547813</v>
      </c>
      <c r="S89" s="12">
        <f>SUM(S9:$S$88)</f>
        <v>169164341415</v>
      </c>
      <c r="U89" s="13">
        <f>SUM(U9:$U$88)</f>
        <v>0.8147506436214097</v>
      </c>
    </row>
    <row r="90" spans="1:21" ht="21.75" thickTop="1" x14ac:dyDescent="0.55000000000000004">
      <c r="C90" s="4"/>
      <c r="E90" s="4"/>
      <c r="G90" s="4"/>
      <c r="I90" s="4"/>
      <c r="K90" s="4"/>
      <c r="M90" s="4"/>
      <c r="O90" s="4"/>
      <c r="Q90" s="4"/>
      <c r="S90" s="4"/>
      <c r="U90" s="4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333D-DC14-490D-91FE-F42A1E679808}">
  <sheetPr>
    <pageSetUpPr fitToPage="1"/>
  </sheetPr>
  <dimension ref="A1:Q157"/>
  <sheetViews>
    <sheetView rightToLeft="1" view="pageBreakPreview" topLeftCell="A131" zoomScale="70" zoomScaleNormal="82" zoomScaleSheetLayoutView="70" workbookViewId="0">
      <selection activeCell="C116" sqref="C116:C155"/>
    </sheetView>
  </sheetViews>
  <sheetFormatPr defaultColWidth="8.85546875" defaultRowHeight="19.5" x14ac:dyDescent="0.55000000000000004"/>
  <cols>
    <col min="1" max="1" width="43.28515625" style="8" customWidth="1"/>
    <col min="2" max="2" width="1.42578125" style="8" customWidth="1"/>
    <col min="3" max="3" width="17" style="8" customWidth="1"/>
    <col min="4" max="4" width="1.42578125" style="8" customWidth="1"/>
    <col min="5" max="5" width="17" style="8" customWidth="1"/>
    <col min="6" max="6" width="1.42578125" style="8" customWidth="1"/>
    <col min="7" max="7" width="17" style="8" customWidth="1"/>
    <col min="8" max="8" width="1.42578125" style="8" customWidth="1"/>
    <col min="9" max="9" width="10.5703125" style="8" customWidth="1"/>
    <col min="10" max="10" width="1.42578125" style="8" customWidth="1"/>
    <col min="11" max="11" width="17" style="8" customWidth="1"/>
    <col min="12" max="12" width="1.42578125" style="8" customWidth="1"/>
    <col min="13" max="13" width="17" style="8" customWidth="1"/>
    <col min="14" max="14" width="1.42578125" style="8" customWidth="1"/>
    <col min="15" max="15" width="17" style="8" customWidth="1"/>
    <col min="16" max="16" width="1.42578125" style="8" customWidth="1"/>
    <col min="17" max="17" width="10.5703125" style="8" customWidth="1"/>
    <col min="18" max="16384" width="8.85546875" style="8"/>
  </cols>
  <sheetData>
    <row r="1" spans="1:17" ht="19.899999999999999" customHeight="1" x14ac:dyDescent="0.55000000000000004">
      <c r="A1" s="49" t="s">
        <v>315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9.899999999999999" customHeight="1" x14ac:dyDescent="0.55000000000000004">
      <c r="A2" s="49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5" spans="1:17" ht="21" x14ac:dyDescent="0.55000000000000004">
      <c r="A5" s="50" t="s">
        <v>149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7" spans="1:17" ht="21" x14ac:dyDescent="0.55000000000000004">
      <c r="C7" s="57" t="s">
        <v>146</v>
      </c>
      <c r="D7" s="57"/>
      <c r="E7" s="57"/>
      <c r="F7" s="57"/>
      <c r="G7" s="57"/>
      <c r="H7" s="57"/>
      <c r="I7" s="57"/>
      <c r="K7" s="57" t="s">
        <v>147</v>
      </c>
      <c r="L7" s="57"/>
      <c r="M7" s="57"/>
      <c r="N7" s="57"/>
      <c r="O7" s="57"/>
      <c r="P7" s="57"/>
      <c r="Q7" s="57"/>
    </row>
    <row r="8" spans="1:17" ht="63" x14ac:dyDescent="0.55000000000000004">
      <c r="A8" s="9" t="s">
        <v>150</v>
      </c>
      <c r="C8" s="7" t="s">
        <v>41</v>
      </c>
      <c r="E8" s="7" t="s">
        <v>42</v>
      </c>
      <c r="G8" s="7" t="s">
        <v>127</v>
      </c>
      <c r="I8" s="7" t="s">
        <v>126</v>
      </c>
      <c r="K8" s="7" t="s">
        <v>41</v>
      </c>
      <c r="M8" s="7" t="s">
        <v>42</v>
      </c>
      <c r="O8" s="7" t="s">
        <v>127</v>
      </c>
      <c r="Q8" s="7" t="s">
        <v>126</v>
      </c>
    </row>
    <row r="9" spans="1:17" ht="21" x14ac:dyDescent="0.55000000000000004">
      <c r="A9" s="10" t="s">
        <v>316</v>
      </c>
      <c r="C9" s="2">
        <v>0</v>
      </c>
      <c r="E9" s="2">
        <v>0</v>
      </c>
      <c r="G9" s="2">
        <f>E9+C9</f>
        <v>0</v>
      </c>
      <c r="I9" s="3">
        <v>0</v>
      </c>
      <c r="K9" s="2">
        <v>0</v>
      </c>
      <c r="M9" s="2">
        <v>39994850</v>
      </c>
      <c r="O9" s="2">
        <f>M9+K9</f>
        <v>39994850</v>
      </c>
      <c r="Q9" s="3">
        <v>1.92628242491726E-4</v>
      </c>
    </row>
    <row r="10" spans="1:17" ht="21" x14ac:dyDescent="0.55000000000000004">
      <c r="A10" s="10" t="s">
        <v>317</v>
      </c>
      <c r="C10" s="2">
        <v>-3399125</v>
      </c>
      <c r="E10" s="2">
        <v>0</v>
      </c>
      <c r="G10" s="2">
        <f t="shared" ref="G10:G73" si="0">E10+C10</f>
        <v>-3399125</v>
      </c>
      <c r="I10" s="3">
        <v>-9.571056723820964E-5</v>
      </c>
      <c r="K10" s="2">
        <v>0</v>
      </c>
      <c r="M10" s="2">
        <v>165978980</v>
      </c>
      <c r="O10" s="2">
        <f t="shared" ref="O10:O73" si="1">M10+K10</f>
        <v>165978980</v>
      </c>
      <c r="Q10" s="3">
        <v>7.9940890409563575E-4</v>
      </c>
    </row>
    <row r="11" spans="1:17" ht="21" x14ac:dyDescent="0.55000000000000004">
      <c r="A11" s="10" t="s">
        <v>318</v>
      </c>
      <c r="C11" s="2">
        <v>-6998198</v>
      </c>
      <c r="E11" s="2">
        <v>0</v>
      </c>
      <c r="G11" s="2">
        <f t="shared" si="0"/>
        <v>-6998198</v>
      </c>
      <c r="I11" s="3">
        <v>-1.9705115293650697E-4</v>
      </c>
      <c r="K11" s="2">
        <v>0</v>
      </c>
      <c r="M11" s="2">
        <v>153286869</v>
      </c>
      <c r="O11" s="2">
        <f t="shared" si="1"/>
        <v>153286869</v>
      </c>
      <c r="Q11" s="3">
        <v>7.3827955780630342E-4</v>
      </c>
    </row>
    <row r="12" spans="1:17" ht="21" x14ac:dyDescent="0.55000000000000004">
      <c r="A12" s="10" t="s">
        <v>319</v>
      </c>
      <c r="C12" s="2">
        <v>0</v>
      </c>
      <c r="E12" s="2">
        <v>0</v>
      </c>
      <c r="G12" s="2">
        <f t="shared" si="0"/>
        <v>0</v>
      </c>
      <c r="I12" s="3">
        <v>0</v>
      </c>
      <c r="K12" s="2">
        <v>0</v>
      </c>
      <c r="M12" s="2">
        <v>2571000</v>
      </c>
      <c r="O12" s="2">
        <f t="shared" si="1"/>
        <v>2571000</v>
      </c>
      <c r="Q12" s="3">
        <v>1.2382774568381368E-5</v>
      </c>
    </row>
    <row r="13" spans="1:17" ht="21" x14ac:dyDescent="0.55000000000000004">
      <c r="A13" s="10" t="s">
        <v>320</v>
      </c>
      <c r="C13" s="2">
        <v>449884125</v>
      </c>
      <c r="E13" s="2">
        <v>0</v>
      </c>
      <c r="G13" s="2">
        <f t="shared" si="0"/>
        <v>449884125</v>
      </c>
      <c r="I13" s="3">
        <v>1.2667573212287165E-2</v>
      </c>
      <c r="K13" s="2">
        <v>0</v>
      </c>
      <c r="M13" s="2">
        <v>643341293</v>
      </c>
      <c r="O13" s="2">
        <f t="shared" si="1"/>
        <v>643341293</v>
      </c>
      <c r="Q13" s="3">
        <v>3.0985415020420015E-3</v>
      </c>
    </row>
    <row r="14" spans="1:17" ht="21" x14ac:dyDescent="0.55000000000000004">
      <c r="A14" s="10" t="s">
        <v>151</v>
      </c>
      <c r="C14" s="2">
        <v>132110973</v>
      </c>
      <c r="E14" s="2">
        <v>0</v>
      </c>
      <c r="G14" s="2">
        <f t="shared" si="0"/>
        <v>132110973</v>
      </c>
      <c r="I14" s="3">
        <v>3.719903258697988E-3</v>
      </c>
      <c r="K14" s="2">
        <v>0</v>
      </c>
      <c r="M14" s="2">
        <v>-987077134</v>
      </c>
      <c r="O14" s="2">
        <f t="shared" si="1"/>
        <v>-987077134</v>
      </c>
      <c r="Q14" s="3">
        <v>-4.7540854266534295E-3</v>
      </c>
    </row>
    <row r="15" spans="1:17" ht="21" x14ac:dyDescent="0.55000000000000004">
      <c r="A15" s="10" t="s">
        <v>321</v>
      </c>
      <c r="C15" s="2">
        <v>-18005293</v>
      </c>
      <c r="E15" s="2">
        <v>0</v>
      </c>
      <c r="G15" s="2">
        <f t="shared" si="0"/>
        <v>-18005293</v>
      </c>
      <c r="I15" s="3">
        <v>-5.0698247529001297E-4</v>
      </c>
      <c r="K15" s="2">
        <v>0</v>
      </c>
      <c r="M15" s="2">
        <v>17872710</v>
      </c>
      <c r="O15" s="2">
        <f t="shared" si="1"/>
        <v>17872710</v>
      </c>
      <c r="Q15" s="3">
        <v>8.6080800799710359E-5</v>
      </c>
    </row>
    <row r="16" spans="1:17" ht="21" x14ac:dyDescent="0.55000000000000004">
      <c r="A16" s="10" t="s">
        <v>152</v>
      </c>
      <c r="C16" s="2">
        <v>-2998</v>
      </c>
      <c r="E16" s="2">
        <v>0</v>
      </c>
      <c r="G16" s="2">
        <f t="shared" si="0"/>
        <v>-2998</v>
      </c>
      <c r="I16" s="3">
        <v>-8.4415924857177221E-8</v>
      </c>
      <c r="K16" s="2">
        <v>0</v>
      </c>
      <c r="M16" s="2">
        <v>-2600103280</v>
      </c>
      <c r="O16" s="2">
        <f t="shared" si="1"/>
        <v>-2600103280</v>
      </c>
      <c r="Q16" s="3">
        <v>-1.2522945457311932E-2</v>
      </c>
    </row>
    <row r="17" spans="1:17" ht="21" x14ac:dyDescent="0.55000000000000004">
      <c r="A17" s="10" t="s">
        <v>322</v>
      </c>
      <c r="C17" s="2">
        <v>0</v>
      </c>
      <c r="E17" s="2">
        <v>0</v>
      </c>
      <c r="G17" s="2">
        <f t="shared" si="0"/>
        <v>0</v>
      </c>
      <c r="I17" s="3">
        <v>0</v>
      </c>
      <c r="K17" s="2">
        <v>0</v>
      </c>
      <c r="M17" s="2">
        <v>4000935</v>
      </c>
      <c r="O17" s="2">
        <f t="shared" si="1"/>
        <v>4000935</v>
      </c>
      <c r="Q17" s="3">
        <v>1.9269807922110816E-5</v>
      </c>
    </row>
    <row r="18" spans="1:17" ht="21" x14ac:dyDescent="0.55000000000000004">
      <c r="A18" s="10" t="s">
        <v>323</v>
      </c>
      <c r="C18" s="2">
        <v>119969100</v>
      </c>
      <c r="E18" s="2">
        <v>0</v>
      </c>
      <c r="G18" s="2">
        <f t="shared" si="0"/>
        <v>119969100</v>
      </c>
      <c r="I18" s="3">
        <v>3.3780195232765774E-3</v>
      </c>
      <c r="K18" s="2">
        <v>0</v>
      </c>
      <c r="M18" s="2">
        <v>-475171214</v>
      </c>
      <c r="O18" s="2">
        <f t="shared" si="1"/>
        <v>-475171214</v>
      </c>
      <c r="Q18" s="3">
        <v>-2.288579550504123E-3</v>
      </c>
    </row>
    <row r="19" spans="1:17" ht="21" x14ac:dyDescent="0.55000000000000004">
      <c r="A19" s="10" t="s">
        <v>324</v>
      </c>
      <c r="C19" s="2">
        <v>100299250</v>
      </c>
      <c r="E19" s="2">
        <v>0</v>
      </c>
      <c r="G19" s="2">
        <f t="shared" si="0"/>
        <v>100299250</v>
      </c>
      <c r="I19" s="3">
        <v>2.8241674286962081E-3</v>
      </c>
      <c r="K19" s="2">
        <v>87462375</v>
      </c>
      <c r="M19" s="2">
        <v>0</v>
      </c>
      <c r="O19" s="2">
        <f t="shared" si="1"/>
        <v>87462375</v>
      </c>
      <c r="Q19" s="3">
        <v>4.2124732510316387E-4</v>
      </c>
    </row>
    <row r="20" spans="1:17" ht="21" x14ac:dyDescent="0.55000000000000004">
      <c r="A20" s="10" t="s">
        <v>153</v>
      </c>
      <c r="C20" s="2">
        <v>-552857603</v>
      </c>
      <c r="E20" s="2">
        <v>0</v>
      </c>
      <c r="G20" s="2">
        <f t="shared" si="0"/>
        <v>-552857603</v>
      </c>
      <c r="I20" s="3">
        <v>-1.5567039983844934E-2</v>
      </c>
      <c r="K20" s="2">
        <v>0</v>
      </c>
      <c r="M20" s="2">
        <v>652987649</v>
      </c>
      <c r="O20" s="2">
        <f t="shared" si="1"/>
        <v>652987649</v>
      </c>
      <c r="Q20" s="3">
        <v>3.1450014988348264E-3</v>
      </c>
    </row>
    <row r="21" spans="1:17" ht="21" x14ac:dyDescent="0.55000000000000004">
      <c r="A21" s="10" t="s">
        <v>154</v>
      </c>
      <c r="C21" s="2">
        <v>-36052714</v>
      </c>
      <c r="E21" s="2">
        <v>0</v>
      </c>
      <c r="G21" s="2">
        <f t="shared" si="0"/>
        <v>-36052714</v>
      </c>
      <c r="I21" s="3">
        <v>-1.0151511660844901E-3</v>
      </c>
      <c r="K21" s="2">
        <v>0</v>
      </c>
      <c r="M21" s="2">
        <v>-143352748</v>
      </c>
      <c r="O21" s="2">
        <f t="shared" si="1"/>
        <v>-143352748</v>
      </c>
      <c r="Q21" s="3">
        <v>-6.9043359091481248E-4</v>
      </c>
    </row>
    <row r="22" spans="1:17" ht="21" x14ac:dyDescent="0.55000000000000004">
      <c r="A22" s="10" t="s">
        <v>378</v>
      </c>
      <c r="C22" s="2">
        <v>185696</v>
      </c>
      <c r="E22" s="2">
        <v>1004133</v>
      </c>
      <c r="G22" s="2">
        <f t="shared" si="0"/>
        <v>1189829</v>
      </c>
      <c r="I22" s="3">
        <v>3.3502506823512444E-5</v>
      </c>
      <c r="K22" s="2">
        <v>185696</v>
      </c>
      <c r="M22" s="2">
        <v>1004133</v>
      </c>
      <c r="O22" s="2">
        <f t="shared" si="1"/>
        <v>1189829</v>
      </c>
      <c r="Q22" s="3">
        <v>5.7306045437272014E-6</v>
      </c>
    </row>
    <row r="23" spans="1:17" ht="21" x14ac:dyDescent="0.55000000000000004">
      <c r="A23" s="10" t="s">
        <v>155</v>
      </c>
      <c r="C23" s="2">
        <v>0</v>
      </c>
      <c r="E23" s="2">
        <v>0</v>
      </c>
      <c r="G23" s="2">
        <f t="shared" si="0"/>
        <v>0</v>
      </c>
      <c r="I23" s="3">
        <v>0</v>
      </c>
      <c r="K23" s="2">
        <v>0</v>
      </c>
      <c r="M23" s="2">
        <v>45634580</v>
      </c>
      <c r="O23" s="2">
        <f t="shared" si="1"/>
        <v>45634580</v>
      </c>
      <c r="Q23" s="3">
        <v>2.1979102165023919E-4</v>
      </c>
    </row>
    <row r="24" spans="1:17" ht="21" x14ac:dyDescent="0.55000000000000004">
      <c r="A24" s="10" t="s">
        <v>156</v>
      </c>
      <c r="C24" s="2">
        <v>13996395</v>
      </c>
      <c r="E24" s="2">
        <v>0</v>
      </c>
      <c r="G24" s="2">
        <f t="shared" si="0"/>
        <v>13996395</v>
      </c>
      <c r="I24" s="3">
        <v>3.9410227771560069E-4</v>
      </c>
      <c r="K24" s="2">
        <v>0</v>
      </c>
      <c r="M24" s="2">
        <v>-599419268</v>
      </c>
      <c r="O24" s="2">
        <f t="shared" si="1"/>
        <v>-599419268</v>
      </c>
      <c r="Q24" s="3">
        <v>-2.8869987038460422E-3</v>
      </c>
    </row>
    <row r="25" spans="1:17" ht="21" x14ac:dyDescent="0.55000000000000004">
      <c r="A25" s="10" t="s">
        <v>157</v>
      </c>
      <c r="C25" s="2">
        <v>3898996</v>
      </c>
      <c r="E25" s="2">
        <v>0</v>
      </c>
      <c r="G25" s="2">
        <f t="shared" si="0"/>
        <v>3898996</v>
      </c>
      <c r="I25" s="3">
        <v>1.0978564154584208E-4</v>
      </c>
      <c r="K25" s="2">
        <v>0</v>
      </c>
      <c r="M25" s="2">
        <v>330679973</v>
      </c>
      <c r="O25" s="2">
        <f t="shared" si="1"/>
        <v>330679973</v>
      </c>
      <c r="Q25" s="3">
        <v>1.5926626059655532E-3</v>
      </c>
    </row>
    <row r="26" spans="1:17" ht="21" x14ac:dyDescent="0.55000000000000004">
      <c r="A26" s="10" t="s">
        <v>158</v>
      </c>
      <c r="C26" s="2">
        <v>0</v>
      </c>
      <c r="E26" s="2">
        <v>0</v>
      </c>
      <c r="G26" s="2">
        <f t="shared" si="0"/>
        <v>0</v>
      </c>
      <c r="I26" s="3">
        <v>0</v>
      </c>
      <c r="K26" s="2">
        <v>0</v>
      </c>
      <c r="M26" s="2">
        <v>152611430</v>
      </c>
      <c r="O26" s="2">
        <f t="shared" si="1"/>
        <v>152611430</v>
      </c>
      <c r="Q26" s="3">
        <v>7.3502642327822373E-4</v>
      </c>
    </row>
    <row r="27" spans="1:17" ht="21" x14ac:dyDescent="0.55000000000000004">
      <c r="A27" s="10" t="s">
        <v>222</v>
      </c>
      <c r="C27" s="2">
        <v>-46146263</v>
      </c>
      <c r="E27" s="2">
        <v>772750879</v>
      </c>
      <c r="G27" s="2">
        <f t="shared" si="0"/>
        <v>726604616</v>
      </c>
      <c r="I27" s="3">
        <v>2.0459306425995364E-2</v>
      </c>
      <c r="K27" s="2">
        <v>5018937</v>
      </c>
      <c r="M27" s="2">
        <v>772750879</v>
      </c>
      <c r="O27" s="2">
        <f t="shared" si="1"/>
        <v>777769816</v>
      </c>
      <c r="Q27" s="3">
        <v>3.7459931145933313E-3</v>
      </c>
    </row>
    <row r="28" spans="1:17" ht="21" x14ac:dyDescent="0.55000000000000004">
      <c r="A28" s="10" t="s">
        <v>159</v>
      </c>
      <c r="C28" s="2">
        <v>111971160</v>
      </c>
      <c r="E28" s="2">
        <v>0</v>
      </c>
      <c r="G28" s="2">
        <f t="shared" si="0"/>
        <v>111971160</v>
      </c>
      <c r="I28" s="3">
        <v>3.1528182217248056E-3</v>
      </c>
      <c r="K28" s="2">
        <v>0</v>
      </c>
      <c r="M28" s="2">
        <v>486645713</v>
      </c>
      <c r="O28" s="2">
        <f t="shared" si="1"/>
        <v>486645713</v>
      </c>
      <c r="Q28" s="3">
        <v>2.3438444802599059E-3</v>
      </c>
    </row>
    <row r="29" spans="1:17" ht="21" x14ac:dyDescent="0.55000000000000004">
      <c r="A29" s="10" t="s">
        <v>160</v>
      </c>
      <c r="C29" s="2">
        <v>0</v>
      </c>
      <c r="E29" s="2">
        <v>0</v>
      </c>
      <c r="G29" s="2">
        <f t="shared" si="0"/>
        <v>0</v>
      </c>
      <c r="I29" s="3">
        <v>0</v>
      </c>
      <c r="K29" s="2">
        <v>0</v>
      </c>
      <c r="M29" s="2">
        <v>28953636</v>
      </c>
      <c r="O29" s="2">
        <f t="shared" si="1"/>
        <v>28953636</v>
      </c>
      <c r="Q29" s="3">
        <v>1.3945015461803626E-4</v>
      </c>
    </row>
    <row r="30" spans="1:17" ht="21" x14ac:dyDescent="0.55000000000000004">
      <c r="A30" s="10" t="s">
        <v>325</v>
      </c>
      <c r="C30" s="2">
        <v>-336473735</v>
      </c>
      <c r="E30" s="2">
        <v>0</v>
      </c>
      <c r="G30" s="2">
        <f t="shared" si="0"/>
        <v>-336473735</v>
      </c>
      <c r="I30" s="3">
        <v>-9.4742299967224015E-3</v>
      </c>
      <c r="K30" s="2">
        <v>0</v>
      </c>
      <c r="M30" s="2">
        <v>450982632</v>
      </c>
      <c r="O30" s="2">
        <f t="shared" si="1"/>
        <v>450982632</v>
      </c>
      <c r="Q30" s="3">
        <v>2.1720794501405264E-3</v>
      </c>
    </row>
    <row r="31" spans="1:17" ht="21" x14ac:dyDescent="0.55000000000000004">
      <c r="A31" s="10" t="s">
        <v>161</v>
      </c>
      <c r="C31" s="2">
        <v>-169936230</v>
      </c>
      <c r="E31" s="2">
        <v>0</v>
      </c>
      <c r="G31" s="2">
        <f t="shared" si="0"/>
        <v>-169936230</v>
      </c>
      <c r="I31" s="3">
        <v>-4.7849646504976601E-3</v>
      </c>
      <c r="K31" s="2">
        <v>0</v>
      </c>
      <c r="M31" s="2">
        <v>815842743</v>
      </c>
      <c r="O31" s="2">
        <f t="shared" si="1"/>
        <v>815842743</v>
      </c>
      <c r="Q31" s="3">
        <v>3.9293647490544125E-3</v>
      </c>
    </row>
    <row r="32" spans="1:17" ht="21" x14ac:dyDescent="0.55000000000000004">
      <c r="A32" s="10" t="s">
        <v>378</v>
      </c>
      <c r="C32" s="2">
        <v>-4450853</v>
      </c>
      <c r="E32" s="2">
        <v>0</v>
      </c>
      <c r="G32" s="2">
        <f t="shared" si="0"/>
        <v>-4450853</v>
      </c>
      <c r="I32" s="3">
        <v>-1.2532450713753895E-4</v>
      </c>
      <c r="K32" s="2">
        <v>-4450853</v>
      </c>
      <c r="M32" s="2">
        <v>0</v>
      </c>
      <c r="O32" s="2">
        <f t="shared" si="1"/>
        <v>-4450853</v>
      </c>
      <c r="Q32" s="3">
        <v>-2.1436759757294403E-5</v>
      </c>
    </row>
    <row r="33" spans="1:17" ht="21" x14ac:dyDescent="0.55000000000000004">
      <c r="A33" s="10" t="s">
        <v>162</v>
      </c>
      <c r="C33" s="2">
        <v>0</v>
      </c>
      <c r="E33" s="2">
        <v>0</v>
      </c>
      <c r="G33" s="2">
        <f t="shared" si="0"/>
        <v>0</v>
      </c>
      <c r="I33" s="3">
        <v>0</v>
      </c>
      <c r="K33" s="2">
        <v>0</v>
      </c>
      <c r="M33" s="2">
        <v>91444000</v>
      </c>
      <c r="O33" s="2">
        <f t="shared" si="1"/>
        <v>91444000</v>
      </c>
      <c r="Q33" s="3">
        <v>4.404241297670423E-4</v>
      </c>
    </row>
    <row r="34" spans="1:17" ht="21" x14ac:dyDescent="0.55000000000000004">
      <c r="A34" s="10" t="s">
        <v>163</v>
      </c>
      <c r="C34" s="2">
        <v>34060280</v>
      </c>
      <c r="E34" s="2">
        <v>-37110479</v>
      </c>
      <c r="G34" s="2">
        <f t="shared" si="0"/>
        <v>-3050199</v>
      </c>
      <c r="I34" s="3">
        <v>-8.5885713670259196E-5</v>
      </c>
      <c r="K34" s="2">
        <v>0</v>
      </c>
      <c r="M34" s="2">
        <v>-37110479</v>
      </c>
      <c r="O34" s="2">
        <f t="shared" si="1"/>
        <v>-37110479</v>
      </c>
      <c r="Q34" s="3">
        <v>-1.787361709769159E-4</v>
      </c>
    </row>
    <row r="35" spans="1:17" ht="21" x14ac:dyDescent="0.55000000000000004">
      <c r="A35" s="10" t="s">
        <v>164</v>
      </c>
      <c r="C35" s="2">
        <v>-29992</v>
      </c>
      <c r="E35" s="2">
        <v>0</v>
      </c>
      <c r="G35" s="2">
        <f t="shared" si="0"/>
        <v>-29992</v>
      </c>
      <c r="I35" s="3">
        <v>-8.444971375305067E-7</v>
      </c>
      <c r="K35" s="2">
        <v>0</v>
      </c>
      <c r="M35" s="2">
        <v>836739081</v>
      </c>
      <c r="O35" s="2">
        <f t="shared" si="1"/>
        <v>836739081</v>
      </c>
      <c r="Q35" s="3">
        <v>4.0300083285015938E-3</v>
      </c>
    </row>
    <row r="36" spans="1:17" ht="21" x14ac:dyDescent="0.55000000000000004">
      <c r="A36" s="10" t="s">
        <v>165</v>
      </c>
      <c r="C36" s="2">
        <v>-26803097</v>
      </c>
      <c r="E36" s="2">
        <v>0</v>
      </c>
      <c r="G36" s="2">
        <f t="shared" si="0"/>
        <v>-26803097</v>
      </c>
      <c r="I36" s="3">
        <v>-7.5470587801588791E-4</v>
      </c>
      <c r="K36" s="2">
        <v>0</v>
      </c>
      <c r="M36" s="2">
        <v>798978106</v>
      </c>
      <c r="O36" s="2">
        <f t="shared" si="1"/>
        <v>798978106</v>
      </c>
      <c r="Q36" s="3">
        <v>3.8481391566201136E-3</v>
      </c>
    </row>
    <row r="37" spans="1:17" ht="21" x14ac:dyDescent="0.55000000000000004">
      <c r="A37" s="10" t="s">
        <v>166</v>
      </c>
      <c r="C37" s="2">
        <v>-25493434</v>
      </c>
      <c r="E37" s="2">
        <v>0</v>
      </c>
      <c r="G37" s="2">
        <f t="shared" si="0"/>
        <v>-25493434</v>
      </c>
      <c r="I37" s="3">
        <v>-7.1782915573562602E-4</v>
      </c>
      <c r="K37" s="2">
        <v>0</v>
      </c>
      <c r="M37" s="2">
        <v>416670792</v>
      </c>
      <c r="O37" s="2">
        <f t="shared" si="1"/>
        <v>416670792</v>
      </c>
      <c r="Q37" s="3">
        <v>2.0068224374037037E-3</v>
      </c>
    </row>
    <row r="38" spans="1:17" ht="21" x14ac:dyDescent="0.55000000000000004">
      <c r="A38" s="10" t="s">
        <v>326</v>
      </c>
      <c r="C38" s="2">
        <v>0</v>
      </c>
      <c r="E38" s="2">
        <v>0</v>
      </c>
      <c r="G38" s="2">
        <f t="shared" si="0"/>
        <v>0</v>
      </c>
      <c r="I38" s="3">
        <v>0</v>
      </c>
      <c r="K38" s="2">
        <v>0</v>
      </c>
      <c r="M38" s="2">
        <v>190746694</v>
      </c>
      <c r="O38" s="2">
        <f t="shared" si="1"/>
        <v>190746694</v>
      </c>
      <c r="Q38" s="3">
        <v>9.186982930634083E-4</v>
      </c>
    </row>
    <row r="39" spans="1:17" ht="21" x14ac:dyDescent="0.55000000000000004">
      <c r="A39" s="10" t="s">
        <v>327</v>
      </c>
      <c r="C39" s="2">
        <v>-22627552</v>
      </c>
      <c r="E39" s="2">
        <v>0</v>
      </c>
      <c r="G39" s="2">
        <f t="shared" si="0"/>
        <v>-22627552</v>
      </c>
      <c r="I39" s="3">
        <v>-6.3713333199928951E-4</v>
      </c>
      <c r="K39" s="2">
        <v>0</v>
      </c>
      <c r="M39" s="2">
        <v>65085425</v>
      </c>
      <c r="O39" s="2">
        <f t="shared" si="1"/>
        <v>65085425</v>
      </c>
      <c r="Q39" s="3">
        <v>3.1347263534122632E-4</v>
      </c>
    </row>
    <row r="40" spans="1:17" ht="21" x14ac:dyDescent="0.55000000000000004">
      <c r="A40" s="10" t="s">
        <v>328</v>
      </c>
      <c r="C40" s="2">
        <v>22607177</v>
      </c>
      <c r="E40" s="2">
        <v>0</v>
      </c>
      <c r="G40" s="2">
        <f t="shared" si="0"/>
        <v>22607177</v>
      </c>
      <c r="I40" s="3">
        <v>6.365596247047715E-4</v>
      </c>
      <c r="K40" s="2">
        <v>79979</v>
      </c>
      <c r="M40" s="2">
        <v>299720319</v>
      </c>
      <c r="O40" s="2">
        <f t="shared" si="1"/>
        <v>299800298</v>
      </c>
      <c r="Q40" s="3">
        <v>1.4439360193183801E-3</v>
      </c>
    </row>
    <row r="41" spans="1:17" ht="21" x14ac:dyDescent="0.55000000000000004">
      <c r="A41" s="10" t="s">
        <v>167</v>
      </c>
      <c r="C41" s="2">
        <v>13771428</v>
      </c>
      <c r="E41" s="2">
        <v>109135100</v>
      </c>
      <c r="G41" s="2">
        <f t="shared" si="0"/>
        <v>122906528</v>
      </c>
      <c r="I41" s="3">
        <v>3.4607298972997155E-3</v>
      </c>
      <c r="K41" s="2">
        <v>4998713</v>
      </c>
      <c r="M41" s="2">
        <v>109135100</v>
      </c>
      <c r="O41" s="2">
        <f t="shared" si="1"/>
        <v>114133813</v>
      </c>
      <c r="Q41" s="3">
        <v>5.4970566978171712E-4</v>
      </c>
    </row>
    <row r="42" spans="1:17" ht="21" x14ac:dyDescent="0.55000000000000004">
      <c r="A42" s="10" t="s">
        <v>168</v>
      </c>
      <c r="C42" s="2">
        <v>0</v>
      </c>
      <c r="E42" s="2">
        <v>0</v>
      </c>
      <c r="G42" s="2">
        <f t="shared" si="0"/>
        <v>0</v>
      </c>
      <c r="I42" s="3">
        <v>0</v>
      </c>
      <c r="K42" s="2">
        <v>-79979</v>
      </c>
      <c r="M42" s="2">
        <v>2313123597</v>
      </c>
      <c r="O42" s="2">
        <f t="shared" si="1"/>
        <v>2313043618</v>
      </c>
      <c r="Q42" s="3">
        <v>1.1140372496510006E-2</v>
      </c>
    </row>
    <row r="43" spans="1:17" ht="21" x14ac:dyDescent="0.55000000000000004">
      <c r="A43" s="10" t="s">
        <v>329</v>
      </c>
      <c r="C43" s="2">
        <v>0</v>
      </c>
      <c r="E43" s="2">
        <v>0</v>
      </c>
      <c r="G43" s="2">
        <f t="shared" si="0"/>
        <v>0</v>
      </c>
      <c r="I43" s="3">
        <v>0</v>
      </c>
      <c r="K43" s="2">
        <v>0</v>
      </c>
      <c r="M43" s="2">
        <v>5000000</v>
      </c>
      <c r="O43" s="2">
        <f t="shared" si="1"/>
        <v>5000000</v>
      </c>
      <c r="Q43" s="3">
        <v>2.4081630821434008E-5</v>
      </c>
    </row>
    <row r="44" spans="1:17" ht="21" x14ac:dyDescent="0.55000000000000004">
      <c r="A44" s="10" t="s">
        <v>169</v>
      </c>
      <c r="C44" s="2">
        <v>0</v>
      </c>
      <c r="E44" s="2">
        <v>0</v>
      </c>
      <c r="G44" s="2">
        <f t="shared" si="0"/>
        <v>0</v>
      </c>
      <c r="I44" s="3">
        <v>0</v>
      </c>
      <c r="K44" s="2">
        <v>0</v>
      </c>
      <c r="M44" s="2">
        <v>34000000</v>
      </c>
      <c r="O44" s="2">
        <f t="shared" si="1"/>
        <v>34000000</v>
      </c>
      <c r="Q44" s="3">
        <v>1.6375508958575125E-4</v>
      </c>
    </row>
    <row r="45" spans="1:17" ht="21" x14ac:dyDescent="0.55000000000000004">
      <c r="A45" s="10" t="s">
        <v>170</v>
      </c>
      <c r="C45" s="2">
        <v>-164957513</v>
      </c>
      <c r="E45" s="2">
        <v>0</v>
      </c>
      <c r="G45" s="2">
        <f t="shared" si="0"/>
        <v>-164957513</v>
      </c>
      <c r="I45" s="3">
        <v>-4.6447768585840005E-3</v>
      </c>
      <c r="K45" s="2">
        <v>0</v>
      </c>
      <c r="M45" s="2">
        <v>20000000</v>
      </c>
      <c r="O45" s="2">
        <f t="shared" si="1"/>
        <v>20000000</v>
      </c>
      <c r="Q45" s="3">
        <v>9.6326523285736031E-5</v>
      </c>
    </row>
    <row r="46" spans="1:17" ht="21" x14ac:dyDescent="0.55000000000000004">
      <c r="A46" s="10" t="s">
        <v>171</v>
      </c>
      <c r="C46" s="2">
        <v>-322177018</v>
      </c>
      <c r="E46" s="2">
        <v>0</v>
      </c>
      <c r="G46" s="2">
        <f t="shared" si="0"/>
        <v>-322177018</v>
      </c>
      <c r="I46" s="3">
        <v>-9.0716714283513786E-3</v>
      </c>
      <c r="K46" s="2">
        <v>0</v>
      </c>
      <c r="M46" s="2">
        <v>2539867414</v>
      </c>
      <c r="O46" s="2">
        <f t="shared" si="1"/>
        <v>2539867414</v>
      </c>
      <c r="Q46" s="3">
        <v>1.2232829879867659E-2</v>
      </c>
    </row>
    <row r="47" spans="1:17" ht="21" x14ac:dyDescent="0.55000000000000004">
      <c r="A47" s="10" t="s">
        <v>330</v>
      </c>
      <c r="C47" s="2">
        <v>-1811533</v>
      </c>
      <c r="E47" s="2">
        <v>0</v>
      </c>
      <c r="G47" s="2">
        <f t="shared" si="0"/>
        <v>-1811533</v>
      </c>
      <c r="I47" s="3">
        <v>-5.1008083256936898E-5</v>
      </c>
      <c r="K47" s="2">
        <v>0</v>
      </c>
      <c r="M47" s="2">
        <v>-1633923532</v>
      </c>
      <c r="O47" s="2">
        <f t="shared" si="1"/>
        <v>-1633923532</v>
      </c>
      <c r="Q47" s="3">
        <v>-7.8695086576155027E-3</v>
      </c>
    </row>
    <row r="48" spans="1:17" ht="21" x14ac:dyDescent="0.55000000000000004">
      <c r="A48" s="10" t="s">
        <v>331</v>
      </c>
      <c r="C48" s="2">
        <v>-3927988</v>
      </c>
      <c r="E48" s="2">
        <v>0</v>
      </c>
      <c r="G48" s="2">
        <f t="shared" si="0"/>
        <v>-3927988</v>
      </c>
      <c r="I48" s="3">
        <v>-1.106019812701447E-4</v>
      </c>
      <c r="K48" s="2">
        <v>0</v>
      </c>
      <c r="M48" s="2">
        <v>37996928</v>
      </c>
      <c r="O48" s="2">
        <f t="shared" si="1"/>
        <v>37996928</v>
      </c>
      <c r="Q48" s="3">
        <v>1.8300559848892178E-4</v>
      </c>
    </row>
    <row r="49" spans="1:17" ht="21" x14ac:dyDescent="0.55000000000000004">
      <c r="A49" s="10" t="s">
        <v>332</v>
      </c>
      <c r="C49" s="2">
        <v>0</v>
      </c>
      <c r="E49" s="2">
        <v>0</v>
      </c>
      <c r="G49" s="2">
        <f t="shared" si="0"/>
        <v>0</v>
      </c>
      <c r="I49" s="3">
        <v>0</v>
      </c>
      <c r="K49" s="2">
        <v>70631808</v>
      </c>
      <c r="M49" s="2">
        <v>64743265</v>
      </c>
      <c r="O49" s="2">
        <f t="shared" si="1"/>
        <v>135375073</v>
      </c>
      <c r="Q49" s="3">
        <v>6.5201050608213579E-4</v>
      </c>
    </row>
    <row r="50" spans="1:17" ht="21" x14ac:dyDescent="0.55000000000000004">
      <c r="A50" s="10" t="s">
        <v>225</v>
      </c>
      <c r="C50" s="2">
        <v>-999220</v>
      </c>
      <c r="E50" s="2">
        <v>55950895</v>
      </c>
      <c r="G50" s="2">
        <f t="shared" si="0"/>
        <v>54951675</v>
      </c>
      <c r="I50" s="3">
        <v>1.547297020539034E-3</v>
      </c>
      <c r="K50" s="2">
        <v>-999220</v>
      </c>
      <c r="M50" s="2">
        <v>55950895</v>
      </c>
      <c r="O50" s="2">
        <f t="shared" si="1"/>
        <v>54951675</v>
      </c>
      <c r="Q50" s="3">
        <v>2.6466519007388494E-4</v>
      </c>
    </row>
    <row r="51" spans="1:17" ht="21" x14ac:dyDescent="0.55000000000000004">
      <c r="A51" s="10" t="s">
        <v>172</v>
      </c>
      <c r="C51" s="2">
        <v>-136568824</v>
      </c>
      <c r="E51" s="2">
        <v>0</v>
      </c>
      <c r="G51" s="2">
        <f t="shared" si="0"/>
        <v>-136568824</v>
      </c>
      <c r="I51" s="3">
        <v>-3.8454248114132956E-3</v>
      </c>
      <c r="K51" s="2">
        <v>0</v>
      </c>
      <c r="M51" s="2">
        <v>288880900</v>
      </c>
      <c r="O51" s="2">
        <f t="shared" si="1"/>
        <v>288880900</v>
      </c>
      <c r="Q51" s="3">
        <v>1.3913446370327192E-3</v>
      </c>
    </row>
    <row r="52" spans="1:17" ht="21" x14ac:dyDescent="0.55000000000000004">
      <c r="A52" s="10" t="s">
        <v>173</v>
      </c>
      <c r="C52" s="2">
        <v>59984550</v>
      </c>
      <c r="E52" s="2">
        <v>0</v>
      </c>
      <c r="G52" s="2">
        <f t="shared" si="0"/>
        <v>59984550</v>
      </c>
      <c r="I52" s="3">
        <v>1.6890097616382887E-3</v>
      </c>
      <c r="K52" s="2">
        <v>0</v>
      </c>
      <c r="M52" s="2">
        <v>64568918</v>
      </c>
      <c r="O52" s="2">
        <f t="shared" si="1"/>
        <v>64568918</v>
      </c>
      <c r="Q52" s="3">
        <v>3.1098496916308902E-4</v>
      </c>
    </row>
    <row r="53" spans="1:17" ht="21" x14ac:dyDescent="0.55000000000000004">
      <c r="A53" s="10" t="s">
        <v>333</v>
      </c>
      <c r="C53" s="2">
        <v>-8135905</v>
      </c>
      <c r="E53" s="2">
        <v>0</v>
      </c>
      <c r="G53" s="2">
        <f t="shared" si="0"/>
        <v>-8135905</v>
      </c>
      <c r="I53" s="3">
        <v>-2.2908603906775596E-4</v>
      </c>
      <c r="K53" s="2">
        <v>0</v>
      </c>
      <c r="M53" s="2">
        <v>76234671</v>
      </c>
      <c r="O53" s="2">
        <f t="shared" si="1"/>
        <v>76234671</v>
      </c>
      <c r="Q53" s="3">
        <v>3.671710405630963E-4</v>
      </c>
    </row>
    <row r="54" spans="1:17" ht="21" x14ac:dyDescent="0.55000000000000004">
      <c r="A54" s="10" t="s">
        <v>174</v>
      </c>
      <c r="C54" s="2">
        <v>-3998970</v>
      </c>
      <c r="E54" s="2">
        <v>0</v>
      </c>
      <c r="G54" s="2">
        <f t="shared" si="0"/>
        <v>-3998970</v>
      </c>
      <c r="I54" s="3">
        <v>-1.1260065077588591E-4</v>
      </c>
      <c r="K54" s="2">
        <v>0</v>
      </c>
      <c r="M54" s="2">
        <v>27996932</v>
      </c>
      <c r="O54" s="2">
        <f t="shared" si="1"/>
        <v>27996932</v>
      </c>
      <c r="Q54" s="3">
        <v>1.3484235611135843E-4</v>
      </c>
    </row>
    <row r="55" spans="1:17" ht="21" x14ac:dyDescent="0.55000000000000004">
      <c r="A55" s="10" t="s">
        <v>334</v>
      </c>
      <c r="C55" s="2">
        <v>-20442024</v>
      </c>
      <c r="E55" s="2">
        <v>-99672897</v>
      </c>
      <c r="G55" s="2">
        <f t="shared" si="0"/>
        <v>-120114921</v>
      </c>
      <c r="I55" s="3">
        <v>-3.3821254654308797E-3</v>
      </c>
      <c r="K55" s="2">
        <v>0</v>
      </c>
      <c r="M55" s="2">
        <v>-99672897</v>
      </c>
      <c r="O55" s="2">
        <f t="shared" si="1"/>
        <v>-99672897</v>
      </c>
      <c r="Q55" s="3">
        <v>-4.8005718169136344E-4</v>
      </c>
    </row>
    <row r="56" spans="1:17" ht="21" x14ac:dyDescent="0.55000000000000004">
      <c r="A56" s="10" t="s">
        <v>335</v>
      </c>
      <c r="C56" s="2">
        <v>11996910</v>
      </c>
      <c r="E56" s="2">
        <v>0</v>
      </c>
      <c r="G56" s="2">
        <f t="shared" si="0"/>
        <v>11996910</v>
      </c>
      <c r="I56" s="3">
        <v>3.3780195232765775E-4</v>
      </c>
      <c r="K56" s="2">
        <v>0</v>
      </c>
      <c r="M56" s="2">
        <v>818500907</v>
      </c>
      <c r="O56" s="2">
        <f t="shared" si="1"/>
        <v>818500907</v>
      </c>
      <c r="Q56" s="3">
        <v>3.9421673338765782E-3</v>
      </c>
    </row>
    <row r="57" spans="1:17" ht="21" x14ac:dyDescent="0.55000000000000004">
      <c r="A57" s="10" t="s">
        <v>336</v>
      </c>
      <c r="C57" s="2">
        <v>-114210583</v>
      </c>
      <c r="E57" s="2">
        <v>0</v>
      </c>
      <c r="G57" s="2">
        <f t="shared" si="0"/>
        <v>-114210583</v>
      </c>
      <c r="I57" s="3">
        <v>-3.215874580527819E-3</v>
      </c>
      <c r="K57" s="2">
        <v>0</v>
      </c>
      <c r="M57" s="2">
        <v>379994939</v>
      </c>
      <c r="O57" s="2">
        <f t="shared" si="1"/>
        <v>379994939</v>
      </c>
      <c r="Q57" s="3">
        <v>1.8301795670022671E-3</v>
      </c>
    </row>
    <row r="58" spans="1:17" ht="21" x14ac:dyDescent="0.55000000000000004">
      <c r="A58" s="10" t="s">
        <v>175</v>
      </c>
      <c r="C58" s="2">
        <v>-32014420</v>
      </c>
      <c r="E58" s="2">
        <v>75996929</v>
      </c>
      <c r="G58" s="2">
        <f t="shared" si="0"/>
        <v>43982509</v>
      </c>
      <c r="I58" s="3">
        <v>1.2384336807118482E-3</v>
      </c>
      <c r="K58" s="2">
        <v>0</v>
      </c>
      <c r="M58" s="2">
        <v>75996929</v>
      </c>
      <c r="O58" s="2">
        <f t="shared" si="1"/>
        <v>75996929</v>
      </c>
      <c r="Q58" s="3">
        <v>3.6602599754814643E-4</v>
      </c>
    </row>
    <row r="59" spans="1:17" ht="21" x14ac:dyDescent="0.55000000000000004">
      <c r="A59" s="10" t="s">
        <v>176</v>
      </c>
      <c r="C59" s="2">
        <v>1999485</v>
      </c>
      <c r="E59" s="2">
        <v>0</v>
      </c>
      <c r="G59" s="2">
        <f t="shared" si="0"/>
        <v>1999485</v>
      </c>
      <c r="I59" s="3">
        <v>5.6300325387942955E-5</v>
      </c>
      <c r="K59" s="2">
        <v>0</v>
      </c>
      <c r="M59" s="2">
        <v>103932028</v>
      </c>
      <c r="O59" s="2">
        <f t="shared" si="1"/>
        <v>103932028</v>
      </c>
      <c r="Q59" s="3">
        <v>5.0057054576378842E-4</v>
      </c>
    </row>
    <row r="60" spans="1:17" ht="21" x14ac:dyDescent="0.55000000000000004">
      <c r="A60" s="10" t="s">
        <v>177</v>
      </c>
      <c r="C60" s="2">
        <v>9760486</v>
      </c>
      <c r="E60" s="2">
        <v>0</v>
      </c>
      <c r="G60" s="2">
        <f t="shared" si="0"/>
        <v>9760486</v>
      </c>
      <c r="I60" s="3">
        <v>2.748300376069147E-4</v>
      </c>
      <c r="K60" s="2">
        <v>0</v>
      </c>
      <c r="M60" s="2">
        <v>853398759</v>
      </c>
      <c r="O60" s="2">
        <f t="shared" si="1"/>
        <v>853398759</v>
      </c>
      <c r="Q60" s="3">
        <v>4.1102467715415864E-3</v>
      </c>
    </row>
    <row r="61" spans="1:17" ht="21" x14ac:dyDescent="0.55000000000000004">
      <c r="A61" s="10" t="s">
        <v>337</v>
      </c>
      <c r="C61" s="2">
        <v>-10997168</v>
      </c>
      <c r="E61" s="2">
        <v>0</v>
      </c>
      <c r="G61" s="2">
        <f t="shared" si="0"/>
        <v>-10997168</v>
      </c>
      <c r="I61" s="3">
        <v>-3.096518037123929E-4</v>
      </c>
      <c r="K61" s="2">
        <v>0</v>
      </c>
      <c r="M61" s="2">
        <v>130771169</v>
      </c>
      <c r="O61" s="2">
        <f t="shared" si="1"/>
        <v>130771169</v>
      </c>
      <c r="Q61" s="3">
        <v>6.2983660278907109E-4</v>
      </c>
    </row>
    <row r="62" spans="1:17" ht="21" x14ac:dyDescent="0.55000000000000004">
      <c r="A62" s="10" t="s">
        <v>178</v>
      </c>
      <c r="C62" s="2">
        <v>-12003090</v>
      </c>
      <c r="E62" s="2">
        <v>0</v>
      </c>
      <c r="G62" s="2">
        <f t="shared" si="0"/>
        <v>-12003090</v>
      </c>
      <c r="I62" s="3">
        <v>-3.3797596514140605E-4</v>
      </c>
      <c r="J62" s="11"/>
      <c r="K62" s="2">
        <v>0</v>
      </c>
      <c r="M62" s="2">
        <v>15997940</v>
      </c>
      <c r="O62" s="2">
        <f t="shared" si="1"/>
        <v>15997940</v>
      </c>
      <c r="Q62" s="3">
        <v>7.7051296996690402E-5</v>
      </c>
    </row>
    <row r="63" spans="1:17" ht="21" x14ac:dyDescent="0.55000000000000004">
      <c r="A63" s="10" t="s">
        <v>338</v>
      </c>
      <c r="C63" s="2">
        <v>0</v>
      </c>
      <c r="E63" s="2">
        <v>0</v>
      </c>
      <c r="G63" s="2">
        <f t="shared" si="0"/>
        <v>0</v>
      </c>
      <c r="I63" s="3">
        <v>0</v>
      </c>
      <c r="J63" s="11"/>
      <c r="K63" s="2">
        <v>0</v>
      </c>
      <c r="M63" s="2">
        <v>41960571</v>
      </c>
      <c r="O63" s="2">
        <f t="shared" si="1"/>
        <v>41960571</v>
      </c>
      <c r="Q63" s="3">
        <v>2.0209579597571401E-4</v>
      </c>
    </row>
    <row r="64" spans="1:17" ht="21" x14ac:dyDescent="0.55000000000000004">
      <c r="A64" s="10" t="s">
        <v>179</v>
      </c>
      <c r="C64" s="2">
        <v>0</v>
      </c>
      <c r="E64" s="2">
        <v>0</v>
      </c>
      <c r="G64" s="2">
        <f t="shared" si="0"/>
        <v>0</v>
      </c>
      <c r="I64" s="3">
        <v>0</v>
      </c>
      <c r="J64" s="11"/>
      <c r="K64" s="2">
        <v>133965</v>
      </c>
      <c r="M64" s="2">
        <v>10265873</v>
      </c>
      <c r="O64" s="2">
        <f t="shared" si="1"/>
        <v>10399838</v>
      </c>
      <c r="Q64" s="3">
        <v>5.0089011863744126E-5</v>
      </c>
    </row>
    <row r="65" spans="1:17" ht="21" x14ac:dyDescent="0.55000000000000004">
      <c r="A65" s="10" t="s">
        <v>339</v>
      </c>
      <c r="C65" s="2">
        <v>15082116</v>
      </c>
      <c r="E65" s="2">
        <v>0</v>
      </c>
      <c r="G65" s="2">
        <f t="shared" si="0"/>
        <v>15082116</v>
      </c>
      <c r="I65" s="3">
        <v>4.2467337256278523E-4</v>
      </c>
      <c r="J65" s="11"/>
      <c r="K65" s="2">
        <v>0</v>
      </c>
      <c r="M65" s="2">
        <v>478416987</v>
      </c>
      <c r="O65" s="2">
        <f t="shared" si="1"/>
        <v>478416987</v>
      </c>
      <c r="Q65" s="3">
        <v>2.3042122519273587E-3</v>
      </c>
    </row>
    <row r="66" spans="1:17" ht="21" x14ac:dyDescent="0.55000000000000004">
      <c r="A66" s="10" t="s">
        <v>180</v>
      </c>
      <c r="C66" s="2">
        <v>0</v>
      </c>
      <c r="E66" s="2">
        <v>0</v>
      </c>
      <c r="G66" s="2">
        <f t="shared" si="0"/>
        <v>0</v>
      </c>
      <c r="I66" s="3">
        <v>0</v>
      </c>
      <c r="J66" s="11"/>
      <c r="K66" s="2">
        <v>567853</v>
      </c>
      <c r="M66" s="2">
        <v>1135782</v>
      </c>
      <c r="O66" s="2">
        <f t="shared" si="1"/>
        <v>1703635</v>
      </c>
      <c r="Q66" s="3">
        <v>8.2052618248947459E-6</v>
      </c>
    </row>
    <row r="67" spans="1:17" ht="21" x14ac:dyDescent="0.55000000000000004">
      <c r="A67" s="10" t="s">
        <v>181</v>
      </c>
      <c r="C67" s="2">
        <v>0</v>
      </c>
      <c r="E67" s="2">
        <v>0</v>
      </c>
      <c r="G67" s="2">
        <f t="shared" si="0"/>
        <v>0</v>
      </c>
      <c r="I67" s="3">
        <v>0</v>
      </c>
      <c r="J67" s="11"/>
      <c r="K67" s="2">
        <v>0</v>
      </c>
      <c r="M67" s="2">
        <v>1377570353</v>
      </c>
      <c r="O67" s="2">
        <f t="shared" si="1"/>
        <v>1377570353</v>
      </c>
      <c r="Q67" s="3">
        <v>6.6348281342997056E-3</v>
      </c>
    </row>
    <row r="68" spans="1:17" ht="21" x14ac:dyDescent="0.55000000000000004">
      <c r="A68" s="10" t="s">
        <v>182</v>
      </c>
      <c r="C68" s="2">
        <v>15336050</v>
      </c>
      <c r="E68" s="2">
        <v>0</v>
      </c>
      <c r="G68" s="2">
        <f t="shared" si="0"/>
        <v>15336050</v>
      </c>
      <c r="I68" s="3">
        <v>4.3182349713339312E-4</v>
      </c>
      <c r="J68" s="11"/>
      <c r="K68" s="2">
        <v>0</v>
      </c>
      <c r="M68" s="2">
        <v>429981911</v>
      </c>
      <c r="O68" s="2">
        <f t="shared" si="1"/>
        <v>429981911</v>
      </c>
      <c r="Q68" s="3">
        <v>2.070933128119339E-3</v>
      </c>
    </row>
    <row r="69" spans="1:17" ht="21" x14ac:dyDescent="0.55000000000000004">
      <c r="A69" s="10" t="s">
        <v>340</v>
      </c>
      <c r="C69" s="2">
        <v>0</v>
      </c>
      <c r="E69" s="2">
        <v>0</v>
      </c>
      <c r="G69" s="2">
        <f t="shared" si="0"/>
        <v>0</v>
      </c>
      <c r="I69" s="3">
        <v>0</v>
      </c>
      <c r="J69" s="11"/>
      <c r="K69" s="2">
        <v>0</v>
      </c>
      <c r="M69" s="2">
        <v>37185668</v>
      </c>
      <c r="O69" s="2">
        <f t="shared" si="1"/>
        <v>37185668</v>
      </c>
      <c r="Q69" s="3">
        <v>1.7909830572488246E-4</v>
      </c>
    </row>
    <row r="70" spans="1:17" ht="21" x14ac:dyDescent="0.55000000000000004">
      <c r="A70" s="10" t="s">
        <v>383</v>
      </c>
      <c r="C70" s="2">
        <v>-7394228</v>
      </c>
      <c r="E70" s="2">
        <v>-30315478</v>
      </c>
      <c r="G70" s="2">
        <f t="shared" si="0"/>
        <v>-37709706</v>
      </c>
      <c r="I70" s="3">
        <v>-1.0618077745437775E-3</v>
      </c>
      <c r="J70" s="11"/>
      <c r="K70" s="2">
        <v>-7394228</v>
      </c>
      <c r="M70" s="2">
        <v>-30315478</v>
      </c>
      <c r="O70" s="2">
        <f t="shared" si="1"/>
        <v>-37709706</v>
      </c>
      <c r="Q70" s="3">
        <v>-1.8162224365536299E-4</v>
      </c>
    </row>
    <row r="71" spans="1:17" ht="21" x14ac:dyDescent="0.55000000000000004">
      <c r="A71" s="10" t="s">
        <v>183</v>
      </c>
      <c r="C71" s="2">
        <v>0</v>
      </c>
      <c r="E71" s="2">
        <v>0</v>
      </c>
      <c r="G71" s="2">
        <f t="shared" si="0"/>
        <v>0</v>
      </c>
      <c r="I71" s="3">
        <v>0</v>
      </c>
      <c r="J71" s="11"/>
      <c r="K71" s="2">
        <v>-38805006</v>
      </c>
      <c r="M71" s="2">
        <v>418796114</v>
      </c>
      <c r="O71" s="2">
        <f t="shared" si="1"/>
        <v>379991108</v>
      </c>
      <c r="Q71" s="3">
        <v>1.8301611156567319E-3</v>
      </c>
    </row>
    <row r="72" spans="1:17" ht="21" x14ac:dyDescent="0.55000000000000004">
      <c r="A72" s="10" t="s">
        <v>379</v>
      </c>
      <c r="C72" s="2">
        <v>-81064902</v>
      </c>
      <c r="E72" s="2">
        <v>0</v>
      </c>
      <c r="G72" s="2">
        <f t="shared" si="0"/>
        <v>-81064902</v>
      </c>
      <c r="I72" s="3">
        <v>-2.2825779438914061E-3</v>
      </c>
      <c r="J72" s="11"/>
      <c r="K72" s="2">
        <v>-81064902</v>
      </c>
      <c r="M72" s="2">
        <v>0</v>
      </c>
      <c r="O72" s="2">
        <f t="shared" si="1"/>
        <v>-81064902</v>
      </c>
      <c r="Q72" s="3">
        <v>-3.904350085079455E-4</v>
      </c>
    </row>
    <row r="73" spans="1:17" ht="21" x14ac:dyDescent="0.55000000000000004">
      <c r="A73" s="10" t="s">
        <v>223</v>
      </c>
      <c r="C73" s="2">
        <v>-149701170</v>
      </c>
      <c r="E73" s="2">
        <v>0</v>
      </c>
      <c r="G73" s="2">
        <f t="shared" si="0"/>
        <v>-149701170</v>
      </c>
      <c r="I73" s="3">
        <v>-4.215197704386762E-3</v>
      </c>
      <c r="J73" s="11"/>
      <c r="K73" s="2">
        <v>-149701170</v>
      </c>
      <c r="M73" s="2">
        <v>0</v>
      </c>
      <c r="O73" s="2">
        <f t="shared" si="1"/>
        <v>-149701170</v>
      </c>
      <c r="Q73" s="3">
        <v>-7.2100966189534647E-4</v>
      </c>
    </row>
    <row r="74" spans="1:17" ht="21" x14ac:dyDescent="0.55000000000000004">
      <c r="A74" s="10" t="s">
        <v>221</v>
      </c>
      <c r="C74" s="2">
        <v>-3958980</v>
      </c>
      <c r="E74" s="2">
        <v>-29514167</v>
      </c>
      <c r="G74" s="2">
        <f t="shared" ref="G74:G137" si="2">E74+C74</f>
        <v>-33473147</v>
      </c>
      <c r="I74" s="3">
        <v>-9.4251723211649326E-4</v>
      </c>
      <c r="J74" s="11"/>
      <c r="K74" s="2">
        <v>-3958980</v>
      </c>
      <c r="M74" s="2">
        <v>-29514167</v>
      </c>
      <c r="O74" s="2">
        <f t="shared" ref="O74:O137" si="3">M74+K74</f>
        <v>-33473147</v>
      </c>
      <c r="Q74" s="3">
        <v>-1.6121759369711825E-4</v>
      </c>
    </row>
    <row r="75" spans="1:17" ht="21" x14ac:dyDescent="0.55000000000000004">
      <c r="A75" s="10" t="s">
        <v>341</v>
      </c>
      <c r="C75" s="2">
        <v>97818891</v>
      </c>
      <c r="E75" s="2">
        <v>177327116</v>
      </c>
      <c r="G75" s="2">
        <f t="shared" si="2"/>
        <v>275146007</v>
      </c>
      <c r="I75" s="3">
        <v>7.7473998170995186E-3</v>
      </c>
      <c r="J75" s="11"/>
      <c r="K75" s="2">
        <v>3102579</v>
      </c>
      <c r="M75" s="2">
        <v>177327116</v>
      </c>
      <c r="O75" s="2">
        <f t="shared" si="3"/>
        <v>180429695</v>
      </c>
      <c r="Q75" s="3">
        <v>8.6900826084278747E-4</v>
      </c>
    </row>
    <row r="76" spans="1:17" ht="21" x14ac:dyDescent="0.55000000000000004">
      <c r="A76" s="10" t="s">
        <v>342</v>
      </c>
      <c r="C76" s="2">
        <v>-12008907</v>
      </c>
      <c r="E76" s="2">
        <v>0</v>
      </c>
      <c r="G76" s="2">
        <f t="shared" si="2"/>
        <v>-12008907</v>
      </c>
      <c r="I76" s="3">
        <v>-3.3813975681415258E-4</v>
      </c>
      <c r="J76" s="11"/>
      <c r="K76" s="2">
        <v>0</v>
      </c>
      <c r="M76" s="2">
        <v>82079944</v>
      </c>
      <c r="O76" s="2">
        <f t="shared" si="3"/>
        <v>82079944</v>
      </c>
      <c r="Q76" s="3">
        <v>3.9532378185039546E-4</v>
      </c>
    </row>
    <row r="77" spans="1:17" ht="21" x14ac:dyDescent="0.55000000000000004">
      <c r="A77" s="10" t="s">
        <v>184</v>
      </c>
      <c r="C77" s="2">
        <v>-402706</v>
      </c>
      <c r="E77" s="2">
        <v>0</v>
      </c>
      <c r="G77" s="2">
        <f t="shared" si="2"/>
        <v>-402706</v>
      </c>
      <c r="I77" s="3">
        <v>-1.13391592513457E-5</v>
      </c>
      <c r="J77" s="11"/>
      <c r="K77" s="2">
        <v>0</v>
      </c>
      <c r="M77" s="2">
        <v>407621359</v>
      </c>
      <c r="O77" s="2">
        <f t="shared" si="3"/>
        <v>407621359</v>
      </c>
      <c r="Q77" s="3">
        <v>1.9632374164738433E-3</v>
      </c>
    </row>
    <row r="78" spans="1:17" ht="21" x14ac:dyDescent="0.55000000000000004">
      <c r="A78" s="10" t="s">
        <v>343</v>
      </c>
      <c r="C78" s="2">
        <v>15508006</v>
      </c>
      <c r="E78" s="2">
        <v>0</v>
      </c>
      <c r="G78" s="2">
        <f t="shared" si="2"/>
        <v>15508006</v>
      </c>
      <c r="I78" s="3">
        <v>4.3666533328240605E-4</v>
      </c>
      <c r="J78" s="11"/>
      <c r="K78" s="2">
        <v>0</v>
      </c>
      <c r="M78" s="2">
        <v>278569994</v>
      </c>
      <c r="O78" s="2">
        <f t="shared" si="3"/>
        <v>278569994</v>
      </c>
      <c r="Q78" s="3">
        <v>1.3416839506874174E-3</v>
      </c>
    </row>
    <row r="79" spans="1:17" ht="21" x14ac:dyDescent="0.55000000000000004">
      <c r="A79" s="10" t="s">
        <v>344</v>
      </c>
      <c r="C79" s="2">
        <v>0</v>
      </c>
      <c r="E79" s="2">
        <v>0</v>
      </c>
      <c r="G79" s="2">
        <f t="shared" si="2"/>
        <v>0</v>
      </c>
      <c r="I79" s="3">
        <v>0</v>
      </c>
      <c r="J79" s="11"/>
      <c r="K79" s="2">
        <v>0</v>
      </c>
      <c r="M79" s="2">
        <v>67514952</v>
      </c>
      <c r="O79" s="2">
        <f t="shared" si="3"/>
        <v>67514952</v>
      </c>
      <c r="Q79" s="3">
        <v>3.2517402979816753E-4</v>
      </c>
    </row>
    <row r="80" spans="1:17" ht="21" x14ac:dyDescent="0.55000000000000004">
      <c r="A80" s="10" t="s">
        <v>345</v>
      </c>
      <c r="C80" s="2">
        <v>-1519609</v>
      </c>
      <c r="E80" s="2">
        <v>0</v>
      </c>
      <c r="G80" s="2">
        <f t="shared" si="2"/>
        <v>-1519609</v>
      </c>
      <c r="I80" s="3">
        <v>-4.2788258557801936E-5</v>
      </c>
      <c r="J80" s="11"/>
      <c r="K80" s="2">
        <v>0</v>
      </c>
      <c r="M80" s="2">
        <v>1596292</v>
      </c>
      <c r="O80" s="2">
        <f t="shared" si="3"/>
        <v>1596292</v>
      </c>
      <c r="Q80" s="3">
        <v>7.688262925441708E-6</v>
      </c>
    </row>
    <row r="81" spans="1:17" ht="21" x14ac:dyDescent="0.55000000000000004">
      <c r="A81" s="10" t="s">
        <v>346</v>
      </c>
      <c r="C81" s="2">
        <v>-6238393</v>
      </c>
      <c r="E81" s="2">
        <v>0</v>
      </c>
      <c r="G81" s="2">
        <f t="shared" si="2"/>
        <v>-6238393</v>
      </c>
      <c r="I81" s="3">
        <v>-1.7565700957889938E-4</v>
      </c>
      <c r="J81" s="11"/>
      <c r="K81" s="2">
        <v>0</v>
      </c>
      <c r="M81" s="2">
        <v>718657381</v>
      </c>
      <c r="O81" s="2">
        <f t="shared" si="3"/>
        <v>718657381</v>
      </c>
      <c r="Q81" s="3">
        <v>3.4612883472681286E-3</v>
      </c>
    </row>
    <row r="82" spans="1:17" ht="21" x14ac:dyDescent="0.55000000000000004">
      <c r="A82" s="10" t="s">
        <v>185</v>
      </c>
      <c r="C82" s="2">
        <v>-3551085</v>
      </c>
      <c r="E82" s="2">
        <v>0</v>
      </c>
      <c r="G82" s="2">
        <f t="shared" si="2"/>
        <v>-3551085</v>
      </c>
      <c r="I82" s="3">
        <v>-9.9989367752317931E-5</v>
      </c>
      <c r="J82" s="11"/>
      <c r="K82" s="2">
        <v>-7102170</v>
      </c>
      <c r="M82" s="2">
        <v>1027103692</v>
      </c>
      <c r="O82" s="2">
        <f t="shared" si="3"/>
        <v>1020001522</v>
      </c>
      <c r="Q82" s="3">
        <v>4.9126600180209598E-3</v>
      </c>
    </row>
    <row r="83" spans="1:17" ht="21" x14ac:dyDescent="0.55000000000000004">
      <c r="A83" s="10" t="s">
        <v>186</v>
      </c>
      <c r="C83" s="2">
        <v>-2469364</v>
      </c>
      <c r="E83" s="2">
        <v>0</v>
      </c>
      <c r="G83" s="2">
        <f t="shared" si="2"/>
        <v>-2469364</v>
      </c>
      <c r="I83" s="3">
        <v>-6.9530902558044883E-5</v>
      </c>
      <c r="J83" s="11"/>
      <c r="K83" s="2">
        <v>-4938728</v>
      </c>
      <c r="M83" s="2">
        <v>394213597</v>
      </c>
      <c r="O83" s="2">
        <f t="shared" si="3"/>
        <v>389274869</v>
      </c>
      <c r="Q83" s="3">
        <v>1.8748747366640172E-3</v>
      </c>
    </row>
    <row r="84" spans="1:17" ht="21" x14ac:dyDescent="0.55000000000000004">
      <c r="A84" s="10" t="s">
        <v>347</v>
      </c>
      <c r="C84" s="2">
        <v>0</v>
      </c>
      <c r="E84" s="2">
        <v>0</v>
      </c>
      <c r="G84" s="2">
        <f t="shared" si="2"/>
        <v>0</v>
      </c>
      <c r="I84" s="3">
        <v>0</v>
      </c>
      <c r="J84" s="11"/>
      <c r="K84" s="2">
        <v>0</v>
      </c>
      <c r="M84" s="2">
        <v>27846437</v>
      </c>
      <c r="O84" s="2">
        <f t="shared" si="3"/>
        <v>27846437</v>
      </c>
      <c r="Q84" s="3">
        <v>1.3411752310526408E-4</v>
      </c>
    </row>
    <row r="85" spans="1:17" ht="21" x14ac:dyDescent="0.55000000000000004">
      <c r="A85" s="10" t="s">
        <v>187</v>
      </c>
      <c r="C85" s="2">
        <v>-69981974</v>
      </c>
      <c r="E85" s="2">
        <v>0</v>
      </c>
      <c r="G85" s="2">
        <f t="shared" si="2"/>
        <v>-69981974</v>
      </c>
      <c r="I85" s="3">
        <v>-1.9705113604205904E-3</v>
      </c>
      <c r="J85" s="11"/>
      <c r="K85" s="2">
        <v>0</v>
      </c>
      <c r="M85" s="2">
        <v>-207613744</v>
      </c>
      <c r="O85" s="2">
        <f t="shared" si="3"/>
        <v>-207613744</v>
      </c>
      <c r="Q85" s="3">
        <v>-9.9993550729274207E-4</v>
      </c>
    </row>
    <row r="86" spans="1:17" ht="21" x14ac:dyDescent="0.55000000000000004">
      <c r="A86" s="10" t="s">
        <v>188</v>
      </c>
      <c r="C86" s="2">
        <v>15995880</v>
      </c>
      <c r="E86" s="2">
        <v>0</v>
      </c>
      <c r="G86" s="2">
        <f t="shared" si="2"/>
        <v>15995880</v>
      </c>
      <c r="I86" s="3">
        <v>4.5040260310354364E-4</v>
      </c>
      <c r="J86" s="11"/>
      <c r="K86" s="2">
        <v>0</v>
      </c>
      <c r="M86" s="2">
        <v>542264460</v>
      </c>
      <c r="O86" s="2">
        <f t="shared" si="3"/>
        <v>542264460</v>
      </c>
      <c r="Q86" s="3">
        <v>2.6117225066608538E-3</v>
      </c>
    </row>
    <row r="87" spans="1:17" ht="21" x14ac:dyDescent="0.55000000000000004">
      <c r="A87" s="10" t="s">
        <v>189</v>
      </c>
      <c r="C87" s="2">
        <v>-53986095</v>
      </c>
      <c r="E87" s="2">
        <v>0</v>
      </c>
      <c r="G87" s="2">
        <f t="shared" si="2"/>
        <v>-53986095</v>
      </c>
      <c r="I87" s="3">
        <v>-1.5201087854744598E-3</v>
      </c>
      <c r="J87" s="11"/>
      <c r="K87" s="2">
        <v>0</v>
      </c>
      <c r="M87" s="2">
        <v>762470285</v>
      </c>
      <c r="O87" s="2">
        <f t="shared" si="3"/>
        <v>762470285</v>
      </c>
      <c r="Q87" s="3">
        <v>3.6723055831367145E-3</v>
      </c>
    </row>
    <row r="88" spans="1:17" ht="21" x14ac:dyDescent="0.55000000000000004">
      <c r="A88" s="10" t="s">
        <v>190</v>
      </c>
      <c r="C88" s="2">
        <v>0</v>
      </c>
      <c r="E88" s="2">
        <v>0</v>
      </c>
      <c r="G88" s="2">
        <f t="shared" si="2"/>
        <v>0</v>
      </c>
      <c r="I88" s="3">
        <v>0</v>
      </c>
      <c r="J88" s="11"/>
      <c r="K88" s="2">
        <v>0</v>
      </c>
      <c r="M88" s="2">
        <v>134416530</v>
      </c>
      <c r="O88" s="2">
        <f t="shared" si="3"/>
        <v>134416530</v>
      </c>
      <c r="Q88" s="3">
        <v>6.4739385035164176E-4</v>
      </c>
    </row>
    <row r="89" spans="1:17" ht="21" x14ac:dyDescent="0.55000000000000004">
      <c r="A89" s="10" t="s">
        <v>191</v>
      </c>
      <c r="C89" s="2">
        <v>24993562</v>
      </c>
      <c r="E89" s="2">
        <v>0</v>
      </c>
      <c r="G89" s="2">
        <f t="shared" si="2"/>
        <v>24993562</v>
      </c>
      <c r="I89" s="3">
        <v>7.0375405327058034E-4</v>
      </c>
      <c r="J89" s="11"/>
      <c r="K89" s="2">
        <v>0</v>
      </c>
      <c r="M89" s="2">
        <v>292147825</v>
      </c>
      <c r="O89" s="2">
        <f t="shared" si="3"/>
        <v>292147825</v>
      </c>
      <c r="Q89" s="3">
        <v>1.4070792133869818E-3</v>
      </c>
    </row>
    <row r="90" spans="1:17" ht="21" x14ac:dyDescent="0.55000000000000004">
      <c r="A90" s="10" t="s">
        <v>348</v>
      </c>
      <c r="C90" s="2">
        <v>-29482407</v>
      </c>
      <c r="E90" s="2">
        <v>0</v>
      </c>
      <c r="G90" s="2">
        <f t="shared" si="2"/>
        <v>-29482407</v>
      </c>
      <c r="I90" s="3">
        <v>-8.3014831685147286E-4</v>
      </c>
      <c r="J90" s="11"/>
      <c r="K90" s="2">
        <v>0</v>
      </c>
      <c r="M90" s="2">
        <v>-49213200</v>
      </c>
      <c r="O90" s="2">
        <f t="shared" si="3"/>
        <v>-49213200</v>
      </c>
      <c r="Q90" s="3">
        <v>-2.3702682278827923E-4</v>
      </c>
    </row>
    <row r="91" spans="1:17" ht="21" x14ac:dyDescent="0.55000000000000004">
      <c r="A91" s="10" t="s">
        <v>349</v>
      </c>
      <c r="C91" s="2">
        <v>-178859932</v>
      </c>
      <c r="E91" s="2">
        <v>0</v>
      </c>
      <c r="G91" s="2">
        <f t="shared" si="2"/>
        <v>-178859932</v>
      </c>
      <c r="I91" s="3">
        <v>-5.036233015234098E-3</v>
      </c>
      <c r="J91" s="11"/>
      <c r="K91" s="2">
        <v>0</v>
      </c>
      <c r="M91" s="2">
        <v>70772500</v>
      </c>
      <c r="O91" s="2">
        <f t="shared" si="3"/>
        <v>70772500</v>
      </c>
      <c r="Q91" s="3">
        <v>3.4086344346198768E-4</v>
      </c>
    </row>
    <row r="92" spans="1:17" ht="21" x14ac:dyDescent="0.55000000000000004">
      <c r="A92" s="10" t="s">
        <v>350</v>
      </c>
      <c r="C92" s="2">
        <v>0</v>
      </c>
      <c r="E92" s="2">
        <v>0</v>
      </c>
      <c r="G92" s="2">
        <f t="shared" si="2"/>
        <v>0</v>
      </c>
      <c r="I92" s="3">
        <v>0</v>
      </c>
      <c r="J92" s="11"/>
      <c r="K92" s="2">
        <v>0</v>
      </c>
      <c r="M92" s="2">
        <v>112062000</v>
      </c>
      <c r="O92" s="2">
        <f t="shared" si="3"/>
        <v>112062000</v>
      </c>
      <c r="Q92" s="3">
        <v>5.3972714262230756E-4</v>
      </c>
    </row>
    <row r="93" spans="1:17" ht="21" x14ac:dyDescent="0.55000000000000004">
      <c r="A93" s="10" t="s">
        <v>351</v>
      </c>
      <c r="C93" s="2">
        <v>0</v>
      </c>
      <c r="E93" s="2">
        <v>0</v>
      </c>
      <c r="G93" s="2">
        <f t="shared" si="2"/>
        <v>0</v>
      </c>
      <c r="I93" s="3">
        <v>0</v>
      </c>
      <c r="J93" s="11"/>
      <c r="K93" s="2">
        <v>0</v>
      </c>
      <c r="M93" s="2">
        <v>5891941</v>
      </c>
      <c r="O93" s="2">
        <f t="shared" si="3"/>
        <v>5891941</v>
      </c>
      <c r="Q93" s="3">
        <v>2.8377509596734144E-5</v>
      </c>
    </row>
    <row r="94" spans="1:17" ht="21" x14ac:dyDescent="0.55000000000000004">
      <c r="A94" s="10" t="s">
        <v>352</v>
      </c>
      <c r="C94" s="2">
        <v>0</v>
      </c>
      <c r="E94" s="2">
        <v>0</v>
      </c>
      <c r="G94" s="2">
        <f t="shared" si="2"/>
        <v>0</v>
      </c>
      <c r="I94" s="3">
        <v>0</v>
      </c>
      <c r="J94" s="11"/>
      <c r="K94" s="2">
        <v>0</v>
      </c>
      <c r="M94" s="2">
        <v>17686915</v>
      </c>
      <c r="O94" s="2">
        <f t="shared" si="3"/>
        <v>17686915</v>
      </c>
      <c r="Q94" s="3">
        <v>8.5185951480016702E-5</v>
      </c>
    </row>
    <row r="95" spans="1:17" ht="21" x14ac:dyDescent="0.55000000000000004">
      <c r="A95" s="10" t="s">
        <v>380</v>
      </c>
      <c r="C95" s="2">
        <v>14270207</v>
      </c>
      <c r="E95" s="2">
        <v>50240943</v>
      </c>
      <c r="G95" s="2">
        <f t="shared" si="2"/>
        <v>64511150</v>
      </c>
      <c r="I95" s="3">
        <v>1.8164671083555997E-3</v>
      </c>
      <c r="J95" s="11"/>
      <c r="K95" s="2">
        <v>14270207</v>
      </c>
      <c r="M95" s="2">
        <v>50240943</v>
      </c>
      <c r="O95" s="2">
        <f t="shared" si="3"/>
        <v>64511150</v>
      </c>
      <c r="Q95" s="3">
        <v>3.1070673963323053E-4</v>
      </c>
    </row>
    <row r="96" spans="1:17" ht="21" x14ac:dyDescent="0.55000000000000004">
      <c r="A96" s="10" t="s">
        <v>353</v>
      </c>
      <c r="C96" s="2">
        <v>-2206568</v>
      </c>
      <c r="E96" s="2">
        <v>114571205</v>
      </c>
      <c r="G96" s="2">
        <f t="shared" si="2"/>
        <v>112364637</v>
      </c>
      <c r="I96" s="3">
        <v>3.1638975162094712E-3</v>
      </c>
      <c r="J96" s="11"/>
      <c r="K96" s="2">
        <v>12547495</v>
      </c>
      <c r="M96" s="2">
        <v>114571205</v>
      </c>
      <c r="O96" s="2">
        <f t="shared" si="3"/>
        <v>127118700</v>
      </c>
      <c r="Q96" s="3">
        <v>6.122451207801247E-4</v>
      </c>
    </row>
    <row r="97" spans="1:17" ht="21" x14ac:dyDescent="0.55000000000000004">
      <c r="A97" s="10" t="s">
        <v>382</v>
      </c>
      <c r="C97" s="2">
        <v>0</v>
      </c>
      <c r="E97" s="2">
        <v>41988322</v>
      </c>
      <c r="G97" s="2">
        <f t="shared" si="2"/>
        <v>41988322</v>
      </c>
      <c r="I97" s="3">
        <v>1.1822825332991865E-3</v>
      </c>
      <c r="J97" s="11"/>
      <c r="K97" s="2">
        <v>0</v>
      </c>
      <c r="M97" s="2">
        <v>41988322</v>
      </c>
      <c r="O97" s="2">
        <f t="shared" si="3"/>
        <v>41988322</v>
      </c>
      <c r="Q97" s="3">
        <v>2.0222945384309912E-4</v>
      </c>
    </row>
    <row r="98" spans="1:17" ht="21" x14ac:dyDescent="0.55000000000000004">
      <c r="A98" s="10" t="s">
        <v>381</v>
      </c>
      <c r="C98" s="2">
        <v>401896</v>
      </c>
      <c r="E98" s="2">
        <v>4998202</v>
      </c>
      <c r="G98" s="2">
        <f t="shared" si="2"/>
        <v>5400098</v>
      </c>
      <c r="I98" s="3">
        <v>1.5205279085703569E-4</v>
      </c>
      <c r="J98" s="11"/>
      <c r="K98" s="2">
        <v>401896</v>
      </c>
      <c r="M98" s="2">
        <v>4998202</v>
      </c>
      <c r="O98" s="2">
        <f t="shared" si="3"/>
        <v>5400098</v>
      </c>
      <c r="Q98" s="3">
        <v>2.6008633287112829E-5</v>
      </c>
    </row>
    <row r="99" spans="1:17" ht="21" x14ac:dyDescent="0.55000000000000004">
      <c r="A99" s="10" t="s">
        <v>354</v>
      </c>
      <c r="C99" s="2">
        <v>0</v>
      </c>
      <c r="E99" s="2">
        <v>0</v>
      </c>
      <c r="G99" s="2">
        <f t="shared" si="2"/>
        <v>0</v>
      </c>
      <c r="I99" s="3">
        <v>0</v>
      </c>
      <c r="J99" s="11"/>
      <c r="K99" s="2">
        <v>57768305</v>
      </c>
      <c r="M99" s="2">
        <v>102977737</v>
      </c>
      <c r="O99" s="2">
        <f t="shared" si="3"/>
        <v>160746042</v>
      </c>
      <c r="Q99" s="3">
        <v>7.7420536789014514E-4</v>
      </c>
    </row>
    <row r="100" spans="1:17" ht="21" x14ac:dyDescent="0.55000000000000004">
      <c r="A100" s="10" t="s">
        <v>355</v>
      </c>
      <c r="C100" s="2">
        <v>0</v>
      </c>
      <c r="E100" s="2">
        <v>0</v>
      </c>
      <c r="G100" s="2">
        <f t="shared" si="2"/>
        <v>0</v>
      </c>
      <c r="I100" s="3">
        <v>0</v>
      </c>
      <c r="J100" s="11"/>
      <c r="K100" s="2">
        <v>0</v>
      </c>
      <c r="M100" s="2">
        <v>174158979</v>
      </c>
      <c r="O100" s="2">
        <f t="shared" si="3"/>
        <v>174158979</v>
      </c>
      <c r="Q100" s="3">
        <v>8.3880644730317561E-4</v>
      </c>
    </row>
    <row r="101" spans="1:17" ht="21" x14ac:dyDescent="0.55000000000000004">
      <c r="A101" s="10" t="s">
        <v>356</v>
      </c>
      <c r="C101" s="2">
        <v>6289548</v>
      </c>
      <c r="E101" s="2">
        <v>0</v>
      </c>
      <c r="G101" s="2">
        <f t="shared" si="2"/>
        <v>6289548</v>
      </c>
      <c r="I101" s="3">
        <v>1.7709740205257147E-4</v>
      </c>
      <c r="J101" s="11"/>
      <c r="K101" s="2">
        <v>0</v>
      </c>
      <c r="M101" s="2">
        <v>246240351</v>
      </c>
      <c r="O101" s="2">
        <f t="shared" si="3"/>
        <v>246240351</v>
      </c>
      <c r="Q101" s="3">
        <v>1.1859738452244656E-3</v>
      </c>
    </row>
    <row r="102" spans="1:17" ht="21" x14ac:dyDescent="0.55000000000000004">
      <c r="A102" s="10" t="s">
        <v>357</v>
      </c>
      <c r="C102" s="2">
        <v>0</v>
      </c>
      <c r="E102" s="2">
        <v>0</v>
      </c>
      <c r="G102" s="2">
        <f t="shared" si="2"/>
        <v>0</v>
      </c>
      <c r="I102" s="3">
        <v>0</v>
      </c>
      <c r="J102" s="11"/>
      <c r="K102" s="2">
        <v>0</v>
      </c>
      <c r="M102" s="2">
        <v>171732364</v>
      </c>
      <c r="O102" s="2">
        <f t="shared" si="3"/>
        <v>171732364</v>
      </c>
      <c r="Q102" s="3">
        <v>8.2711907798802486E-4</v>
      </c>
    </row>
    <row r="103" spans="1:17" ht="21" x14ac:dyDescent="0.55000000000000004">
      <c r="A103" s="10" t="s">
        <v>192</v>
      </c>
      <c r="C103" s="2">
        <v>-26575555</v>
      </c>
      <c r="E103" s="2">
        <v>0</v>
      </c>
      <c r="G103" s="2">
        <f t="shared" si="2"/>
        <v>-26575555</v>
      </c>
      <c r="I103" s="3">
        <v>-7.4829888389519022E-4</v>
      </c>
      <c r="J103" s="11"/>
      <c r="K103" s="2">
        <v>0</v>
      </c>
      <c r="M103" s="2">
        <v>903156644</v>
      </c>
      <c r="O103" s="2">
        <f t="shared" si="3"/>
        <v>903156644</v>
      </c>
      <c r="Q103" s="3">
        <v>4.3498969749466605E-3</v>
      </c>
    </row>
    <row r="104" spans="1:17" ht="21" x14ac:dyDescent="0.55000000000000004">
      <c r="A104" s="10" t="s">
        <v>193</v>
      </c>
      <c r="C104" s="2">
        <v>-1769544</v>
      </c>
      <c r="E104" s="2">
        <v>0</v>
      </c>
      <c r="G104" s="2">
        <f t="shared" si="2"/>
        <v>-1769544</v>
      </c>
      <c r="I104" s="3">
        <v>-4.9825781632911537E-5</v>
      </c>
      <c r="J104" s="11"/>
      <c r="K104" s="2">
        <v>0</v>
      </c>
      <c r="M104" s="2">
        <v>1500319978</v>
      </c>
      <c r="O104" s="2">
        <f t="shared" si="3"/>
        <v>1500319978</v>
      </c>
      <c r="Q104" s="3">
        <v>7.2260303648435985E-3</v>
      </c>
    </row>
    <row r="105" spans="1:17" ht="21" x14ac:dyDescent="0.55000000000000004">
      <c r="A105" s="10" t="s">
        <v>358</v>
      </c>
      <c r="C105" s="2">
        <v>-2603330</v>
      </c>
      <c r="E105" s="2">
        <v>0</v>
      </c>
      <c r="G105" s="2">
        <f t="shared" si="2"/>
        <v>-2603330</v>
      </c>
      <c r="I105" s="3">
        <v>-7.3303038578530737E-5</v>
      </c>
      <c r="J105" s="11"/>
      <c r="K105" s="2">
        <v>0</v>
      </c>
      <c r="M105" s="2">
        <v>50435522</v>
      </c>
      <c r="O105" s="2">
        <f t="shared" si="3"/>
        <v>50435522</v>
      </c>
      <c r="Q105" s="3">
        <v>2.4291392421806261E-4</v>
      </c>
    </row>
    <row r="106" spans="1:17" ht="21" x14ac:dyDescent="0.55000000000000004">
      <c r="A106" s="10" t="s">
        <v>359</v>
      </c>
      <c r="C106" s="2">
        <v>-32176865</v>
      </c>
      <c r="E106" s="2">
        <v>0</v>
      </c>
      <c r="G106" s="2">
        <f t="shared" si="2"/>
        <v>-32176865</v>
      </c>
      <c r="I106" s="3">
        <v>-9.0601728418263365E-4</v>
      </c>
      <c r="J106" s="11"/>
      <c r="K106" s="2">
        <v>0</v>
      </c>
      <c r="M106" s="2">
        <v>365668940</v>
      </c>
      <c r="O106" s="2">
        <f t="shared" si="3"/>
        <v>365668940</v>
      </c>
      <c r="Q106" s="3">
        <v>1.7611808831890206E-3</v>
      </c>
    </row>
    <row r="107" spans="1:17" ht="21" x14ac:dyDescent="0.55000000000000004">
      <c r="A107" s="10" t="s">
        <v>194</v>
      </c>
      <c r="C107" s="2">
        <v>85859485</v>
      </c>
      <c r="E107" s="2">
        <v>0</v>
      </c>
      <c r="G107" s="2">
        <f t="shared" si="2"/>
        <v>85859485</v>
      </c>
      <c r="I107" s="3">
        <v>2.4175809986777632E-3</v>
      </c>
      <c r="J107" s="11"/>
      <c r="K107" s="2">
        <v>0</v>
      </c>
      <c r="M107" s="2">
        <v>388881313</v>
      </c>
      <c r="O107" s="2">
        <f t="shared" si="3"/>
        <v>388881313</v>
      </c>
      <c r="Q107" s="3">
        <v>1.8729792426041051E-3</v>
      </c>
    </row>
    <row r="108" spans="1:17" ht="21" x14ac:dyDescent="0.55000000000000004">
      <c r="A108" s="10" t="s">
        <v>195</v>
      </c>
      <c r="C108" s="2">
        <v>0</v>
      </c>
      <c r="E108" s="2">
        <v>0</v>
      </c>
      <c r="G108" s="2">
        <f t="shared" si="2"/>
        <v>0</v>
      </c>
      <c r="I108" s="3">
        <v>0</v>
      </c>
      <c r="J108" s="11"/>
      <c r="K108" s="2">
        <v>0</v>
      </c>
      <c r="M108" s="2">
        <v>169892337</v>
      </c>
      <c r="O108" s="2">
        <f t="shared" si="3"/>
        <v>169892337</v>
      </c>
      <c r="Q108" s="3">
        <v>8.1825690780493068E-4</v>
      </c>
    </row>
    <row r="109" spans="1:17" ht="21" x14ac:dyDescent="0.55000000000000004">
      <c r="A109" s="10" t="s">
        <v>360</v>
      </c>
      <c r="C109" s="2">
        <v>20820926</v>
      </c>
      <c r="E109" s="2">
        <v>0</v>
      </c>
      <c r="G109" s="2">
        <f t="shared" si="2"/>
        <v>20820926</v>
      </c>
      <c r="I109" s="3">
        <v>5.8626341716906184E-4</v>
      </c>
      <c r="J109" s="11"/>
      <c r="K109" s="2">
        <v>0</v>
      </c>
      <c r="M109" s="2">
        <v>-1836545797</v>
      </c>
      <c r="O109" s="2">
        <f t="shared" si="3"/>
        <v>-1836545797</v>
      </c>
      <c r="Q109" s="3">
        <v>-8.8454035740020576E-3</v>
      </c>
    </row>
    <row r="110" spans="1:17" ht="21" x14ac:dyDescent="0.55000000000000004">
      <c r="A110" s="10" t="s">
        <v>361</v>
      </c>
      <c r="C110" s="2">
        <v>2397381</v>
      </c>
      <c r="E110" s="2">
        <v>0</v>
      </c>
      <c r="G110" s="2">
        <f t="shared" si="2"/>
        <v>2397381</v>
      </c>
      <c r="I110" s="3">
        <v>6.7504047481662559E-5</v>
      </c>
      <c r="J110" s="11"/>
      <c r="K110" s="2">
        <v>-1</v>
      </c>
      <c r="M110" s="2">
        <v>27528204</v>
      </c>
      <c r="O110" s="2">
        <f t="shared" si="3"/>
        <v>27528203</v>
      </c>
      <c r="Q110" s="3">
        <v>1.3258480436469843E-4</v>
      </c>
    </row>
    <row r="111" spans="1:17" ht="21" x14ac:dyDescent="0.55000000000000004">
      <c r="A111" s="10" t="s">
        <v>362</v>
      </c>
      <c r="C111" s="2">
        <v>-180993382</v>
      </c>
      <c r="E111" s="2">
        <v>0</v>
      </c>
      <c r="G111" s="2">
        <f t="shared" si="2"/>
        <v>-180993382</v>
      </c>
      <c r="I111" s="3">
        <v>-5.0963054484851134E-3</v>
      </c>
      <c r="J111" s="11"/>
      <c r="K111" s="2">
        <v>0</v>
      </c>
      <c r="M111" s="2">
        <v>294439966</v>
      </c>
      <c r="O111" s="2">
        <f t="shared" si="3"/>
        <v>294439966</v>
      </c>
      <c r="Q111" s="3">
        <v>1.4181189120575162E-3</v>
      </c>
    </row>
    <row r="112" spans="1:17" ht="21" x14ac:dyDescent="0.55000000000000004">
      <c r="A112" s="10" t="s">
        <v>363</v>
      </c>
      <c r="C112" s="2">
        <v>2499356</v>
      </c>
      <c r="E112" s="2">
        <v>0</v>
      </c>
      <c r="G112" s="2">
        <f t="shared" si="2"/>
        <v>2499356</v>
      </c>
      <c r="I112" s="3">
        <v>7.0375399695575387E-5</v>
      </c>
      <c r="J112" s="11"/>
      <c r="K112" s="2">
        <v>0</v>
      </c>
      <c r="M112" s="2">
        <v>593579598</v>
      </c>
      <c r="O112" s="2">
        <f t="shared" si="3"/>
        <v>593579598</v>
      </c>
      <c r="Q112" s="3">
        <v>2.8588729484342419E-3</v>
      </c>
    </row>
    <row r="113" spans="1:17" ht="21" x14ac:dyDescent="0.55000000000000004">
      <c r="A113" s="10" t="s">
        <v>364</v>
      </c>
      <c r="C113" s="2">
        <v>0</v>
      </c>
      <c r="E113" s="2">
        <v>0</v>
      </c>
      <c r="G113" s="2">
        <f t="shared" si="2"/>
        <v>0</v>
      </c>
      <c r="I113" s="3">
        <v>0</v>
      </c>
      <c r="J113" s="11"/>
      <c r="K113" s="2">
        <v>0</v>
      </c>
      <c r="M113" s="2">
        <v>-4999124626</v>
      </c>
      <c r="O113" s="2">
        <f t="shared" si="3"/>
        <v>-4999124626</v>
      </c>
      <c r="Q113" s="3">
        <v>-2.4077414734734272E-2</v>
      </c>
    </row>
    <row r="114" spans="1:17" ht="21" x14ac:dyDescent="0.55000000000000004">
      <c r="A114" s="10" t="s">
        <v>365</v>
      </c>
      <c r="C114" s="2">
        <v>-13496524</v>
      </c>
      <c r="E114" s="2">
        <v>0</v>
      </c>
      <c r="G114" s="2">
        <f t="shared" si="2"/>
        <v>-13496524</v>
      </c>
      <c r="I114" s="3">
        <v>-3.8002720340796827E-4</v>
      </c>
      <c r="J114" s="11"/>
      <c r="K114" s="2">
        <v>0</v>
      </c>
      <c r="M114" s="2">
        <v>161556937</v>
      </c>
      <c r="O114" s="2">
        <f t="shared" si="3"/>
        <v>161556937</v>
      </c>
      <c r="Q114" s="3">
        <v>7.781109026951345E-4</v>
      </c>
    </row>
    <row r="115" spans="1:17" ht="21" x14ac:dyDescent="0.55000000000000004">
      <c r="A115" s="10" t="s">
        <v>366</v>
      </c>
      <c r="C115" s="2">
        <v>0</v>
      </c>
      <c r="E115" s="2">
        <v>0</v>
      </c>
      <c r="G115" s="2">
        <f t="shared" si="2"/>
        <v>0</v>
      </c>
      <c r="I115" s="3">
        <v>0</v>
      </c>
      <c r="J115" s="11"/>
      <c r="K115" s="2">
        <v>1</v>
      </c>
      <c r="M115" s="2">
        <v>139779875</v>
      </c>
      <c r="O115" s="2">
        <f t="shared" si="3"/>
        <v>139779876</v>
      </c>
      <c r="Q115" s="3">
        <v>6.7322547401956476E-4</v>
      </c>
    </row>
    <row r="116" spans="1:17" ht="21" x14ac:dyDescent="0.55000000000000004">
      <c r="A116" s="10" t="s">
        <v>196</v>
      </c>
      <c r="C116" s="2">
        <v>-4998713</v>
      </c>
      <c r="E116" s="2">
        <v>0</v>
      </c>
      <c r="G116" s="2">
        <f t="shared" si="2"/>
        <v>-4998713</v>
      </c>
      <c r="I116" s="3">
        <v>-1.40750827548564E-4</v>
      </c>
      <c r="J116" s="11"/>
      <c r="K116" s="2">
        <v>0</v>
      </c>
      <c r="M116" s="2">
        <v>24996190</v>
      </c>
      <c r="O116" s="2">
        <f t="shared" si="3"/>
        <v>24996190</v>
      </c>
      <c r="Q116" s="3">
        <v>1.2038980390448411E-4</v>
      </c>
    </row>
    <row r="117" spans="1:17" ht="21" x14ac:dyDescent="0.55000000000000004">
      <c r="A117" s="10" t="s">
        <v>197</v>
      </c>
      <c r="C117" s="2">
        <v>-6839138</v>
      </c>
      <c r="E117" s="2">
        <v>0</v>
      </c>
      <c r="G117" s="2">
        <f t="shared" si="2"/>
        <v>-6839138</v>
      </c>
      <c r="I117" s="3">
        <v>-1.9257243478848073E-4</v>
      </c>
      <c r="J117" s="11"/>
      <c r="K117" s="2">
        <v>0</v>
      </c>
      <c r="M117" s="2">
        <v>314113740</v>
      </c>
      <c r="O117" s="2">
        <f t="shared" si="3"/>
        <v>314113740</v>
      </c>
      <c r="Q117" s="3">
        <v>1.5128742245239816E-3</v>
      </c>
    </row>
    <row r="118" spans="1:17" ht="21" x14ac:dyDescent="0.55000000000000004">
      <c r="A118" s="10" t="s">
        <v>198</v>
      </c>
      <c r="C118" s="2">
        <v>0</v>
      </c>
      <c r="E118" s="2">
        <v>0</v>
      </c>
      <c r="G118" s="2">
        <f t="shared" si="2"/>
        <v>0</v>
      </c>
      <c r="I118" s="3">
        <v>0</v>
      </c>
      <c r="J118" s="11"/>
      <c r="K118" s="2">
        <v>0</v>
      </c>
      <c r="M118" s="2">
        <v>7989736</v>
      </c>
      <c r="O118" s="2">
        <f t="shared" si="3"/>
        <v>7989736</v>
      </c>
      <c r="Q118" s="3">
        <v>3.8481174542544175E-5</v>
      </c>
    </row>
    <row r="119" spans="1:17" ht="21" x14ac:dyDescent="0.55000000000000004">
      <c r="A119" s="10" t="s">
        <v>367</v>
      </c>
      <c r="C119" s="2">
        <v>0</v>
      </c>
      <c r="E119" s="2">
        <v>0</v>
      </c>
      <c r="G119" s="2">
        <f t="shared" si="2"/>
        <v>0</v>
      </c>
      <c r="I119" s="3">
        <v>0</v>
      </c>
      <c r="J119" s="11"/>
      <c r="K119" s="2">
        <v>0</v>
      </c>
      <c r="M119" s="2">
        <v>-1001</v>
      </c>
      <c r="O119" s="2">
        <f t="shared" si="3"/>
        <v>-1001</v>
      </c>
      <c r="Q119" s="3">
        <v>-4.8211424904510888E-9</v>
      </c>
    </row>
    <row r="120" spans="1:17" ht="21" x14ac:dyDescent="0.55000000000000004">
      <c r="A120" s="10" t="s">
        <v>199</v>
      </c>
      <c r="C120" s="2">
        <v>24993562</v>
      </c>
      <c r="E120" s="2">
        <v>0</v>
      </c>
      <c r="G120" s="2">
        <f t="shared" si="2"/>
        <v>24993562</v>
      </c>
      <c r="I120" s="3">
        <v>7.0375405327058034E-4</v>
      </c>
      <c r="J120" s="11"/>
      <c r="K120" s="2">
        <v>0</v>
      </c>
      <c r="M120" s="2">
        <v>2635614794</v>
      </c>
      <c r="O120" s="2">
        <f t="shared" si="3"/>
        <v>2635614794</v>
      </c>
      <c r="Q120" s="3">
        <v>1.2693980491323569E-2</v>
      </c>
    </row>
    <row r="121" spans="1:17" ht="21" x14ac:dyDescent="0.55000000000000004">
      <c r="A121" s="10" t="s">
        <v>200</v>
      </c>
      <c r="C121" s="2">
        <v>-51986610</v>
      </c>
      <c r="E121" s="2">
        <v>0</v>
      </c>
      <c r="G121" s="2">
        <f t="shared" si="2"/>
        <v>-51986610</v>
      </c>
      <c r="I121" s="3">
        <v>-1.4638084600865169E-3</v>
      </c>
      <c r="J121" s="11"/>
      <c r="K121" s="2">
        <v>0</v>
      </c>
      <c r="M121" s="2">
        <v>220595472</v>
      </c>
      <c r="O121" s="2">
        <f t="shared" si="3"/>
        <v>220595472</v>
      </c>
      <c r="Q121" s="3">
        <v>1.0624597435167965E-3</v>
      </c>
    </row>
    <row r="122" spans="1:17" ht="21" x14ac:dyDescent="0.55000000000000004">
      <c r="A122" s="10" t="s">
        <v>201</v>
      </c>
      <c r="C122" s="2">
        <v>998</v>
      </c>
      <c r="E122" s="2">
        <v>0</v>
      </c>
      <c r="G122" s="2">
        <f t="shared" si="2"/>
        <v>998</v>
      </c>
      <c r="I122" s="3">
        <v>2.8101098401421903E-8</v>
      </c>
      <c r="J122" s="11"/>
      <c r="K122" s="2">
        <v>0</v>
      </c>
      <c r="M122" s="2">
        <v>769032514</v>
      </c>
      <c r="O122" s="2">
        <f t="shared" si="3"/>
        <v>769032514</v>
      </c>
      <c r="Q122" s="3">
        <v>3.7039114183654563E-3</v>
      </c>
    </row>
    <row r="123" spans="1:17" ht="21" x14ac:dyDescent="0.55000000000000004">
      <c r="A123" s="10" t="s">
        <v>368</v>
      </c>
      <c r="C123" s="2">
        <v>0</v>
      </c>
      <c r="E123" s="2">
        <v>0</v>
      </c>
      <c r="G123" s="2">
        <f t="shared" si="2"/>
        <v>0</v>
      </c>
      <c r="I123" s="3">
        <v>0</v>
      </c>
      <c r="J123" s="11"/>
      <c r="K123" s="2">
        <v>0</v>
      </c>
      <c r="M123" s="2">
        <v>2823802</v>
      </c>
      <c r="O123" s="2">
        <f t="shared" si="3"/>
        <v>2823802</v>
      </c>
      <c r="Q123" s="3">
        <v>1.3600351455365399E-5</v>
      </c>
    </row>
    <row r="124" spans="1:17" ht="21" x14ac:dyDescent="0.55000000000000004">
      <c r="A124" s="10" t="s">
        <v>202</v>
      </c>
      <c r="C124" s="2">
        <v>-24667646</v>
      </c>
      <c r="E124" s="2">
        <v>0</v>
      </c>
      <c r="G124" s="2">
        <f t="shared" si="2"/>
        <v>-24667646</v>
      </c>
      <c r="I124" s="3">
        <v>-6.9457710178100337E-4</v>
      </c>
      <c r="J124" s="11"/>
      <c r="K124" s="2">
        <v>0</v>
      </c>
      <c r="M124" s="2">
        <v>137838676</v>
      </c>
      <c r="O124" s="2">
        <f t="shared" si="3"/>
        <v>137838676</v>
      </c>
      <c r="Q124" s="3">
        <v>6.6387602166945127E-4</v>
      </c>
    </row>
    <row r="125" spans="1:17" ht="21" x14ac:dyDescent="0.55000000000000004">
      <c r="A125" s="10" t="s">
        <v>203</v>
      </c>
      <c r="C125" s="2">
        <v>-2000</v>
      </c>
      <c r="E125" s="2">
        <v>0</v>
      </c>
      <c r="G125" s="2">
        <f t="shared" si="2"/>
        <v>-2000</v>
      </c>
      <c r="I125" s="3">
        <v>-5.6314826455755311E-8</v>
      </c>
      <c r="J125" s="11"/>
      <c r="K125" s="2">
        <v>0</v>
      </c>
      <c r="M125" s="2">
        <v>1604128594</v>
      </c>
      <c r="O125" s="2">
        <f t="shared" si="3"/>
        <v>1604128594</v>
      </c>
      <c r="Q125" s="3">
        <v>7.7260065181628005E-3</v>
      </c>
    </row>
    <row r="126" spans="1:17" ht="21" x14ac:dyDescent="0.55000000000000004">
      <c r="A126" s="10" t="s">
        <v>204</v>
      </c>
      <c r="C126" s="2">
        <v>-50986</v>
      </c>
      <c r="E126" s="2">
        <v>0</v>
      </c>
      <c r="G126" s="2">
        <f t="shared" si="2"/>
        <v>-50986</v>
      </c>
      <c r="I126" s="3">
        <v>-1.4356338708365703E-6</v>
      </c>
      <c r="J126" s="11"/>
      <c r="K126" s="2">
        <v>0</v>
      </c>
      <c r="M126" s="2">
        <v>1173724363</v>
      </c>
      <c r="O126" s="2">
        <f t="shared" si="3"/>
        <v>1173724363</v>
      </c>
      <c r="Q126" s="3">
        <v>5.6530393591777599E-3</v>
      </c>
    </row>
    <row r="127" spans="1:17" ht="21" x14ac:dyDescent="0.55000000000000004">
      <c r="A127" s="10" t="s">
        <v>205</v>
      </c>
      <c r="C127" s="2">
        <v>-60015450</v>
      </c>
      <c r="E127" s="2">
        <v>120000000</v>
      </c>
      <c r="G127" s="2">
        <f t="shared" si="2"/>
        <v>59984550</v>
      </c>
      <c r="I127" s="3">
        <v>1.6890097616382887E-3</v>
      </c>
      <c r="J127" s="11"/>
      <c r="K127" s="2">
        <v>0</v>
      </c>
      <c r="M127" s="2">
        <v>120000000</v>
      </c>
      <c r="O127" s="2">
        <f t="shared" si="3"/>
        <v>120000000</v>
      </c>
      <c r="Q127" s="3">
        <v>5.7795913971441621E-4</v>
      </c>
    </row>
    <row r="128" spans="1:17" ht="21" x14ac:dyDescent="0.55000000000000004">
      <c r="A128" s="10" t="s">
        <v>206</v>
      </c>
      <c r="C128" s="2">
        <v>-7210143</v>
      </c>
      <c r="E128" s="2">
        <v>0</v>
      </c>
      <c r="G128" s="2">
        <f t="shared" si="2"/>
        <v>-7210143</v>
      </c>
      <c r="I128" s="3">
        <v>-2.0301897588308949E-4</v>
      </c>
      <c r="J128" s="11"/>
      <c r="K128" s="2">
        <v>0</v>
      </c>
      <c r="M128" s="2">
        <v>15820222</v>
      </c>
      <c r="O128" s="2">
        <f t="shared" si="3"/>
        <v>15820222</v>
      </c>
      <c r="Q128" s="3">
        <v>7.6195349143425676E-5</v>
      </c>
    </row>
    <row r="129" spans="1:17" ht="21" x14ac:dyDescent="0.55000000000000004">
      <c r="A129" s="10" t="s">
        <v>224</v>
      </c>
      <c r="C129" s="2">
        <v>30015150</v>
      </c>
      <c r="E129" s="2">
        <v>74958695</v>
      </c>
      <c r="G129" s="2">
        <f t="shared" si="2"/>
        <v>104973845</v>
      </c>
      <c r="I129" s="3">
        <v>2.955791931784179E-3</v>
      </c>
      <c r="J129" s="11"/>
      <c r="K129" s="2">
        <v>30015150</v>
      </c>
      <c r="M129" s="2">
        <v>74958695</v>
      </c>
      <c r="O129" s="2">
        <f t="shared" si="3"/>
        <v>104973845</v>
      </c>
      <c r="Q129" s="3">
        <v>5.0558827623928726E-4</v>
      </c>
    </row>
    <row r="130" spans="1:17" ht="21" x14ac:dyDescent="0.55000000000000004">
      <c r="A130" s="10" t="s">
        <v>207</v>
      </c>
      <c r="C130" s="2">
        <v>0</v>
      </c>
      <c r="E130" s="2">
        <v>0</v>
      </c>
      <c r="G130" s="2">
        <f t="shared" si="2"/>
        <v>0</v>
      </c>
      <c r="I130" s="3">
        <v>0</v>
      </c>
      <c r="J130" s="11"/>
      <c r="K130" s="2">
        <v>0</v>
      </c>
      <c r="M130" s="2">
        <v>1217020000</v>
      </c>
      <c r="O130" s="2">
        <f t="shared" si="3"/>
        <v>1217020000</v>
      </c>
      <c r="Q130" s="3">
        <v>5.8615652684603234E-3</v>
      </c>
    </row>
    <row r="131" spans="1:17" ht="21" x14ac:dyDescent="0.55000000000000004">
      <c r="A131" s="10" t="s">
        <v>208</v>
      </c>
      <c r="C131" s="2">
        <v>-662751298</v>
      </c>
      <c r="E131" s="2">
        <v>0</v>
      </c>
      <c r="G131" s="2">
        <f t="shared" si="2"/>
        <v>-662751298</v>
      </c>
      <c r="I131" s="3">
        <v>-1.8661362165098287E-2</v>
      </c>
      <c r="J131" s="11"/>
      <c r="K131" s="2">
        <v>0</v>
      </c>
      <c r="M131" s="2">
        <v>-890035553</v>
      </c>
      <c r="O131" s="2">
        <f t="shared" si="3"/>
        <v>-890035553</v>
      </c>
      <c r="Q131" s="3">
        <v>-4.2867015210593723E-3</v>
      </c>
    </row>
    <row r="132" spans="1:17" ht="21" x14ac:dyDescent="0.55000000000000004">
      <c r="A132" s="10" t="s">
        <v>369</v>
      </c>
      <c r="C132" s="2">
        <v>-2413378</v>
      </c>
      <c r="E132" s="2">
        <v>0</v>
      </c>
      <c r="G132" s="2">
        <f t="shared" si="2"/>
        <v>-2413378</v>
      </c>
      <c r="I132" s="3">
        <v>-6.795448162106892E-5</v>
      </c>
      <c r="J132" s="11"/>
      <c r="K132" s="2">
        <v>0</v>
      </c>
      <c r="M132" s="2">
        <v>-9841314</v>
      </c>
      <c r="O132" s="2">
        <f t="shared" si="3"/>
        <v>-9841314</v>
      </c>
      <c r="Q132" s="3">
        <v>-4.7398978109161999E-5</v>
      </c>
    </row>
    <row r="133" spans="1:17" ht="21" x14ac:dyDescent="0.55000000000000004">
      <c r="A133" s="10" t="s">
        <v>209</v>
      </c>
      <c r="C133" s="2">
        <v>0</v>
      </c>
      <c r="E133" s="2">
        <v>0</v>
      </c>
      <c r="G133" s="2">
        <f t="shared" si="2"/>
        <v>0</v>
      </c>
      <c r="I133" s="3">
        <v>0</v>
      </c>
      <c r="J133" s="11"/>
      <c r="K133" s="2">
        <v>0</v>
      </c>
      <c r="M133" s="2">
        <v>31000000</v>
      </c>
      <c r="O133" s="2">
        <f t="shared" si="3"/>
        <v>31000000</v>
      </c>
      <c r="Q133" s="3">
        <v>1.4930611109289086E-4</v>
      </c>
    </row>
    <row r="134" spans="1:17" ht="21" x14ac:dyDescent="0.55000000000000004">
      <c r="A134" s="10" t="s">
        <v>386</v>
      </c>
      <c r="C134" s="2">
        <v>0</v>
      </c>
      <c r="E134" s="2">
        <v>75255000</v>
      </c>
      <c r="G134" s="2">
        <f t="shared" si="2"/>
        <v>75255000</v>
      </c>
      <c r="I134" s="3">
        <v>2.1189861324639333E-3</v>
      </c>
      <c r="J134" s="11"/>
      <c r="K134" s="2">
        <v>0</v>
      </c>
      <c r="M134" s="2">
        <v>75255000</v>
      </c>
      <c r="O134" s="2">
        <f t="shared" si="3"/>
        <v>75255000</v>
      </c>
      <c r="Q134" s="3">
        <v>3.6245262549340325E-4</v>
      </c>
    </row>
    <row r="135" spans="1:17" ht="21" x14ac:dyDescent="0.55000000000000004">
      <c r="A135" s="10" t="s">
        <v>210</v>
      </c>
      <c r="C135" s="2">
        <v>20994592</v>
      </c>
      <c r="E135" s="2">
        <v>0</v>
      </c>
      <c r="G135" s="2">
        <f t="shared" si="2"/>
        <v>20994592</v>
      </c>
      <c r="I135" s="3">
        <v>5.9115340249469444E-4</v>
      </c>
      <c r="J135" s="11"/>
      <c r="K135" s="2">
        <v>0</v>
      </c>
      <c r="M135" s="2">
        <v>97524246</v>
      </c>
      <c r="O135" s="2">
        <f t="shared" si="3"/>
        <v>97524246</v>
      </c>
      <c r="Q135" s="3">
        <v>4.6970857766214245E-4</v>
      </c>
    </row>
    <row r="136" spans="1:17" ht="21" x14ac:dyDescent="0.55000000000000004">
      <c r="A136" s="10" t="s">
        <v>384</v>
      </c>
      <c r="C136" s="2">
        <v>17995366</v>
      </c>
      <c r="E136" s="2">
        <v>101986114</v>
      </c>
      <c r="G136" s="2">
        <f t="shared" si="2"/>
        <v>119981480</v>
      </c>
      <c r="I136" s="3">
        <v>3.3783681120523384E-3</v>
      </c>
      <c r="J136" s="11"/>
      <c r="K136" s="2">
        <v>17995366</v>
      </c>
      <c r="M136" s="2">
        <v>101986114</v>
      </c>
      <c r="O136" s="2">
        <f t="shared" si="3"/>
        <v>119981480</v>
      </c>
      <c r="Q136" s="3">
        <v>5.7786994135385365E-4</v>
      </c>
    </row>
    <row r="137" spans="1:17" ht="21" x14ac:dyDescent="0.55000000000000004">
      <c r="A137" s="10" t="s">
        <v>370</v>
      </c>
      <c r="C137" s="2">
        <v>0</v>
      </c>
      <c r="E137" s="2">
        <v>0</v>
      </c>
      <c r="G137" s="2">
        <f t="shared" si="2"/>
        <v>0</v>
      </c>
      <c r="I137" s="3">
        <v>0</v>
      </c>
      <c r="J137" s="11"/>
      <c r="K137" s="2">
        <v>0</v>
      </c>
      <c r="M137" s="2">
        <v>228052331</v>
      </c>
      <c r="O137" s="2">
        <f t="shared" si="3"/>
        <v>228052331</v>
      </c>
      <c r="Q137" s="3">
        <v>1.0983744086218942E-3</v>
      </c>
    </row>
    <row r="138" spans="1:17" ht="21" x14ac:dyDescent="0.55000000000000004">
      <c r="A138" s="10" t="s">
        <v>211</v>
      </c>
      <c r="C138" s="2">
        <v>-186951848</v>
      </c>
      <c r="E138" s="2">
        <v>0</v>
      </c>
      <c r="G138" s="2">
        <f t="shared" ref="G138:G155" si="4">E138+C138</f>
        <v>-186951848</v>
      </c>
      <c r="I138" s="3">
        <v>-5.2640804378513732E-3</v>
      </c>
      <c r="J138" s="11"/>
      <c r="K138" s="2">
        <v>0</v>
      </c>
      <c r="M138" s="2">
        <v>1327034090</v>
      </c>
      <c r="O138" s="2">
        <f t="shared" ref="O138:O155" si="5">M138+K138</f>
        <v>1327034090</v>
      </c>
      <c r="Q138" s="3">
        <v>6.3914290085675266E-3</v>
      </c>
    </row>
    <row r="139" spans="1:17" ht="21" x14ac:dyDescent="0.55000000000000004">
      <c r="A139" s="10" t="s">
        <v>371</v>
      </c>
      <c r="C139" s="2">
        <v>-239938200</v>
      </c>
      <c r="E139" s="2">
        <v>0</v>
      </c>
      <c r="G139" s="2">
        <f t="shared" si="4"/>
        <v>-239938200</v>
      </c>
      <c r="I139" s="3">
        <v>-6.7560390465531547E-3</v>
      </c>
      <c r="J139" s="11"/>
      <c r="K139" s="2">
        <v>0</v>
      </c>
      <c r="M139" s="2">
        <v>315434648</v>
      </c>
      <c r="O139" s="2">
        <f t="shared" si="5"/>
        <v>315434648</v>
      </c>
      <c r="Q139" s="3">
        <v>1.5192361482849975E-3</v>
      </c>
    </row>
    <row r="140" spans="1:17" ht="21" x14ac:dyDescent="0.55000000000000004">
      <c r="A140" s="10" t="s">
        <v>212</v>
      </c>
      <c r="C140" s="2">
        <v>-19187058</v>
      </c>
      <c r="E140" s="2">
        <v>0</v>
      </c>
      <c r="G140" s="2">
        <f t="shared" si="4"/>
        <v>-19187058</v>
      </c>
      <c r="I140" s="3">
        <v>-5.4025792073325585E-4</v>
      </c>
      <c r="J140" s="11"/>
      <c r="K140" s="2">
        <v>0</v>
      </c>
      <c r="M140" s="2">
        <v>292526296</v>
      </c>
      <c r="O140" s="2">
        <f t="shared" si="5"/>
        <v>292526296</v>
      </c>
      <c r="Q140" s="3">
        <v>1.4089020531667055E-3</v>
      </c>
    </row>
    <row r="141" spans="1:17" ht="21" x14ac:dyDescent="0.55000000000000004">
      <c r="A141" s="10" t="s">
        <v>213</v>
      </c>
      <c r="C141" s="2">
        <v>99619341</v>
      </c>
      <c r="E141" s="2">
        <v>0</v>
      </c>
      <c r="G141" s="2">
        <f t="shared" si="4"/>
        <v>99619341</v>
      </c>
      <c r="I141" s="3">
        <v>2.8050229500258552E-3</v>
      </c>
      <c r="J141" s="11"/>
      <c r="K141" s="2">
        <v>0</v>
      </c>
      <c r="M141" s="2">
        <v>-1296705566</v>
      </c>
      <c r="O141" s="2">
        <f t="shared" si="5"/>
        <v>-1296705566</v>
      </c>
      <c r="Q141" s="3">
        <v>-6.2453569449021258E-3</v>
      </c>
    </row>
    <row r="142" spans="1:17" ht="21" x14ac:dyDescent="0.55000000000000004">
      <c r="A142" s="10" t="s">
        <v>372</v>
      </c>
      <c r="C142" s="2">
        <v>0</v>
      </c>
      <c r="E142" s="2">
        <v>0</v>
      </c>
      <c r="G142" s="2">
        <f t="shared" si="4"/>
        <v>0</v>
      </c>
      <c r="I142" s="3">
        <v>0</v>
      </c>
      <c r="J142" s="11"/>
      <c r="K142" s="2">
        <v>0</v>
      </c>
      <c r="M142" s="2">
        <v>39885150</v>
      </c>
      <c r="O142" s="2">
        <f t="shared" si="5"/>
        <v>39885150</v>
      </c>
      <c r="Q142" s="3">
        <v>1.9209989151150372E-4</v>
      </c>
    </row>
    <row r="143" spans="1:17" ht="21" x14ac:dyDescent="0.55000000000000004">
      <c r="A143" s="10" t="s">
        <v>214</v>
      </c>
      <c r="C143" s="2">
        <v>17246938</v>
      </c>
      <c r="E143" s="2">
        <v>0</v>
      </c>
      <c r="G143" s="2">
        <f t="shared" si="4"/>
        <v>17246938</v>
      </c>
      <c r="I143" s="3">
        <v>4.8562916018158583E-4</v>
      </c>
      <c r="J143" s="11"/>
      <c r="K143" s="2">
        <v>0</v>
      </c>
      <c r="M143" s="2">
        <v>-5922</v>
      </c>
      <c r="O143" s="2">
        <f t="shared" si="5"/>
        <v>-5922</v>
      </c>
      <c r="Q143" s="3">
        <v>-2.8522283544906439E-8</v>
      </c>
    </row>
    <row r="144" spans="1:17" ht="21" x14ac:dyDescent="0.55000000000000004">
      <c r="A144" s="10" t="s">
        <v>373</v>
      </c>
      <c r="C144" s="2">
        <v>1058727</v>
      </c>
      <c r="E144" s="2">
        <v>0</v>
      </c>
      <c r="G144" s="2">
        <f t="shared" si="4"/>
        <v>1058727</v>
      </c>
      <c r="I144" s="3">
        <v>2.9811013634511227E-5</v>
      </c>
      <c r="J144" s="11"/>
      <c r="K144" s="2">
        <v>0</v>
      </c>
      <c r="M144" s="2">
        <v>2056806</v>
      </c>
      <c r="O144" s="2">
        <f t="shared" si="5"/>
        <v>2056806</v>
      </c>
      <c r="Q144" s="3">
        <v>9.9062485526620791E-6</v>
      </c>
    </row>
    <row r="145" spans="1:17" ht="21" x14ac:dyDescent="0.55000000000000004">
      <c r="A145" s="10" t="s">
        <v>374</v>
      </c>
      <c r="C145" s="2">
        <v>0</v>
      </c>
      <c r="E145" s="2">
        <v>0</v>
      </c>
      <c r="G145" s="2">
        <f t="shared" si="4"/>
        <v>0</v>
      </c>
      <c r="I145" s="3">
        <v>0</v>
      </c>
      <c r="J145" s="11"/>
      <c r="K145" s="2">
        <v>0</v>
      </c>
      <c r="M145" s="2">
        <v>3932000</v>
      </c>
      <c r="O145" s="2">
        <f t="shared" si="5"/>
        <v>3932000</v>
      </c>
      <c r="Q145" s="3">
        <v>1.8937794477975705E-5</v>
      </c>
    </row>
    <row r="146" spans="1:17" ht="21" x14ac:dyDescent="0.55000000000000004">
      <c r="A146" s="10" t="s">
        <v>375</v>
      </c>
      <c r="C146" s="2">
        <v>-2013042</v>
      </c>
      <c r="E146" s="2">
        <v>99553687</v>
      </c>
      <c r="G146" s="2">
        <f t="shared" si="4"/>
        <v>97540645</v>
      </c>
      <c r="I146" s="3">
        <v>2.7464922477787187E-3</v>
      </c>
      <c r="J146" s="11"/>
      <c r="K146" s="2">
        <v>2996228</v>
      </c>
      <c r="M146" s="2">
        <v>99553687</v>
      </c>
      <c r="O146" s="2">
        <f t="shared" si="5"/>
        <v>102549915</v>
      </c>
      <c r="Q146" s="3">
        <v>4.9391383875988751E-4</v>
      </c>
    </row>
    <row r="147" spans="1:17" ht="21" x14ac:dyDescent="0.55000000000000004">
      <c r="A147" s="10" t="s">
        <v>215</v>
      </c>
      <c r="C147" s="2">
        <v>0</v>
      </c>
      <c r="E147" s="2">
        <v>0</v>
      </c>
      <c r="G147" s="2">
        <f t="shared" si="4"/>
        <v>0</v>
      </c>
      <c r="I147" s="3">
        <v>0</v>
      </c>
      <c r="J147" s="11"/>
      <c r="K147" s="2">
        <v>0</v>
      </c>
      <c r="M147" s="2">
        <v>6392847</v>
      </c>
      <c r="O147" s="2">
        <f t="shared" si="5"/>
        <v>6392847</v>
      </c>
      <c r="Q147" s="3">
        <v>3.079003627038239E-5</v>
      </c>
    </row>
    <row r="148" spans="1:17" ht="21" x14ac:dyDescent="0.55000000000000004">
      <c r="A148" s="10" t="s">
        <v>385</v>
      </c>
      <c r="C148" s="2">
        <v>0</v>
      </c>
      <c r="E148" s="2">
        <v>1068024</v>
      </c>
      <c r="G148" s="2">
        <f t="shared" si="4"/>
        <v>1068024</v>
      </c>
      <c r="I148" s="3">
        <v>3.0072793105290805E-5</v>
      </c>
      <c r="J148" s="11"/>
      <c r="K148" s="2">
        <v>0</v>
      </c>
      <c r="M148" s="2">
        <v>1068024</v>
      </c>
      <c r="O148" s="2">
        <f t="shared" si="5"/>
        <v>1068024</v>
      </c>
      <c r="Q148" s="3">
        <v>5.1439519352862472E-6</v>
      </c>
    </row>
    <row r="149" spans="1:17" ht="21" x14ac:dyDescent="0.55000000000000004">
      <c r="A149" s="10" t="s">
        <v>376</v>
      </c>
      <c r="C149" s="2">
        <v>-17717036</v>
      </c>
      <c r="E149" s="2">
        <v>0</v>
      </c>
      <c r="G149" s="2">
        <f t="shared" si="4"/>
        <v>-17717036</v>
      </c>
      <c r="I149" s="3">
        <v>-4.9886590382518465E-4</v>
      </c>
      <c r="J149" s="11"/>
      <c r="K149" s="2">
        <v>0</v>
      </c>
      <c r="M149" s="2">
        <v>798792798</v>
      </c>
      <c r="O149" s="2">
        <f t="shared" si="5"/>
        <v>798792798</v>
      </c>
      <c r="Q149" s="3">
        <v>3.8472466528512621E-3</v>
      </c>
    </row>
    <row r="150" spans="1:17" ht="21" x14ac:dyDescent="0.55000000000000004">
      <c r="A150" s="10" t="s">
        <v>216</v>
      </c>
      <c r="C150" s="2">
        <v>-57921</v>
      </c>
      <c r="E150" s="2">
        <v>0</v>
      </c>
      <c r="G150" s="2">
        <f t="shared" si="4"/>
        <v>-57921</v>
      </c>
      <c r="I150" s="3">
        <v>-1.6309055315719018E-6</v>
      </c>
      <c r="J150" s="11"/>
      <c r="K150" s="2">
        <v>0</v>
      </c>
      <c r="M150" s="2">
        <v>1155071</v>
      </c>
      <c r="O150" s="2">
        <f t="shared" si="5"/>
        <v>1155071</v>
      </c>
      <c r="Q150" s="3">
        <v>5.5631986789089206E-6</v>
      </c>
    </row>
    <row r="151" spans="1:17" ht="21" x14ac:dyDescent="0.55000000000000004">
      <c r="A151" s="10" t="s">
        <v>217</v>
      </c>
      <c r="C151" s="2">
        <v>-3478672</v>
      </c>
      <c r="E151" s="2">
        <v>0</v>
      </c>
      <c r="G151" s="2">
        <f t="shared" si="4"/>
        <v>-3478672</v>
      </c>
      <c r="I151" s="3">
        <v>-9.7950404988247618E-5</v>
      </c>
      <c r="J151" s="11"/>
      <c r="K151" s="2">
        <v>0</v>
      </c>
      <c r="M151" s="2">
        <v>140314108</v>
      </c>
      <c r="O151" s="2">
        <f t="shared" si="5"/>
        <v>140314108</v>
      </c>
      <c r="Q151" s="3">
        <v>6.7579850957896401E-4</v>
      </c>
    </row>
    <row r="152" spans="1:17" ht="21" x14ac:dyDescent="0.55000000000000004">
      <c r="A152" s="10" t="s">
        <v>218</v>
      </c>
      <c r="C152" s="2">
        <v>-851781</v>
      </c>
      <c r="E152" s="2">
        <v>0</v>
      </c>
      <c r="G152" s="2">
        <f t="shared" si="4"/>
        <v>-851781</v>
      </c>
      <c r="I152" s="3">
        <v>-2.398394959665486E-5</v>
      </c>
      <c r="J152" s="11"/>
      <c r="K152" s="2">
        <v>0</v>
      </c>
      <c r="M152" s="2">
        <v>603719549</v>
      </c>
      <c r="O152" s="2">
        <f t="shared" si="5"/>
        <v>603719549</v>
      </c>
      <c r="Q152" s="3">
        <v>2.9077102597401278E-3</v>
      </c>
    </row>
    <row r="153" spans="1:17" ht="21" x14ac:dyDescent="0.55000000000000004">
      <c r="A153" s="10" t="s">
        <v>219</v>
      </c>
      <c r="C153" s="2">
        <v>-2659259</v>
      </c>
      <c r="E153" s="2">
        <v>0</v>
      </c>
      <c r="G153" s="2">
        <f t="shared" si="4"/>
        <v>-2659259</v>
      </c>
      <c r="I153" s="3">
        <v>-7.4877854542952711E-5</v>
      </c>
      <c r="J153" s="11"/>
      <c r="K153" s="2">
        <v>0</v>
      </c>
      <c r="M153" s="2">
        <v>4658928</v>
      </c>
      <c r="O153" s="2">
        <f t="shared" si="5"/>
        <v>4658928</v>
      </c>
      <c r="Q153" s="3">
        <v>2.2438916823928382E-5</v>
      </c>
    </row>
    <row r="154" spans="1:17" ht="21" x14ac:dyDescent="0.55000000000000004">
      <c r="A154" s="10" t="s">
        <v>220</v>
      </c>
      <c r="C154" s="2">
        <v>1887514</v>
      </c>
      <c r="E154" s="2">
        <v>0</v>
      </c>
      <c r="G154" s="2">
        <f t="shared" si="4"/>
        <v>1887514</v>
      </c>
      <c r="I154" s="3">
        <v>5.3147511671404266E-5</v>
      </c>
      <c r="J154" s="11"/>
      <c r="K154" s="2">
        <v>0</v>
      </c>
      <c r="M154" s="2">
        <v>250998754</v>
      </c>
      <c r="O154" s="2">
        <f t="shared" si="5"/>
        <v>250998754</v>
      </c>
      <c r="Q154" s="3">
        <v>1.2088918660935865E-3</v>
      </c>
    </row>
    <row r="155" spans="1:17" ht="21" x14ac:dyDescent="0.55000000000000004">
      <c r="A155" s="10" t="s">
        <v>377</v>
      </c>
      <c r="C155" s="2">
        <v>0</v>
      </c>
      <c r="E155" s="2">
        <v>0</v>
      </c>
      <c r="G155" s="2">
        <f t="shared" si="4"/>
        <v>0</v>
      </c>
      <c r="I155" s="3">
        <v>0</v>
      </c>
      <c r="J155" s="11"/>
      <c r="K155" s="2">
        <v>0</v>
      </c>
      <c r="M155" s="2">
        <v>-2697975</v>
      </c>
      <c r="O155" s="2">
        <f t="shared" si="5"/>
        <v>-2697975</v>
      </c>
      <c r="Q155" s="3">
        <v>-1.2994327583091685E-5</v>
      </c>
    </row>
    <row r="156" spans="1:17" ht="21.75" thickBot="1" x14ac:dyDescent="0.6">
      <c r="A156" s="12" t="s">
        <v>9</v>
      </c>
      <c r="C156" s="12">
        <f>SUM(C9:C155)</f>
        <v>-2618171539</v>
      </c>
      <c r="E156" s="12">
        <f>SUM(E9:E155)</f>
        <v>1680172223</v>
      </c>
      <c r="G156" s="12">
        <f>SUM(G9:G155)</f>
        <v>-937999316</v>
      </c>
      <c r="I156" s="14">
        <f>SUM(I9:I155)</f>
        <v>-2.6411634348078607E-2</v>
      </c>
      <c r="K156" s="12">
        <f>SUM(K9:K155)</f>
        <v>9681316</v>
      </c>
      <c r="M156" s="12">
        <f>SUM(M9:M155)</f>
        <v>25710871959</v>
      </c>
      <c r="O156" s="12">
        <f>SUM(O9:O155)</f>
        <v>25720553275</v>
      </c>
      <c r="Q156" s="14">
        <f>SUM(Q9:Q155)</f>
        <v>0.12387857369831509</v>
      </c>
    </row>
    <row r="157" spans="1:17" ht="21.75" thickTop="1" x14ac:dyDescent="0.55000000000000004">
      <c r="C157" s="4"/>
      <c r="E157" s="4"/>
      <c r="G157" s="4"/>
      <c r="I157" s="4"/>
      <c r="K157" s="4"/>
      <c r="M157" s="4"/>
      <c r="O157" s="4"/>
      <c r="Q157" s="4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C7EB-D311-47C0-BF56-C0A0F61750CC}">
  <sheetPr>
    <pageSetUpPr fitToPage="1"/>
  </sheetPr>
  <dimension ref="A1:K12"/>
  <sheetViews>
    <sheetView rightToLeft="1" view="pageBreakPreview" zoomScaleNormal="100" zoomScaleSheetLayoutView="100" workbookViewId="0">
      <selection activeCell="K10" sqref="K10"/>
    </sheetView>
  </sheetViews>
  <sheetFormatPr defaultColWidth="8.85546875" defaultRowHeight="19.5" x14ac:dyDescent="0.55000000000000004"/>
  <cols>
    <col min="1" max="1" width="29.85546875" style="8" customWidth="1"/>
    <col min="2" max="2" width="1.42578125" style="8" customWidth="1"/>
    <col min="3" max="3" width="17" style="8" customWidth="1"/>
    <col min="4" max="4" width="1.42578125" style="8" customWidth="1"/>
    <col min="5" max="5" width="17" style="8" customWidth="1"/>
    <col min="6" max="6" width="1.42578125" style="8" customWidth="1"/>
    <col min="7" max="7" width="14.140625" style="8" customWidth="1"/>
    <col min="8" max="8" width="1.42578125" style="8" customWidth="1"/>
    <col min="9" max="9" width="17" style="8" customWidth="1"/>
    <col min="10" max="10" width="1.42578125" style="8" customWidth="1"/>
    <col min="11" max="11" width="14.140625" style="8" customWidth="1"/>
    <col min="12" max="16384" width="8.85546875" style="8"/>
  </cols>
  <sheetData>
    <row r="1" spans="1:11" ht="19.899999999999999" customHeight="1" x14ac:dyDescent="0.55000000000000004">
      <c r="A1" s="49" t="s">
        <v>251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9.899999999999999" customHeight="1" x14ac:dyDescent="0.55000000000000004">
      <c r="A2" s="49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5" spans="1:11" ht="21" x14ac:dyDescent="0.55000000000000004">
      <c r="A5" s="50" t="s">
        <v>387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7" spans="1:11" ht="21" x14ac:dyDescent="0.55000000000000004">
      <c r="A7" s="51" t="s">
        <v>43</v>
      </c>
      <c r="B7" s="52"/>
      <c r="C7" s="52"/>
      <c r="E7" s="51" t="s">
        <v>146</v>
      </c>
      <c r="F7" s="52"/>
      <c r="G7" s="52"/>
      <c r="I7" s="51" t="s">
        <v>147</v>
      </c>
      <c r="J7" s="52"/>
      <c r="K7" s="52"/>
    </row>
    <row r="8" spans="1:11" ht="42" x14ac:dyDescent="0.55000000000000004">
      <c r="A8" s="7" t="s">
        <v>44</v>
      </c>
      <c r="C8" s="7" t="s">
        <v>14</v>
      </c>
      <c r="E8" s="7" t="s">
        <v>45</v>
      </c>
      <c r="G8" s="7" t="s">
        <v>226</v>
      </c>
      <c r="I8" s="7" t="s">
        <v>45</v>
      </c>
      <c r="K8" s="7" t="s">
        <v>226</v>
      </c>
    </row>
    <row r="9" spans="1:11" ht="21" x14ac:dyDescent="0.55000000000000004">
      <c r="A9" s="10" t="s">
        <v>46</v>
      </c>
      <c r="C9" s="11" t="s">
        <v>257</v>
      </c>
      <c r="E9" s="2">
        <v>4345213</v>
      </c>
      <c r="G9" s="3">
        <f>E9/$E$11</f>
        <v>4.2255904144586753E-3</v>
      </c>
      <c r="I9" s="2">
        <v>31891807</v>
      </c>
      <c r="K9" s="3">
        <f>I9/$I$11</f>
        <v>2.5405687316274374E-3</v>
      </c>
    </row>
    <row r="10" spans="1:11" ht="21" x14ac:dyDescent="0.55000000000000004">
      <c r="A10" s="10" t="s">
        <v>47</v>
      </c>
      <c r="C10" s="11" t="s">
        <v>252</v>
      </c>
      <c r="E10" s="2">
        <v>1023963869</v>
      </c>
      <c r="G10" s="3">
        <f>E10/$E$11</f>
        <v>0.99577440958554131</v>
      </c>
      <c r="I10" s="2">
        <v>12521126973</v>
      </c>
      <c r="K10" s="3">
        <f>I10/$I$11</f>
        <v>0.99745943126837255</v>
      </c>
    </row>
    <row r="11" spans="1:11" ht="21.75" thickBot="1" x14ac:dyDescent="0.6">
      <c r="A11" s="12" t="s">
        <v>9</v>
      </c>
      <c r="E11" s="12">
        <f>SUM(E9:$E$10)</f>
        <v>1028309082</v>
      </c>
      <c r="G11" s="15">
        <f>SUM(G9:$G$10)</f>
        <v>1</v>
      </c>
      <c r="I11" s="12">
        <f>SUM(I9:$I$10)</f>
        <v>12553018780</v>
      </c>
      <c r="K11" s="15">
        <f>SUM(K9:$K$10)</f>
        <v>1</v>
      </c>
    </row>
    <row r="12" spans="1:11" ht="21.75" thickTop="1" x14ac:dyDescent="0.55000000000000004">
      <c r="E12" s="4"/>
      <c r="G12" s="4"/>
      <c r="I12" s="4"/>
      <c r="K12" s="4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CC3D-0307-41C2-B498-07B34E3E7ED1}">
  <sheetPr>
    <pageSetUpPr fitToPage="1"/>
  </sheetPr>
  <dimension ref="A1:E12"/>
  <sheetViews>
    <sheetView rightToLeft="1" view="pageBreakPreview" zoomScaleNormal="100" zoomScaleSheetLayoutView="100" workbookViewId="0">
      <selection activeCell="C11" sqref="C11"/>
    </sheetView>
  </sheetViews>
  <sheetFormatPr defaultColWidth="8.85546875" defaultRowHeight="19.5" x14ac:dyDescent="0.55000000000000004"/>
  <cols>
    <col min="1" max="1" width="35.7109375" style="8" customWidth="1"/>
    <col min="2" max="2" width="1.42578125" style="8" customWidth="1"/>
    <col min="3" max="3" width="24.42578125" style="8" customWidth="1"/>
    <col min="4" max="4" width="1.42578125" style="8" customWidth="1"/>
    <col min="5" max="5" width="32.140625" style="8" customWidth="1"/>
    <col min="6" max="16384" width="8.85546875" style="8"/>
  </cols>
  <sheetData>
    <row r="1" spans="1:5" ht="19.899999999999999" customHeight="1" x14ac:dyDescent="0.55000000000000004">
      <c r="A1" s="49" t="s">
        <v>251</v>
      </c>
      <c r="B1" s="39"/>
      <c r="C1" s="39"/>
      <c r="D1" s="39"/>
      <c r="E1" s="39"/>
    </row>
    <row r="2" spans="1:5" ht="19.899999999999999" customHeight="1" x14ac:dyDescent="0.55000000000000004">
      <c r="A2" s="49" t="s">
        <v>23</v>
      </c>
      <c r="B2" s="39"/>
      <c r="C2" s="39"/>
      <c r="D2" s="39"/>
      <c r="E2" s="39"/>
    </row>
    <row r="3" spans="1:5" ht="19.899999999999999" customHeight="1" x14ac:dyDescent="0.55000000000000004">
      <c r="A3" s="49" t="s">
        <v>1</v>
      </c>
      <c r="B3" s="39"/>
      <c r="C3" s="39"/>
      <c r="D3" s="39"/>
      <c r="E3" s="39"/>
    </row>
    <row r="5" spans="1:5" ht="21" x14ac:dyDescent="0.55000000000000004">
      <c r="A5" s="50" t="s">
        <v>388</v>
      </c>
      <c r="B5" s="39"/>
      <c r="C5" s="39"/>
      <c r="D5" s="39"/>
      <c r="E5" s="39"/>
    </row>
    <row r="7" spans="1:5" ht="21" x14ac:dyDescent="0.55000000000000004">
      <c r="C7" s="9" t="s">
        <v>146</v>
      </c>
      <c r="E7" s="9" t="s">
        <v>147</v>
      </c>
    </row>
    <row r="8" spans="1:5" ht="21" x14ac:dyDescent="0.55000000000000004">
      <c r="A8" s="7" t="s">
        <v>30</v>
      </c>
      <c r="C8" s="7" t="s">
        <v>17</v>
      </c>
      <c r="E8" s="7" t="s">
        <v>17</v>
      </c>
    </row>
    <row r="9" spans="1:5" ht="21" x14ac:dyDescent="0.55000000000000004">
      <c r="A9" s="10" t="s">
        <v>227</v>
      </c>
      <c r="C9" s="2">
        <v>19262092</v>
      </c>
      <c r="E9" s="2">
        <v>169715024</v>
      </c>
    </row>
    <row r="10" spans="1:5" ht="21" x14ac:dyDescent="0.55000000000000004">
      <c r="A10" s="10" t="s">
        <v>228</v>
      </c>
      <c r="C10" s="2">
        <v>0</v>
      </c>
      <c r="E10" s="2">
        <v>51908</v>
      </c>
    </row>
    <row r="11" spans="1:5" ht="21.75" thickBot="1" x14ac:dyDescent="0.6">
      <c r="A11" s="12" t="s">
        <v>9</v>
      </c>
      <c r="C11" s="12">
        <f>SUM(C9:$C$10)</f>
        <v>19262092</v>
      </c>
      <c r="E11" s="12">
        <f>SUM(E9:$E$10)</f>
        <v>169766932</v>
      </c>
    </row>
    <row r="12" spans="1:5" ht="21.75" thickTop="1" x14ac:dyDescent="0.55000000000000004">
      <c r="C12" s="4"/>
      <c r="E12" s="4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scale="91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83F4-82CE-4BE5-8B4A-BC3DC528C0DD}">
  <sheetPr>
    <pageSetUpPr fitToPage="1"/>
  </sheetPr>
  <dimension ref="A1:S54"/>
  <sheetViews>
    <sheetView rightToLeft="1" view="pageBreakPreview" zoomScale="60" zoomScaleNormal="100" workbookViewId="0">
      <selection activeCell="D11" sqref="D11"/>
    </sheetView>
  </sheetViews>
  <sheetFormatPr defaultColWidth="8.85546875" defaultRowHeight="19.5" x14ac:dyDescent="0.55000000000000004"/>
  <cols>
    <col min="1" max="1" width="39.42578125" style="8" customWidth="1"/>
    <col min="2" max="2" width="1.42578125" style="8" customWidth="1"/>
    <col min="3" max="3" width="11.42578125" style="8" customWidth="1"/>
    <col min="4" max="4" width="1.42578125" style="8" customWidth="1"/>
    <col min="5" max="5" width="12.85546875" style="8" customWidth="1"/>
    <col min="6" max="6" width="1.42578125" style="8" customWidth="1"/>
    <col min="7" max="7" width="11.42578125" style="8" customWidth="1"/>
    <col min="8" max="8" width="1.42578125" style="8" customWidth="1"/>
    <col min="9" max="9" width="18.42578125" style="8" customWidth="1"/>
    <col min="10" max="10" width="1.42578125" style="8" customWidth="1"/>
    <col min="11" max="11" width="14.140625" style="8" customWidth="1"/>
    <col min="12" max="12" width="1.42578125" style="8" customWidth="1"/>
    <col min="13" max="13" width="18.42578125" style="8" customWidth="1"/>
    <col min="14" max="14" width="1.42578125" style="8" customWidth="1"/>
    <col min="15" max="15" width="18.42578125" style="8" customWidth="1"/>
    <col min="16" max="16" width="1.42578125" style="8" customWidth="1"/>
    <col min="17" max="17" width="14.140625" style="8" customWidth="1"/>
    <col min="18" max="18" width="1.42578125" style="8" customWidth="1"/>
    <col min="19" max="19" width="18.42578125" style="8" customWidth="1"/>
    <col min="20" max="16384" width="8.85546875" style="8"/>
  </cols>
  <sheetData>
    <row r="1" spans="1:19" ht="19.899999999999999" customHeight="1" x14ac:dyDescent="0.55000000000000004">
      <c r="A1" s="49" t="s">
        <v>251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ht="19.899999999999999" customHeight="1" x14ac:dyDescent="0.55000000000000004">
      <c r="A2" s="49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5" spans="1:19" ht="21" x14ac:dyDescent="0.55000000000000004">
      <c r="A5" s="50" t="s">
        <v>100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</row>
    <row r="7" spans="1:19" ht="21" x14ac:dyDescent="0.55000000000000004">
      <c r="C7" s="51" t="s">
        <v>99</v>
      </c>
      <c r="D7" s="52"/>
      <c r="E7" s="52"/>
      <c r="F7" s="52"/>
      <c r="G7" s="52"/>
      <c r="I7" s="51" t="s">
        <v>146</v>
      </c>
      <c r="J7" s="52"/>
      <c r="K7" s="52"/>
      <c r="L7" s="52"/>
      <c r="M7" s="52"/>
      <c r="O7" s="51" t="s">
        <v>147</v>
      </c>
      <c r="P7" s="52"/>
      <c r="Q7" s="52"/>
      <c r="R7" s="52"/>
      <c r="S7" s="52"/>
    </row>
    <row r="8" spans="1:19" ht="63" x14ac:dyDescent="0.55000000000000004">
      <c r="A8" s="9" t="s">
        <v>90</v>
      </c>
      <c r="C8" s="7" t="s">
        <v>98</v>
      </c>
      <c r="E8" s="7" t="s">
        <v>97</v>
      </c>
      <c r="G8" s="7" t="s">
        <v>96</v>
      </c>
      <c r="I8" s="7" t="s">
        <v>95</v>
      </c>
      <c r="K8" s="7" t="s">
        <v>31</v>
      </c>
      <c r="M8" s="7" t="s">
        <v>94</v>
      </c>
      <c r="O8" s="7" t="s">
        <v>95</v>
      </c>
      <c r="Q8" s="7" t="s">
        <v>31</v>
      </c>
      <c r="S8" s="7" t="s">
        <v>94</v>
      </c>
    </row>
    <row r="9" spans="1:19" ht="21" x14ac:dyDescent="0.55000000000000004">
      <c r="A9" s="10" t="s">
        <v>273</v>
      </c>
      <c r="C9" s="11" t="s">
        <v>272</v>
      </c>
      <c r="E9" s="2">
        <v>1000000</v>
      </c>
      <c r="G9" s="2">
        <v>637</v>
      </c>
      <c r="I9" s="2">
        <v>0</v>
      </c>
      <c r="J9" s="2"/>
      <c r="K9" s="2">
        <v>0</v>
      </c>
      <c r="L9" s="2"/>
      <c r="M9" s="2">
        <v>0</v>
      </c>
      <c r="N9" s="11"/>
      <c r="O9" s="2">
        <v>637000000</v>
      </c>
      <c r="Q9" s="2">
        <v>0</v>
      </c>
      <c r="S9" s="2">
        <v>637000000</v>
      </c>
    </row>
    <row r="10" spans="1:19" ht="21" x14ac:dyDescent="0.55000000000000004">
      <c r="A10" s="10" t="s">
        <v>250</v>
      </c>
      <c r="C10" s="11" t="s">
        <v>271</v>
      </c>
      <c r="E10" s="2">
        <v>5242039</v>
      </c>
      <c r="G10" s="2">
        <v>240</v>
      </c>
      <c r="I10" s="2">
        <v>0</v>
      </c>
      <c r="J10" s="2"/>
      <c r="K10" s="2">
        <v>0</v>
      </c>
      <c r="L10" s="2"/>
      <c r="M10" s="2">
        <v>0</v>
      </c>
      <c r="N10" s="11"/>
      <c r="O10" s="2">
        <v>1258089360</v>
      </c>
      <c r="Q10" s="2">
        <v>0</v>
      </c>
      <c r="S10" s="2">
        <v>1258089360</v>
      </c>
    </row>
    <row r="11" spans="1:19" ht="21" x14ac:dyDescent="0.55000000000000004">
      <c r="A11" s="10" t="s">
        <v>249</v>
      </c>
      <c r="C11" s="11" t="s">
        <v>134</v>
      </c>
      <c r="E11" s="2">
        <v>26466235</v>
      </c>
      <c r="G11" s="2">
        <v>11</v>
      </c>
      <c r="I11" s="2">
        <v>0</v>
      </c>
      <c r="J11" s="2"/>
      <c r="K11" s="2">
        <v>0</v>
      </c>
      <c r="L11" s="2"/>
      <c r="M11" s="2">
        <v>0</v>
      </c>
      <c r="N11" s="11"/>
      <c r="O11" s="2">
        <v>291128585</v>
      </c>
      <c r="Q11" s="2">
        <v>0</v>
      </c>
      <c r="S11" s="2">
        <v>291128585</v>
      </c>
    </row>
    <row r="12" spans="1:19" ht="21" x14ac:dyDescent="0.55000000000000004">
      <c r="A12" s="10" t="s">
        <v>124</v>
      </c>
      <c r="C12" s="11" t="s">
        <v>134</v>
      </c>
      <c r="E12" s="2">
        <v>20000000</v>
      </c>
      <c r="G12" s="2">
        <v>90</v>
      </c>
      <c r="I12" s="2">
        <v>0</v>
      </c>
      <c r="J12" s="2"/>
      <c r="K12" s="2">
        <v>0</v>
      </c>
      <c r="L12" s="2"/>
      <c r="M12" s="2">
        <v>0</v>
      </c>
      <c r="N12" s="11"/>
      <c r="O12" s="2">
        <v>1800000000</v>
      </c>
      <c r="Q12" s="2">
        <v>0</v>
      </c>
      <c r="S12" s="2">
        <v>1800000000</v>
      </c>
    </row>
    <row r="13" spans="1:19" ht="21" x14ac:dyDescent="0.55000000000000004">
      <c r="A13" s="10" t="s">
        <v>270</v>
      </c>
      <c r="C13" s="11" t="s">
        <v>269</v>
      </c>
      <c r="E13" s="2">
        <v>1700000</v>
      </c>
      <c r="G13" s="2">
        <v>560</v>
      </c>
      <c r="I13" s="2">
        <v>0</v>
      </c>
      <c r="J13" s="2"/>
      <c r="K13" s="2">
        <v>0</v>
      </c>
      <c r="L13" s="2"/>
      <c r="M13" s="2">
        <v>0</v>
      </c>
      <c r="N13" s="11"/>
      <c r="O13" s="2">
        <v>952000000</v>
      </c>
      <c r="Q13" s="2">
        <v>0</v>
      </c>
      <c r="S13" s="2">
        <v>952000000</v>
      </c>
    </row>
    <row r="14" spans="1:19" ht="21" x14ac:dyDescent="0.55000000000000004">
      <c r="A14" s="10" t="s">
        <v>123</v>
      </c>
      <c r="C14" s="11" t="s">
        <v>145</v>
      </c>
      <c r="E14" s="2">
        <v>285750</v>
      </c>
      <c r="G14" s="2">
        <v>4400</v>
      </c>
      <c r="I14" s="2">
        <v>0</v>
      </c>
      <c r="J14" s="2"/>
      <c r="K14" s="2">
        <v>0</v>
      </c>
      <c r="L14" s="2"/>
      <c r="M14" s="2">
        <v>0</v>
      </c>
      <c r="N14" s="11"/>
      <c r="O14" s="2">
        <v>1257300000</v>
      </c>
      <c r="Q14" s="2">
        <v>0</v>
      </c>
      <c r="S14" s="2">
        <v>1257300000</v>
      </c>
    </row>
    <row r="15" spans="1:19" ht="21" x14ac:dyDescent="0.55000000000000004">
      <c r="A15" s="10" t="s">
        <v>248</v>
      </c>
      <c r="C15" s="11" t="s">
        <v>131</v>
      </c>
      <c r="E15" s="2">
        <v>3800000</v>
      </c>
      <c r="G15" s="2">
        <v>170</v>
      </c>
      <c r="I15" s="2">
        <v>476566610</v>
      </c>
      <c r="K15" s="2">
        <v>0</v>
      </c>
      <c r="M15" s="2">
        <v>476566610</v>
      </c>
      <c r="N15" s="11"/>
      <c r="O15" s="2">
        <v>1122566610</v>
      </c>
      <c r="Q15" s="2">
        <v>0</v>
      </c>
      <c r="S15" s="2">
        <v>1122566610</v>
      </c>
    </row>
    <row r="16" spans="1:19" ht="21" x14ac:dyDescent="0.55000000000000004">
      <c r="A16" s="10" t="s">
        <v>122</v>
      </c>
      <c r="C16" s="11" t="s">
        <v>144</v>
      </c>
      <c r="E16" s="2">
        <v>900000</v>
      </c>
      <c r="G16" s="2">
        <v>325</v>
      </c>
      <c r="I16" s="2">
        <v>0</v>
      </c>
      <c r="J16" s="2"/>
      <c r="K16" s="2">
        <v>0</v>
      </c>
      <c r="L16" s="2"/>
      <c r="M16" s="2">
        <v>0</v>
      </c>
      <c r="N16" s="11"/>
      <c r="O16" s="2">
        <v>292500000</v>
      </c>
      <c r="Q16" s="2">
        <v>0</v>
      </c>
      <c r="S16" s="2">
        <v>292500000</v>
      </c>
    </row>
    <row r="17" spans="1:19" ht="21" x14ac:dyDescent="0.55000000000000004">
      <c r="A17" s="10" t="s">
        <v>80</v>
      </c>
      <c r="C17" s="11" t="s">
        <v>2</v>
      </c>
      <c r="E17" s="2">
        <v>21935000</v>
      </c>
      <c r="G17" s="2">
        <v>190</v>
      </c>
      <c r="I17" s="2">
        <v>4167650000</v>
      </c>
      <c r="K17" s="2">
        <v>-164512500</v>
      </c>
      <c r="M17" s="2">
        <v>4003137500</v>
      </c>
      <c r="O17" s="2">
        <v>4167650000</v>
      </c>
      <c r="Q17" s="2">
        <v>-164512500</v>
      </c>
      <c r="S17" s="2">
        <v>4003137500</v>
      </c>
    </row>
    <row r="18" spans="1:19" ht="21" x14ac:dyDescent="0.55000000000000004">
      <c r="A18" s="10" t="s">
        <v>79</v>
      </c>
      <c r="C18" s="11" t="s">
        <v>261</v>
      </c>
      <c r="E18" s="2">
        <v>350000</v>
      </c>
      <c r="G18" s="2">
        <v>3800</v>
      </c>
      <c r="I18" s="2">
        <v>0</v>
      </c>
      <c r="J18" s="2"/>
      <c r="K18" s="2">
        <v>0</v>
      </c>
      <c r="L18" s="2"/>
      <c r="M18" s="2">
        <v>0</v>
      </c>
      <c r="N18" s="11"/>
      <c r="O18" s="2">
        <v>1330000000</v>
      </c>
      <c r="Q18" s="2">
        <v>0</v>
      </c>
      <c r="S18" s="2">
        <v>1330000000</v>
      </c>
    </row>
    <row r="19" spans="1:19" ht="21" x14ac:dyDescent="0.55000000000000004">
      <c r="A19" s="10" t="s">
        <v>78</v>
      </c>
      <c r="C19" s="11" t="s">
        <v>143</v>
      </c>
      <c r="E19" s="2">
        <v>1550000</v>
      </c>
      <c r="G19" s="2">
        <v>1100</v>
      </c>
      <c r="I19" s="2">
        <v>0</v>
      </c>
      <c r="J19" s="2"/>
      <c r="K19" s="2">
        <v>0</v>
      </c>
      <c r="L19" s="2"/>
      <c r="M19" s="2">
        <v>0</v>
      </c>
      <c r="N19" s="11"/>
      <c r="O19" s="2">
        <v>1705000000</v>
      </c>
      <c r="Q19" s="2">
        <v>-53175182</v>
      </c>
      <c r="S19" s="2">
        <v>1651824818</v>
      </c>
    </row>
    <row r="20" spans="1:19" ht="21" x14ac:dyDescent="0.55000000000000004">
      <c r="A20" s="10" t="s">
        <v>77</v>
      </c>
      <c r="C20" s="11" t="s">
        <v>142</v>
      </c>
      <c r="E20" s="2">
        <v>4279048</v>
      </c>
      <c r="G20" s="2">
        <v>1170</v>
      </c>
      <c r="I20" s="2">
        <v>0</v>
      </c>
      <c r="J20" s="2"/>
      <c r="K20" s="2">
        <v>0</v>
      </c>
      <c r="L20" s="2"/>
      <c r="M20" s="2">
        <v>0</v>
      </c>
      <c r="N20" s="11"/>
      <c r="O20" s="2">
        <v>5006486160</v>
      </c>
      <c r="Q20" s="2">
        <v>0</v>
      </c>
      <c r="S20" s="2">
        <v>5006486160</v>
      </c>
    </row>
    <row r="21" spans="1:19" ht="21" x14ac:dyDescent="0.55000000000000004">
      <c r="A21" s="10" t="s">
        <v>268</v>
      </c>
      <c r="C21" s="11" t="s">
        <v>267</v>
      </c>
      <c r="E21" s="2">
        <v>1285714</v>
      </c>
      <c r="G21" s="2">
        <v>500</v>
      </c>
      <c r="I21" s="2">
        <v>0</v>
      </c>
      <c r="J21" s="2"/>
      <c r="K21" s="2">
        <v>0</v>
      </c>
      <c r="L21" s="2"/>
      <c r="M21" s="2">
        <v>0</v>
      </c>
      <c r="N21" s="11"/>
      <c r="O21" s="2">
        <v>642857000</v>
      </c>
      <c r="Q21" s="2">
        <v>0</v>
      </c>
      <c r="S21" s="2">
        <v>642857000</v>
      </c>
    </row>
    <row r="22" spans="1:19" ht="21" x14ac:dyDescent="0.55000000000000004">
      <c r="A22" s="10" t="s">
        <v>247</v>
      </c>
      <c r="C22" s="11" t="s">
        <v>139</v>
      </c>
      <c r="E22" s="2">
        <v>2000000</v>
      </c>
      <c r="G22" s="2">
        <v>1050</v>
      </c>
      <c r="I22" s="2">
        <v>0</v>
      </c>
      <c r="J22" s="2"/>
      <c r="K22" s="2">
        <v>0</v>
      </c>
      <c r="L22" s="2"/>
      <c r="M22" s="2">
        <v>0</v>
      </c>
      <c r="N22" s="11"/>
      <c r="O22" s="2">
        <v>2100000000</v>
      </c>
      <c r="Q22" s="2">
        <v>0</v>
      </c>
      <c r="S22" s="2">
        <v>2100000000</v>
      </c>
    </row>
    <row r="23" spans="1:19" ht="21" x14ac:dyDescent="0.55000000000000004">
      <c r="A23" s="10" t="s">
        <v>115</v>
      </c>
      <c r="C23" s="11" t="s">
        <v>141</v>
      </c>
      <c r="E23" s="2">
        <v>2400000</v>
      </c>
      <c r="G23" s="2">
        <v>560</v>
      </c>
      <c r="I23" s="2">
        <v>0</v>
      </c>
      <c r="J23" s="2"/>
      <c r="K23" s="2">
        <v>0</v>
      </c>
      <c r="L23" s="2"/>
      <c r="M23" s="2">
        <v>0</v>
      </c>
      <c r="N23" s="11"/>
      <c r="O23" s="2">
        <v>1344000000</v>
      </c>
      <c r="Q23" s="2">
        <v>0</v>
      </c>
      <c r="S23" s="2">
        <v>1344000000</v>
      </c>
    </row>
    <row r="24" spans="1:19" ht="21" x14ac:dyDescent="0.55000000000000004">
      <c r="A24" s="10" t="s">
        <v>113</v>
      </c>
      <c r="C24" s="11" t="s">
        <v>140</v>
      </c>
      <c r="E24" s="2">
        <v>1500000</v>
      </c>
      <c r="G24" s="2">
        <v>150</v>
      </c>
      <c r="I24" s="2">
        <v>0</v>
      </c>
      <c r="J24" s="2"/>
      <c r="K24" s="2">
        <v>0</v>
      </c>
      <c r="L24" s="2"/>
      <c r="M24" s="2">
        <v>0</v>
      </c>
      <c r="N24" s="11"/>
      <c r="O24" s="2">
        <v>225000000</v>
      </c>
      <c r="Q24" s="2">
        <v>0</v>
      </c>
      <c r="S24" s="2">
        <v>225000000</v>
      </c>
    </row>
    <row r="25" spans="1:19" ht="21" x14ac:dyDescent="0.55000000000000004">
      <c r="A25" s="10" t="s">
        <v>74</v>
      </c>
      <c r="C25" s="11" t="s">
        <v>139</v>
      </c>
      <c r="E25" s="2">
        <v>1875000</v>
      </c>
      <c r="G25" s="2">
        <v>300</v>
      </c>
      <c r="I25" s="2">
        <v>0</v>
      </c>
      <c r="J25" s="2"/>
      <c r="K25" s="2">
        <v>0</v>
      </c>
      <c r="L25" s="2"/>
      <c r="M25" s="2">
        <v>0</v>
      </c>
      <c r="N25" s="11"/>
      <c r="O25" s="2">
        <v>562500000</v>
      </c>
      <c r="Q25" s="2">
        <v>0</v>
      </c>
      <c r="S25" s="2">
        <v>562500000</v>
      </c>
    </row>
    <row r="26" spans="1:19" ht="21" x14ac:dyDescent="0.55000000000000004">
      <c r="A26" s="10" t="s">
        <v>73</v>
      </c>
      <c r="C26" s="11" t="s">
        <v>2</v>
      </c>
      <c r="E26" s="2">
        <v>9100000</v>
      </c>
      <c r="G26" s="2">
        <v>510</v>
      </c>
      <c r="I26" s="2">
        <v>4641000000</v>
      </c>
      <c r="K26" s="2">
        <v>-138767442</v>
      </c>
      <c r="M26" s="2">
        <v>4502232558</v>
      </c>
      <c r="O26" s="2">
        <v>4641000000</v>
      </c>
      <c r="Q26" s="2">
        <v>0</v>
      </c>
      <c r="S26" s="2">
        <v>4641000000</v>
      </c>
    </row>
    <row r="27" spans="1:19" ht="21" x14ac:dyDescent="0.55000000000000004">
      <c r="A27" s="10" t="s">
        <v>72</v>
      </c>
      <c r="C27" s="11" t="s">
        <v>138</v>
      </c>
      <c r="E27" s="2">
        <v>650000</v>
      </c>
      <c r="G27" s="2">
        <v>2390</v>
      </c>
      <c r="I27" s="2">
        <v>0</v>
      </c>
      <c r="J27" s="2"/>
      <c r="K27" s="2">
        <v>0</v>
      </c>
      <c r="L27" s="2"/>
      <c r="M27" s="2">
        <v>0</v>
      </c>
      <c r="N27" s="11"/>
      <c r="O27" s="2">
        <v>1553500000</v>
      </c>
      <c r="Q27" s="2">
        <v>0</v>
      </c>
      <c r="S27" s="2">
        <v>1553500000</v>
      </c>
    </row>
    <row r="28" spans="1:19" ht="21" x14ac:dyDescent="0.55000000000000004">
      <c r="A28" s="10" t="s">
        <v>69</v>
      </c>
      <c r="C28" s="11" t="s">
        <v>137</v>
      </c>
      <c r="E28" s="2">
        <v>17000000</v>
      </c>
      <c r="G28" s="2">
        <v>280</v>
      </c>
      <c r="I28" s="2">
        <v>0</v>
      </c>
      <c r="J28" s="2"/>
      <c r="K28" s="2">
        <v>0</v>
      </c>
      <c r="L28" s="2"/>
      <c r="M28" s="2">
        <v>0</v>
      </c>
      <c r="N28" s="11"/>
      <c r="O28" s="2">
        <v>4760000000</v>
      </c>
      <c r="Q28" s="2">
        <v>0</v>
      </c>
      <c r="S28" s="2">
        <v>4760000000</v>
      </c>
    </row>
    <row r="29" spans="1:19" ht="21" x14ac:dyDescent="0.55000000000000004">
      <c r="A29" s="10" t="s">
        <v>110</v>
      </c>
      <c r="C29" s="11" t="s">
        <v>136</v>
      </c>
      <c r="E29" s="2">
        <v>200000</v>
      </c>
      <c r="G29" s="2">
        <v>1480</v>
      </c>
      <c r="I29" s="2">
        <v>0</v>
      </c>
      <c r="J29" s="2"/>
      <c r="K29" s="2">
        <v>0</v>
      </c>
      <c r="L29" s="2"/>
      <c r="M29" s="2">
        <v>0</v>
      </c>
      <c r="N29" s="11"/>
      <c r="O29" s="2">
        <v>296000000</v>
      </c>
      <c r="Q29" s="2">
        <v>0</v>
      </c>
      <c r="S29" s="2">
        <v>296000000</v>
      </c>
    </row>
    <row r="30" spans="1:19" ht="21" x14ac:dyDescent="0.55000000000000004">
      <c r="A30" s="10" t="s">
        <v>108</v>
      </c>
      <c r="C30" s="11" t="s">
        <v>266</v>
      </c>
      <c r="E30" s="2">
        <v>29010652</v>
      </c>
      <c r="G30" s="2">
        <v>40</v>
      </c>
      <c r="I30" s="2">
        <v>0</v>
      </c>
      <c r="J30" s="2"/>
      <c r="K30" s="2">
        <v>0</v>
      </c>
      <c r="L30" s="2"/>
      <c r="M30" s="2">
        <v>0</v>
      </c>
      <c r="N30" s="11"/>
      <c r="O30" s="2">
        <v>1160426080</v>
      </c>
      <c r="Q30" s="2">
        <v>0</v>
      </c>
      <c r="S30" s="2">
        <v>1160426080</v>
      </c>
    </row>
    <row r="31" spans="1:19" ht="21" x14ac:dyDescent="0.55000000000000004">
      <c r="A31" s="10" t="s">
        <v>106</v>
      </c>
      <c r="C31" s="11" t="s">
        <v>135</v>
      </c>
      <c r="E31" s="2">
        <v>175000</v>
      </c>
      <c r="G31" s="2">
        <v>1500</v>
      </c>
      <c r="I31" s="2">
        <v>0</v>
      </c>
      <c r="J31" s="2"/>
      <c r="K31" s="2">
        <v>0</v>
      </c>
      <c r="L31" s="2"/>
      <c r="M31" s="2">
        <v>0</v>
      </c>
      <c r="N31" s="11"/>
      <c r="O31" s="2">
        <v>262500000</v>
      </c>
      <c r="Q31" s="2">
        <v>0</v>
      </c>
      <c r="S31" s="2">
        <v>262500000</v>
      </c>
    </row>
    <row r="32" spans="1:19" ht="21" x14ac:dyDescent="0.55000000000000004">
      <c r="A32" s="10" t="s">
        <v>66</v>
      </c>
      <c r="C32" s="11" t="s">
        <v>134</v>
      </c>
      <c r="E32" s="2">
        <v>12000000</v>
      </c>
      <c r="G32" s="2">
        <v>370</v>
      </c>
      <c r="I32" s="2">
        <v>0</v>
      </c>
      <c r="J32" s="2"/>
      <c r="K32" s="2">
        <v>0</v>
      </c>
      <c r="L32" s="2"/>
      <c r="M32" s="2">
        <v>0</v>
      </c>
      <c r="N32" s="11"/>
      <c r="O32" s="2">
        <v>4440000000</v>
      </c>
      <c r="Q32" s="2">
        <v>0</v>
      </c>
      <c r="S32" s="2">
        <v>4440000000</v>
      </c>
    </row>
    <row r="33" spans="1:19" ht="21" x14ac:dyDescent="0.55000000000000004">
      <c r="A33" s="10" t="s">
        <v>245</v>
      </c>
      <c r="C33" s="11" t="s">
        <v>265</v>
      </c>
      <c r="E33" s="2">
        <v>700000</v>
      </c>
      <c r="G33" s="2">
        <v>620</v>
      </c>
      <c r="I33" s="2">
        <v>0</v>
      </c>
      <c r="J33" s="2"/>
      <c r="K33" s="2">
        <v>0</v>
      </c>
      <c r="L33" s="2"/>
      <c r="M33" s="2">
        <v>0</v>
      </c>
      <c r="N33" s="11"/>
      <c r="O33" s="2">
        <v>434000000</v>
      </c>
      <c r="Q33" s="2">
        <v>0</v>
      </c>
      <c r="S33" s="2">
        <v>434000000</v>
      </c>
    </row>
    <row r="34" spans="1:19" ht="21" x14ac:dyDescent="0.55000000000000004">
      <c r="A34" s="10" t="s">
        <v>65</v>
      </c>
      <c r="C34" s="11" t="s">
        <v>133</v>
      </c>
      <c r="E34" s="2">
        <v>9250000</v>
      </c>
      <c r="G34" s="2">
        <v>360</v>
      </c>
      <c r="I34" s="2">
        <v>0</v>
      </c>
      <c r="J34" s="2"/>
      <c r="K34" s="2">
        <v>0</v>
      </c>
      <c r="L34" s="2"/>
      <c r="M34" s="2">
        <v>0</v>
      </c>
      <c r="N34" s="11"/>
      <c r="O34" s="2">
        <v>3330000000</v>
      </c>
      <c r="Q34" s="2">
        <v>0</v>
      </c>
      <c r="S34" s="2">
        <v>3330000000</v>
      </c>
    </row>
    <row r="35" spans="1:19" ht="21" x14ac:dyDescent="0.55000000000000004">
      <c r="A35" s="10" t="s">
        <v>244</v>
      </c>
      <c r="C35" s="11" t="s">
        <v>135</v>
      </c>
      <c r="E35" s="2">
        <v>1400000</v>
      </c>
      <c r="G35" s="2">
        <v>936</v>
      </c>
      <c r="I35" s="2">
        <v>0</v>
      </c>
      <c r="J35" s="2"/>
      <c r="K35" s="2">
        <v>0</v>
      </c>
      <c r="L35" s="2"/>
      <c r="M35" s="2">
        <v>0</v>
      </c>
      <c r="N35" s="11"/>
      <c r="O35" s="2">
        <v>1310400000</v>
      </c>
      <c r="Q35" s="2">
        <v>0</v>
      </c>
      <c r="S35" s="2">
        <v>1310400000</v>
      </c>
    </row>
    <row r="36" spans="1:19" ht="21" x14ac:dyDescent="0.55000000000000004">
      <c r="A36" s="10" t="s">
        <v>264</v>
      </c>
      <c r="C36" s="11" t="s">
        <v>133</v>
      </c>
      <c r="E36" s="2">
        <v>400000</v>
      </c>
      <c r="G36" s="2">
        <v>1050</v>
      </c>
      <c r="I36" s="2">
        <v>0</v>
      </c>
      <c r="J36" s="2"/>
      <c r="K36" s="2">
        <v>0</v>
      </c>
      <c r="L36" s="2"/>
      <c r="M36" s="2">
        <v>0</v>
      </c>
      <c r="N36" s="11"/>
      <c r="O36" s="2">
        <v>420000000</v>
      </c>
      <c r="Q36" s="2">
        <v>0</v>
      </c>
      <c r="S36" s="2">
        <v>420000000</v>
      </c>
    </row>
    <row r="37" spans="1:19" ht="21" x14ac:dyDescent="0.55000000000000004">
      <c r="A37" s="10" t="s">
        <v>243</v>
      </c>
      <c r="C37" s="11" t="s">
        <v>139</v>
      </c>
      <c r="E37" s="2">
        <v>650000</v>
      </c>
      <c r="G37" s="2">
        <v>1997</v>
      </c>
      <c r="I37" s="2">
        <v>0</v>
      </c>
      <c r="J37" s="2"/>
      <c r="K37" s="2">
        <v>0</v>
      </c>
      <c r="L37" s="2"/>
      <c r="M37" s="2">
        <v>0</v>
      </c>
      <c r="N37" s="11"/>
      <c r="O37" s="2">
        <v>1298050000</v>
      </c>
      <c r="Q37" s="2">
        <v>0</v>
      </c>
      <c r="S37" s="2">
        <v>1298050000</v>
      </c>
    </row>
    <row r="38" spans="1:19" ht="21" x14ac:dyDescent="0.55000000000000004">
      <c r="A38" s="10" t="s">
        <v>242</v>
      </c>
      <c r="C38" s="11" t="s">
        <v>138</v>
      </c>
      <c r="E38" s="2">
        <v>5685981</v>
      </c>
      <c r="G38" s="2">
        <v>190</v>
      </c>
      <c r="I38" s="2">
        <v>0</v>
      </c>
      <c r="J38" s="2"/>
      <c r="K38" s="2">
        <v>0</v>
      </c>
      <c r="L38" s="2"/>
      <c r="M38" s="2">
        <v>0</v>
      </c>
      <c r="N38" s="11"/>
      <c r="O38" s="2">
        <v>1080336390</v>
      </c>
      <c r="Q38" s="2">
        <v>0</v>
      </c>
      <c r="S38" s="2">
        <v>1080336390</v>
      </c>
    </row>
    <row r="39" spans="1:19" ht="21" x14ac:dyDescent="0.55000000000000004">
      <c r="A39" s="10" t="s">
        <v>64</v>
      </c>
      <c r="C39" s="11" t="s">
        <v>263</v>
      </c>
      <c r="E39" s="2">
        <v>607000</v>
      </c>
      <c r="G39" s="2">
        <v>7240</v>
      </c>
      <c r="I39" s="2">
        <v>0</v>
      </c>
      <c r="J39" s="2"/>
      <c r="K39" s="2">
        <v>0</v>
      </c>
      <c r="L39" s="2"/>
      <c r="M39" s="2">
        <v>0</v>
      </c>
      <c r="N39" s="11"/>
      <c r="O39" s="2">
        <v>4394680000</v>
      </c>
      <c r="Q39" s="2">
        <v>0</v>
      </c>
      <c r="S39" s="2">
        <v>4394680000</v>
      </c>
    </row>
    <row r="40" spans="1:19" ht="21" x14ac:dyDescent="0.55000000000000004">
      <c r="A40" s="10" t="s">
        <v>241</v>
      </c>
      <c r="C40" s="11" t="s">
        <v>262</v>
      </c>
      <c r="E40" s="2">
        <v>4850000</v>
      </c>
      <c r="G40" s="2">
        <v>390</v>
      </c>
      <c r="I40" s="2">
        <v>0</v>
      </c>
      <c r="J40" s="2"/>
      <c r="K40" s="2">
        <v>0</v>
      </c>
      <c r="L40" s="2"/>
      <c r="M40" s="2">
        <v>0</v>
      </c>
      <c r="N40" s="11"/>
      <c r="O40" s="2">
        <v>1891500000</v>
      </c>
      <c r="Q40" s="2">
        <v>0</v>
      </c>
      <c r="S40" s="2">
        <v>1891500000</v>
      </c>
    </row>
    <row r="41" spans="1:19" ht="21" x14ac:dyDescent="0.55000000000000004">
      <c r="A41" s="10" t="s">
        <v>104</v>
      </c>
      <c r="C41" s="11" t="s">
        <v>131</v>
      </c>
      <c r="E41" s="2">
        <v>219974</v>
      </c>
      <c r="G41" s="2">
        <v>8363</v>
      </c>
      <c r="I41" s="2">
        <v>0</v>
      </c>
      <c r="J41" s="2"/>
      <c r="K41" s="2">
        <v>0</v>
      </c>
      <c r="L41" s="2"/>
      <c r="M41" s="2">
        <v>0</v>
      </c>
      <c r="N41" s="11"/>
      <c r="O41" s="2">
        <v>1839860000</v>
      </c>
      <c r="Q41" s="2">
        <v>0</v>
      </c>
      <c r="S41" s="2">
        <v>1839860000</v>
      </c>
    </row>
    <row r="42" spans="1:19" ht="21" x14ac:dyDescent="0.55000000000000004">
      <c r="A42" s="10" t="s">
        <v>240</v>
      </c>
      <c r="C42" s="11" t="s">
        <v>139</v>
      </c>
      <c r="E42" s="2">
        <v>227029</v>
      </c>
      <c r="G42" s="2">
        <v>4200</v>
      </c>
      <c r="I42" s="2">
        <v>0</v>
      </c>
      <c r="J42" s="2"/>
      <c r="K42" s="2">
        <v>0</v>
      </c>
      <c r="L42" s="2"/>
      <c r="M42" s="2">
        <v>0</v>
      </c>
      <c r="N42" s="11"/>
      <c r="O42" s="2">
        <v>953521800</v>
      </c>
      <c r="Q42" s="2">
        <v>0</v>
      </c>
      <c r="S42" s="2">
        <v>953521800</v>
      </c>
    </row>
    <row r="43" spans="1:19" ht="21" x14ac:dyDescent="0.55000000000000004">
      <c r="A43" s="10" t="s">
        <v>63</v>
      </c>
      <c r="C43" s="11" t="s">
        <v>132</v>
      </c>
      <c r="E43" s="2">
        <v>500000</v>
      </c>
      <c r="G43" s="2">
        <v>4984</v>
      </c>
      <c r="I43" s="2">
        <v>0</v>
      </c>
      <c r="J43" s="2"/>
      <c r="K43" s="2">
        <v>0</v>
      </c>
      <c r="L43" s="2"/>
      <c r="M43" s="2">
        <v>0</v>
      </c>
      <c r="N43" s="11"/>
      <c r="O43" s="2">
        <v>2492000000</v>
      </c>
      <c r="Q43" s="2">
        <v>0</v>
      </c>
      <c r="S43" s="2">
        <v>2492000000</v>
      </c>
    </row>
    <row r="44" spans="1:19" ht="21" x14ac:dyDescent="0.55000000000000004">
      <c r="A44" s="10" t="s">
        <v>239</v>
      </c>
      <c r="C44" s="11" t="s">
        <v>135</v>
      </c>
      <c r="E44" s="2">
        <v>700001</v>
      </c>
      <c r="G44" s="2">
        <v>3400</v>
      </c>
      <c r="I44" s="2">
        <v>0</v>
      </c>
      <c r="J44" s="2"/>
      <c r="K44" s="2">
        <v>0</v>
      </c>
      <c r="L44" s="2"/>
      <c r="M44" s="2">
        <v>0</v>
      </c>
      <c r="N44" s="11"/>
      <c r="O44" s="2">
        <v>2380003400</v>
      </c>
      <c r="Q44" s="2">
        <v>0</v>
      </c>
      <c r="S44" s="2">
        <v>2380003400</v>
      </c>
    </row>
    <row r="45" spans="1:19" ht="21" x14ac:dyDescent="0.55000000000000004">
      <c r="A45" s="10" t="s">
        <v>103</v>
      </c>
      <c r="C45" s="11" t="s">
        <v>134</v>
      </c>
      <c r="E45" s="2">
        <v>5400000</v>
      </c>
      <c r="G45" s="2">
        <v>160</v>
      </c>
      <c r="I45" s="2">
        <v>0</v>
      </c>
      <c r="J45" s="2"/>
      <c r="K45" s="2">
        <v>0</v>
      </c>
      <c r="L45" s="2"/>
      <c r="M45" s="2">
        <v>0</v>
      </c>
      <c r="N45" s="11"/>
      <c r="O45" s="2">
        <v>864000000</v>
      </c>
      <c r="Q45" s="2">
        <v>0</v>
      </c>
      <c r="S45" s="2">
        <v>864000000</v>
      </c>
    </row>
    <row r="46" spans="1:19" ht="21" x14ac:dyDescent="0.55000000000000004">
      <c r="A46" s="10" t="s">
        <v>238</v>
      </c>
      <c r="C46" s="11" t="s">
        <v>261</v>
      </c>
      <c r="E46" s="2">
        <v>120000</v>
      </c>
      <c r="G46" s="2">
        <v>38000</v>
      </c>
      <c r="I46" s="2">
        <v>0</v>
      </c>
      <c r="J46" s="2"/>
      <c r="K46" s="2">
        <v>0</v>
      </c>
      <c r="L46" s="2"/>
      <c r="M46" s="2">
        <v>0</v>
      </c>
      <c r="N46" s="11"/>
      <c r="O46" s="2">
        <v>4560000000</v>
      </c>
      <c r="Q46" s="2">
        <v>-133404255</v>
      </c>
      <c r="S46" s="2">
        <v>4426595745</v>
      </c>
    </row>
    <row r="47" spans="1:19" ht="21" x14ac:dyDescent="0.55000000000000004">
      <c r="A47" s="10" t="s">
        <v>237</v>
      </c>
      <c r="C47" s="11" t="s">
        <v>260</v>
      </c>
      <c r="E47" s="2">
        <v>1100000</v>
      </c>
      <c r="G47" s="2">
        <v>2000</v>
      </c>
      <c r="I47" s="2">
        <v>0</v>
      </c>
      <c r="J47" s="2"/>
      <c r="K47" s="2">
        <v>0</v>
      </c>
      <c r="L47" s="2"/>
      <c r="M47" s="2">
        <v>0</v>
      </c>
      <c r="N47" s="11"/>
      <c r="O47" s="2">
        <v>2200000000</v>
      </c>
      <c r="Q47" s="2">
        <v>0</v>
      </c>
      <c r="S47" s="2">
        <v>2200000000</v>
      </c>
    </row>
    <row r="48" spans="1:19" ht="21" x14ac:dyDescent="0.55000000000000004">
      <c r="A48" s="10" t="s">
        <v>259</v>
      </c>
      <c r="C48" s="11" t="s">
        <v>258</v>
      </c>
      <c r="E48" s="2">
        <v>350000</v>
      </c>
      <c r="G48" s="2">
        <v>5330</v>
      </c>
      <c r="I48" s="2">
        <v>0</v>
      </c>
      <c r="J48" s="2"/>
      <c r="K48" s="2">
        <v>0</v>
      </c>
      <c r="L48" s="2"/>
      <c r="M48" s="2">
        <v>0</v>
      </c>
      <c r="N48" s="11"/>
      <c r="O48" s="2">
        <v>1865500000</v>
      </c>
      <c r="Q48" s="2">
        <v>-37560403</v>
      </c>
      <c r="S48" s="2">
        <v>1827939597</v>
      </c>
    </row>
    <row r="49" spans="1:19" ht="21" x14ac:dyDescent="0.55000000000000004">
      <c r="A49" s="10" t="s">
        <v>62</v>
      </c>
      <c r="C49" s="11" t="s">
        <v>131</v>
      </c>
      <c r="E49" s="2">
        <v>2000000</v>
      </c>
      <c r="G49" s="2">
        <v>1624</v>
      </c>
      <c r="I49" s="2">
        <v>0</v>
      </c>
      <c r="J49" s="2"/>
      <c r="K49" s="2">
        <v>0</v>
      </c>
      <c r="L49" s="2"/>
      <c r="M49" s="2">
        <v>0</v>
      </c>
      <c r="N49" s="11"/>
      <c r="O49" s="2">
        <v>3248000000</v>
      </c>
      <c r="Q49" s="2">
        <v>0</v>
      </c>
      <c r="S49" s="2">
        <v>3248000000</v>
      </c>
    </row>
    <row r="50" spans="1:19" ht="21" x14ac:dyDescent="0.55000000000000004">
      <c r="A50" s="10" t="s">
        <v>61</v>
      </c>
      <c r="C50" s="11" t="s">
        <v>130</v>
      </c>
      <c r="E50" s="2">
        <v>100000</v>
      </c>
      <c r="G50" s="2">
        <v>2350</v>
      </c>
      <c r="I50" s="2">
        <v>0</v>
      </c>
      <c r="J50" s="2"/>
      <c r="K50" s="2">
        <v>0</v>
      </c>
      <c r="L50" s="2"/>
      <c r="M50" s="2">
        <v>0</v>
      </c>
      <c r="N50" s="11"/>
      <c r="O50" s="2">
        <v>235000000</v>
      </c>
      <c r="Q50" s="2">
        <v>0</v>
      </c>
      <c r="S50" s="2">
        <v>235000000</v>
      </c>
    </row>
    <row r="51" spans="1:19" ht="21" x14ac:dyDescent="0.55000000000000004">
      <c r="A51" s="10" t="s">
        <v>59</v>
      </c>
      <c r="C51" s="11" t="s">
        <v>129</v>
      </c>
      <c r="E51" s="2">
        <v>5200000</v>
      </c>
      <c r="G51" s="2">
        <v>380</v>
      </c>
      <c r="I51" s="2">
        <v>0</v>
      </c>
      <c r="J51" s="2"/>
      <c r="K51" s="2">
        <v>0</v>
      </c>
      <c r="L51" s="2"/>
      <c r="M51" s="2">
        <v>0</v>
      </c>
      <c r="N51" s="11"/>
      <c r="O51" s="2">
        <v>1976000000</v>
      </c>
      <c r="Q51" s="2">
        <v>0</v>
      </c>
      <c r="S51" s="2">
        <v>1976000000</v>
      </c>
    </row>
    <row r="52" spans="1:19" ht="21" x14ac:dyDescent="0.55000000000000004">
      <c r="A52" s="10" t="s">
        <v>101</v>
      </c>
      <c r="C52" s="11" t="s">
        <v>129</v>
      </c>
      <c r="E52" s="2">
        <v>5200000</v>
      </c>
      <c r="G52" s="2">
        <v>310</v>
      </c>
      <c r="I52" s="2">
        <v>0</v>
      </c>
      <c r="J52" s="2"/>
      <c r="K52" s="2">
        <v>0</v>
      </c>
      <c r="L52" s="2"/>
      <c r="M52" s="2">
        <v>0</v>
      </c>
      <c r="N52" s="11"/>
      <c r="O52" s="2">
        <v>1612000000</v>
      </c>
      <c r="Q52" s="2">
        <v>0</v>
      </c>
      <c r="S52" s="2">
        <v>1612000000</v>
      </c>
    </row>
    <row r="53" spans="1:19" ht="21.75" thickBot="1" x14ac:dyDescent="0.6">
      <c r="A53" s="12" t="s">
        <v>9</v>
      </c>
      <c r="I53" s="12">
        <f>SUM(I9:$I$52)</f>
        <v>9285216610</v>
      </c>
      <c r="K53" s="12">
        <f>SUM(K9:$K$52)</f>
        <v>-303279942</v>
      </c>
      <c r="M53" s="12">
        <f>SUM(M9:$M$52)</f>
        <v>8981936668</v>
      </c>
      <c r="O53" s="12">
        <f>SUM(O9:$O$52)</f>
        <v>80192355385</v>
      </c>
      <c r="Q53" s="12">
        <f>SUM(Q9:$Q$52)</f>
        <v>-388652340</v>
      </c>
      <c r="S53" s="12">
        <f>SUM(S9:$S$52)</f>
        <v>79803703045</v>
      </c>
    </row>
    <row r="54" spans="1:19" ht="21.75" thickTop="1" x14ac:dyDescent="0.55000000000000004">
      <c r="I54" s="4"/>
      <c r="K54" s="4"/>
      <c r="M54" s="4"/>
      <c r="O54" s="4"/>
      <c r="Q54" s="4"/>
      <c r="S54" s="4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69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4A4D-0317-4379-BBDD-06CF0A13570C}">
  <sheetPr>
    <pageSetUpPr fitToPage="1"/>
  </sheetPr>
  <dimension ref="A1:Q12"/>
  <sheetViews>
    <sheetView rightToLeft="1" view="pageBreakPreview" zoomScaleNormal="100" zoomScaleSheetLayoutView="100" workbookViewId="0">
      <selection activeCell="A5" sqref="A5:Q5"/>
    </sheetView>
  </sheetViews>
  <sheetFormatPr defaultColWidth="8.85546875" defaultRowHeight="19.5" x14ac:dyDescent="0.55000000000000004"/>
  <cols>
    <col min="1" max="1" width="33.85546875" style="8" customWidth="1"/>
    <col min="2" max="2" width="1.42578125" style="8" customWidth="1"/>
    <col min="3" max="3" width="11.42578125" style="8" customWidth="1"/>
    <col min="4" max="4" width="1.42578125" style="8" customWidth="1"/>
    <col min="5" max="5" width="11.42578125" style="8" customWidth="1"/>
    <col min="6" max="6" width="1.42578125" style="8" customWidth="1"/>
    <col min="7" max="7" width="18.42578125" style="8" customWidth="1"/>
    <col min="8" max="8" width="1.42578125" style="8" customWidth="1"/>
    <col min="9" max="9" width="14.140625" style="8" customWidth="1"/>
    <col min="10" max="10" width="1.42578125" style="8" customWidth="1"/>
    <col min="11" max="11" width="18.42578125" style="8" customWidth="1"/>
    <col min="12" max="12" width="1.42578125" style="8" customWidth="1"/>
    <col min="13" max="13" width="18.42578125" style="8" customWidth="1"/>
    <col min="14" max="14" width="1.42578125" style="8" customWidth="1"/>
    <col min="15" max="15" width="14.140625" style="8" customWidth="1"/>
    <col min="16" max="16" width="1.42578125" style="8" customWidth="1"/>
    <col min="17" max="17" width="18.42578125" style="8" customWidth="1"/>
    <col min="18" max="16384" width="8.85546875" style="8"/>
  </cols>
  <sheetData>
    <row r="1" spans="1:17" ht="19.899999999999999" customHeight="1" x14ac:dyDescent="0.55000000000000004">
      <c r="A1" s="49" t="s">
        <v>251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9.899999999999999" customHeight="1" x14ac:dyDescent="0.55000000000000004">
      <c r="A2" s="49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5" spans="1:17" ht="21" x14ac:dyDescent="0.55000000000000004">
      <c r="A5" s="50" t="s">
        <v>233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7" spans="1:17" ht="21" x14ac:dyDescent="0.55000000000000004">
      <c r="G7" s="51" t="s">
        <v>146</v>
      </c>
      <c r="H7" s="52"/>
      <c r="I7" s="52"/>
      <c r="J7" s="52"/>
      <c r="K7" s="52"/>
      <c r="M7" s="51" t="s">
        <v>147</v>
      </c>
      <c r="N7" s="52"/>
      <c r="O7" s="52"/>
      <c r="P7" s="52"/>
      <c r="Q7" s="52"/>
    </row>
    <row r="8" spans="1:17" ht="42" x14ac:dyDescent="0.55000000000000004">
      <c r="A8" s="9" t="s">
        <v>25</v>
      </c>
      <c r="C8" s="7" t="s">
        <v>32</v>
      </c>
      <c r="E8" s="7" t="s">
        <v>10</v>
      </c>
      <c r="G8" s="7" t="s">
        <v>33</v>
      </c>
      <c r="I8" s="7" t="s">
        <v>31</v>
      </c>
      <c r="K8" s="7" t="s">
        <v>34</v>
      </c>
      <c r="M8" s="7" t="s">
        <v>33</v>
      </c>
      <c r="O8" s="7" t="s">
        <v>31</v>
      </c>
      <c r="Q8" s="7" t="s">
        <v>34</v>
      </c>
    </row>
    <row r="9" spans="1:17" ht="42" x14ac:dyDescent="0.55000000000000004">
      <c r="A9" s="10" t="s">
        <v>276</v>
      </c>
      <c r="C9" s="11" t="s">
        <v>275</v>
      </c>
      <c r="E9" s="11" t="s">
        <v>11</v>
      </c>
      <c r="G9" s="2">
        <v>1023963869</v>
      </c>
      <c r="I9" s="2">
        <v>-15024006</v>
      </c>
      <c r="K9" s="2">
        <v>1008939863</v>
      </c>
      <c r="M9" s="2">
        <v>12521126973</v>
      </c>
      <c r="O9" s="2">
        <v>0</v>
      </c>
      <c r="Q9" s="2">
        <v>12521126973</v>
      </c>
    </row>
    <row r="10" spans="1:17" ht="42" x14ac:dyDescent="0.55000000000000004">
      <c r="A10" s="10" t="s">
        <v>274</v>
      </c>
      <c r="C10" s="11" t="s">
        <v>35</v>
      </c>
      <c r="E10" s="11" t="s">
        <v>11</v>
      </c>
      <c r="G10" s="2">
        <v>4345213</v>
      </c>
      <c r="I10" s="2">
        <v>0</v>
      </c>
      <c r="K10" s="2">
        <v>4345213</v>
      </c>
      <c r="M10" s="2">
        <v>31891807</v>
      </c>
      <c r="O10" s="2">
        <v>0</v>
      </c>
      <c r="Q10" s="2">
        <v>31891807</v>
      </c>
    </row>
    <row r="11" spans="1:17" ht="21.75" thickBot="1" x14ac:dyDescent="0.6">
      <c r="A11" s="12" t="s">
        <v>9</v>
      </c>
      <c r="G11" s="12">
        <f>SUM(G9:$G$10)</f>
        <v>1028309082</v>
      </c>
      <c r="I11" s="12">
        <f>SUM(I9:$I$10)</f>
        <v>-15024006</v>
      </c>
      <c r="K11" s="12">
        <f>SUM(K9:$K$10)</f>
        <v>1013285076</v>
      </c>
      <c r="M11" s="12">
        <f>SUM(M9:$M$10)</f>
        <v>12553018780</v>
      </c>
      <c r="O11" s="12">
        <f>SUM(O9:$O$10)</f>
        <v>0</v>
      </c>
      <c r="Q11" s="12">
        <f>SUM(Q9:$Q$10)</f>
        <v>12553018780</v>
      </c>
    </row>
    <row r="12" spans="1:17" ht="21.75" thickTop="1" x14ac:dyDescent="0.55000000000000004">
      <c r="G12" s="4"/>
      <c r="I12" s="4"/>
      <c r="K12" s="4"/>
      <c r="M12" s="4"/>
      <c r="O12" s="4"/>
      <c r="Q12" s="4"/>
    </row>
  </sheetData>
  <mergeCells count="6">
    <mergeCell ref="A1:Q1"/>
    <mergeCell ref="A2:Q2"/>
    <mergeCell ref="A3:Q3"/>
    <mergeCell ref="A5:Q5"/>
    <mergeCell ref="G7:K7"/>
    <mergeCell ref="M7:Q7"/>
  </mergeCells>
  <pageMargins left="0.7" right="0.7" top="0.75" bottom="0.75" header="0.3" footer="0.3"/>
  <pageSetup paperSize="9" scale="7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C82D-E5E6-4910-9C22-2591EE3D6DE1}">
  <sheetPr>
    <pageSetUpPr fitToPage="1"/>
  </sheetPr>
  <dimension ref="A1:Q90"/>
  <sheetViews>
    <sheetView rightToLeft="1" view="pageBreakPreview" zoomScale="60" zoomScaleNormal="100" workbookViewId="0">
      <selection activeCell="C7" sqref="C7:Q7"/>
    </sheetView>
  </sheetViews>
  <sheetFormatPr defaultColWidth="8.85546875" defaultRowHeight="19.5" x14ac:dyDescent="0.55000000000000004"/>
  <cols>
    <col min="1" max="1" width="33.5703125" style="8" customWidth="1"/>
    <col min="2" max="2" width="1.42578125" style="8" customWidth="1"/>
    <col min="3" max="3" width="12.85546875" style="8" customWidth="1"/>
    <col min="4" max="4" width="1.42578125" style="8" customWidth="1"/>
    <col min="5" max="5" width="17" style="8" customWidth="1"/>
    <col min="6" max="6" width="1.42578125" style="8" customWidth="1"/>
    <col min="7" max="7" width="17" style="8" customWidth="1"/>
    <col min="8" max="8" width="1.42578125" style="8" customWidth="1"/>
    <col min="9" max="9" width="17" style="8" customWidth="1"/>
    <col min="10" max="10" width="1.42578125" style="8" customWidth="1"/>
    <col min="11" max="11" width="12.85546875" style="8" customWidth="1"/>
    <col min="12" max="12" width="1.42578125" style="8" customWidth="1"/>
    <col min="13" max="13" width="17" style="8" customWidth="1"/>
    <col min="14" max="14" width="1.42578125" style="8" customWidth="1"/>
    <col min="15" max="15" width="17" style="8" customWidth="1"/>
    <col min="16" max="16" width="1.42578125" style="8" customWidth="1"/>
    <col min="17" max="17" width="17" style="8" customWidth="1"/>
    <col min="18" max="16384" width="8.85546875" style="8"/>
  </cols>
  <sheetData>
    <row r="1" spans="1:17" ht="19.899999999999999" customHeight="1" x14ac:dyDescent="0.55000000000000004">
      <c r="A1" s="49" t="s">
        <v>251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9.899999999999999" customHeight="1" x14ac:dyDescent="0.55000000000000004">
      <c r="A2" s="49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5" spans="1:17" ht="21" x14ac:dyDescent="0.55000000000000004">
      <c r="A5" s="50" t="s">
        <v>36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7" spans="1:17" ht="21" x14ac:dyDescent="0.55000000000000004">
      <c r="C7" s="51" t="s">
        <v>146</v>
      </c>
      <c r="D7" s="52"/>
      <c r="E7" s="52"/>
      <c r="F7" s="52"/>
      <c r="G7" s="52"/>
      <c r="H7" s="52"/>
      <c r="I7" s="52"/>
      <c r="K7" s="51" t="s">
        <v>147</v>
      </c>
      <c r="L7" s="52"/>
      <c r="M7" s="52"/>
      <c r="N7" s="52"/>
      <c r="O7" s="52"/>
      <c r="P7" s="52"/>
      <c r="Q7" s="52"/>
    </row>
    <row r="8" spans="1:17" ht="42" x14ac:dyDescent="0.55000000000000004">
      <c r="A8" s="9" t="s">
        <v>25</v>
      </c>
      <c r="C8" s="7" t="s">
        <v>4</v>
      </c>
      <c r="E8" s="7" t="s">
        <v>6</v>
      </c>
      <c r="G8" s="7" t="s">
        <v>37</v>
      </c>
      <c r="I8" s="7" t="s">
        <v>38</v>
      </c>
      <c r="K8" s="7" t="s">
        <v>4</v>
      </c>
      <c r="M8" s="7" t="s">
        <v>6</v>
      </c>
      <c r="O8" s="7" t="s">
        <v>37</v>
      </c>
      <c r="Q8" s="7" t="s">
        <v>38</v>
      </c>
    </row>
    <row r="9" spans="1:17" ht="21" x14ac:dyDescent="0.55000000000000004">
      <c r="A9" s="10" t="s">
        <v>284</v>
      </c>
      <c r="C9" s="2">
        <v>0</v>
      </c>
      <c r="D9" s="2"/>
      <c r="E9" s="2">
        <v>0</v>
      </c>
      <c r="F9" s="2"/>
      <c r="G9" s="2">
        <v>0</v>
      </c>
      <c r="H9" s="2"/>
      <c r="I9" s="2">
        <v>0</v>
      </c>
      <c r="J9" s="11"/>
      <c r="K9" s="2">
        <v>579887</v>
      </c>
      <c r="M9" s="2">
        <v>3249801158</v>
      </c>
      <c r="O9" s="2">
        <v>2839489099</v>
      </c>
      <c r="Q9" s="2">
        <v>410312059</v>
      </c>
    </row>
    <row r="10" spans="1:17" ht="21" x14ac:dyDescent="0.55000000000000004">
      <c r="A10" s="10" t="s">
        <v>234</v>
      </c>
      <c r="I10" s="2">
        <v>1207350703</v>
      </c>
      <c r="J10" s="11"/>
      <c r="K10" s="2"/>
      <c r="M10" s="2"/>
      <c r="O10" s="2"/>
      <c r="Q10" s="2">
        <v>15170162045</v>
      </c>
    </row>
    <row r="11" spans="1:17" ht="21" x14ac:dyDescent="0.55000000000000004">
      <c r="A11" s="10" t="s">
        <v>235</v>
      </c>
      <c r="I11" s="2">
        <v>475821520</v>
      </c>
      <c r="J11" s="11"/>
      <c r="K11" s="2"/>
      <c r="M11" s="2"/>
      <c r="O11" s="2"/>
      <c r="Q11" s="2">
        <v>10543709914</v>
      </c>
    </row>
    <row r="12" spans="1:17" ht="21" x14ac:dyDescent="0.55000000000000004">
      <c r="A12" s="10" t="s">
        <v>125</v>
      </c>
      <c r="C12" s="2">
        <v>0</v>
      </c>
      <c r="D12" s="2"/>
      <c r="E12" s="2">
        <v>0</v>
      </c>
      <c r="F12" s="2"/>
      <c r="G12" s="2">
        <v>0</v>
      </c>
      <c r="H12" s="2"/>
      <c r="I12" s="2">
        <v>0</v>
      </c>
      <c r="J12" s="11"/>
      <c r="K12" s="2">
        <v>150000</v>
      </c>
      <c r="M12" s="2">
        <v>1234610146</v>
      </c>
      <c r="O12" s="2">
        <v>1043584546</v>
      </c>
      <c r="Q12" s="2">
        <v>191025600</v>
      </c>
    </row>
    <row r="13" spans="1:17" ht="21" x14ac:dyDescent="0.55000000000000004">
      <c r="A13" s="10" t="s">
        <v>273</v>
      </c>
      <c r="C13" s="2">
        <v>0</v>
      </c>
      <c r="D13" s="2"/>
      <c r="E13" s="2">
        <v>0</v>
      </c>
      <c r="F13" s="2"/>
      <c r="G13" s="2">
        <v>0</v>
      </c>
      <c r="H13" s="2"/>
      <c r="I13" s="2">
        <v>0</v>
      </c>
      <c r="J13" s="11"/>
      <c r="K13" s="2">
        <v>2000000</v>
      </c>
      <c r="M13" s="2">
        <v>8317069944</v>
      </c>
      <c r="O13" s="2">
        <v>9031858190</v>
      </c>
      <c r="Q13" s="2">
        <v>-714788246</v>
      </c>
    </row>
    <row r="14" spans="1:17" ht="21" x14ac:dyDescent="0.55000000000000004">
      <c r="A14" s="10" t="s">
        <v>250</v>
      </c>
      <c r="C14" s="2">
        <v>0</v>
      </c>
      <c r="D14" s="2"/>
      <c r="E14" s="2">
        <v>0</v>
      </c>
      <c r="F14" s="2"/>
      <c r="G14" s="2">
        <v>0</v>
      </c>
      <c r="H14" s="2"/>
      <c r="I14" s="2">
        <v>0</v>
      </c>
      <c r="J14" s="11"/>
      <c r="K14" s="2">
        <v>2042039</v>
      </c>
      <c r="M14" s="2">
        <v>7407057219</v>
      </c>
      <c r="O14" s="2">
        <v>6068103471</v>
      </c>
      <c r="Q14" s="2">
        <v>1338953748</v>
      </c>
    </row>
    <row r="15" spans="1:17" ht="21" x14ac:dyDescent="0.55000000000000004">
      <c r="A15" s="10" t="s">
        <v>85</v>
      </c>
      <c r="C15" s="2">
        <v>0</v>
      </c>
      <c r="D15" s="2"/>
      <c r="E15" s="2">
        <v>0</v>
      </c>
      <c r="F15" s="2"/>
      <c r="G15" s="2">
        <v>0</v>
      </c>
      <c r="H15" s="2"/>
      <c r="I15" s="2">
        <v>0</v>
      </c>
      <c r="J15" s="11"/>
      <c r="K15" s="2">
        <v>2700000</v>
      </c>
      <c r="M15" s="2">
        <v>10139193638</v>
      </c>
      <c r="O15" s="2">
        <v>11615719631</v>
      </c>
      <c r="Q15" s="2">
        <v>-1476525993</v>
      </c>
    </row>
    <row r="16" spans="1:17" ht="21" x14ac:dyDescent="0.55000000000000004">
      <c r="A16" s="10" t="s">
        <v>283</v>
      </c>
      <c r="C16" s="2">
        <v>0</v>
      </c>
      <c r="D16" s="2"/>
      <c r="E16" s="2">
        <v>0</v>
      </c>
      <c r="F16" s="2"/>
      <c r="G16" s="2">
        <v>0</v>
      </c>
      <c r="H16" s="2"/>
      <c r="I16" s="2">
        <v>0</v>
      </c>
      <c r="J16" s="11"/>
      <c r="K16" s="2">
        <v>800000</v>
      </c>
      <c r="M16" s="2">
        <v>2886406684</v>
      </c>
      <c r="O16" s="2">
        <v>2631578954</v>
      </c>
      <c r="Q16" s="2">
        <v>254827730</v>
      </c>
    </row>
    <row r="17" spans="1:17" ht="21" x14ac:dyDescent="0.55000000000000004">
      <c r="A17" s="10" t="s">
        <v>84</v>
      </c>
      <c r="C17" s="2">
        <v>7614000</v>
      </c>
      <c r="E17" s="2">
        <v>3981224036</v>
      </c>
      <c r="G17" s="2">
        <v>3347912914</v>
      </c>
      <c r="I17" s="2">
        <v>633311122</v>
      </c>
      <c r="K17" s="2">
        <v>31273591</v>
      </c>
      <c r="M17" s="2">
        <v>13568272378</v>
      </c>
      <c r="O17" s="2">
        <v>13767876661</v>
      </c>
      <c r="Q17" s="2">
        <v>-199604283</v>
      </c>
    </row>
    <row r="18" spans="1:17" ht="21" x14ac:dyDescent="0.55000000000000004">
      <c r="A18" s="10" t="s">
        <v>249</v>
      </c>
      <c r="C18" s="2">
        <v>0</v>
      </c>
      <c r="D18" s="2"/>
      <c r="E18" s="2">
        <v>0</v>
      </c>
      <c r="F18" s="2"/>
      <c r="G18" s="2">
        <v>0</v>
      </c>
      <c r="H18" s="2"/>
      <c r="I18" s="2">
        <v>0</v>
      </c>
      <c r="J18" s="11"/>
      <c r="K18" s="2">
        <v>44066235</v>
      </c>
      <c r="M18" s="2">
        <v>19886782173</v>
      </c>
      <c r="O18" s="2">
        <v>19066131063</v>
      </c>
      <c r="Q18" s="2">
        <v>820651110</v>
      </c>
    </row>
    <row r="19" spans="1:17" ht="21" x14ac:dyDescent="0.55000000000000004">
      <c r="A19" s="10" t="s">
        <v>83</v>
      </c>
      <c r="C19" s="2">
        <v>0</v>
      </c>
      <c r="D19" s="2"/>
      <c r="E19" s="2">
        <v>0</v>
      </c>
      <c r="F19" s="2"/>
      <c r="G19" s="2">
        <v>0</v>
      </c>
      <c r="H19" s="2"/>
      <c r="I19" s="2">
        <v>0</v>
      </c>
      <c r="J19" s="11"/>
      <c r="K19" s="2">
        <v>53560926</v>
      </c>
      <c r="M19" s="2">
        <v>31923712893</v>
      </c>
      <c r="O19" s="2">
        <v>34765638255</v>
      </c>
      <c r="Q19" s="2">
        <v>-2841925362</v>
      </c>
    </row>
    <row r="20" spans="1:17" ht="21" x14ac:dyDescent="0.55000000000000004">
      <c r="A20" s="10" t="s">
        <v>124</v>
      </c>
      <c r="C20" s="2">
        <v>1513066</v>
      </c>
      <c r="E20" s="2">
        <v>1890607540</v>
      </c>
      <c r="G20" s="2">
        <v>1494224147</v>
      </c>
      <c r="I20" s="2">
        <v>396383393</v>
      </c>
      <c r="K20" s="2">
        <v>14906023</v>
      </c>
      <c r="M20" s="2">
        <v>23333954518</v>
      </c>
      <c r="O20" s="2">
        <v>19385240291</v>
      </c>
      <c r="Q20" s="2">
        <v>3948714227</v>
      </c>
    </row>
    <row r="21" spans="1:17" ht="21" x14ac:dyDescent="0.55000000000000004">
      <c r="A21" s="10" t="s">
        <v>270</v>
      </c>
      <c r="C21" s="2">
        <v>0</v>
      </c>
      <c r="D21" s="2"/>
      <c r="E21" s="2">
        <v>0</v>
      </c>
      <c r="F21" s="2"/>
      <c r="G21" s="2">
        <v>0</v>
      </c>
      <c r="H21" s="2"/>
      <c r="I21" s="2">
        <v>0</v>
      </c>
      <c r="J21" s="11"/>
      <c r="K21" s="2">
        <v>1700000</v>
      </c>
      <c r="M21" s="2">
        <v>6531405579</v>
      </c>
      <c r="O21" s="2">
        <v>8984891479</v>
      </c>
      <c r="Q21" s="2">
        <v>-2453485900</v>
      </c>
    </row>
    <row r="22" spans="1:17" ht="21" x14ac:dyDescent="0.55000000000000004">
      <c r="A22" s="10" t="s">
        <v>82</v>
      </c>
      <c r="C22" s="2">
        <v>1500000</v>
      </c>
      <c r="E22" s="2">
        <v>7393899972</v>
      </c>
      <c r="G22" s="2">
        <v>6899099781</v>
      </c>
      <c r="I22" s="2">
        <v>494800191</v>
      </c>
      <c r="K22" s="2">
        <v>1991813</v>
      </c>
      <c r="M22" s="2">
        <v>10076596945</v>
      </c>
      <c r="O22" s="2">
        <v>9718585257</v>
      </c>
      <c r="Q22" s="2">
        <v>358011688</v>
      </c>
    </row>
    <row r="23" spans="1:17" ht="21" x14ac:dyDescent="0.55000000000000004">
      <c r="A23" s="10" t="s">
        <v>123</v>
      </c>
      <c r="C23" s="2">
        <v>0</v>
      </c>
      <c r="D23" s="2"/>
      <c r="E23" s="2">
        <v>0</v>
      </c>
      <c r="F23" s="2"/>
      <c r="G23" s="2">
        <v>0</v>
      </c>
      <c r="H23" s="2"/>
      <c r="I23" s="2">
        <v>0</v>
      </c>
      <c r="J23" s="11"/>
      <c r="K23" s="2">
        <v>571500</v>
      </c>
      <c r="M23" s="2">
        <v>28686183282</v>
      </c>
      <c r="O23" s="2">
        <v>25855157130</v>
      </c>
      <c r="Q23" s="2">
        <v>2831026152</v>
      </c>
    </row>
    <row r="24" spans="1:17" ht="21" x14ac:dyDescent="0.55000000000000004">
      <c r="A24" s="10" t="s">
        <v>248</v>
      </c>
      <c r="C24" s="2">
        <v>0</v>
      </c>
      <c r="D24" s="2"/>
      <c r="E24" s="2">
        <v>0</v>
      </c>
      <c r="F24" s="2"/>
      <c r="G24" s="2">
        <v>0</v>
      </c>
      <c r="H24" s="2"/>
      <c r="I24" s="2">
        <v>0</v>
      </c>
      <c r="J24" s="11"/>
      <c r="K24" s="2">
        <v>7153333</v>
      </c>
      <c r="M24" s="2">
        <v>13179826386</v>
      </c>
      <c r="O24" s="2">
        <v>20026688699</v>
      </c>
      <c r="Q24" s="2">
        <v>-6846862313</v>
      </c>
    </row>
    <row r="25" spans="1:17" ht="21" x14ac:dyDescent="0.55000000000000004">
      <c r="A25" s="10" t="s">
        <v>122</v>
      </c>
      <c r="C25" s="2">
        <v>0</v>
      </c>
      <c r="D25" s="2"/>
      <c r="E25" s="2">
        <v>0</v>
      </c>
      <c r="F25" s="2"/>
      <c r="G25" s="2">
        <v>0</v>
      </c>
      <c r="H25" s="2"/>
      <c r="I25" s="2">
        <v>0</v>
      </c>
      <c r="J25" s="11"/>
      <c r="K25" s="2">
        <v>1800000</v>
      </c>
      <c r="M25" s="2">
        <v>6943185870</v>
      </c>
      <c r="O25" s="2">
        <v>5823878975</v>
      </c>
      <c r="Q25" s="2">
        <v>1119306895</v>
      </c>
    </row>
    <row r="26" spans="1:17" ht="21" x14ac:dyDescent="0.55000000000000004">
      <c r="A26" s="10" t="s">
        <v>121</v>
      </c>
      <c r="C26" s="2">
        <v>0</v>
      </c>
      <c r="D26" s="2"/>
      <c r="E26" s="2">
        <v>0</v>
      </c>
      <c r="F26" s="2"/>
      <c r="G26" s="2">
        <v>0</v>
      </c>
      <c r="H26" s="2"/>
      <c r="I26" s="2">
        <v>0</v>
      </c>
      <c r="J26" s="11"/>
      <c r="K26" s="2">
        <v>1600000</v>
      </c>
      <c r="M26" s="2">
        <v>11093598204</v>
      </c>
      <c r="O26" s="2">
        <v>10398956604</v>
      </c>
      <c r="Q26" s="2">
        <v>694641600</v>
      </c>
    </row>
    <row r="27" spans="1:17" ht="21" x14ac:dyDescent="0.55000000000000004">
      <c r="A27" s="10" t="s">
        <v>282</v>
      </c>
      <c r="C27" s="2">
        <v>0</v>
      </c>
      <c r="D27" s="2"/>
      <c r="E27" s="2">
        <v>0</v>
      </c>
      <c r="F27" s="2"/>
      <c r="G27" s="2">
        <v>0</v>
      </c>
      <c r="H27" s="2"/>
      <c r="I27" s="2">
        <v>0</v>
      </c>
      <c r="J27" s="11"/>
      <c r="K27" s="2">
        <v>200000</v>
      </c>
      <c r="M27" s="2">
        <v>1455289206</v>
      </c>
      <c r="O27" s="2">
        <v>1656800112</v>
      </c>
      <c r="Q27" s="2">
        <v>-201510906</v>
      </c>
    </row>
    <row r="28" spans="1:17" ht="21" x14ac:dyDescent="0.55000000000000004">
      <c r="A28" s="10" t="s">
        <v>120</v>
      </c>
      <c r="C28" s="2">
        <v>0</v>
      </c>
      <c r="D28" s="2"/>
      <c r="E28" s="2">
        <v>0</v>
      </c>
      <c r="F28" s="2"/>
      <c r="G28" s="2">
        <v>0</v>
      </c>
      <c r="H28" s="2"/>
      <c r="I28" s="2">
        <v>0</v>
      </c>
      <c r="J28" s="11"/>
      <c r="K28" s="2">
        <v>595000</v>
      </c>
      <c r="M28" s="2">
        <v>17461482461</v>
      </c>
      <c r="O28" s="2">
        <v>11150692921</v>
      </c>
      <c r="Q28" s="2">
        <v>6310789540</v>
      </c>
    </row>
    <row r="29" spans="1:17" ht="21" x14ac:dyDescent="0.55000000000000004">
      <c r="A29" s="10" t="s">
        <v>119</v>
      </c>
      <c r="C29" s="2">
        <v>0</v>
      </c>
      <c r="D29" s="2"/>
      <c r="E29" s="2">
        <v>0</v>
      </c>
      <c r="F29" s="2"/>
      <c r="G29" s="2">
        <v>0</v>
      </c>
      <c r="H29" s="2"/>
      <c r="I29" s="2">
        <v>0</v>
      </c>
      <c r="J29" s="11"/>
      <c r="K29" s="2">
        <v>24550000</v>
      </c>
      <c r="M29" s="2">
        <v>10454155037</v>
      </c>
      <c r="O29" s="2">
        <v>12909789487</v>
      </c>
      <c r="Q29" s="2">
        <v>-2455634450</v>
      </c>
    </row>
    <row r="30" spans="1:17" ht="21" x14ac:dyDescent="0.55000000000000004">
      <c r="A30" s="10" t="s">
        <v>81</v>
      </c>
      <c r="C30" s="2">
        <v>562500</v>
      </c>
      <c r="E30" s="2">
        <v>5927023203</v>
      </c>
      <c r="G30" s="2">
        <v>5087921028</v>
      </c>
      <c r="I30" s="2">
        <v>839102175</v>
      </c>
      <c r="K30" s="2">
        <v>562500</v>
      </c>
      <c r="M30" s="2">
        <v>5927023203</v>
      </c>
      <c r="O30" s="2">
        <v>5087921028</v>
      </c>
      <c r="Q30" s="2">
        <v>839102175</v>
      </c>
    </row>
    <row r="31" spans="1:17" ht="21" x14ac:dyDescent="0.55000000000000004">
      <c r="A31" s="10" t="s">
        <v>281</v>
      </c>
      <c r="C31" s="2">
        <v>0</v>
      </c>
      <c r="D31" s="2"/>
      <c r="E31" s="2">
        <v>0</v>
      </c>
      <c r="F31" s="2"/>
      <c r="G31" s="2">
        <v>0</v>
      </c>
      <c r="H31" s="2"/>
      <c r="I31" s="2">
        <v>0</v>
      </c>
      <c r="J31" s="11"/>
      <c r="K31" s="2">
        <v>28192301</v>
      </c>
      <c r="M31" s="2">
        <v>11377970441</v>
      </c>
      <c r="O31" s="2">
        <v>9641682117</v>
      </c>
      <c r="Q31" s="2">
        <v>1736288324</v>
      </c>
    </row>
    <row r="32" spans="1:17" ht="21" x14ac:dyDescent="0.55000000000000004">
      <c r="A32" s="10" t="s">
        <v>280</v>
      </c>
      <c r="C32" s="2">
        <v>0</v>
      </c>
      <c r="D32" s="2"/>
      <c r="E32" s="2">
        <v>0</v>
      </c>
      <c r="F32" s="2"/>
      <c r="G32" s="2">
        <v>0</v>
      </c>
      <c r="H32" s="2"/>
      <c r="I32" s="2">
        <v>0</v>
      </c>
      <c r="J32" s="11"/>
      <c r="K32" s="2">
        <v>700000</v>
      </c>
      <c r="M32" s="2">
        <v>13113781594</v>
      </c>
      <c r="O32" s="2">
        <v>11995700499</v>
      </c>
      <c r="Q32" s="2">
        <v>1118081095</v>
      </c>
    </row>
    <row r="33" spans="1:17" ht="21" x14ac:dyDescent="0.55000000000000004">
      <c r="A33" s="10" t="s">
        <v>80</v>
      </c>
      <c r="C33" s="2">
        <v>0</v>
      </c>
      <c r="D33" s="2"/>
      <c r="E33" s="2">
        <v>0</v>
      </c>
      <c r="F33" s="2"/>
      <c r="G33" s="2">
        <v>0</v>
      </c>
      <c r="H33" s="2"/>
      <c r="I33" s="2">
        <v>0</v>
      </c>
      <c r="J33" s="11"/>
      <c r="K33" s="2">
        <v>35065000</v>
      </c>
      <c r="M33" s="2">
        <v>44207425683</v>
      </c>
      <c r="O33" s="2">
        <v>50664088529</v>
      </c>
      <c r="Q33" s="2">
        <v>-6456662846</v>
      </c>
    </row>
    <row r="34" spans="1:17" ht="21" x14ac:dyDescent="0.55000000000000004">
      <c r="A34" s="10" t="s">
        <v>118</v>
      </c>
      <c r="C34" s="2">
        <v>0</v>
      </c>
      <c r="D34" s="2"/>
      <c r="E34" s="2">
        <v>0</v>
      </c>
      <c r="F34" s="2"/>
      <c r="G34" s="2">
        <v>0</v>
      </c>
      <c r="H34" s="2"/>
      <c r="I34" s="2">
        <v>0</v>
      </c>
      <c r="J34" s="11"/>
      <c r="K34" s="2">
        <v>24869520</v>
      </c>
      <c r="M34" s="2">
        <v>29276157072</v>
      </c>
      <c r="O34" s="2">
        <v>29713114579</v>
      </c>
      <c r="Q34" s="2">
        <v>-436957507</v>
      </c>
    </row>
    <row r="35" spans="1:17" ht="21" x14ac:dyDescent="0.55000000000000004">
      <c r="A35" s="10" t="s">
        <v>79</v>
      </c>
      <c r="C35" s="2">
        <v>150000</v>
      </c>
      <c r="E35" s="2">
        <v>4310101431</v>
      </c>
      <c r="G35" s="2">
        <v>3785127106</v>
      </c>
      <c r="I35" s="2">
        <v>524974325</v>
      </c>
      <c r="K35" s="2">
        <v>710000</v>
      </c>
      <c r="M35" s="2">
        <v>20319472287</v>
      </c>
      <c r="O35" s="2">
        <v>18491000536</v>
      </c>
      <c r="Q35" s="2">
        <v>1828471751</v>
      </c>
    </row>
    <row r="36" spans="1:17" ht="21" x14ac:dyDescent="0.55000000000000004">
      <c r="A36" s="10" t="s">
        <v>78</v>
      </c>
      <c r="C36" s="2">
        <v>0</v>
      </c>
      <c r="D36" s="2"/>
      <c r="E36" s="2">
        <v>0</v>
      </c>
      <c r="F36" s="2"/>
      <c r="G36" s="2">
        <v>0</v>
      </c>
      <c r="H36" s="2"/>
      <c r="I36" s="2">
        <v>0</v>
      </c>
      <c r="J36" s="11"/>
      <c r="K36" s="2">
        <v>350000</v>
      </c>
      <c r="M36" s="2">
        <v>3740111563</v>
      </c>
      <c r="O36" s="2">
        <v>3817043463</v>
      </c>
      <c r="Q36" s="2">
        <v>-76931900</v>
      </c>
    </row>
    <row r="37" spans="1:17" ht="21" x14ac:dyDescent="0.55000000000000004">
      <c r="A37" s="10" t="s">
        <v>77</v>
      </c>
      <c r="C37" s="2">
        <v>500000</v>
      </c>
      <c r="E37" s="2">
        <v>5439878259</v>
      </c>
      <c r="G37" s="2">
        <v>5095474940</v>
      </c>
      <c r="I37" s="2">
        <v>344403319</v>
      </c>
      <c r="K37" s="2">
        <v>3579048</v>
      </c>
      <c r="M37" s="2">
        <v>33601271387</v>
      </c>
      <c r="O37" s="2">
        <v>37581505343</v>
      </c>
      <c r="Q37" s="2">
        <v>-3980233956</v>
      </c>
    </row>
    <row r="38" spans="1:17" ht="21" x14ac:dyDescent="0.55000000000000004">
      <c r="A38" s="10" t="s">
        <v>268</v>
      </c>
      <c r="C38" s="2">
        <v>0</v>
      </c>
      <c r="D38" s="2"/>
      <c r="E38" s="2">
        <v>0</v>
      </c>
      <c r="F38" s="2"/>
      <c r="G38" s="2">
        <v>0</v>
      </c>
      <c r="H38" s="2"/>
      <c r="I38" s="2">
        <v>0</v>
      </c>
      <c r="J38" s="11"/>
      <c r="K38" s="2">
        <v>2785714</v>
      </c>
      <c r="M38" s="2">
        <v>14503087056</v>
      </c>
      <c r="O38" s="2">
        <v>13601258776</v>
      </c>
      <c r="Q38" s="2">
        <v>901828280</v>
      </c>
    </row>
    <row r="39" spans="1:17" ht="21" x14ac:dyDescent="0.55000000000000004">
      <c r="A39" s="10" t="s">
        <v>117</v>
      </c>
      <c r="C39" s="2">
        <v>0</v>
      </c>
      <c r="D39" s="2"/>
      <c r="E39" s="2">
        <v>0</v>
      </c>
      <c r="F39" s="2"/>
      <c r="G39" s="2">
        <v>0</v>
      </c>
      <c r="H39" s="2"/>
      <c r="I39" s="2">
        <v>0</v>
      </c>
      <c r="J39" s="11"/>
      <c r="K39" s="2">
        <v>1500000</v>
      </c>
      <c r="M39" s="2">
        <v>5027159397</v>
      </c>
      <c r="O39" s="2">
        <v>4624224597</v>
      </c>
      <c r="Q39" s="2">
        <v>402934800</v>
      </c>
    </row>
    <row r="40" spans="1:17" ht="21" x14ac:dyDescent="0.55000000000000004">
      <c r="A40" s="10" t="s">
        <v>116</v>
      </c>
      <c r="C40" s="2">
        <v>0</v>
      </c>
      <c r="D40" s="2"/>
      <c r="E40" s="2">
        <v>0</v>
      </c>
      <c r="F40" s="2"/>
      <c r="G40" s="2">
        <v>0</v>
      </c>
      <c r="H40" s="2"/>
      <c r="I40" s="2">
        <v>0</v>
      </c>
      <c r="J40" s="11"/>
      <c r="K40" s="2">
        <v>6500000</v>
      </c>
      <c r="M40" s="2">
        <v>7988466469</v>
      </c>
      <c r="O40" s="2">
        <v>7759422823</v>
      </c>
      <c r="Q40" s="2">
        <v>229043646</v>
      </c>
    </row>
    <row r="41" spans="1:17" ht="21" x14ac:dyDescent="0.55000000000000004">
      <c r="A41" s="10" t="s">
        <v>247</v>
      </c>
      <c r="C41" s="2">
        <v>150000</v>
      </c>
      <c r="E41" s="2">
        <v>1347242876</v>
      </c>
      <c r="G41" s="2">
        <v>1275528729</v>
      </c>
      <c r="I41" s="2">
        <v>71714147</v>
      </c>
      <c r="K41" s="2">
        <v>1150000</v>
      </c>
      <c r="M41" s="2">
        <v>11800314299</v>
      </c>
      <c r="O41" s="2">
        <v>10730589250</v>
      </c>
      <c r="Q41" s="2">
        <v>1069725049</v>
      </c>
    </row>
    <row r="42" spans="1:17" ht="21" x14ac:dyDescent="0.55000000000000004">
      <c r="A42" s="10" t="s">
        <v>76</v>
      </c>
      <c r="C42" s="2">
        <v>0</v>
      </c>
      <c r="D42" s="2"/>
      <c r="E42" s="2">
        <v>0</v>
      </c>
      <c r="F42" s="2"/>
      <c r="G42" s="2">
        <v>0</v>
      </c>
      <c r="H42" s="2"/>
      <c r="I42" s="2">
        <v>0</v>
      </c>
      <c r="J42" s="11"/>
      <c r="K42" s="2">
        <v>1383146</v>
      </c>
      <c r="M42" s="2">
        <v>16041014404</v>
      </c>
      <c r="O42" s="2">
        <v>13226976376</v>
      </c>
      <c r="Q42" s="2">
        <v>2814038028</v>
      </c>
    </row>
    <row r="43" spans="1:17" ht="21" x14ac:dyDescent="0.55000000000000004">
      <c r="A43" s="10" t="s">
        <v>75</v>
      </c>
      <c r="C43" s="2">
        <v>0</v>
      </c>
      <c r="D43" s="2"/>
      <c r="E43" s="2">
        <v>0</v>
      </c>
      <c r="F43" s="2"/>
      <c r="G43" s="2">
        <v>0</v>
      </c>
      <c r="H43" s="2"/>
      <c r="I43" s="2">
        <v>0</v>
      </c>
      <c r="J43" s="11"/>
      <c r="K43" s="2">
        <v>220501</v>
      </c>
      <c r="M43" s="2">
        <v>3715512713</v>
      </c>
      <c r="O43" s="2">
        <v>3508947776</v>
      </c>
      <c r="Q43" s="2">
        <v>206564937</v>
      </c>
    </row>
    <row r="44" spans="1:17" ht="21" x14ac:dyDescent="0.55000000000000004">
      <c r="A44" s="10" t="s">
        <v>115</v>
      </c>
      <c r="C44" s="2">
        <v>0</v>
      </c>
      <c r="D44" s="2"/>
      <c r="E44" s="2">
        <v>0</v>
      </c>
      <c r="F44" s="2"/>
      <c r="G44" s="2">
        <v>0</v>
      </c>
      <c r="H44" s="2"/>
      <c r="I44" s="2">
        <v>0</v>
      </c>
      <c r="J44" s="11"/>
      <c r="K44" s="2">
        <v>2400000</v>
      </c>
      <c r="M44" s="2">
        <v>7129862097</v>
      </c>
      <c r="O44" s="2">
        <v>11764251845</v>
      </c>
      <c r="Q44" s="2">
        <v>-4634389748</v>
      </c>
    </row>
    <row r="45" spans="1:17" ht="21" x14ac:dyDescent="0.55000000000000004">
      <c r="A45" s="10" t="s">
        <v>114</v>
      </c>
      <c r="C45" s="2">
        <v>0</v>
      </c>
      <c r="D45" s="2"/>
      <c r="E45" s="2">
        <v>0</v>
      </c>
      <c r="F45" s="2"/>
      <c r="G45" s="2">
        <v>0</v>
      </c>
      <c r="H45" s="2"/>
      <c r="I45" s="2">
        <v>0</v>
      </c>
      <c r="J45" s="11"/>
      <c r="K45" s="2">
        <v>750000</v>
      </c>
      <c r="M45" s="2">
        <v>6006550068</v>
      </c>
      <c r="O45" s="2">
        <v>5409054971</v>
      </c>
      <c r="Q45" s="2">
        <v>597495097</v>
      </c>
    </row>
    <row r="46" spans="1:17" ht="21" x14ac:dyDescent="0.55000000000000004">
      <c r="A46" s="10" t="s">
        <v>113</v>
      </c>
      <c r="C46" s="2">
        <v>0</v>
      </c>
      <c r="D46" s="2"/>
      <c r="E46" s="2">
        <v>0</v>
      </c>
      <c r="F46" s="2"/>
      <c r="G46" s="2">
        <v>0</v>
      </c>
      <c r="H46" s="2"/>
      <c r="I46" s="2">
        <v>0</v>
      </c>
      <c r="J46" s="11"/>
      <c r="K46" s="2">
        <v>3000000</v>
      </c>
      <c r="M46" s="2">
        <v>11374254037</v>
      </c>
      <c r="O46" s="2">
        <v>9240548720</v>
      </c>
      <c r="Q46" s="2">
        <v>2133705317</v>
      </c>
    </row>
    <row r="47" spans="1:17" ht="21" x14ac:dyDescent="0.55000000000000004">
      <c r="A47" s="10" t="s">
        <v>112</v>
      </c>
      <c r="C47" s="2">
        <v>0</v>
      </c>
      <c r="D47" s="2"/>
      <c r="E47" s="2">
        <v>0</v>
      </c>
      <c r="F47" s="2"/>
      <c r="G47" s="2">
        <v>0</v>
      </c>
      <c r="H47" s="2"/>
      <c r="I47" s="2">
        <v>0</v>
      </c>
      <c r="J47" s="11"/>
      <c r="K47" s="2">
        <v>9506493</v>
      </c>
      <c r="M47" s="2">
        <v>25599861319</v>
      </c>
      <c r="O47" s="2">
        <v>24151987937</v>
      </c>
      <c r="Q47" s="2">
        <v>1447873382</v>
      </c>
    </row>
    <row r="48" spans="1:17" ht="21" x14ac:dyDescent="0.55000000000000004">
      <c r="A48" s="10" t="s">
        <v>74</v>
      </c>
      <c r="C48" s="2">
        <v>0</v>
      </c>
      <c r="D48" s="2"/>
      <c r="E48" s="2">
        <v>0</v>
      </c>
      <c r="F48" s="2"/>
      <c r="G48" s="2">
        <v>0</v>
      </c>
      <c r="H48" s="2"/>
      <c r="I48" s="2">
        <v>0</v>
      </c>
      <c r="J48" s="11"/>
      <c r="K48" s="2">
        <v>1875000</v>
      </c>
      <c r="M48" s="2">
        <v>6657539463</v>
      </c>
      <c r="O48" s="2">
        <v>6059096579</v>
      </c>
      <c r="Q48" s="2">
        <v>598442884</v>
      </c>
    </row>
    <row r="49" spans="1:17" ht="21" x14ac:dyDescent="0.55000000000000004">
      <c r="A49" s="10" t="s">
        <v>73</v>
      </c>
      <c r="C49" s="2">
        <v>300000</v>
      </c>
      <c r="E49" s="2">
        <v>2699839811</v>
      </c>
      <c r="G49" s="2">
        <v>2100291062</v>
      </c>
      <c r="I49" s="2">
        <v>599548749</v>
      </c>
      <c r="K49" s="2">
        <v>6365870</v>
      </c>
      <c r="M49" s="2">
        <v>53181072025</v>
      </c>
      <c r="O49" s="2">
        <v>47696876207</v>
      </c>
      <c r="Q49" s="2">
        <v>5484195818</v>
      </c>
    </row>
    <row r="50" spans="1:17" ht="21" x14ac:dyDescent="0.55000000000000004">
      <c r="A50" s="10" t="s">
        <v>72</v>
      </c>
      <c r="C50" s="2">
        <v>336500</v>
      </c>
      <c r="E50" s="2">
        <v>5444124375</v>
      </c>
      <c r="G50" s="2">
        <v>6176082642</v>
      </c>
      <c r="I50" s="2">
        <v>-731958267</v>
      </c>
      <c r="K50" s="2">
        <v>979165</v>
      </c>
      <c r="M50" s="2">
        <v>18837209335</v>
      </c>
      <c r="O50" s="2">
        <v>20750932828</v>
      </c>
      <c r="Q50" s="2">
        <v>-1913723493</v>
      </c>
    </row>
    <row r="51" spans="1:17" ht="21" x14ac:dyDescent="0.55000000000000004">
      <c r="A51" s="10" t="s">
        <v>71</v>
      </c>
      <c r="C51" s="2">
        <v>0</v>
      </c>
      <c r="D51" s="2"/>
      <c r="E51" s="2">
        <v>0</v>
      </c>
      <c r="F51" s="2"/>
      <c r="G51" s="2">
        <v>0</v>
      </c>
      <c r="H51" s="2"/>
      <c r="I51" s="2">
        <v>0</v>
      </c>
      <c r="J51" s="11"/>
      <c r="K51" s="2">
        <v>3800000</v>
      </c>
      <c r="M51" s="2">
        <v>23683463035</v>
      </c>
      <c r="O51" s="2">
        <v>25997778915</v>
      </c>
      <c r="Q51" s="2">
        <v>-2314315880</v>
      </c>
    </row>
    <row r="52" spans="1:17" ht="21" x14ac:dyDescent="0.55000000000000004">
      <c r="A52" s="10" t="s">
        <v>279</v>
      </c>
      <c r="C52" s="2">
        <v>0</v>
      </c>
      <c r="D52" s="2"/>
      <c r="E52" s="2">
        <v>0</v>
      </c>
      <c r="F52" s="2"/>
      <c r="G52" s="2">
        <v>0</v>
      </c>
      <c r="H52" s="2"/>
      <c r="I52" s="2">
        <v>0</v>
      </c>
      <c r="J52" s="11"/>
      <c r="K52" s="2">
        <v>265</v>
      </c>
      <c r="M52" s="2">
        <v>5023485</v>
      </c>
      <c r="O52" s="2">
        <v>4865758</v>
      </c>
      <c r="Q52" s="2">
        <v>157727</v>
      </c>
    </row>
    <row r="53" spans="1:17" ht="21" x14ac:dyDescent="0.55000000000000004">
      <c r="A53" s="10" t="s">
        <v>111</v>
      </c>
      <c r="C53" s="2">
        <v>0</v>
      </c>
      <c r="D53" s="2"/>
      <c r="E53" s="2">
        <v>0</v>
      </c>
      <c r="F53" s="2"/>
      <c r="G53" s="2">
        <v>0</v>
      </c>
      <c r="H53" s="2"/>
      <c r="I53" s="2">
        <v>0</v>
      </c>
      <c r="J53" s="11"/>
      <c r="K53" s="2">
        <v>800000</v>
      </c>
      <c r="M53" s="2">
        <v>2926501004</v>
      </c>
      <c r="O53" s="2">
        <v>3290681565</v>
      </c>
      <c r="Q53" s="2">
        <v>-364180561</v>
      </c>
    </row>
    <row r="54" spans="1:17" ht="21" x14ac:dyDescent="0.55000000000000004">
      <c r="A54" s="10" t="s">
        <v>70</v>
      </c>
      <c r="C54" s="2">
        <v>0</v>
      </c>
      <c r="D54" s="2"/>
      <c r="E54" s="2">
        <v>0</v>
      </c>
      <c r="F54" s="2"/>
      <c r="G54" s="2">
        <v>0</v>
      </c>
      <c r="H54" s="2"/>
      <c r="I54" s="2">
        <v>0</v>
      </c>
      <c r="J54" s="11"/>
      <c r="K54" s="2">
        <v>16214566</v>
      </c>
      <c r="M54" s="2">
        <v>32438711144</v>
      </c>
      <c r="O54" s="2">
        <v>39973740709</v>
      </c>
      <c r="Q54" s="2">
        <v>-7535029565</v>
      </c>
    </row>
    <row r="55" spans="1:17" ht="21" x14ac:dyDescent="0.55000000000000004">
      <c r="A55" s="10" t="s">
        <v>69</v>
      </c>
      <c r="C55" s="2">
        <v>0</v>
      </c>
      <c r="D55" s="2"/>
      <c r="E55" s="2">
        <v>0</v>
      </c>
      <c r="F55" s="2"/>
      <c r="G55" s="2">
        <v>0</v>
      </c>
      <c r="H55" s="2"/>
      <c r="I55" s="2">
        <v>0</v>
      </c>
      <c r="J55" s="11"/>
      <c r="K55" s="2">
        <v>11666211</v>
      </c>
      <c r="M55" s="2">
        <v>32987478001</v>
      </c>
      <c r="O55" s="2">
        <v>46362737316</v>
      </c>
      <c r="Q55" s="2">
        <v>-13375259315</v>
      </c>
    </row>
    <row r="56" spans="1:17" ht="21" x14ac:dyDescent="0.55000000000000004">
      <c r="A56" s="10" t="s">
        <v>68</v>
      </c>
      <c r="C56" s="2">
        <v>0</v>
      </c>
      <c r="D56" s="2"/>
      <c r="E56" s="2">
        <v>0</v>
      </c>
      <c r="F56" s="2"/>
      <c r="G56" s="2">
        <v>0</v>
      </c>
      <c r="H56" s="2"/>
      <c r="I56" s="2">
        <v>0</v>
      </c>
      <c r="J56" s="11"/>
      <c r="K56" s="2">
        <v>1900000</v>
      </c>
      <c r="M56" s="2">
        <v>6041239517</v>
      </c>
      <c r="O56" s="2">
        <v>8261460708</v>
      </c>
      <c r="Q56" s="2">
        <v>-2220221191</v>
      </c>
    </row>
    <row r="57" spans="1:17" ht="21" x14ac:dyDescent="0.55000000000000004">
      <c r="A57" s="10" t="s">
        <v>110</v>
      </c>
      <c r="C57" s="2">
        <v>0</v>
      </c>
      <c r="D57" s="2"/>
      <c r="E57" s="2">
        <v>0</v>
      </c>
      <c r="F57" s="2"/>
      <c r="G57" s="2">
        <v>0</v>
      </c>
      <c r="H57" s="2"/>
      <c r="I57" s="2">
        <v>0</v>
      </c>
      <c r="J57" s="11"/>
      <c r="K57" s="2">
        <v>200000</v>
      </c>
      <c r="M57" s="2">
        <v>2200826700</v>
      </c>
      <c r="O57" s="2">
        <v>3619085400</v>
      </c>
      <c r="Q57" s="2">
        <v>-1418258700</v>
      </c>
    </row>
    <row r="58" spans="1:17" ht="21" x14ac:dyDescent="0.55000000000000004">
      <c r="A58" s="10" t="s">
        <v>278</v>
      </c>
      <c r="C58" s="2">
        <v>0</v>
      </c>
      <c r="D58" s="2"/>
      <c r="E58" s="2">
        <v>0</v>
      </c>
      <c r="F58" s="2"/>
      <c r="G58" s="2">
        <v>0</v>
      </c>
      <c r="H58" s="2"/>
      <c r="I58" s="2">
        <v>0</v>
      </c>
      <c r="J58" s="11"/>
      <c r="K58" s="2">
        <v>2308532</v>
      </c>
      <c r="M58" s="2">
        <v>16092601741</v>
      </c>
      <c r="O58" s="2">
        <v>18567404004</v>
      </c>
      <c r="Q58" s="2">
        <v>-2474802263</v>
      </c>
    </row>
    <row r="59" spans="1:17" ht="21" x14ac:dyDescent="0.55000000000000004">
      <c r="A59" s="10" t="s">
        <v>109</v>
      </c>
      <c r="C59" s="2">
        <v>0</v>
      </c>
      <c r="D59" s="2"/>
      <c r="E59" s="2">
        <v>0</v>
      </c>
      <c r="F59" s="2"/>
      <c r="G59" s="2">
        <v>0</v>
      </c>
      <c r="H59" s="2"/>
      <c r="I59" s="2">
        <v>0</v>
      </c>
      <c r="J59" s="11"/>
      <c r="K59" s="2">
        <v>200000</v>
      </c>
      <c r="M59" s="2">
        <v>2425482010</v>
      </c>
      <c r="O59" s="2">
        <v>2325651668</v>
      </c>
      <c r="Q59" s="2">
        <v>99830342</v>
      </c>
    </row>
    <row r="60" spans="1:17" ht="21" x14ac:dyDescent="0.55000000000000004">
      <c r="A60" s="10" t="s">
        <v>108</v>
      </c>
      <c r="C60" s="2">
        <v>0</v>
      </c>
      <c r="D60" s="2"/>
      <c r="E60" s="2">
        <v>0</v>
      </c>
      <c r="F60" s="2"/>
      <c r="G60" s="2">
        <v>0</v>
      </c>
      <c r="H60" s="2"/>
      <c r="I60" s="2">
        <v>0</v>
      </c>
      <c r="J60" s="11"/>
      <c r="K60" s="2">
        <v>29010652</v>
      </c>
      <c r="M60" s="2">
        <v>14989091885</v>
      </c>
      <c r="O60" s="2">
        <v>17788300976</v>
      </c>
      <c r="Q60" s="2">
        <v>-2799209091</v>
      </c>
    </row>
    <row r="61" spans="1:17" ht="21" x14ac:dyDescent="0.55000000000000004">
      <c r="A61" s="10" t="s">
        <v>107</v>
      </c>
      <c r="C61" s="2">
        <v>0</v>
      </c>
      <c r="D61" s="2"/>
      <c r="E61" s="2">
        <v>0</v>
      </c>
      <c r="F61" s="2"/>
      <c r="G61" s="2">
        <v>0</v>
      </c>
      <c r="H61" s="2"/>
      <c r="I61" s="2">
        <v>0</v>
      </c>
      <c r="J61" s="11"/>
      <c r="K61" s="2">
        <v>1800000</v>
      </c>
      <c r="M61" s="2">
        <v>30209179739</v>
      </c>
      <c r="O61" s="2">
        <v>29106262207</v>
      </c>
      <c r="Q61" s="2">
        <v>1102917532</v>
      </c>
    </row>
    <row r="62" spans="1:17" ht="21" x14ac:dyDescent="0.55000000000000004">
      <c r="A62" s="10" t="s">
        <v>67</v>
      </c>
      <c r="C62" s="2">
        <v>0</v>
      </c>
      <c r="D62" s="2"/>
      <c r="E62" s="2">
        <v>0</v>
      </c>
      <c r="F62" s="2"/>
      <c r="G62" s="2">
        <v>0</v>
      </c>
      <c r="H62" s="2"/>
      <c r="I62" s="2">
        <v>0</v>
      </c>
      <c r="J62" s="11"/>
      <c r="K62" s="2">
        <v>2421626</v>
      </c>
      <c r="M62" s="2">
        <v>13863899230</v>
      </c>
      <c r="O62" s="2">
        <v>14571250792</v>
      </c>
      <c r="Q62" s="2">
        <v>-707351562</v>
      </c>
    </row>
    <row r="63" spans="1:17" ht="21" x14ac:dyDescent="0.55000000000000004">
      <c r="A63" s="10" t="s">
        <v>106</v>
      </c>
      <c r="C63" s="2">
        <v>0</v>
      </c>
      <c r="D63" s="2"/>
      <c r="E63" s="2">
        <v>0</v>
      </c>
      <c r="F63" s="2"/>
      <c r="G63" s="2">
        <v>0</v>
      </c>
      <c r="H63" s="2"/>
      <c r="I63" s="2">
        <v>0</v>
      </c>
      <c r="J63" s="11"/>
      <c r="K63" s="2">
        <v>350000</v>
      </c>
      <c r="M63" s="2">
        <v>15081074811</v>
      </c>
      <c r="O63" s="2">
        <v>14272760561</v>
      </c>
      <c r="Q63" s="2">
        <v>808314250</v>
      </c>
    </row>
    <row r="64" spans="1:17" ht="21" x14ac:dyDescent="0.55000000000000004">
      <c r="A64" s="10" t="s">
        <v>66</v>
      </c>
      <c r="C64" s="2">
        <v>0</v>
      </c>
      <c r="D64" s="2"/>
      <c r="E64" s="2">
        <v>0</v>
      </c>
      <c r="F64" s="2"/>
      <c r="G64" s="2">
        <v>0</v>
      </c>
      <c r="H64" s="2"/>
      <c r="I64" s="2">
        <v>0</v>
      </c>
      <c r="J64" s="11"/>
      <c r="K64" s="2">
        <v>5238461</v>
      </c>
      <c r="M64" s="2">
        <v>34717716562</v>
      </c>
      <c r="O64" s="2">
        <v>32329663239</v>
      </c>
      <c r="Q64" s="2">
        <v>2388053323</v>
      </c>
    </row>
    <row r="65" spans="1:17" ht="21" x14ac:dyDescent="0.55000000000000004">
      <c r="A65" s="10" t="s">
        <v>245</v>
      </c>
      <c r="C65" s="2">
        <v>0</v>
      </c>
      <c r="D65" s="2"/>
      <c r="E65" s="2">
        <v>0</v>
      </c>
      <c r="F65" s="2"/>
      <c r="G65" s="2">
        <v>0</v>
      </c>
      <c r="H65" s="2"/>
      <c r="I65" s="2">
        <v>0</v>
      </c>
      <c r="J65" s="11"/>
      <c r="K65" s="2">
        <v>800000</v>
      </c>
      <c r="M65" s="2">
        <v>10662800069</v>
      </c>
      <c r="O65" s="2">
        <v>10816752314</v>
      </c>
      <c r="Q65" s="2">
        <v>-153952245</v>
      </c>
    </row>
    <row r="66" spans="1:17" ht="21" x14ac:dyDescent="0.55000000000000004">
      <c r="A66" s="10" t="s">
        <v>105</v>
      </c>
      <c r="C66" s="2">
        <v>0</v>
      </c>
      <c r="D66" s="2"/>
      <c r="E66" s="2">
        <v>0</v>
      </c>
      <c r="F66" s="2"/>
      <c r="G66" s="2">
        <v>0</v>
      </c>
      <c r="H66" s="2"/>
      <c r="I66" s="2">
        <v>0</v>
      </c>
      <c r="J66" s="11"/>
      <c r="K66" s="2">
        <v>450000</v>
      </c>
      <c r="M66" s="2">
        <v>5159086050</v>
      </c>
      <c r="O66" s="2">
        <v>2461380650</v>
      </c>
      <c r="Q66" s="2">
        <v>2697705400</v>
      </c>
    </row>
    <row r="67" spans="1:17" ht="21" x14ac:dyDescent="0.55000000000000004">
      <c r="A67" s="10" t="s">
        <v>65</v>
      </c>
      <c r="C67" s="2">
        <v>0</v>
      </c>
      <c r="D67" s="2"/>
      <c r="E67" s="2">
        <v>0</v>
      </c>
      <c r="F67" s="2"/>
      <c r="G67" s="2">
        <v>0</v>
      </c>
      <c r="H67" s="2"/>
      <c r="I67" s="2">
        <v>0</v>
      </c>
      <c r="J67" s="11"/>
      <c r="K67" s="2">
        <v>6350000</v>
      </c>
      <c r="M67" s="2">
        <v>22645405314</v>
      </c>
      <c r="O67" s="2">
        <v>21259314721</v>
      </c>
      <c r="Q67" s="2">
        <v>1386090593</v>
      </c>
    </row>
    <row r="68" spans="1:17" ht="21" x14ac:dyDescent="0.55000000000000004">
      <c r="A68" s="10" t="s">
        <v>244</v>
      </c>
      <c r="C68" s="2">
        <v>0</v>
      </c>
      <c r="D68" s="2"/>
      <c r="E68" s="2">
        <v>0</v>
      </c>
      <c r="F68" s="2"/>
      <c r="G68" s="2">
        <v>0</v>
      </c>
      <c r="H68" s="2"/>
      <c r="I68" s="2">
        <v>0</v>
      </c>
      <c r="J68" s="11"/>
      <c r="K68" s="2">
        <v>100000</v>
      </c>
      <c r="M68" s="2">
        <v>1065621606</v>
      </c>
      <c r="O68" s="2">
        <v>1021148013</v>
      </c>
      <c r="Q68" s="2">
        <v>44473593</v>
      </c>
    </row>
    <row r="69" spans="1:17" ht="21" x14ac:dyDescent="0.55000000000000004">
      <c r="A69" s="10" t="s">
        <v>264</v>
      </c>
      <c r="C69" s="2">
        <v>0</v>
      </c>
      <c r="D69" s="2"/>
      <c r="E69" s="2">
        <v>0</v>
      </c>
      <c r="F69" s="2"/>
      <c r="G69" s="2">
        <v>0</v>
      </c>
      <c r="H69" s="2"/>
      <c r="I69" s="2">
        <v>0</v>
      </c>
      <c r="J69" s="11"/>
      <c r="K69" s="2">
        <v>600000</v>
      </c>
      <c r="M69" s="2">
        <v>7733463755</v>
      </c>
      <c r="O69" s="2">
        <v>9716827406</v>
      </c>
      <c r="Q69" s="2">
        <v>-1983363651</v>
      </c>
    </row>
    <row r="70" spans="1:17" ht="21" x14ac:dyDescent="0.55000000000000004">
      <c r="A70" s="10" t="s">
        <v>243</v>
      </c>
      <c r="C70" s="2">
        <v>551000</v>
      </c>
      <c r="E70" s="2">
        <v>12008637542</v>
      </c>
      <c r="G70" s="2">
        <v>9487412379</v>
      </c>
      <c r="I70" s="2">
        <v>2521225163</v>
      </c>
      <c r="K70" s="2">
        <v>601000</v>
      </c>
      <c r="M70" s="2">
        <v>12840723753</v>
      </c>
      <c r="O70" s="2">
        <v>10313896135</v>
      </c>
      <c r="Q70" s="2">
        <v>2526827618</v>
      </c>
    </row>
    <row r="71" spans="1:17" ht="21" x14ac:dyDescent="0.55000000000000004">
      <c r="A71" s="10" t="s">
        <v>242</v>
      </c>
      <c r="C71" s="2">
        <v>0</v>
      </c>
      <c r="D71" s="2"/>
      <c r="E71" s="2">
        <v>0</v>
      </c>
      <c r="F71" s="2"/>
      <c r="G71" s="2">
        <v>0</v>
      </c>
      <c r="H71" s="2"/>
      <c r="I71" s="2">
        <v>0</v>
      </c>
      <c r="J71" s="11"/>
      <c r="K71" s="2">
        <v>2185981</v>
      </c>
      <c r="M71" s="2">
        <v>5186646380</v>
      </c>
      <c r="O71" s="2">
        <v>4642931841</v>
      </c>
      <c r="Q71" s="2">
        <v>543714539</v>
      </c>
    </row>
    <row r="72" spans="1:17" ht="21" x14ac:dyDescent="0.55000000000000004">
      <c r="A72" s="10" t="s">
        <v>64</v>
      </c>
      <c r="C72" s="2">
        <v>100000</v>
      </c>
      <c r="E72" s="2">
        <v>7242158695</v>
      </c>
      <c r="G72" s="2">
        <v>6175079109</v>
      </c>
      <c r="I72" s="2">
        <v>1067079586</v>
      </c>
      <c r="K72" s="2">
        <v>357000</v>
      </c>
      <c r="M72" s="2">
        <v>21271958804</v>
      </c>
      <c r="O72" s="2">
        <v>21513877463</v>
      </c>
      <c r="Q72" s="2">
        <v>-241918659</v>
      </c>
    </row>
    <row r="73" spans="1:17" ht="21" x14ac:dyDescent="0.55000000000000004">
      <c r="A73" s="10" t="s">
        <v>241</v>
      </c>
      <c r="C73" s="2">
        <v>1150000</v>
      </c>
      <c r="E73" s="2">
        <v>6477414731</v>
      </c>
      <c r="G73" s="2">
        <v>5107056250</v>
      </c>
      <c r="I73" s="2">
        <v>1370358481</v>
      </c>
      <c r="K73" s="2">
        <v>4250000</v>
      </c>
      <c r="M73" s="2">
        <v>21116284063</v>
      </c>
      <c r="O73" s="2">
        <v>18890794780</v>
      </c>
      <c r="Q73" s="2">
        <v>2225489283</v>
      </c>
    </row>
    <row r="74" spans="1:17" ht="21" x14ac:dyDescent="0.55000000000000004">
      <c r="A74" s="10" t="s">
        <v>104</v>
      </c>
      <c r="C74" s="2">
        <v>0</v>
      </c>
      <c r="D74" s="2"/>
      <c r="E74" s="2">
        <v>0</v>
      </c>
      <c r="F74" s="2"/>
      <c r="G74" s="2">
        <v>0</v>
      </c>
      <c r="H74" s="2"/>
      <c r="I74" s="2">
        <v>0</v>
      </c>
      <c r="J74" s="11"/>
      <c r="K74" s="2">
        <v>300000</v>
      </c>
      <c r="M74" s="2">
        <v>17148228183</v>
      </c>
      <c r="O74" s="2">
        <v>19238834411</v>
      </c>
      <c r="Q74" s="2">
        <v>-2090606228</v>
      </c>
    </row>
    <row r="75" spans="1:17" ht="21" x14ac:dyDescent="0.55000000000000004">
      <c r="A75" s="10" t="s">
        <v>240</v>
      </c>
      <c r="C75" s="2">
        <v>0</v>
      </c>
      <c r="D75" s="2"/>
      <c r="E75" s="2">
        <v>0</v>
      </c>
      <c r="F75" s="2"/>
      <c r="G75" s="2">
        <v>0</v>
      </c>
      <c r="H75" s="2"/>
      <c r="I75" s="2">
        <v>0</v>
      </c>
      <c r="J75" s="11"/>
      <c r="K75" s="2">
        <v>85000</v>
      </c>
      <c r="M75" s="2">
        <v>4870275581</v>
      </c>
      <c r="O75" s="2">
        <v>4305403546</v>
      </c>
      <c r="Q75" s="2">
        <v>564872035</v>
      </c>
    </row>
    <row r="76" spans="1:17" ht="21" x14ac:dyDescent="0.55000000000000004">
      <c r="A76" s="10" t="s">
        <v>239</v>
      </c>
      <c r="C76" s="2">
        <v>150000</v>
      </c>
      <c r="E76" s="2">
        <v>6661016859</v>
      </c>
      <c r="G76" s="2">
        <v>4957911543</v>
      </c>
      <c r="I76" s="2">
        <v>1703105316</v>
      </c>
      <c r="K76" s="2">
        <v>424900</v>
      </c>
      <c r="M76" s="2">
        <v>18539607169</v>
      </c>
      <c r="O76" s="2">
        <v>14046078876</v>
      </c>
      <c r="Q76" s="2">
        <v>4493528293</v>
      </c>
    </row>
    <row r="77" spans="1:17" ht="21" x14ac:dyDescent="0.55000000000000004">
      <c r="A77" s="10" t="s">
        <v>103</v>
      </c>
      <c r="C77" s="2">
        <v>0</v>
      </c>
      <c r="D77" s="2"/>
      <c r="E77" s="2">
        <v>0</v>
      </c>
      <c r="F77" s="2"/>
      <c r="G77" s="2">
        <v>0</v>
      </c>
      <c r="H77" s="2"/>
      <c r="I77" s="2">
        <v>0</v>
      </c>
      <c r="J77" s="11"/>
      <c r="K77" s="2">
        <v>2400000</v>
      </c>
      <c r="M77" s="2">
        <v>7208005595</v>
      </c>
      <c r="O77" s="2">
        <v>7470331903</v>
      </c>
      <c r="Q77" s="2">
        <v>-262326308</v>
      </c>
    </row>
    <row r="78" spans="1:17" ht="21" x14ac:dyDescent="0.55000000000000004">
      <c r="A78" s="10" t="s">
        <v>238</v>
      </c>
      <c r="C78" s="2">
        <v>0</v>
      </c>
      <c r="D78" s="2"/>
      <c r="E78" s="2">
        <v>0</v>
      </c>
      <c r="F78" s="2"/>
      <c r="G78" s="2">
        <v>0</v>
      </c>
      <c r="H78" s="2"/>
      <c r="I78" s="2">
        <v>0</v>
      </c>
      <c r="J78" s="11"/>
      <c r="K78" s="2">
        <v>20000</v>
      </c>
      <c r="M78" s="2">
        <v>4904535772</v>
      </c>
      <c r="O78" s="2">
        <v>4125772382</v>
      </c>
      <c r="Q78" s="2">
        <v>778763390</v>
      </c>
    </row>
    <row r="79" spans="1:17" ht="21" x14ac:dyDescent="0.55000000000000004">
      <c r="A79" s="10" t="s">
        <v>237</v>
      </c>
      <c r="C79" s="2">
        <v>0</v>
      </c>
      <c r="D79" s="2"/>
      <c r="E79" s="2">
        <v>0</v>
      </c>
      <c r="F79" s="2"/>
      <c r="G79" s="2">
        <v>0</v>
      </c>
      <c r="H79" s="2"/>
      <c r="I79" s="2">
        <v>0</v>
      </c>
      <c r="J79" s="11"/>
      <c r="K79" s="2">
        <v>918099</v>
      </c>
      <c r="M79" s="2">
        <v>14773201574</v>
      </c>
      <c r="O79" s="2">
        <v>17860441670</v>
      </c>
      <c r="Q79" s="2">
        <v>-3087240096</v>
      </c>
    </row>
    <row r="80" spans="1:17" ht="21" x14ac:dyDescent="0.55000000000000004">
      <c r="A80" s="10" t="s">
        <v>259</v>
      </c>
      <c r="C80" s="2">
        <v>0</v>
      </c>
      <c r="D80" s="2"/>
      <c r="E80" s="2">
        <v>0</v>
      </c>
      <c r="F80" s="2"/>
      <c r="G80" s="2">
        <v>0</v>
      </c>
      <c r="H80" s="2"/>
      <c r="I80" s="2">
        <v>0</v>
      </c>
      <c r="J80" s="11"/>
      <c r="K80" s="2">
        <v>4827187</v>
      </c>
      <c r="M80" s="2">
        <v>20951547550</v>
      </c>
      <c r="O80" s="2">
        <v>20518046622</v>
      </c>
      <c r="Q80" s="2">
        <v>433500928</v>
      </c>
    </row>
    <row r="81" spans="1:17" ht="21" x14ac:dyDescent="0.55000000000000004">
      <c r="A81" s="10" t="s">
        <v>62</v>
      </c>
      <c r="C81" s="2">
        <v>0</v>
      </c>
      <c r="D81" s="2"/>
      <c r="E81" s="2">
        <v>0</v>
      </c>
      <c r="F81" s="2"/>
      <c r="G81" s="2">
        <v>0</v>
      </c>
      <c r="H81" s="2"/>
      <c r="I81" s="2">
        <v>0</v>
      </c>
      <c r="J81" s="11"/>
      <c r="K81" s="2">
        <v>1600000</v>
      </c>
      <c r="M81" s="2">
        <v>11515075234</v>
      </c>
      <c r="O81" s="2">
        <v>8281095234</v>
      </c>
      <c r="Q81" s="2">
        <v>3233980000</v>
      </c>
    </row>
    <row r="82" spans="1:17" ht="21" x14ac:dyDescent="0.55000000000000004">
      <c r="A82" s="10" t="s">
        <v>61</v>
      </c>
      <c r="C82" s="2">
        <v>0</v>
      </c>
      <c r="D82" s="2"/>
      <c r="E82" s="2">
        <v>0</v>
      </c>
      <c r="F82" s="2"/>
      <c r="G82" s="2">
        <v>0</v>
      </c>
      <c r="H82" s="2"/>
      <c r="I82" s="2">
        <v>0</v>
      </c>
      <c r="J82" s="11"/>
      <c r="K82" s="2">
        <v>100000</v>
      </c>
      <c r="M82" s="2">
        <v>3094180615</v>
      </c>
      <c r="O82" s="2">
        <v>2533845915</v>
      </c>
      <c r="Q82" s="2">
        <v>560334700</v>
      </c>
    </row>
    <row r="83" spans="1:17" ht="21" x14ac:dyDescent="0.55000000000000004">
      <c r="A83" s="10" t="s">
        <v>60</v>
      </c>
      <c r="C83" s="2">
        <v>50000</v>
      </c>
      <c r="E83" s="2">
        <v>3702836318</v>
      </c>
      <c r="G83" s="2">
        <v>2353298280</v>
      </c>
      <c r="I83" s="2">
        <v>1349538038</v>
      </c>
      <c r="K83" s="2">
        <v>735000</v>
      </c>
      <c r="M83" s="2">
        <v>44812416949</v>
      </c>
      <c r="O83" s="2">
        <v>33586628760</v>
      </c>
      <c r="Q83" s="2">
        <v>11225788189</v>
      </c>
    </row>
    <row r="84" spans="1:17" ht="21" x14ac:dyDescent="0.55000000000000004">
      <c r="A84" s="10" t="s">
        <v>59</v>
      </c>
      <c r="C84" s="2">
        <v>0</v>
      </c>
      <c r="D84" s="2"/>
      <c r="E84" s="2">
        <v>0</v>
      </c>
      <c r="F84" s="2"/>
      <c r="G84" s="2">
        <v>0</v>
      </c>
      <c r="H84" s="2"/>
      <c r="I84" s="2">
        <v>0</v>
      </c>
      <c r="J84" s="11"/>
      <c r="K84" s="2">
        <v>904441</v>
      </c>
      <c r="M84" s="2">
        <v>1483381171</v>
      </c>
      <c r="O84" s="2">
        <v>3110157143</v>
      </c>
      <c r="Q84" s="2">
        <v>-1626775972</v>
      </c>
    </row>
    <row r="85" spans="1:17" ht="21" x14ac:dyDescent="0.55000000000000004">
      <c r="A85" s="10" t="s">
        <v>277</v>
      </c>
      <c r="C85" s="2">
        <v>0</v>
      </c>
      <c r="D85" s="2"/>
      <c r="E85" s="2">
        <v>0</v>
      </c>
      <c r="F85" s="2"/>
      <c r="G85" s="2">
        <v>0</v>
      </c>
      <c r="H85" s="2"/>
      <c r="I85" s="2">
        <v>0</v>
      </c>
      <c r="J85" s="11"/>
      <c r="K85" s="2">
        <v>3550000</v>
      </c>
      <c r="M85" s="2">
        <v>12949938069</v>
      </c>
      <c r="O85" s="2">
        <v>15446070222</v>
      </c>
      <c r="Q85" s="2">
        <v>-2496132153</v>
      </c>
    </row>
    <row r="86" spans="1:17" ht="21" x14ac:dyDescent="0.55000000000000004">
      <c r="A86" s="10" t="s">
        <v>58</v>
      </c>
      <c r="C86" s="2">
        <v>2283</v>
      </c>
      <c r="E86" s="2">
        <v>14501572</v>
      </c>
      <c r="G86" s="2">
        <v>11494181</v>
      </c>
      <c r="I86" s="2">
        <v>3007391</v>
      </c>
      <c r="K86" s="2">
        <v>2283</v>
      </c>
      <c r="M86" s="2">
        <v>14501572</v>
      </c>
      <c r="O86" s="2">
        <v>11494181</v>
      </c>
      <c r="Q86" s="2">
        <v>3007391</v>
      </c>
    </row>
    <row r="87" spans="1:17" ht="21" x14ac:dyDescent="0.55000000000000004">
      <c r="A87" s="10" t="s">
        <v>102</v>
      </c>
      <c r="C87" s="2">
        <v>0</v>
      </c>
      <c r="D87" s="2"/>
      <c r="E87" s="2">
        <v>0</v>
      </c>
      <c r="F87" s="2"/>
      <c r="G87" s="2">
        <v>0</v>
      </c>
      <c r="H87" s="2"/>
      <c r="I87" s="2">
        <v>0</v>
      </c>
      <c r="J87" s="11"/>
      <c r="K87" s="2">
        <v>4400000</v>
      </c>
      <c r="M87" s="2">
        <v>22370101322</v>
      </c>
      <c r="O87" s="2">
        <v>23887172128</v>
      </c>
      <c r="Q87" s="2">
        <v>-1517070806</v>
      </c>
    </row>
    <row r="88" spans="1:17" ht="21" x14ac:dyDescent="0.55000000000000004">
      <c r="A88" s="10" t="s">
        <v>101</v>
      </c>
      <c r="C88" s="2">
        <v>1800000</v>
      </c>
      <c r="E88" s="2">
        <v>3675691659</v>
      </c>
      <c r="G88" s="2">
        <v>5858257244</v>
      </c>
      <c r="I88" s="2">
        <v>-2182565585</v>
      </c>
      <c r="K88" s="2">
        <v>1403444</v>
      </c>
      <c r="M88" s="2">
        <v>1452292363</v>
      </c>
      <c r="O88" s="2">
        <v>10633989085</v>
      </c>
      <c r="Q88" s="2">
        <v>-9181696722</v>
      </c>
    </row>
    <row r="89" spans="1:17" ht="21.75" thickBot="1" x14ac:dyDescent="0.6">
      <c r="A89" s="12" t="s">
        <v>9</v>
      </c>
      <c r="C89" s="5"/>
      <c r="E89" s="12">
        <f>SUM(E9:$E$88)</f>
        <v>78216198879</v>
      </c>
      <c r="G89" s="12">
        <f>SUM(G9:$G$88)</f>
        <v>69212171335</v>
      </c>
      <c r="I89" s="12">
        <f>SUM(I9:$I$88)</f>
        <v>10687199767</v>
      </c>
      <c r="K89" s="5"/>
      <c r="M89" s="12">
        <f>SUM(M9:$M$88)</f>
        <v>1098685267010</v>
      </c>
      <c r="O89" s="12">
        <f>SUM(O9:$O$88)</f>
        <v>1114420814823</v>
      </c>
      <c r="Q89" s="12">
        <f>SUM(Q9:$Q$88)</f>
        <v>9978324146</v>
      </c>
    </row>
    <row r="90" spans="1:17" ht="21.75" thickTop="1" x14ac:dyDescent="0.55000000000000004">
      <c r="C90" s="5"/>
      <c r="E90" s="4"/>
      <c r="G90" s="4"/>
      <c r="I90" s="4"/>
      <c r="K90" s="5"/>
      <c r="M90" s="4"/>
      <c r="O90" s="4"/>
      <c r="Q90" s="4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6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9D25-B03B-47CA-BACE-E23F8A4865CB}">
  <sheetPr>
    <pageSetUpPr fitToPage="1"/>
  </sheetPr>
  <dimension ref="A1:Q49"/>
  <sheetViews>
    <sheetView rightToLeft="1" view="pageBreakPreview" zoomScale="60" zoomScaleNormal="100" workbookViewId="0">
      <selection activeCell="A47" sqref="A47:XFD47"/>
    </sheetView>
  </sheetViews>
  <sheetFormatPr defaultColWidth="8.85546875" defaultRowHeight="19.5" x14ac:dyDescent="0.55000000000000004"/>
  <cols>
    <col min="1" max="1" width="34.42578125" style="8" customWidth="1"/>
    <col min="2" max="2" width="1.42578125" style="8" customWidth="1"/>
    <col min="3" max="3" width="14.140625" style="8" customWidth="1"/>
    <col min="4" max="4" width="1.42578125" style="8" customWidth="1"/>
    <col min="5" max="5" width="17" style="8" customWidth="1"/>
    <col min="6" max="6" width="1.42578125" style="8" customWidth="1"/>
    <col min="7" max="7" width="17" style="8" customWidth="1"/>
    <col min="8" max="8" width="1.42578125" style="8" customWidth="1"/>
    <col min="9" max="9" width="17" style="8" customWidth="1"/>
    <col min="10" max="10" width="1.42578125" style="8" customWidth="1"/>
    <col min="11" max="11" width="14.140625" style="8" customWidth="1"/>
    <col min="12" max="12" width="1.42578125" style="8" customWidth="1"/>
    <col min="13" max="13" width="17" style="8" customWidth="1"/>
    <col min="14" max="14" width="1.42578125" style="8" customWidth="1"/>
    <col min="15" max="15" width="17" style="8" customWidth="1"/>
    <col min="16" max="16" width="1.42578125" style="8" customWidth="1"/>
    <col min="17" max="17" width="17" style="8" customWidth="1"/>
    <col min="18" max="16384" width="8.85546875" style="8"/>
  </cols>
  <sheetData>
    <row r="1" spans="1:17" ht="19.899999999999999" customHeight="1" x14ac:dyDescent="0.55000000000000004">
      <c r="A1" s="49" t="s">
        <v>251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9.899999999999999" customHeight="1" x14ac:dyDescent="0.55000000000000004">
      <c r="A2" s="49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19.899999999999999" customHeight="1" x14ac:dyDescent="0.55000000000000004">
      <c r="A3" s="4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5" spans="1:17" ht="21" x14ac:dyDescent="0.55000000000000004">
      <c r="A5" s="50" t="s">
        <v>39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7" spans="1:17" ht="21" x14ac:dyDescent="0.55000000000000004">
      <c r="C7" s="51" t="s">
        <v>146</v>
      </c>
      <c r="D7" s="52"/>
      <c r="E7" s="52"/>
      <c r="F7" s="52"/>
      <c r="G7" s="52"/>
      <c r="H7" s="52"/>
      <c r="I7" s="52"/>
      <c r="K7" s="51" t="s">
        <v>147</v>
      </c>
      <c r="L7" s="52"/>
      <c r="M7" s="52"/>
      <c r="N7" s="52"/>
      <c r="O7" s="52"/>
      <c r="P7" s="52"/>
      <c r="Q7" s="52"/>
    </row>
    <row r="8" spans="1:17" ht="42" x14ac:dyDescent="0.55000000000000004">
      <c r="A8" s="9" t="s">
        <v>25</v>
      </c>
      <c r="C8" s="7" t="s">
        <v>4</v>
      </c>
      <c r="E8" s="7" t="s">
        <v>6</v>
      </c>
      <c r="G8" s="7" t="s">
        <v>37</v>
      </c>
      <c r="I8" s="7" t="s">
        <v>40</v>
      </c>
      <c r="K8" s="7" t="s">
        <v>4</v>
      </c>
      <c r="M8" s="7" t="s">
        <v>6</v>
      </c>
      <c r="O8" s="7" t="s">
        <v>37</v>
      </c>
      <c r="Q8" s="7" t="s">
        <v>40</v>
      </c>
    </row>
    <row r="9" spans="1:17" ht="21" x14ac:dyDescent="0.55000000000000004">
      <c r="A9" s="10" t="s">
        <v>250</v>
      </c>
      <c r="C9" s="2">
        <v>4200000</v>
      </c>
      <c r="E9" s="2">
        <v>18174615774</v>
      </c>
      <c r="G9" s="2">
        <v>17668642320</v>
      </c>
      <c r="I9" s="2">
        <v>505973454</v>
      </c>
      <c r="K9" s="2">
        <v>4200000</v>
      </c>
      <c r="M9" s="2">
        <v>18174615774</v>
      </c>
      <c r="O9" s="2">
        <v>14099676972</v>
      </c>
      <c r="Q9" s="2">
        <v>4074938802</v>
      </c>
    </row>
    <row r="10" spans="1:17" ht="21" x14ac:dyDescent="0.55000000000000004">
      <c r="A10" s="10" t="s">
        <v>84</v>
      </c>
      <c r="C10" s="2">
        <v>48400000</v>
      </c>
      <c r="E10" s="2">
        <v>25741865248</v>
      </c>
      <c r="G10" s="2">
        <v>26248597522</v>
      </c>
      <c r="I10" s="2">
        <v>-506732274</v>
      </c>
      <c r="K10" s="2">
        <v>48400000</v>
      </c>
      <c r="M10" s="2">
        <v>25741865248</v>
      </c>
      <c r="O10" s="2">
        <v>21432740918</v>
      </c>
      <c r="Q10" s="2">
        <v>4309124330</v>
      </c>
    </row>
    <row r="11" spans="1:17" ht="21" x14ac:dyDescent="0.55000000000000004">
      <c r="A11" s="10" t="s">
        <v>234</v>
      </c>
      <c r="C11" s="2"/>
      <c r="E11" s="2"/>
      <c r="G11" s="2"/>
      <c r="I11" s="2">
        <v>-1538193548</v>
      </c>
      <c r="K11" s="2"/>
      <c r="M11" s="2"/>
      <c r="O11" s="2"/>
      <c r="Q11" s="2">
        <v>-24871394</v>
      </c>
    </row>
    <row r="12" spans="1:17" ht="21" x14ac:dyDescent="0.55000000000000004">
      <c r="A12" s="10" t="s">
        <v>235</v>
      </c>
      <c r="C12" s="2"/>
      <c r="E12" s="2"/>
      <c r="G12" s="2"/>
      <c r="I12" s="2">
        <v>-1079977991</v>
      </c>
      <c r="K12" s="2"/>
      <c r="M12" s="2"/>
      <c r="O12" s="2"/>
      <c r="Q12" s="2">
        <v>51006744</v>
      </c>
    </row>
    <row r="13" spans="1:17" ht="21" x14ac:dyDescent="0.55000000000000004">
      <c r="A13" s="10" t="s">
        <v>249</v>
      </c>
      <c r="C13" s="2">
        <v>8800000</v>
      </c>
      <c r="E13" s="2">
        <v>4095296744</v>
      </c>
      <c r="G13" s="2">
        <v>4172509660</v>
      </c>
      <c r="I13" s="2">
        <v>-77212916</v>
      </c>
      <c r="K13" s="2">
        <v>8800000</v>
      </c>
      <c r="M13" s="2">
        <v>4095296744</v>
      </c>
      <c r="O13" s="2">
        <v>4172509660</v>
      </c>
      <c r="Q13" s="2">
        <v>-77212916</v>
      </c>
    </row>
    <row r="14" spans="1:17" ht="21" x14ac:dyDescent="0.55000000000000004">
      <c r="A14" s="10" t="s">
        <v>124</v>
      </c>
      <c r="C14" s="2">
        <v>36200000</v>
      </c>
      <c r="E14" s="2">
        <v>42888687756</v>
      </c>
      <c r="G14" s="2">
        <v>44470464848</v>
      </c>
      <c r="I14" s="2">
        <v>-1581777092</v>
      </c>
      <c r="K14" s="2">
        <v>36200000</v>
      </c>
      <c r="M14" s="2">
        <v>42888687756</v>
      </c>
      <c r="O14" s="2">
        <v>36019954582</v>
      </c>
      <c r="Q14" s="2">
        <v>6868733174</v>
      </c>
    </row>
    <row r="15" spans="1:17" ht="21" x14ac:dyDescent="0.55000000000000004">
      <c r="A15" s="10" t="s">
        <v>82</v>
      </c>
      <c r="C15" s="2">
        <v>1700000</v>
      </c>
      <c r="E15" s="2">
        <v>8353325768</v>
      </c>
      <c r="G15" s="2">
        <v>7296114819</v>
      </c>
      <c r="I15" s="2">
        <v>1057210949</v>
      </c>
      <c r="K15" s="2">
        <v>1700000</v>
      </c>
      <c r="M15" s="2">
        <v>8353325768</v>
      </c>
      <c r="O15" s="2">
        <v>7884259784</v>
      </c>
      <c r="Q15" s="2">
        <v>469065984</v>
      </c>
    </row>
    <row r="16" spans="1:17" ht="21" x14ac:dyDescent="0.55000000000000004">
      <c r="A16" s="10" t="s">
        <v>248</v>
      </c>
      <c r="C16" s="2">
        <v>2650000</v>
      </c>
      <c r="E16" s="2">
        <v>5734973305</v>
      </c>
      <c r="G16" s="2">
        <v>5453175785</v>
      </c>
      <c r="I16" s="2">
        <v>281797520</v>
      </c>
      <c r="K16" s="2">
        <v>2650000</v>
      </c>
      <c r="M16" s="2">
        <v>5734973305</v>
      </c>
      <c r="O16" s="2">
        <v>6521339166</v>
      </c>
      <c r="Q16" s="2">
        <v>-786365861</v>
      </c>
    </row>
    <row r="17" spans="1:17" ht="21" x14ac:dyDescent="0.55000000000000004">
      <c r="A17" s="10" t="s">
        <v>81</v>
      </c>
      <c r="C17" s="2">
        <v>562500</v>
      </c>
      <c r="E17" s="2">
        <v>5654078494</v>
      </c>
      <c r="G17" s="2">
        <v>5123397825</v>
      </c>
      <c r="I17" s="2">
        <v>530680669</v>
      </c>
      <c r="K17" s="2">
        <v>562500</v>
      </c>
      <c r="M17" s="2">
        <v>5654078494</v>
      </c>
      <c r="O17" s="2">
        <v>5123397825</v>
      </c>
      <c r="Q17" s="2">
        <v>530680669</v>
      </c>
    </row>
    <row r="18" spans="1:17" ht="21" x14ac:dyDescent="0.55000000000000004">
      <c r="A18" s="10" t="s">
        <v>80</v>
      </c>
      <c r="C18" s="2">
        <v>21941000</v>
      </c>
      <c r="E18" s="2">
        <v>28999499565</v>
      </c>
      <c r="G18" s="2">
        <v>31253093143</v>
      </c>
      <c r="I18" s="2">
        <v>-2253593578</v>
      </c>
      <c r="K18" s="2">
        <v>21941000</v>
      </c>
      <c r="M18" s="2">
        <v>28999499565</v>
      </c>
      <c r="O18" s="2">
        <v>31479935446</v>
      </c>
      <c r="Q18" s="2">
        <v>-2480435881</v>
      </c>
    </row>
    <row r="19" spans="1:17" ht="21" x14ac:dyDescent="0.55000000000000004">
      <c r="A19" s="10" t="s">
        <v>79</v>
      </c>
      <c r="C19" s="2">
        <v>350000</v>
      </c>
      <c r="E19" s="2">
        <v>10064594610</v>
      </c>
      <c r="G19" s="2">
        <v>9240950825</v>
      </c>
      <c r="I19" s="2">
        <v>823643785</v>
      </c>
      <c r="K19" s="2">
        <v>350000</v>
      </c>
      <c r="M19" s="2">
        <v>10064594610</v>
      </c>
      <c r="O19" s="2">
        <v>8892159905</v>
      </c>
      <c r="Q19" s="2">
        <v>1172434705</v>
      </c>
    </row>
    <row r="20" spans="1:17" ht="21" x14ac:dyDescent="0.55000000000000004">
      <c r="A20" s="10" t="s">
        <v>78</v>
      </c>
      <c r="C20" s="2">
        <v>2250000</v>
      </c>
      <c r="E20" s="2">
        <v>21366053775</v>
      </c>
      <c r="G20" s="2">
        <v>24826398750</v>
      </c>
      <c r="I20" s="2">
        <v>-3460344975</v>
      </c>
      <c r="K20" s="2">
        <v>2250000</v>
      </c>
      <c r="M20" s="2">
        <v>21366053775</v>
      </c>
      <c r="O20" s="2">
        <v>24682051805</v>
      </c>
      <c r="Q20" s="2">
        <v>-3315998030</v>
      </c>
    </row>
    <row r="21" spans="1:17" ht="21" x14ac:dyDescent="0.55000000000000004">
      <c r="A21" s="10" t="s">
        <v>77</v>
      </c>
      <c r="C21" s="2">
        <v>3600000</v>
      </c>
      <c r="E21" s="2">
        <v>40151213280</v>
      </c>
      <c r="G21" s="2">
        <v>36103834315</v>
      </c>
      <c r="I21" s="2">
        <v>4047378965</v>
      </c>
      <c r="K21" s="2">
        <v>3600000</v>
      </c>
      <c r="M21" s="2">
        <v>40151213280</v>
      </c>
      <c r="O21" s="2">
        <v>36921858491</v>
      </c>
      <c r="Q21" s="2">
        <v>3229354789</v>
      </c>
    </row>
    <row r="22" spans="1:17" ht="21" x14ac:dyDescent="0.55000000000000004">
      <c r="A22" s="10" t="s">
        <v>247</v>
      </c>
      <c r="C22" s="2">
        <v>1850000</v>
      </c>
      <c r="E22" s="2">
        <v>16759936435</v>
      </c>
      <c r="G22" s="2">
        <v>15155562977</v>
      </c>
      <c r="I22" s="2">
        <v>1604373458</v>
      </c>
      <c r="K22" s="2">
        <v>1850000</v>
      </c>
      <c r="M22" s="2">
        <v>16759936435</v>
      </c>
      <c r="O22" s="2">
        <v>17251259197</v>
      </c>
      <c r="Q22" s="2">
        <v>-491322762</v>
      </c>
    </row>
    <row r="23" spans="1:17" ht="21" x14ac:dyDescent="0.55000000000000004">
      <c r="A23" s="10" t="s">
        <v>246</v>
      </c>
      <c r="C23" s="2">
        <v>200000</v>
      </c>
      <c r="E23" s="2">
        <v>1530080340</v>
      </c>
      <c r="G23" s="2">
        <v>1519709532</v>
      </c>
      <c r="I23" s="2">
        <v>10370808</v>
      </c>
      <c r="K23" s="2">
        <v>200000</v>
      </c>
      <c r="M23" s="2">
        <v>1530080340</v>
      </c>
      <c r="O23" s="2">
        <v>1519709532</v>
      </c>
      <c r="Q23" s="2">
        <v>10370808</v>
      </c>
    </row>
    <row r="24" spans="1:17" ht="21" x14ac:dyDescent="0.55000000000000004">
      <c r="A24" s="10" t="s">
        <v>75</v>
      </c>
      <c r="C24" s="2">
        <v>580000</v>
      </c>
      <c r="E24" s="2">
        <v>10474402120</v>
      </c>
      <c r="G24" s="2">
        <v>9830305262</v>
      </c>
      <c r="I24" s="2">
        <v>644096858</v>
      </c>
      <c r="K24" s="2">
        <v>580000</v>
      </c>
      <c r="M24" s="2">
        <v>10474402120</v>
      </c>
      <c r="O24" s="2">
        <v>9478097970</v>
      </c>
      <c r="Q24" s="2">
        <v>996304150</v>
      </c>
    </row>
    <row r="25" spans="1:17" ht="21" x14ac:dyDescent="0.55000000000000004">
      <c r="A25" s="10" t="s">
        <v>74</v>
      </c>
      <c r="C25" s="2">
        <v>1875000</v>
      </c>
      <c r="E25" s="2">
        <v>6295953150</v>
      </c>
      <c r="G25" s="2">
        <v>6018351469</v>
      </c>
      <c r="I25" s="2">
        <v>277601681</v>
      </c>
      <c r="K25" s="2">
        <v>1875000</v>
      </c>
      <c r="M25" s="2">
        <v>6295953150</v>
      </c>
      <c r="O25" s="2">
        <v>6098945898</v>
      </c>
      <c r="Q25" s="2">
        <v>197007252</v>
      </c>
    </row>
    <row r="26" spans="1:17" ht="21" x14ac:dyDescent="0.55000000000000004">
      <c r="A26" s="10" t="s">
        <v>73</v>
      </c>
      <c r="C26" s="2">
        <v>9800000</v>
      </c>
      <c r="E26" s="2">
        <v>86448546940</v>
      </c>
      <c r="G26" s="2">
        <v>85953798503</v>
      </c>
      <c r="I26" s="2">
        <v>494748437</v>
      </c>
      <c r="K26" s="2">
        <v>9800000</v>
      </c>
      <c r="M26" s="2">
        <v>86448546940</v>
      </c>
      <c r="O26" s="2">
        <v>69137407532</v>
      </c>
      <c r="Q26" s="2">
        <v>17311139408</v>
      </c>
    </row>
    <row r="27" spans="1:17" ht="21" x14ac:dyDescent="0.55000000000000004">
      <c r="A27" s="10" t="s">
        <v>72</v>
      </c>
      <c r="C27" s="2">
        <v>650000</v>
      </c>
      <c r="E27" s="2">
        <v>10351856775</v>
      </c>
      <c r="G27" s="2">
        <v>8794975195</v>
      </c>
      <c r="I27" s="2">
        <v>1556881580</v>
      </c>
      <c r="K27" s="2">
        <v>650000</v>
      </c>
      <c r="M27" s="2">
        <v>10351856775</v>
      </c>
      <c r="O27" s="2">
        <v>11992970891</v>
      </c>
      <c r="Q27" s="2">
        <v>-1641114116</v>
      </c>
    </row>
    <row r="28" spans="1:17" ht="21" x14ac:dyDescent="0.55000000000000004">
      <c r="A28" s="10" t="s">
        <v>69</v>
      </c>
      <c r="C28" s="2">
        <v>16900000</v>
      </c>
      <c r="E28" s="2">
        <v>51481944410</v>
      </c>
      <c r="G28" s="2">
        <v>47101090465</v>
      </c>
      <c r="I28" s="2">
        <v>4380853945</v>
      </c>
      <c r="K28" s="2">
        <v>16900000</v>
      </c>
      <c r="M28" s="2">
        <v>51481944410</v>
      </c>
      <c r="O28" s="2">
        <v>61390155148</v>
      </c>
      <c r="Q28" s="2">
        <v>-9908210738</v>
      </c>
    </row>
    <row r="29" spans="1:17" ht="21" x14ac:dyDescent="0.55000000000000004">
      <c r="A29" s="10" t="s">
        <v>109</v>
      </c>
      <c r="C29" s="2">
        <v>500000</v>
      </c>
      <c r="E29" s="2">
        <v>6067731050</v>
      </c>
      <c r="G29" s="2">
        <v>6396711750</v>
      </c>
      <c r="I29" s="2">
        <v>-328980700</v>
      </c>
      <c r="K29" s="2">
        <v>500000</v>
      </c>
      <c r="M29" s="2">
        <v>6067731050</v>
      </c>
      <c r="O29" s="2">
        <v>6325570798</v>
      </c>
      <c r="Q29" s="2">
        <v>-257839748</v>
      </c>
    </row>
    <row r="30" spans="1:17" ht="21" x14ac:dyDescent="0.55000000000000004">
      <c r="A30" s="10" t="s">
        <v>66</v>
      </c>
      <c r="C30" s="2">
        <v>11000000</v>
      </c>
      <c r="E30" s="2">
        <v>95178538400</v>
      </c>
      <c r="G30" s="2">
        <v>86710981500</v>
      </c>
      <c r="I30" s="2">
        <v>8467556900</v>
      </c>
      <c r="K30" s="2">
        <v>11000000</v>
      </c>
      <c r="M30" s="2">
        <v>95178538400</v>
      </c>
      <c r="O30" s="2">
        <v>64088961893</v>
      </c>
      <c r="Q30" s="2">
        <v>31089576507</v>
      </c>
    </row>
    <row r="31" spans="1:17" ht="21" x14ac:dyDescent="0.55000000000000004">
      <c r="A31" s="10" t="s">
        <v>245</v>
      </c>
      <c r="C31" s="2">
        <v>700000</v>
      </c>
      <c r="E31" s="2">
        <v>9425572730</v>
      </c>
      <c r="G31" s="2">
        <v>9449439300</v>
      </c>
      <c r="I31" s="2">
        <v>-23866570</v>
      </c>
      <c r="K31" s="2">
        <v>700000</v>
      </c>
      <c r="M31" s="2">
        <v>9425572730</v>
      </c>
      <c r="O31" s="2">
        <v>9935597718</v>
      </c>
      <c r="Q31" s="2">
        <v>-510024988</v>
      </c>
    </row>
    <row r="32" spans="1:17" ht="21" x14ac:dyDescent="0.55000000000000004">
      <c r="A32" s="10" t="s">
        <v>65</v>
      </c>
      <c r="C32" s="2">
        <v>8650000</v>
      </c>
      <c r="E32" s="2">
        <v>44915548071</v>
      </c>
      <c r="G32" s="2">
        <v>42132809250</v>
      </c>
      <c r="I32" s="2">
        <v>2782738821</v>
      </c>
      <c r="K32" s="2">
        <v>8650000</v>
      </c>
      <c r="M32" s="2">
        <v>44915548071</v>
      </c>
      <c r="O32" s="2">
        <v>29804676739</v>
      </c>
      <c r="Q32" s="2">
        <v>15110871332</v>
      </c>
    </row>
    <row r="33" spans="1:17" ht="21" x14ac:dyDescent="0.55000000000000004">
      <c r="A33" s="10" t="s">
        <v>244</v>
      </c>
      <c r="C33" s="2">
        <v>4575000</v>
      </c>
      <c r="E33" s="2">
        <v>18753233218</v>
      </c>
      <c r="G33" s="2">
        <v>18787545000</v>
      </c>
      <c r="I33" s="2">
        <v>-34311782</v>
      </c>
      <c r="K33" s="2">
        <v>4575000</v>
      </c>
      <c r="M33" s="2">
        <v>18753233218</v>
      </c>
      <c r="O33" s="2">
        <v>15537437821</v>
      </c>
      <c r="Q33" s="2">
        <v>3215795397</v>
      </c>
    </row>
    <row r="34" spans="1:17" ht="21" x14ac:dyDescent="0.55000000000000004">
      <c r="A34" s="10" t="s">
        <v>243</v>
      </c>
      <c r="C34" s="2">
        <v>249000</v>
      </c>
      <c r="E34" s="2">
        <v>5121869518</v>
      </c>
      <c r="G34" s="2">
        <v>9343563463</v>
      </c>
      <c r="I34" s="2">
        <v>-4221693945</v>
      </c>
      <c r="K34" s="2">
        <v>249000</v>
      </c>
      <c r="M34" s="2">
        <v>5121869518</v>
      </c>
      <c r="O34" s="2">
        <v>4319897537</v>
      </c>
      <c r="Q34" s="2">
        <v>801971981</v>
      </c>
    </row>
    <row r="35" spans="1:17" ht="21" x14ac:dyDescent="0.55000000000000004">
      <c r="A35" s="10" t="s">
        <v>242</v>
      </c>
      <c r="C35" s="2">
        <v>5500000</v>
      </c>
      <c r="E35" s="2">
        <v>17016438230</v>
      </c>
      <c r="G35" s="2">
        <v>15948041175</v>
      </c>
      <c r="I35" s="2">
        <v>1068397055</v>
      </c>
      <c r="K35" s="2">
        <v>5500000</v>
      </c>
      <c r="M35" s="2">
        <v>17016438230</v>
      </c>
      <c r="O35" s="2">
        <v>11941275891</v>
      </c>
      <c r="Q35" s="2">
        <v>5075162339</v>
      </c>
    </row>
    <row r="36" spans="1:17" ht="21" x14ac:dyDescent="0.55000000000000004">
      <c r="A36" s="10" t="s">
        <v>64</v>
      </c>
      <c r="C36" s="2">
        <v>550000</v>
      </c>
      <c r="E36" s="2">
        <v>35719239325</v>
      </c>
      <c r="G36" s="2">
        <v>37656426721</v>
      </c>
      <c r="I36" s="2">
        <v>-1937187396</v>
      </c>
      <c r="K36" s="2">
        <v>550000</v>
      </c>
      <c r="M36" s="2">
        <v>35719239325</v>
      </c>
      <c r="O36" s="2">
        <v>34201352980</v>
      </c>
      <c r="Q36" s="2">
        <v>1517886345</v>
      </c>
    </row>
    <row r="37" spans="1:17" ht="21" x14ac:dyDescent="0.55000000000000004">
      <c r="A37" s="10" t="s">
        <v>241</v>
      </c>
      <c r="C37" s="2">
        <v>1400000</v>
      </c>
      <c r="E37" s="2">
        <v>7821072140</v>
      </c>
      <c r="G37" s="2">
        <v>8544775908</v>
      </c>
      <c r="I37" s="2">
        <v>-723703768</v>
      </c>
      <c r="K37" s="2">
        <v>1400000</v>
      </c>
      <c r="M37" s="2">
        <v>7821072140</v>
      </c>
      <c r="O37" s="2">
        <v>6264485553</v>
      </c>
      <c r="Q37" s="2">
        <v>1556586587</v>
      </c>
    </row>
    <row r="38" spans="1:17" ht="21" x14ac:dyDescent="0.55000000000000004">
      <c r="A38" s="10" t="s">
        <v>240</v>
      </c>
      <c r="C38" s="2">
        <v>200000</v>
      </c>
      <c r="E38" s="2">
        <v>8870893800</v>
      </c>
      <c r="G38" s="2">
        <v>8588592000</v>
      </c>
      <c r="I38" s="2">
        <v>282301800</v>
      </c>
      <c r="K38" s="2">
        <v>200000</v>
      </c>
      <c r="M38" s="2">
        <v>8870893800</v>
      </c>
      <c r="O38" s="2">
        <v>10198953000</v>
      </c>
      <c r="Q38" s="2">
        <v>-1328059200</v>
      </c>
    </row>
    <row r="39" spans="1:17" ht="21" x14ac:dyDescent="0.55000000000000004">
      <c r="A39" s="10" t="s">
        <v>63</v>
      </c>
      <c r="C39" s="2">
        <v>700000</v>
      </c>
      <c r="E39" s="2">
        <v>24949636880</v>
      </c>
      <c r="G39" s="2">
        <v>25069090754</v>
      </c>
      <c r="I39" s="2">
        <v>-119453874</v>
      </c>
      <c r="K39" s="2">
        <v>700000</v>
      </c>
      <c r="M39" s="2">
        <v>24949636880</v>
      </c>
      <c r="O39" s="2">
        <v>24076646434</v>
      </c>
      <c r="Q39" s="2">
        <v>872990446</v>
      </c>
    </row>
    <row r="40" spans="1:17" ht="21" x14ac:dyDescent="0.55000000000000004">
      <c r="A40" s="10" t="s">
        <v>239</v>
      </c>
      <c r="C40" s="2">
        <v>500000</v>
      </c>
      <c r="E40" s="2">
        <v>20673945450</v>
      </c>
      <c r="G40" s="2">
        <v>23942493011</v>
      </c>
      <c r="I40" s="2">
        <v>-3268547561</v>
      </c>
      <c r="K40" s="2">
        <v>500000</v>
      </c>
      <c r="M40" s="2">
        <v>20673945450</v>
      </c>
      <c r="O40" s="2">
        <v>16659272215</v>
      </c>
      <c r="Q40" s="2">
        <v>4014673235</v>
      </c>
    </row>
    <row r="41" spans="1:17" ht="21" x14ac:dyDescent="0.55000000000000004">
      <c r="A41" s="10" t="s">
        <v>103</v>
      </c>
      <c r="C41" s="2">
        <v>3000000</v>
      </c>
      <c r="E41" s="2">
        <v>7721845140</v>
      </c>
      <c r="G41" s="2">
        <v>8373877200</v>
      </c>
      <c r="I41" s="2">
        <v>-652032060</v>
      </c>
      <c r="K41" s="2">
        <v>3000000</v>
      </c>
      <c r="M41" s="2">
        <v>7721845140</v>
      </c>
      <c r="O41" s="2">
        <v>9391845064</v>
      </c>
      <c r="Q41" s="2">
        <v>-1669999924</v>
      </c>
    </row>
    <row r="42" spans="1:17" ht="21" x14ac:dyDescent="0.55000000000000004">
      <c r="A42" s="10" t="s">
        <v>238</v>
      </c>
      <c r="C42" s="2">
        <v>120000</v>
      </c>
      <c r="E42" s="2">
        <v>35685998280</v>
      </c>
      <c r="G42" s="2">
        <v>33984581400</v>
      </c>
      <c r="I42" s="2">
        <v>1701416880</v>
      </c>
      <c r="K42" s="2">
        <v>120000</v>
      </c>
      <c r="M42" s="2">
        <v>35685998280</v>
      </c>
      <c r="O42" s="2">
        <v>25691355258</v>
      </c>
      <c r="Q42" s="2">
        <v>9994643022</v>
      </c>
    </row>
    <row r="43" spans="1:17" ht="21" x14ac:dyDescent="0.55000000000000004">
      <c r="A43" s="10" t="s">
        <v>237</v>
      </c>
      <c r="C43" s="2">
        <v>1100000</v>
      </c>
      <c r="E43" s="2">
        <v>17976955590</v>
      </c>
      <c r="G43" s="2">
        <v>19507237200</v>
      </c>
      <c r="I43" s="2">
        <v>-1530281610</v>
      </c>
      <c r="K43" s="2">
        <v>1100000</v>
      </c>
      <c r="M43" s="2">
        <v>17976955590</v>
      </c>
      <c r="O43" s="2">
        <v>21578642442</v>
      </c>
      <c r="Q43" s="2">
        <v>-3601686852</v>
      </c>
    </row>
    <row r="44" spans="1:17" ht="21" x14ac:dyDescent="0.55000000000000004">
      <c r="A44" s="10" t="s">
        <v>62</v>
      </c>
      <c r="C44" s="2">
        <v>2000000</v>
      </c>
      <c r="E44" s="2">
        <v>15955701600</v>
      </c>
      <c r="G44" s="2">
        <v>14552892000</v>
      </c>
      <c r="I44" s="2">
        <v>1402809600</v>
      </c>
      <c r="K44" s="2">
        <v>2000000</v>
      </c>
      <c r="M44" s="2">
        <v>15955701600</v>
      </c>
      <c r="O44" s="2">
        <v>10437525000</v>
      </c>
      <c r="Q44" s="2">
        <v>5518176600</v>
      </c>
    </row>
    <row r="45" spans="1:17" ht="21" x14ac:dyDescent="0.55000000000000004">
      <c r="A45" s="10" t="s">
        <v>61</v>
      </c>
      <c r="C45" s="2">
        <v>100000</v>
      </c>
      <c r="E45" s="2">
        <v>3443176900</v>
      </c>
      <c r="G45" s="2">
        <v>3002031000</v>
      </c>
      <c r="I45" s="2">
        <v>441145900</v>
      </c>
      <c r="K45" s="2">
        <v>100000</v>
      </c>
      <c r="M45" s="2">
        <v>3443176900</v>
      </c>
      <c r="O45" s="2">
        <v>2552366400</v>
      </c>
      <c r="Q45" s="2">
        <v>890810500</v>
      </c>
    </row>
    <row r="46" spans="1:17" ht="21" x14ac:dyDescent="0.55000000000000004">
      <c r="A46" s="10" t="s">
        <v>60</v>
      </c>
      <c r="C46" s="2">
        <v>350000</v>
      </c>
      <c r="E46" s="2">
        <v>32402576850</v>
      </c>
      <c r="G46" s="2">
        <v>28479850038</v>
      </c>
      <c r="I46" s="2">
        <v>3922726812</v>
      </c>
      <c r="K46" s="2">
        <v>350000</v>
      </c>
      <c r="M46" s="2">
        <v>32402576850</v>
      </c>
      <c r="O46" s="2">
        <v>16628233734</v>
      </c>
      <c r="Q46" s="2">
        <v>15774343116</v>
      </c>
    </row>
    <row r="47" spans="1:17" ht="21" x14ac:dyDescent="0.55000000000000004">
      <c r="A47" s="10" t="s">
        <v>59</v>
      </c>
      <c r="C47" s="2">
        <v>5802960</v>
      </c>
      <c r="E47" s="2">
        <v>14280095736</v>
      </c>
      <c r="G47" s="2">
        <v>14992155776</v>
      </c>
      <c r="I47" s="2">
        <v>-712060040</v>
      </c>
      <c r="K47" s="2">
        <v>5802960</v>
      </c>
      <c r="M47" s="2">
        <v>14280095736</v>
      </c>
      <c r="O47" s="2">
        <v>18106932355</v>
      </c>
      <c r="Q47" s="2">
        <v>-3826836619</v>
      </c>
    </row>
    <row r="48" spans="1:17" ht="21.75" thickBot="1" x14ac:dyDescent="0.6">
      <c r="A48" s="12" t="s">
        <v>9</v>
      </c>
      <c r="C48" s="5"/>
      <c r="E48" s="12">
        <f>SUM(E9:$E$47)</f>
        <v>816546993397</v>
      </c>
      <c r="G48" s="12">
        <f>SUM(G9:$G$47)</f>
        <v>801694067661</v>
      </c>
      <c r="I48" s="12">
        <f>SUM(I9:$I$47)</f>
        <v>12234754197</v>
      </c>
      <c r="K48" s="5"/>
      <c r="M48" s="12">
        <f>SUM(M9:$M$47)</f>
        <v>816546993397</v>
      </c>
      <c r="O48" s="12">
        <f>SUM(O9:$O$47)</f>
        <v>711839459554</v>
      </c>
      <c r="Q48" s="12">
        <f>SUM(Q9:$Q$47)</f>
        <v>104733669193</v>
      </c>
    </row>
    <row r="49" spans="3:17" ht="21.75" thickTop="1" x14ac:dyDescent="0.55000000000000004">
      <c r="C49" s="5"/>
      <c r="E49" s="4"/>
      <c r="G49" s="4"/>
      <c r="I49" s="4"/>
      <c r="K49" s="5"/>
      <c r="M49" s="4"/>
      <c r="O49" s="4"/>
      <c r="Q49" s="4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'0'!Print_Area</vt:lpstr>
      <vt:lpstr>'1'!Print_Area</vt:lpstr>
      <vt:lpstr>'2'!Print_Area</vt:lpstr>
      <vt:lpstr>'3'!Print_Area</vt:lpstr>
      <vt:lpstr>'5'!Print_Area</vt:lpstr>
      <vt:lpstr>'9'!Print_Area</vt:lpstr>
      <vt:lpstr>'10'!Print_Titles</vt:lpstr>
      <vt:lpstr>'11'!Print_Titles</vt:lpstr>
      <vt:lpstr>'4'!Print_Titles</vt:lpstr>
      <vt:lpstr>'5'!Print_Titles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Ghazal Nezakati</cp:lastModifiedBy>
  <dcterms:created xsi:type="dcterms:W3CDTF">2025-11-29T22:45:33Z</dcterms:created>
  <dcterms:modified xsi:type="dcterms:W3CDTF">2025-12-01T15:35:59Z</dcterms:modified>
</cp:coreProperties>
</file>