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.nezakati\Desktop\"/>
    </mc:Choice>
  </mc:AlternateContent>
  <xr:revisionPtr revIDLastSave="0" documentId="8_{14692061-6E17-49B8-A16F-C5689E425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20" r:id="rId1"/>
    <sheet name="1" sheetId="21" r:id="rId2"/>
    <sheet name="2" sheetId="22" r:id="rId3"/>
    <sheet name="3" sheetId="23" r:id="rId4"/>
    <sheet name="4" sheetId="24" r:id="rId5"/>
    <sheet name="5" sheetId="25" r:id="rId6"/>
    <sheet name="6" sheetId="26" r:id="rId7"/>
    <sheet name="7" sheetId="27" r:id="rId8"/>
    <sheet name="8" sheetId="28" r:id="rId9"/>
    <sheet name="9" sheetId="29" r:id="rId10"/>
    <sheet name="10" sheetId="30" r:id="rId11"/>
    <sheet name="11" sheetId="31" r:id="rId12"/>
  </sheets>
  <definedNames>
    <definedName name="_xlnm.Print_Area" localSheetId="0">'0'!$A$1:$J$29</definedName>
    <definedName name="_xlnm.Print_Area" localSheetId="1">'1'!$A$1:$W$49</definedName>
    <definedName name="_xlnm.Print_Area" localSheetId="11">'11'!$A$1:$Q$49</definedName>
    <definedName name="_xlnm.Print_Area" localSheetId="2">'2'!$A$1:$Q$13</definedName>
    <definedName name="_xlnm.Print_Area" localSheetId="3">'3'!$A$1:$I$13</definedName>
    <definedName name="_xlnm.Print_Area" localSheetId="4">'4'!$A$1:$U$87</definedName>
    <definedName name="_xlnm.Print_Area" localSheetId="5">'5'!$A$1:$Q$143</definedName>
    <definedName name="_xlnm.Print_Area" localSheetId="9">'9'!$A$1:$Q$12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31" l="1"/>
  <c r="E47" i="31"/>
  <c r="G47" i="31"/>
  <c r="I47" i="31"/>
  <c r="K47" i="31"/>
  <c r="M47" i="31"/>
  <c r="O47" i="31"/>
  <c r="Q47" i="31"/>
  <c r="Q11" i="30"/>
  <c r="Q10" i="30"/>
  <c r="E87" i="30"/>
  <c r="G87" i="30"/>
  <c r="I87" i="30"/>
  <c r="M87" i="30"/>
  <c r="O87" i="30"/>
  <c r="Q87" i="30"/>
  <c r="G11" i="29"/>
  <c r="I11" i="29"/>
  <c r="K11" i="29"/>
  <c r="M11" i="29"/>
  <c r="O11" i="29"/>
  <c r="Q11" i="29"/>
  <c r="I51" i="28"/>
  <c r="K51" i="28"/>
  <c r="M51" i="28"/>
  <c r="O51" i="28"/>
  <c r="Q51" i="28"/>
  <c r="S51" i="28"/>
  <c r="E11" i="23"/>
  <c r="E10" i="23"/>
  <c r="E9" i="23"/>
  <c r="E8" i="23"/>
  <c r="E11" i="27"/>
  <c r="C11" i="27"/>
  <c r="K10" i="26"/>
  <c r="K9" i="26"/>
  <c r="G10" i="26"/>
  <c r="G9" i="26"/>
  <c r="E11" i="26"/>
  <c r="I11" i="26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9" i="25"/>
  <c r="Q142" i="25"/>
  <c r="M142" i="25"/>
  <c r="K142" i="25"/>
  <c r="I142" i="25"/>
  <c r="E142" i="25"/>
  <c r="C142" i="25"/>
  <c r="K11" i="26" l="1"/>
  <c r="G11" i="26"/>
  <c r="O142" i="25"/>
  <c r="G142" i="25"/>
  <c r="C86" i="24"/>
  <c r="E86" i="24"/>
  <c r="G86" i="24"/>
  <c r="I86" i="24"/>
  <c r="K86" i="24"/>
  <c r="M86" i="24"/>
  <c r="O86" i="24"/>
  <c r="Q86" i="24"/>
  <c r="S86" i="24"/>
  <c r="U86" i="24"/>
  <c r="I12" i="23"/>
  <c r="E12" i="23"/>
  <c r="G10" i="23" s="1"/>
  <c r="I12" i="22"/>
  <c r="K12" i="22"/>
  <c r="M12" i="22"/>
  <c r="O12" i="22"/>
  <c r="Q12" i="22"/>
  <c r="E48" i="21"/>
  <c r="G48" i="21"/>
  <c r="J48" i="21"/>
  <c r="M48" i="21"/>
  <c r="S48" i="21"/>
  <c r="U48" i="21"/>
  <c r="W48" i="21"/>
  <c r="G11" i="23" l="1"/>
  <c r="G9" i="23"/>
  <c r="G8" i="23"/>
  <c r="G12" i="23" s="1"/>
</calcChain>
</file>

<file path=xl/sharedStrings.xml><?xml version="1.0" encoding="utf-8"?>
<sst xmlns="http://schemas.openxmlformats.org/spreadsheetml/2006/main" count="666" uniqueCount="373">
  <si>
    <t>‫صورت وضعیت پورتفوی</t>
  </si>
  <si>
    <t>‫برای ماه منتهی به 1404/07/30</t>
  </si>
  <si>
    <t>‫1404/06/31</t>
  </si>
  <si>
    <t>‫1404/07/30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</si>
  <si>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</si>
  <si>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</si>
  <si>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</si>
  <si>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</si>
  <si>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</si>
  <si>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</si>
  <si>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</si>
  <si>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</si>
  <si>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</si>
  <si>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</si>
  <si>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</si>
  <si>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</si>
  <si>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</si>
  <si>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‫مبلغ</t>
  </si>
  <si>
    <t>‫افزایش</t>
  </si>
  <si>
    <t>‫کاهش</t>
  </si>
  <si>
    <t>‫کوتاه مدت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</si>
  <si>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</si>
  <si>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</si>
  <si>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</si>
  <si>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</si>
  <si>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</si>
  <si>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</si>
  <si>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</si>
  <si>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</si>
  <si>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</si>
  <si>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</si>
  <si>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</si>
  <si>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</si>
  <si>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</si>
  <si>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</si>
  <si>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‫1404/07/01</t>
  </si>
  <si>
    <t>‫سود(زیان) حاصل از فروش اوراق بهادار</t>
  </si>
  <si>
    <t>‫ارزش دفتری</t>
  </si>
  <si>
    <t>‫سود و زیان ناشی از فروش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</si>
  <si>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</si>
  <si>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</si>
  <si>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</si>
  <si>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</si>
  <si>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</si>
  <si>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</si>
  <si>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</si>
  <si>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</si>
  <si>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</si>
  <si>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</si>
  <si>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</si>
  <si>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</si>
  <si>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</si>
  <si>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</si>
  <si>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</si>
  <si>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</si>
  <si>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‫تغییرات طی مهر ماه</t>
  </si>
  <si>
    <t>‫خرید طی مهر ماه</t>
  </si>
  <si>
    <t>‫فروش طی مهر ماه</t>
  </si>
  <si>
    <t>طی مهر ماه</t>
  </si>
  <si>
    <t>از ابتدای سال مالی تا پایان مهر ماه</t>
  </si>
  <si>
    <t>تعدیل کارمزد کارگزاری</t>
  </si>
  <si>
    <t>2-1</t>
  </si>
  <si>
    <t>2-3</t>
  </si>
  <si>
    <t>‫سود سپرده بانکی</t>
  </si>
  <si>
    <t>صندوق ‫سرمایه گذاری قابل معامله شاخصی بازار آشنا</t>
  </si>
  <si>
    <t>‫گل گهر</t>
  </si>
  <si>
    <t>‫چادرملو</t>
  </si>
  <si>
    <t>‫پويا زركان آق دره</t>
  </si>
  <si>
    <t>‫پويا</t>
  </si>
  <si>
    <t>‫پست بانك ايران</t>
  </si>
  <si>
    <t>‫پتروشیمی تامین</t>
  </si>
  <si>
    <t>‫پتروشيمی پردیس</t>
  </si>
  <si>
    <t>‫پتروشيمي پارس</t>
  </si>
  <si>
    <t>‫پتروشيمي نوري</t>
  </si>
  <si>
    <t>‫پتروشيمي شيراز</t>
  </si>
  <si>
    <t>‫پتروشيمي جم</t>
  </si>
  <si>
    <t>‫پارس مينو</t>
  </si>
  <si>
    <t>‫نفت و گاز پارسیان</t>
  </si>
  <si>
    <t>‫نفت تهران</t>
  </si>
  <si>
    <t>‫نفت تبريز</t>
  </si>
  <si>
    <t>‫نفت بندر عباس</t>
  </si>
  <si>
    <t>‫نفت اصفهان</t>
  </si>
  <si>
    <t>‫مپنا</t>
  </si>
  <si>
    <t>‫ملي مس</t>
  </si>
  <si>
    <t>‫مبين انرژي خليج فارس</t>
  </si>
  <si>
    <t>‫فولاد مباركه</t>
  </si>
  <si>
    <t>‫صندوق بازنشستگي</t>
  </si>
  <si>
    <t>‫صنايع پتروشيمي خليج فارس</t>
  </si>
  <si>
    <t>‫صنايع غذايي رضوي</t>
  </si>
  <si>
    <t>‫سيمان فارس و خوزستان</t>
  </si>
  <si>
    <t>‫سيمان تهران</t>
  </si>
  <si>
    <t>‫سرمايه گذاري غدير</t>
  </si>
  <si>
    <t>‫سرمايه گذاري صدرتامين</t>
  </si>
  <si>
    <t>‫سرمايه گذاري دارويي تامين</t>
  </si>
  <si>
    <t>‫سرمايه گذاري تامين اجتماعي</t>
  </si>
  <si>
    <t>‫ذوب آهن  اصفهان</t>
  </si>
  <si>
    <t>‫توسعه‌معادن‌وفلزات‌</t>
  </si>
  <si>
    <t>‫توسعه معادن وص.معدني خاورميانه</t>
  </si>
  <si>
    <t>‫بانك ملت</t>
  </si>
  <si>
    <t>‫ايران خودرو</t>
  </si>
  <si>
    <t>‫ايران ترانسفو</t>
  </si>
  <si>
    <t>‫اقتصاد نوين</t>
  </si>
  <si>
    <t>‫قیمت بازار هر سهم</t>
  </si>
  <si>
    <t>‫شرکت</t>
  </si>
  <si>
    <t>‫1-1- سرمایه گذاری در سهام و حق تقدم سهام</t>
  </si>
  <si>
    <t>‫1- سرمایه گذاری ها</t>
  </si>
  <si>
    <t>‫سرمایه گذاری قابل معامله شاخصی بازار آشنا</t>
  </si>
  <si>
    <t>‫1403/05/03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</si>
  <si>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</si>
  <si>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</si>
  <si>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</si>
  <si>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</si>
  <si>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</si>
  <si>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</si>
  <si>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‫1-2- سرمایه گذاری در  سپرده بانکی</t>
  </si>
  <si>
    <t>‫2-2</t>
  </si>
  <si>
    <t>‫درآمد حاصل از سرمایه گذاری در سهام و حق تقدم سهام</t>
  </si>
  <si>
    <t>‫گسترش سرمايه گذاري ايران خودرو</t>
  </si>
  <si>
    <t>‫گروه مديريت سرمايه گذاري اميد</t>
  </si>
  <si>
    <t>‫گروه مالي صبا تامين</t>
  </si>
  <si>
    <t>‫پخش هجرت</t>
  </si>
  <si>
    <t>‫پتروشيمي بوعلي سينا</t>
  </si>
  <si>
    <t>‫نفت بهران</t>
  </si>
  <si>
    <t>‫نساجي بابكان</t>
  </si>
  <si>
    <t>‫معدنكاران نسوز</t>
  </si>
  <si>
    <t>‫مديريت نيروگاهي ايرانيان مپنا</t>
  </si>
  <si>
    <t>‫كشتيراني جمهوري اسلامي ايران</t>
  </si>
  <si>
    <t>‫كاني كربن طبس</t>
  </si>
  <si>
    <t>‫فولاد خوزستان</t>
  </si>
  <si>
    <t>‫فولاد اميركبير كاشان</t>
  </si>
  <si>
    <t>‫فروشگاههاي زنجيره اي افق كوروش</t>
  </si>
  <si>
    <t>‫فرآورده هاي غذايي و قند چهار محال</t>
  </si>
  <si>
    <t>‫صنايع شيميايي كيمياگران امروز</t>
  </si>
  <si>
    <t>‫صنايع الكترونيك ماديران</t>
  </si>
  <si>
    <t>‫صنايع ارتباطي آوا</t>
  </si>
  <si>
    <t>‫صبا فولاد خليج فارس</t>
  </si>
  <si>
    <t>‫شركت مخابرات ايران</t>
  </si>
  <si>
    <t>‫شركت ارتباطات سيار ايران</t>
  </si>
  <si>
    <t>‫سيمان سپاهان</t>
  </si>
  <si>
    <t>‫سرمايه گذاري پايا تدبيرپارسا</t>
  </si>
  <si>
    <t>‫سرمايه گذاري مهر</t>
  </si>
  <si>
    <t>‫سرمايه گذاري ملي ايران</t>
  </si>
  <si>
    <t>‫سرمايه گذاري جامي</t>
  </si>
  <si>
    <t>‫سايپا</t>
  </si>
  <si>
    <t>‫دارويي و نهاده هاي زاگرس دارو</t>
  </si>
  <si>
    <t>‫توليدي برنا باطري</t>
  </si>
  <si>
    <t>‫توليد نيروي برق دماوند</t>
  </si>
  <si>
    <t>‫توليد انرژي برق شمس پاسارگاد</t>
  </si>
  <si>
    <t>‫توسعه نيشكر و صنايع جانبي</t>
  </si>
  <si>
    <t>‫توسعه معدني و صنعتي صبانور</t>
  </si>
  <si>
    <t>‫توسعه معادن روي ايران</t>
  </si>
  <si>
    <t>‫بين المللي توسعه ص. معادن غدير</t>
  </si>
  <si>
    <t>‫بانك صادرات ايران</t>
  </si>
  <si>
    <t>‫بانك تجارت</t>
  </si>
  <si>
    <t>‫انتقال داده هاي آسياتك</t>
  </si>
  <si>
    <t>‫اخشان خراسان</t>
  </si>
  <si>
    <t>‫آلومينيوم ايران</t>
  </si>
  <si>
    <t>‫گروه مپنا</t>
  </si>
  <si>
    <t>‫پتروشيمي پرديس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</si>
  <si>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</si>
  <si>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</si>
  <si>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</si>
  <si>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</si>
  <si>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گل گهر</t>
  </si>
  <si>
    <t>‫معدني و صنعتي چادر ملو</t>
  </si>
  <si>
    <t>‫فولاد مباركه اصفهان</t>
  </si>
  <si>
    <t>‫شركت گسترش نفت و گاز پارسيان</t>
  </si>
  <si>
    <t>‫شركت پالايش نفت بندر عباس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</si>
  <si>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</si>
  <si>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</si>
  <si>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</si>
  <si>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</si>
  <si>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‫ذوب آهن اصفهان</t>
  </si>
  <si>
    <t>‫بانك اقتصاد نوين</t>
  </si>
  <si>
    <t>‫درصد از کل درآمد ها</t>
  </si>
  <si>
    <t>‫جمع مبلغ</t>
  </si>
  <si>
    <t>‫درآمد سود سهام</t>
  </si>
  <si>
    <t>‫سهام</t>
  </si>
  <si>
    <t>‫2-1- درآمد حاصل از سرمایه گذاری در سهام و حق تقدم سهام:</t>
  </si>
  <si>
    <t>سرمایه گذاری قابل معامله شاخصی بازار آشنا</t>
  </si>
  <si>
    <t>‫2-2- درآمد حاصل از سرمایه گذاری در اختیار معاملات سهام:</t>
  </si>
  <si>
    <t>اختیار معامله</t>
  </si>
  <si>
    <t>اختيارخ اخابر-800-1404/05/22</t>
  </si>
  <si>
    <t>اختيارخ خساپا-3000-1403/12/22</t>
  </si>
  <si>
    <t>اختيارخ خساپا-3250-1403/12/22</t>
  </si>
  <si>
    <t>اختيارخ خساپا-500-1404/05/29</t>
  </si>
  <si>
    <t>اختيارخ خگستر-5500-1404/04/04</t>
  </si>
  <si>
    <t>اختيارخ خودرو-3250-1404/02/03</t>
  </si>
  <si>
    <t>اختيارخ خودرو-3750-1403/12/01</t>
  </si>
  <si>
    <t>اختيارخ خودرو-3750-1404/01/06</t>
  </si>
  <si>
    <t>اختيارخ خودرو-400-1404/06/05</t>
  </si>
  <si>
    <t>اختيارخ خودرو-400-1404/08/07</t>
  </si>
  <si>
    <t>اختيارخ خودرو-4000-1403/11/03</t>
  </si>
  <si>
    <t>اختيارخ خودرو-4000-1404/01/06</t>
  </si>
  <si>
    <t>اختيارخ خودرو-500-1404/07/02</t>
  </si>
  <si>
    <t>اختيارخ خودرو-500-1404/08/07</t>
  </si>
  <si>
    <t>اختيارخ خودرو-5000-1403/12/01</t>
  </si>
  <si>
    <t>اختيارخ خودرو-5000-1404/02/03</t>
  </si>
  <si>
    <t>اختيارخ خودرو-600-1404/04/04</t>
  </si>
  <si>
    <t>اختيارخ خودرو-600-1404/08/07</t>
  </si>
  <si>
    <t>اختيارخ خودرو-647-1404/03/07</t>
  </si>
  <si>
    <t>اختيارخ خودرو-700-1404/03/07</t>
  </si>
  <si>
    <t>اختيارخ ذوب-400-1404/06/18</t>
  </si>
  <si>
    <t>اختيارخ ذوب-500-1403/12/22</t>
  </si>
  <si>
    <t>اختيارخ ذوب-600-1403/11/24</t>
  </si>
  <si>
    <t>اختيارخ ذوب-700-1403/11/24</t>
  </si>
  <si>
    <t>اختيارخ شپنا-3873-1404/02/17</t>
  </si>
  <si>
    <t>اختيارخ شپنا-4930-1404/04/18</t>
  </si>
  <si>
    <t>اختيارخ شپنا-5000-1403/12/08</t>
  </si>
  <si>
    <t>اختيارخ شپنا-5500-1403/12/08</t>
  </si>
  <si>
    <t>اختيارخ شستا-1200-1404/06/12</t>
  </si>
  <si>
    <t>اختيارخ شستا-1300-1404/06/12</t>
  </si>
  <si>
    <t>اختيارخ شستا-1300-1404/07/09</t>
  </si>
  <si>
    <t>اختيارخ شستا-1350-1403/10/12</t>
  </si>
  <si>
    <t>اختيارخ شستا-1400-1404/02/10</t>
  </si>
  <si>
    <t>اختيارخ شستا-1400-1404/07/09</t>
  </si>
  <si>
    <t>اختيارخ شستا-1450-1403/10/12</t>
  </si>
  <si>
    <t>اختيارخ شستا-1500-1404/01/20</t>
  </si>
  <si>
    <t>اختيارخ شستا-1500-1404/05/15</t>
  </si>
  <si>
    <t>اختيارخ شستا-1500-1404/07/09</t>
  </si>
  <si>
    <t>اختيارخ شستا-1550-1403/11/10</t>
  </si>
  <si>
    <t>اختيارخ شستا-1600-1404/04/11</t>
  </si>
  <si>
    <t>اختيارخ شستا-1650-1403/11/10</t>
  </si>
  <si>
    <t>اختيارخ شستا-1650-1403/12/08</t>
  </si>
  <si>
    <t>اختيارخ شستا-1700-1404/04/11</t>
  </si>
  <si>
    <t>اختيارخ شستا-1700-1404/07/09</t>
  </si>
  <si>
    <t>اختيارخ شستا-1800-1404/04/11</t>
  </si>
  <si>
    <t>اختيارخ شستا-2000-1404/03/13</t>
  </si>
  <si>
    <t>اختيارخ شستا-2200-1404/04/11</t>
  </si>
  <si>
    <t>اختيارخ فملي-10000-1404/01/06</t>
  </si>
  <si>
    <t>اختيارخ فملي-7429-1404/03/07</t>
  </si>
  <si>
    <t>اختيارخ فولاد-4000-1404/05/15</t>
  </si>
  <si>
    <t>اختيارخ فولاد-4320-1404/03/13</t>
  </si>
  <si>
    <t>اختيارخ فولاد-5000-1404/05/15</t>
  </si>
  <si>
    <t>اختيارخ فولاد-5040-1404/03/13</t>
  </si>
  <si>
    <t>اختيارخ فولاد-6000-1403/12/01</t>
  </si>
  <si>
    <t>اختيارخ فولاد-6500-1403/12/01</t>
  </si>
  <si>
    <t>اختيارخ وبصادر-2200-1403/11/17</t>
  </si>
  <si>
    <t>اختيارخ وبصادر-2400-1403/11/17</t>
  </si>
  <si>
    <t>اختيارخ وبصادر-585-1404/05/22</t>
  </si>
  <si>
    <t>اختيارخ وبصادر-700-1404/03/21</t>
  </si>
  <si>
    <t>اختيارخ وبصادر-700-1404/05/22</t>
  </si>
  <si>
    <t>اختيارخ وبصادر-800-1404/03/21</t>
  </si>
  <si>
    <t>اختيارخ وبصادر-800-1404/05/22</t>
  </si>
  <si>
    <t>اختيارخ وبصادر-900-1404/03/21</t>
  </si>
  <si>
    <t>اختيارخ وبملت-1073-1404/05/22</t>
  </si>
  <si>
    <t>اختيارخ وبملت-1073-1404/06/26</t>
  </si>
  <si>
    <t>اختيارخ وبملت-1073-1404/07/23</t>
  </si>
  <si>
    <t>اختيارخ وبملت-2600-1404/05/22</t>
  </si>
  <si>
    <t>اختيارخ وبملت-2640-1404/03/21</t>
  </si>
  <si>
    <t>اختيارخ وبملت-2800-1404/05/22</t>
  </si>
  <si>
    <t>اختيارخ وبملت-2934-1404/03/21</t>
  </si>
  <si>
    <t>اختيارخ وبملت-3000-1403/11/24</t>
  </si>
  <si>
    <t>اختيارخ وبملت-3000-1404/04/25</t>
  </si>
  <si>
    <t>اختيارخ وبملت-3250-1404/03/21</t>
  </si>
  <si>
    <t>اختيارخ وبملت-3500-1404/01/27</t>
  </si>
  <si>
    <t>اختيارخ وبملت-3750-1403/11/24</t>
  </si>
  <si>
    <t>اختيارخ وبملت-3750-1404/01/27</t>
  </si>
  <si>
    <t>اختيارخ وتجارت-1000-1404/04/18</t>
  </si>
  <si>
    <t>اختيارخ وتجارت-1800-1403/12/15</t>
  </si>
  <si>
    <t>اختيارخ وتجارت-2200-1403/12/15</t>
  </si>
  <si>
    <t>اختيارخ وتجارت-499-1404/02/17</t>
  </si>
  <si>
    <t>اختيارخ وتجارت-600-1404/06/18</t>
  </si>
  <si>
    <t>اختيارخ وتجارت-900-1404/04/18</t>
  </si>
  <si>
    <t>اختيارف خساپا-300-1404/06/26</t>
  </si>
  <si>
    <t>اختيارف خساپا-543-1404/02/31</t>
  </si>
  <si>
    <t>اختيارف خودرو-300-1404/08/07</t>
  </si>
  <si>
    <t>اختيارف خودرو-3000-1404/01/06</t>
  </si>
  <si>
    <t>اختيارف خودرو-3250-1403/11/03</t>
  </si>
  <si>
    <t>اختيارف خودرو-3250-1403/12/01</t>
  </si>
  <si>
    <t>اختيارف خودرو-3250-1404/01/06</t>
  </si>
  <si>
    <t>اختيارف خودرو-3250-1404/02/03</t>
  </si>
  <si>
    <t>اختيارف خودرو-3500-1403/12/01</t>
  </si>
  <si>
    <t>اختيارف خودرو-3500-1404/01/06</t>
  </si>
  <si>
    <t>اختيارف خودرو-3750-1404/01/06</t>
  </si>
  <si>
    <t>اختيارف خودرو-500-1404/04/04</t>
  </si>
  <si>
    <t>اختيارف خودرو-600-1404/04/04</t>
  </si>
  <si>
    <t>اختيارف خودرو-647-1404/03/07</t>
  </si>
  <si>
    <t>اختيارف شپنا-3521-1404/04/18</t>
  </si>
  <si>
    <t>اختيارف شستا-1300-1404/01/20</t>
  </si>
  <si>
    <t>اختيارف شستا-1350-1403/12/08</t>
  </si>
  <si>
    <t>اختيارف شستا-1400-1404/02/10</t>
  </si>
  <si>
    <t>اختيارف شستا-1500-1404/02/10</t>
  </si>
  <si>
    <t>اختيارف شستا-1500-1404/03/13</t>
  </si>
  <si>
    <t>اختيارف شستا-1500-1404/04/11</t>
  </si>
  <si>
    <t>اختيارف فملي-6686-1404/03/07</t>
  </si>
  <si>
    <t>اختيارف فولاد-3960-1404/03/13</t>
  </si>
  <si>
    <t>اختيارف وبصادر-600-1404/03/21</t>
  </si>
  <si>
    <t>اختيارف وبملت-1907-1404/01/27</t>
  </si>
  <si>
    <t>اختيارف وبملت-1907-1404/03/21</t>
  </si>
  <si>
    <t>اختيارف وبملت-2054-1404/01/27</t>
  </si>
  <si>
    <t>اختيارف وبملت-2347-1404/03/21</t>
  </si>
  <si>
    <t>اختيارف وبملت-2640-1404/03/21</t>
  </si>
  <si>
    <t>اختيارف وبملت-3000-1403/11/24</t>
  </si>
  <si>
    <t>اختيارف وتجارت-545-1404/02/17</t>
  </si>
  <si>
    <t>اختيارخ ذوب-400-1404/09/19</t>
  </si>
  <si>
    <t>اختيارخ شستا-1500-1404/08/14</t>
  </si>
  <si>
    <t>اختيارخ شستا-1400-1404/08/14</t>
  </si>
  <si>
    <t>اختيارخ فولاد-2600-1404/09/12</t>
  </si>
  <si>
    <t>اختيارخ شستا-1800-1404/08/14</t>
  </si>
  <si>
    <t>اختيارخ شستا-2000-1404/08/14</t>
  </si>
  <si>
    <t>اختيارخ خودرو-550-1404/09/05</t>
  </si>
  <si>
    <t>اختيارخ شپنا-5500-1404/08/21</t>
  </si>
  <si>
    <t>اختيارخ وبملت-1600-1404/08/21</t>
  </si>
  <si>
    <t>اختيارخ خودرو-400-1404/09/05</t>
  </si>
  <si>
    <t>اختيارخ شستا-1600-1404/08/14</t>
  </si>
  <si>
    <t>اختيارخ وبملت-1400-1404/08/21</t>
  </si>
  <si>
    <t>اختيارخ فولاد-3500-1404/09/12</t>
  </si>
  <si>
    <t>اختيارف خودرو-400-1404/08/07</t>
  </si>
  <si>
    <t>اختيارف وبملت-1100-1404/08/21</t>
  </si>
  <si>
    <t>اختيارخ وبملت-1175-1404/07/23</t>
  </si>
  <si>
    <t>اختيارخ وبملت-1277-1404/07/23</t>
  </si>
  <si>
    <t>اختيارف شستا-1100-1404/07/09</t>
  </si>
  <si>
    <t>اختيارف وبملت-1073-1404/07/23</t>
  </si>
  <si>
    <t>اختيارف وبملت-1175-1404/07/23</t>
  </si>
  <si>
    <t>‫درصد سود به میانگین سپرده</t>
  </si>
  <si>
    <t>‫2-3- درآمد حاصل از سرمایه گذاری در سپرده بانکی و گواهی سپرده:</t>
  </si>
  <si>
    <t>‫2-4- سایر درآمدها:</t>
  </si>
  <si>
    <t>سایر درآمدها</t>
  </si>
  <si>
    <t>2-4</t>
  </si>
  <si>
    <t>‫درآمد حاصل از سرمایه گذاری در اختیار معاملات سهام</t>
  </si>
  <si>
    <t>‫1404/04/23</t>
  </si>
  <si>
    <t>‫1404/04/21</t>
  </si>
  <si>
    <t>‫1404/04/29</t>
  </si>
  <si>
    <t>‫1404/02/15</t>
  </si>
  <si>
    <t>‫1404/06/26</t>
  </si>
  <si>
    <t>‫1404/06/23</t>
  </si>
  <si>
    <t>‫1404/04/31</t>
  </si>
  <si>
    <t>‫1404/05/08</t>
  </si>
  <si>
    <t>‫1404/05/11</t>
  </si>
  <si>
    <t>‫1404/04/28</t>
  </si>
  <si>
    <t>‫1404/03/03</t>
  </si>
  <si>
    <t>‫1403/10/19</t>
  </si>
  <si>
    <t>‫1404/05/12</t>
  </si>
  <si>
    <t>‫1404/04/30</t>
  </si>
  <si>
    <t>‫1404/07/20</t>
  </si>
  <si>
    <t>‫1404/04/12</t>
  </si>
  <si>
    <t>‫مخابرات</t>
  </si>
  <si>
    <t>‫1404/03/28</t>
  </si>
  <si>
    <t>‫1404/05/13</t>
  </si>
  <si>
    <t>‫1404/04/17</t>
  </si>
  <si>
    <t>‫1404/01/31</t>
  </si>
  <si>
    <t>‫1404/01/27</t>
  </si>
  <si>
    <t>‫1403/12/08</t>
  </si>
  <si>
    <t>‫1404/06/17</t>
  </si>
  <si>
    <t>‫1403/12/22</t>
  </si>
  <si>
    <t>‫1403/12/20</t>
  </si>
  <si>
    <t>‫1403/10/15</t>
  </si>
  <si>
    <t>‫1404/04/22</t>
  </si>
  <si>
    <t>‫1404/03/21</t>
  </si>
  <si>
    <t>‫ارتباطات سیار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</si>
  <si>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</si>
  <si>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</si>
  <si>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</si>
  <si>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</si>
  <si>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</si>
  <si>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‫نام سهام</t>
  </si>
  <si>
    <t>‫اطلاعات مجمع</t>
  </si>
  <si>
    <t>‫كوتاه مدت-1.14938708.8100.415-پاسارگاد</t>
  </si>
  <si>
    <t>‫1404/07/03</t>
  </si>
  <si>
    <t>‫كوتاه مدت-1.1270160.9967.132-گردشگري</t>
  </si>
  <si>
    <t>‫گسترش خودرو</t>
  </si>
  <si>
    <t>‫معادن روي</t>
  </si>
  <si>
    <t>‫كشتيراني ايران</t>
  </si>
  <si>
    <t>‫قند چهار محال</t>
  </si>
  <si>
    <t>‫فولاد اميركبير</t>
  </si>
  <si>
    <t>‫صنعتی صبانور</t>
  </si>
  <si>
    <t>‫سرمايه گذاري اميد</t>
  </si>
  <si>
    <t>‫تولید برق دماوند</t>
  </si>
  <si>
    <t>‫بانك صادرات</t>
  </si>
  <si>
    <t>اختیار معاملات خرید سهام</t>
  </si>
  <si>
    <t>اختیار معاملات فروش سهام</t>
  </si>
  <si>
    <t>ذوب آهن اصفهان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</si>
</sst>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  <font>
      <sz val="7"/>
      <color rgb="FF000000"/>
      <name val="Yekan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1" fillId="2" borderId="2"/>
    <xf numFmtId="0" fontId="1" fillId="2" borderId="2"/>
    <xf numFmtId="9" fontId="1" fillId="2" borderId="2" applyFont="0" applyFill="0" applyBorder="0" applyAlignment="0" applyProtection="0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  <xf numFmtId="0" fontId="1" fillId="2" borderId="2"/>
  </cellStyleXfs>
  <cellXfs count="124">
    <xf numFmtId="0" fontId="0" fillId="0" borderId="0" xfId="0"/>
    <xf numFmtId="0" fontId="3" fillId="2" borderId="2" xfId="1" applyFont="1"/>
    <xf numFmtId="0" fontId="3" fillId="2" borderId="2" xfId="4" applyFont="1"/>
    <xf numFmtId="37" fontId="8" fillId="2" borderId="4" xfId="4" applyNumberFormat="1" applyFont="1" applyBorder="1" applyAlignment="1">
      <alignment horizontal="center" vertical="center"/>
    </xf>
    <xf numFmtId="37" fontId="8" fillId="2" borderId="2" xfId="4" applyNumberFormat="1" applyFont="1" applyAlignment="1">
      <alignment horizontal="right" vertical="center" wrapText="1"/>
    </xf>
    <xf numFmtId="0" fontId="8" fillId="2" borderId="2" xfId="4" applyFont="1" applyAlignment="1">
      <alignment horizontal="center" vertical="center"/>
    </xf>
    <xf numFmtId="37" fontId="8" fillId="2" borderId="2" xfId="4" applyNumberFormat="1" applyFont="1" applyAlignment="1">
      <alignment horizontal="center" vertical="center"/>
    </xf>
    <xf numFmtId="10" fontId="8" fillId="2" borderId="2" xfId="4" applyNumberFormat="1" applyFont="1" applyAlignment="1">
      <alignment horizontal="center" vertical="center"/>
    </xf>
    <xf numFmtId="37" fontId="8" fillId="2" borderId="3" xfId="4" applyNumberFormat="1" applyFont="1" applyBorder="1" applyAlignment="1">
      <alignment horizontal="center" vertical="center"/>
    </xf>
    <xf numFmtId="10" fontId="8" fillId="2" borderId="3" xfId="4" applyNumberFormat="1" applyFont="1" applyBorder="1" applyAlignment="1">
      <alignment horizontal="center" vertical="center"/>
    </xf>
    <xf numFmtId="37" fontId="8" fillId="2" borderId="1" xfId="4" applyNumberFormat="1" applyFont="1" applyBorder="1" applyAlignment="1">
      <alignment horizontal="center" vertical="center"/>
    </xf>
    <xf numFmtId="37" fontId="8" fillId="2" borderId="2" xfId="4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 wrapText="1"/>
    </xf>
    <xf numFmtId="37" fontId="8" fillId="2" borderId="2" xfId="1" applyNumberFormat="1" applyFont="1" applyAlignment="1">
      <alignment horizontal="right" vertical="center" wrapText="1"/>
    </xf>
    <xf numFmtId="0" fontId="8" fillId="2" borderId="2" xfId="1" applyFont="1" applyAlignment="1">
      <alignment horizontal="center" vertical="center"/>
    </xf>
    <xf numFmtId="37" fontId="8" fillId="2" borderId="2" xfId="1" applyNumberFormat="1" applyFont="1" applyAlignment="1">
      <alignment horizontal="center" vertical="center" wrapText="1"/>
    </xf>
    <xf numFmtId="37" fontId="8" fillId="2" borderId="2" xfId="1" applyNumberFormat="1" applyFont="1" applyAlignment="1">
      <alignment horizontal="center" vertical="center"/>
    </xf>
    <xf numFmtId="10" fontId="8" fillId="2" borderId="2" xfId="1" applyNumberFormat="1" applyFont="1" applyAlignment="1">
      <alignment horizontal="center" vertical="center"/>
    </xf>
    <xf numFmtId="37" fontId="8" fillId="2" borderId="3" xfId="1" applyNumberFormat="1" applyFont="1" applyBorder="1" applyAlignment="1">
      <alignment horizontal="center" vertical="center"/>
    </xf>
    <xf numFmtId="10" fontId="8" fillId="2" borderId="3" xfId="1" applyNumberFormat="1" applyFont="1" applyBorder="1" applyAlignment="1">
      <alignment horizontal="center" vertical="center"/>
    </xf>
    <xf numFmtId="37" fontId="8" fillId="2" borderId="1" xfId="1" applyNumberFormat="1" applyFont="1" applyBorder="1" applyAlignment="1">
      <alignment horizontal="center" vertical="center"/>
    </xf>
    <xf numFmtId="3" fontId="10" fillId="0" borderId="0" xfId="0" applyNumberFormat="1" applyFont="1"/>
    <xf numFmtId="3" fontId="3" fillId="2" borderId="2" xfId="1" applyNumberFormat="1" applyFont="1"/>
    <xf numFmtId="10" fontId="8" fillId="2" borderId="5" xfId="1" applyNumberFormat="1" applyFont="1" applyBorder="1" applyAlignment="1">
      <alignment horizontal="center" vertical="center"/>
    </xf>
    <xf numFmtId="0" fontId="3" fillId="2" borderId="2" xfId="6" applyFont="1"/>
    <xf numFmtId="37" fontId="7" fillId="2" borderId="7" xfId="6" applyNumberFormat="1" applyFont="1" applyBorder="1" applyAlignment="1">
      <alignment horizontal="center" vertical="center" wrapText="1"/>
    </xf>
    <xf numFmtId="37" fontId="8" fillId="2" borderId="2" xfId="6" applyNumberFormat="1" applyFont="1" applyAlignment="1">
      <alignment horizontal="center" vertical="center" wrapText="1"/>
    </xf>
    <xf numFmtId="0" fontId="8" fillId="2" borderId="2" xfId="6" applyFont="1" applyAlignment="1">
      <alignment horizontal="center" vertical="center"/>
    </xf>
    <xf numFmtId="37" fontId="8" fillId="2" borderId="2" xfId="6" applyNumberFormat="1" applyFont="1" applyAlignment="1">
      <alignment horizontal="center" vertical="center"/>
    </xf>
    <xf numFmtId="10" fontId="8" fillId="2" borderId="2" xfId="6" applyNumberFormat="1" applyFont="1" applyAlignment="1">
      <alignment horizontal="center" vertical="center"/>
    </xf>
    <xf numFmtId="37" fontId="8" fillId="2" borderId="3" xfId="6" applyNumberFormat="1" applyFont="1" applyBorder="1" applyAlignment="1">
      <alignment horizontal="center" vertical="center"/>
    </xf>
    <xf numFmtId="37" fontId="8" fillId="2" borderId="1" xfId="6" applyNumberFormat="1" applyFont="1" applyBorder="1" applyAlignment="1">
      <alignment horizontal="center" vertical="center"/>
    </xf>
    <xf numFmtId="9" fontId="8" fillId="2" borderId="3" xfId="6" applyNumberFormat="1" applyFont="1" applyBorder="1" applyAlignment="1">
      <alignment horizontal="center" vertical="center"/>
    </xf>
    <xf numFmtId="0" fontId="3" fillId="2" borderId="2" xfId="5" applyFont="1"/>
    <xf numFmtId="37" fontId="7" fillId="2" borderId="7" xfId="5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 wrapText="1"/>
    </xf>
    <xf numFmtId="37" fontId="7" fillId="2" borderId="2" xfId="5" applyNumberFormat="1" applyFont="1" applyAlignment="1">
      <alignment horizontal="right" vertical="center"/>
    </xf>
    <xf numFmtId="37" fontId="8" fillId="2" borderId="2" xfId="5" applyNumberFormat="1" applyFont="1" applyAlignment="1">
      <alignment horizontal="center" vertical="center"/>
    </xf>
    <xf numFmtId="10" fontId="8" fillId="2" borderId="2" xfId="5" applyNumberFormat="1" applyFont="1" applyAlignment="1">
      <alignment horizontal="center" vertical="center"/>
    </xf>
    <xf numFmtId="37" fontId="8" fillId="2" borderId="3" xfId="5" applyNumberFormat="1" applyFont="1" applyBorder="1" applyAlignment="1">
      <alignment horizontal="center" vertical="center"/>
    </xf>
    <xf numFmtId="10" fontId="8" fillId="2" borderId="3" xfId="5" applyNumberFormat="1" applyFont="1" applyBorder="1" applyAlignment="1">
      <alignment horizontal="center" vertical="center"/>
    </xf>
    <xf numFmtId="37" fontId="8" fillId="2" borderId="1" xfId="5" applyNumberFormat="1" applyFont="1" applyBorder="1" applyAlignment="1">
      <alignment horizontal="center" vertical="center"/>
    </xf>
    <xf numFmtId="37" fontId="7" fillId="2" borderId="3" xfId="5" applyNumberFormat="1" applyFont="1" applyBorder="1" applyAlignment="1">
      <alignment horizontal="center" vertical="center"/>
    </xf>
    <xf numFmtId="49" fontId="8" fillId="2" borderId="2" xfId="5" applyNumberFormat="1" applyFont="1" applyAlignment="1">
      <alignment horizontal="center" vertical="center"/>
    </xf>
    <xf numFmtId="9" fontId="8" fillId="2" borderId="3" xfId="5" applyNumberFormat="1" applyFont="1" applyBorder="1" applyAlignment="1">
      <alignment horizontal="center" vertical="center"/>
    </xf>
    <xf numFmtId="0" fontId="3" fillId="2" borderId="2" xfId="7" applyFont="1"/>
    <xf numFmtId="37" fontId="7" fillId="2" borderId="7" xfId="7" applyNumberFormat="1" applyFont="1" applyBorder="1" applyAlignment="1">
      <alignment horizontal="center" vertical="center"/>
    </xf>
    <xf numFmtId="37" fontId="7" fillId="2" borderId="7" xfId="7" applyNumberFormat="1" applyFont="1" applyBorder="1" applyAlignment="1">
      <alignment horizontal="center" vertical="center" wrapText="1"/>
    </xf>
    <xf numFmtId="37" fontId="8" fillId="2" borderId="2" xfId="7" applyNumberFormat="1" applyFont="1" applyAlignment="1">
      <alignment horizontal="center" vertical="center" wrapText="1"/>
    </xf>
    <xf numFmtId="0" fontId="8" fillId="2" borderId="2" xfId="7" applyFont="1" applyAlignment="1">
      <alignment horizontal="center" vertical="center"/>
    </xf>
    <xf numFmtId="37" fontId="8" fillId="2" borderId="2" xfId="7" applyNumberFormat="1" applyFont="1" applyAlignment="1">
      <alignment horizontal="center" vertical="center"/>
    </xf>
    <xf numFmtId="37" fontId="8" fillId="2" borderId="3" xfId="7" applyNumberFormat="1" applyFont="1" applyBorder="1" applyAlignment="1">
      <alignment horizontal="center" vertical="center"/>
    </xf>
    <xf numFmtId="37" fontId="8" fillId="2" borderId="1" xfId="7" applyNumberFormat="1" applyFont="1" applyBorder="1" applyAlignment="1">
      <alignment horizontal="center" vertical="center"/>
    </xf>
    <xf numFmtId="0" fontId="3" fillId="2" borderId="2" xfId="8" applyFont="1"/>
    <xf numFmtId="37" fontId="7" fillId="2" borderId="7" xfId="8" applyNumberFormat="1" applyFont="1" applyBorder="1" applyAlignment="1">
      <alignment horizontal="center" vertical="center" wrapText="1"/>
    </xf>
    <xf numFmtId="37" fontId="8" fillId="2" borderId="2" xfId="8" applyNumberFormat="1" applyFont="1" applyAlignment="1">
      <alignment horizontal="center" vertical="center" wrapText="1"/>
    </xf>
    <xf numFmtId="0" fontId="8" fillId="2" borderId="2" xfId="8" applyFont="1" applyAlignment="1">
      <alignment horizontal="center" vertical="center"/>
    </xf>
    <xf numFmtId="37" fontId="8" fillId="2" borderId="2" xfId="8" applyNumberFormat="1" applyFont="1" applyAlignment="1">
      <alignment horizontal="center" vertical="center"/>
    </xf>
    <xf numFmtId="37" fontId="8" fillId="2" borderId="3" xfId="8" applyNumberFormat="1" applyFont="1" applyBorder="1" applyAlignment="1">
      <alignment horizontal="center" vertical="center"/>
    </xf>
    <xf numFmtId="37" fontId="8" fillId="2" borderId="1" xfId="8" applyNumberFormat="1" applyFont="1" applyBorder="1" applyAlignment="1">
      <alignment horizontal="center" vertical="center"/>
    </xf>
    <xf numFmtId="37" fontId="7" fillId="2" borderId="7" xfId="8" applyNumberFormat="1" applyFont="1" applyBorder="1" applyAlignment="1">
      <alignment horizontal="center" vertical="center"/>
    </xf>
    <xf numFmtId="0" fontId="3" fillId="2" borderId="2" xfId="9" applyFont="1"/>
    <xf numFmtId="37" fontId="7" fillId="2" borderId="7" xfId="9" applyNumberFormat="1" applyFont="1" applyBorder="1" applyAlignment="1">
      <alignment horizontal="center" vertical="center" wrapText="1"/>
    </xf>
    <xf numFmtId="37" fontId="8" fillId="2" borderId="2" xfId="9" applyNumberFormat="1" applyFont="1" applyAlignment="1">
      <alignment horizontal="center" vertical="center" wrapText="1"/>
    </xf>
    <xf numFmtId="0" fontId="8" fillId="2" borderId="2" xfId="9" applyFont="1" applyAlignment="1">
      <alignment horizontal="center" vertical="center"/>
    </xf>
    <xf numFmtId="37" fontId="8" fillId="2" borderId="2" xfId="9" applyNumberFormat="1" applyFont="1" applyAlignment="1">
      <alignment horizontal="center" vertical="center"/>
    </xf>
    <xf numFmtId="37" fontId="8" fillId="2" borderId="3" xfId="9" applyNumberFormat="1" applyFont="1" applyBorder="1" applyAlignment="1">
      <alignment horizontal="center" vertical="center"/>
    </xf>
    <xf numFmtId="37" fontId="8" fillId="2" borderId="1" xfId="9" applyNumberFormat="1" applyFont="1" applyBorder="1" applyAlignment="1">
      <alignment horizontal="center" vertical="center"/>
    </xf>
    <xf numFmtId="37" fontId="7" fillId="2" borderId="7" xfId="9" applyNumberFormat="1" applyFont="1" applyBorder="1" applyAlignment="1">
      <alignment horizontal="center" vertical="center"/>
    </xf>
    <xf numFmtId="37" fontId="8" fillId="2" borderId="2" xfId="9" applyNumberFormat="1" applyFont="1" applyBorder="1" applyAlignment="1">
      <alignment horizontal="center" vertical="center"/>
    </xf>
    <xf numFmtId="0" fontId="3" fillId="2" borderId="2" xfId="10" applyFont="1"/>
    <xf numFmtId="37" fontId="7" fillId="2" borderId="7" xfId="10" applyNumberFormat="1" applyFont="1" applyBorder="1" applyAlignment="1">
      <alignment horizontal="center" vertical="center" wrapText="1"/>
    </xf>
    <xf numFmtId="37" fontId="8" fillId="2" borderId="2" xfId="10" applyNumberFormat="1" applyFont="1" applyAlignment="1">
      <alignment horizontal="center" vertical="center" wrapText="1"/>
    </xf>
    <xf numFmtId="37" fontId="8" fillId="2" borderId="2" xfId="10" applyNumberFormat="1" applyFont="1" applyAlignment="1">
      <alignment horizontal="center" vertical="center"/>
    </xf>
    <xf numFmtId="37" fontId="8" fillId="2" borderId="3" xfId="10" applyNumberFormat="1" applyFont="1" applyBorder="1" applyAlignment="1">
      <alignment horizontal="center" vertical="center"/>
    </xf>
    <xf numFmtId="37" fontId="8" fillId="2" borderId="1" xfId="10" applyNumberFormat="1" applyFont="1" applyBorder="1" applyAlignment="1">
      <alignment horizontal="center" vertical="center"/>
    </xf>
    <xf numFmtId="37" fontId="7" fillId="2" borderId="7" xfId="10" applyNumberFormat="1" applyFont="1" applyBorder="1" applyAlignment="1">
      <alignment horizontal="center" vertical="center"/>
    </xf>
    <xf numFmtId="0" fontId="5" fillId="2" borderId="2" xfId="1" applyFont="1" applyAlignment="1">
      <alignment horizontal="center" vertical="center" wrapText="1" readingOrder="2"/>
    </xf>
    <xf numFmtId="37" fontId="2" fillId="2" borderId="2" xfId="1" applyNumberFormat="1" applyFont="1" applyAlignment="1">
      <alignment horizontal="center" vertical="center"/>
    </xf>
    <xf numFmtId="0" fontId="3" fillId="2" borderId="2" xfId="1" applyFont="1"/>
    <xf numFmtId="0" fontId="4" fillId="3" borderId="2" xfId="1" applyFont="1" applyFill="1" applyAlignment="1">
      <alignment horizontal="center" vertical="center" wrapText="1" readingOrder="2"/>
    </xf>
    <xf numFmtId="37" fontId="8" fillId="2" borderId="2" xfId="4" applyNumberFormat="1" applyFont="1" applyAlignment="1">
      <alignment horizontal="center" vertical="center" wrapText="1"/>
    </xf>
    <xf numFmtId="37" fontId="8" fillId="2" borderId="4" xfId="4" applyNumberFormat="1" applyFont="1" applyBorder="1" applyAlignment="1">
      <alignment horizontal="center" vertical="center"/>
    </xf>
    <xf numFmtId="0" fontId="8" fillId="2" borderId="2" xfId="4" applyFont="1" applyAlignment="1">
      <alignment horizontal="center" vertical="center"/>
    </xf>
    <xf numFmtId="37" fontId="6" fillId="2" borderId="2" xfId="4" applyNumberFormat="1" applyFont="1" applyAlignment="1">
      <alignment horizontal="center" vertical="center"/>
    </xf>
    <xf numFmtId="0" fontId="3" fillId="2" borderId="2" xfId="4" applyFont="1"/>
    <xf numFmtId="37" fontId="7" fillId="2" borderId="2" xfId="4" applyNumberFormat="1" applyFont="1" applyAlignment="1">
      <alignment horizontal="right" vertical="center"/>
    </xf>
    <xf numFmtId="37" fontId="7" fillId="2" borderId="7" xfId="4" applyNumberFormat="1" applyFont="1" applyBorder="1" applyAlignment="1">
      <alignment horizontal="center" vertical="center"/>
    </xf>
    <xf numFmtId="0" fontId="3" fillId="2" borderId="6" xfId="4" applyFont="1" applyBorder="1"/>
    <xf numFmtId="37" fontId="6" fillId="2" borderId="2" xfId="1" applyNumberFormat="1" applyFont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7" xfId="1" applyNumberFormat="1" applyFont="1" applyBorder="1" applyAlignment="1">
      <alignment horizontal="center" vertical="center"/>
    </xf>
    <xf numFmtId="0" fontId="3" fillId="2" borderId="6" xfId="1" applyFont="1" applyBorder="1"/>
    <xf numFmtId="37" fontId="6" fillId="2" borderId="2" xfId="5" applyNumberFormat="1" applyFont="1" applyAlignment="1">
      <alignment horizontal="center" vertical="center"/>
    </xf>
    <xf numFmtId="0" fontId="3" fillId="2" borderId="2" xfId="5" applyFont="1"/>
    <xf numFmtId="37" fontId="7" fillId="2" borderId="2" xfId="5" applyNumberFormat="1" applyFont="1" applyAlignment="1">
      <alignment horizontal="right" vertical="center"/>
    </xf>
    <xf numFmtId="0" fontId="9" fillId="2" borderId="7" xfId="5" applyFont="1" applyBorder="1" applyAlignment="1">
      <alignment horizontal="center"/>
    </xf>
    <xf numFmtId="0" fontId="9" fillId="2" borderId="6" xfId="1" applyFont="1" applyBorder="1" applyAlignment="1">
      <alignment horizontal="center"/>
    </xf>
    <xf numFmtId="37" fontId="6" fillId="2" borderId="2" xfId="6" applyNumberFormat="1" applyFont="1" applyAlignment="1">
      <alignment horizontal="center" vertical="center"/>
    </xf>
    <xf numFmtId="0" fontId="3" fillId="2" borderId="2" xfId="6" applyFont="1"/>
    <xf numFmtId="37" fontId="7" fillId="2" borderId="2" xfId="6" applyNumberFormat="1" applyFont="1" applyAlignment="1">
      <alignment horizontal="right" vertical="center"/>
    </xf>
    <xf numFmtId="37" fontId="7" fillId="2" borderId="7" xfId="6" applyNumberFormat="1" applyFont="1" applyBorder="1" applyAlignment="1">
      <alignment horizontal="center" vertical="center"/>
    </xf>
    <xf numFmtId="0" fontId="3" fillId="2" borderId="6" xfId="6" applyFont="1" applyBorder="1"/>
    <xf numFmtId="37" fontId="6" fillId="2" borderId="2" xfId="7" applyNumberFormat="1" applyFont="1" applyAlignment="1">
      <alignment horizontal="center" vertical="center"/>
    </xf>
    <xf numFmtId="0" fontId="3" fillId="2" borderId="2" xfId="7" applyFont="1"/>
    <xf numFmtId="37" fontId="7" fillId="2" borderId="2" xfId="7" applyNumberFormat="1" applyFont="1" applyAlignment="1">
      <alignment horizontal="right" vertical="center"/>
    </xf>
    <xf numFmtId="37" fontId="7" fillId="2" borderId="7" xfId="7" applyNumberFormat="1" applyFont="1" applyBorder="1" applyAlignment="1">
      <alignment horizontal="center" vertical="center"/>
    </xf>
    <xf numFmtId="0" fontId="3" fillId="2" borderId="6" xfId="7" applyFont="1" applyBorder="1"/>
    <xf numFmtId="37" fontId="6" fillId="2" borderId="2" xfId="8" applyNumberFormat="1" applyFont="1" applyAlignment="1">
      <alignment horizontal="center" vertical="center"/>
    </xf>
    <xf numFmtId="0" fontId="3" fillId="2" borderId="2" xfId="8" applyFont="1"/>
    <xf numFmtId="37" fontId="7" fillId="2" borderId="2" xfId="8" applyNumberFormat="1" applyFont="1" applyAlignment="1">
      <alignment horizontal="right" vertical="center"/>
    </xf>
    <xf numFmtId="37" fontId="7" fillId="2" borderId="7" xfId="8" applyNumberFormat="1" applyFont="1" applyBorder="1" applyAlignment="1">
      <alignment horizontal="center" vertical="center"/>
    </xf>
    <xf numFmtId="0" fontId="3" fillId="2" borderId="6" xfId="8" applyFont="1" applyBorder="1"/>
    <xf numFmtId="37" fontId="6" fillId="2" borderId="2" xfId="9" applyNumberFormat="1" applyFont="1" applyAlignment="1">
      <alignment horizontal="center" vertical="center"/>
    </xf>
    <xf numFmtId="0" fontId="3" fillId="2" borderId="2" xfId="9" applyFont="1"/>
    <xf numFmtId="37" fontId="7" fillId="2" borderId="2" xfId="9" applyNumberFormat="1" applyFont="1" applyAlignment="1">
      <alignment horizontal="right" vertical="center"/>
    </xf>
    <xf numFmtId="37" fontId="7" fillId="2" borderId="7" xfId="9" applyNumberFormat="1" applyFont="1" applyBorder="1" applyAlignment="1">
      <alignment horizontal="center" vertical="center"/>
    </xf>
    <xf numFmtId="0" fontId="3" fillId="2" borderId="6" xfId="9" applyFont="1" applyBorder="1"/>
    <xf numFmtId="37" fontId="6" fillId="2" borderId="2" xfId="10" applyNumberFormat="1" applyFont="1" applyAlignment="1">
      <alignment horizontal="center" vertical="center"/>
    </xf>
    <xf numFmtId="0" fontId="3" fillId="2" borderId="2" xfId="10" applyFont="1"/>
    <xf numFmtId="37" fontId="7" fillId="2" borderId="2" xfId="10" applyNumberFormat="1" applyFont="1" applyAlignment="1">
      <alignment horizontal="right" vertical="center"/>
    </xf>
    <xf numFmtId="37" fontId="7" fillId="2" borderId="7" xfId="10" applyNumberFormat="1" applyFont="1" applyBorder="1" applyAlignment="1">
      <alignment horizontal="center" vertical="center"/>
    </xf>
    <xf numFmtId="0" fontId="3" fillId="2" borderId="6" xfId="10" applyFont="1" applyBorder="1"/>
  </cellXfs>
  <cellStyles count="11">
    <cellStyle name="Normal" xfId="0" builtinId="0"/>
    <cellStyle name="Normal 10" xfId="10" xr:uid="{D9DF951D-D675-4052-8C71-18DB9BA86262}"/>
    <cellStyle name="Normal 2" xfId="1" xr:uid="{536E6155-558E-4BC0-BF62-290946066EE1}"/>
    <cellStyle name="Normal 3" xfId="2" xr:uid="{0BC302D0-A241-4BD0-891E-DEA44683D7C7}"/>
    <cellStyle name="Normal 4" xfId="4" xr:uid="{75B9A35B-A058-4C3E-974F-A634776563DB}"/>
    <cellStyle name="Normal 5" xfId="5" xr:uid="{F0ACED5B-67D1-4AC9-A4E0-DBF4C8B32A8D}"/>
    <cellStyle name="Normal 6" xfId="6" xr:uid="{60A5BF19-23C3-4BAC-8B03-D644408BD112}"/>
    <cellStyle name="Normal 7" xfId="7" xr:uid="{2F8F2731-DF77-4246-8E0C-6AFE2E92E3E4}"/>
    <cellStyle name="Normal 8" xfId="8" xr:uid="{2369368C-DE50-40A7-8511-2909D592B681}"/>
    <cellStyle name="Normal 9" xfId="9" xr:uid="{37046136-9978-48B0-BDFF-EBF6DFDC3C91}"/>
    <cellStyle name="Percent 2" xfId="3" xr:uid="{AEE539A2-6129-473D-A82B-EC7626F2F2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7B7A1-27C3-4AED-9EA0-212C9D0B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932647</xdr:colOff>
      <xdr:row>3</xdr:row>
      <xdr:rowOff>68581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15033-D1A0-4F13-B832-B939A4CDC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53073" y="1"/>
          <a:ext cx="932647" cy="8229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932647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F5985-3363-4067-8925-F11B9634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482513" y="0"/>
          <a:ext cx="932647" cy="8305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932647</xdr:colOff>
      <xdr:row>3</xdr:row>
      <xdr:rowOff>74855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48D99-6444-42C0-99B2-7C63C0327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30313" y="0"/>
          <a:ext cx="932647" cy="8292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932647</xdr:colOff>
      <xdr:row>3</xdr:row>
      <xdr:rowOff>74855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FB7EB-DF8D-42AA-90B0-F4D858AC9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259753" y="0"/>
          <a:ext cx="932647" cy="8292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29284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AACD8-7CEB-4B14-A0B5-9DA43175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724699" y="0"/>
          <a:ext cx="871561" cy="7836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45E43-3504-4C9A-B1E9-482795C4F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41719" y="0"/>
          <a:ext cx="871561" cy="78039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61AEE-5DD8-42D0-97F2-FD9C108A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446819" y="0"/>
          <a:ext cx="871561" cy="7803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26018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6EE47-FBEF-411C-BA0E-094AA2477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894119" y="0"/>
          <a:ext cx="871561" cy="78039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33638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912172-81A6-4A56-B3AA-1A50BA07E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30339" y="0"/>
          <a:ext cx="871561" cy="78801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33638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B61E9-25CB-4C85-B3C6-444EC4FD6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290359" y="0"/>
          <a:ext cx="871561" cy="7880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871561</xdr:colOff>
      <xdr:row>3</xdr:row>
      <xdr:rowOff>44524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45638-D521-4F11-8A75-82603693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8556953" y="0"/>
          <a:ext cx="871561" cy="795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4614-62F4-4C27-82E1-BA37E26381A9}">
  <sheetPr>
    <pageSetUpPr fitToPage="1"/>
  </sheetPr>
  <dimension ref="A18:J25"/>
  <sheetViews>
    <sheetView rightToLeft="1" tabSelected="1" view="pageBreakPreview" topLeftCell="A3" zoomScaleNormal="100" zoomScaleSheetLayoutView="100" workbookViewId="0">
      <selection activeCell="A21" sqref="A21"/>
    </sheetView>
  </sheetViews>
  <sheetFormatPr defaultColWidth="8.85546875" defaultRowHeight="19.5" x14ac:dyDescent="0.55000000000000004"/>
  <cols>
    <col min="1" max="16384" width="8.85546875" style="1"/>
  </cols>
  <sheetData>
    <row r="18" spans="1:10" ht="40.15" customHeight="1" x14ac:dyDescent="0.55000000000000004">
      <c r="A18" s="79" t="s">
        <v>64</v>
      </c>
      <c r="B18" s="80"/>
      <c r="C18" s="80"/>
      <c r="D18" s="80"/>
      <c r="E18" s="80"/>
      <c r="F18" s="80"/>
      <c r="G18" s="80"/>
      <c r="H18" s="80"/>
      <c r="I18" s="80"/>
      <c r="J18" s="80"/>
    </row>
    <row r="19" spans="1:10" ht="40.15" customHeight="1" x14ac:dyDescent="0.55000000000000004">
      <c r="A19" s="79" t="s">
        <v>0</v>
      </c>
      <c r="B19" s="80"/>
      <c r="C19" s="80"/>
      <c r="D19" s="80"/>
      <c r="E19" s="80"/>
      <c r="F19" s="80"/>
      <c r="G19" s="80"/>
      <c r="H19" s="80"/>
      <c r="I19" s="80"/>
      <c r="J19" s="80"/>
    </row>
    <row r="20" spans="1:10" ht="40.15" customHeight="1" x14ac:dyDescent="0.55000000000000004">
      <c r="A20" s="79" t="s">
        <v>1</v>
      </c>
      <c r="B20" s="80"/>
      <c r="C20" s="80"/>
      <c r="D20" s="80"/>
      <c r="E20" s="80"/>
      <c r="F20" s="80"/>
      <c r="G20" s="80"/>
      <c r="H20" s="80"/>
      <c r="I20" s="80"/>
      <c r="J20" s="80"/>
    </row>
    <row r="24" spans="1:10" ht="43.5" customHeight="1" x14ac:dyDescent="0.55000000000000004">
      <c r="B24" s="81" t="s">
        <v>48</v>
      </c>
      <c r="C24" s="81"/>
      <c r="D24" s="81" t="s">
        <v>49</v>
      </c>
      <c r="E24" s="81"/>
      <c r="F24" s="81" t="s">
        <v>50</v>
      </c>
      <c r="G24" s="81"/>
      <c r="H24" s="81" t="s">
        <v>51</v>
      </c>
      <c r="I24" s="81"/>
    </row>
    <row r="25" spans="1:10" ht="39.75" customHeight="1" x14ac:dyDescent="0.55000000000000004">
      <c r="B25" s="78" t="s">
        <v>52</v>
      </c>
      <c r="C25" s="78"/>
      <c r="D25" s="78" t="s">
        <v>53</v>
      </c>
      <c r="E25" s="78"/>
      <c r="F25" s="78" t="s">
        <v>54</v>
      </c>
      <c r="G25" s="78"/>
      <c r="H25" s="78"/>
      <c r="I25" s="78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6F6A-EF1F-457A-A6E0-9FB1DAF1D94D}">
  <sheetPr>
    <pageSetUpPr fitToPage="1"/>
  </sheetPr>
  <dimension ref="A1:W49"/>
  <sheetViews>
    <sheetView rightToLeft="1" view="pageBreakPreview" zoomScale="60" zoomScaleNormal="100" workbookViewId="0">
      <selection activeCell="AB19" sqref="AB19"/>
    </sheetView>
  </sheetViews>
  <sheetFormatPr defaultColWidth="8.85546875" defaultRowHeight="19.5" x14ac:dyDescent="0.55000000000000004"/>
  <cols>
    <col min="1" max="1" width="29.28515625" style="2" customWidth="1"/>
    <col min="2" max="2" width="1.42578125" style="2" customWidth="1"/>
    <col min="3" max="3" width="12.85546875" style="2" customWidth="1"/>
    <col min="4" max="4" width="1.42578125" style="2" customWidth="1"/>
    <col min="5" max="5" width="17" style="2" customWidth="1"/>
    <col min="6" max="6" width="1.42578125" style="2" customWidth="1"/>
    <col min="7" max="7" width="20" style="2" customWidth="1"/>
    <col min="8" max="8" width="1.42578125" style="2" customWidth="1"/>
    <col min="9" max="9" width="15.85546875" style="2" customWidth="1"/>
    <col min="10" max="10" width="20.28515625" style="2" customWidth="1"/>
    <col min="11" max="11" width="1.42578125" style="2" customWidth="1"/>
    <col min="12" max="12" width="14.85546875" style="2" customWidth="1"/>
    <col min="13" max="13" width="21.28515625" style="2" customWidth="1"/>
    <col min="14" max="14" width="1.42578125" style="2" customWidth="1"/>
    <col min="15" max="15" width="17.5703125" style="2" customWidth="1"/>
    <col min="16" max="16" width="1.42578125" style="2" customWidth="1"/>
    <col min="17" max="17" width="15.5703125" style="2" customWidth="1"/>
    <col min="18" max="18" width="1.42578125" style="2" customWidth="1"/>
    <col min="19" max="19" width="17" style="2" customWidth="1"/>
    <col min="20" max="20" width="1.42578125" style="2" customWidth="1"/>
    <col min="21" max="21" width="19.85546875" style="2" customWidth="1"/>
    <col min="22" max="22" width="1.42578125" style="2" customWidth="1"/>
    <col min="23" max="23" width="14.42578125" style="2" customWidth="1"/>
    <col min="24" max="16384" width="8.85546875" style="2"/>
  </cols>
  <sheetData>
    <row r="1" spans="1:23" ht="19.899999999999999" customHeight="1" x14ac:dyDescent="0.55000000000000004">
      <c r="A1" s="85" t="s">
        <v>106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</row>
    <row r="2" spans="1:23" ht="19.899999999999999" customHeight="1" x14ac:dyDescent="0.55000000000000004">
      <c r="A2" s="85" t="s">
        <v>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</row>
    <row r="3" spans="1:23" ht="19.899999999999999" customHeight="1" x14ac:dyDescent="0.55000000000000004">
      <c r="A3" s="85" t="s">
        <v>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</row>
    <row r="5" spans="1:23" ht="21" x14ac:dyDescent="0.55000000000000004">
      <c r="A5" s="87" t="s">
        <v>105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</row>
    <row r="6" spans="1:23" ht="21" x14ac:dyDescent="0.55000000000000004">
      <c r="A6" s="87" t="s">
        <v>104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</row>
    <row r="8" spans="1:23" ht="21" x14ac:dyDescent="0.55000000000000004">
      <c r="C8" s="88" t="s">
        <v>2</v>
      </c>
      <c r="D8" s="89"/>
      <c r="E8" s="89"/>
      <c r="F8" s="89"/>
      <c r="G8" s="89"/>
      <c r="I8" s="88" t="s">
        <v>55</v>
      </c>
      <c r="J8" s="89"/>
      <c r="K8" s="89"/>
      <c r="L8" s="89"/>
      <c r="M8" s="89"/>
      <c r="O8" s="88" t="s">
        <v>3</v>
      </c>
      <c r="P8" s="89"/>
      <c r="Q8" s="89"/>
      <c r="R8" s="89"/>
      <c r="S8" s="89"/>
      <c r="T8" s="89"/>
      <c r="U8" s="89"/>
      <c r="V8" s="89"/>
      <c r="W8" s="89"/>
    </row>
    <row r="9" spans="1:23" ht="21" x14ac:dyDescent="0.55000000000000004">
      <c r="A9" s="84" t="s">
        <v>103</v>
      </c>
      <c r="C9" s="84" t="s">
        <v>4</v>
      </c>
      <c r="E9" s="84" t="s">
        <v>5</v>
      </c>
      <c r="G9" s="84" t="s">
        <v>6</v>
      </c>
      <c r="I9" s="84" t="s">
        <v>56</v>
      </c>
      <c r="J9" s="86"/>
      <c r="L9" s="84" t="s">
        <v>57</v>
      </c>
      <c r="M9" s="86"/>
      <c r="O9" s="84" t="s">
        <v>4</v>
      </c>
      <c r="Q9" s="82" t="s">
        <v>102</v>
      </c>
      <c r="S9" s="84" t="s">
        <v>5</v>
      </c>
      <c r="U9" s="84" t="s">
        <v>6</v>
      </c>
      <c r="W9" s="82" t="s">
        <v>7</v>
      </c>
    </row>
    <row r="10" spans="1:23" ht="21" x14ac:dyDescent="0.55000000000000004">
      <c r="A10" s="83"/>
      <c r="C10" s="83"/>
      <c r="E10" s="83"/>
      <c r="G10" s="83"/>
      <c r="I10" s="3" t="s">
        <v>4</v>
      </c>
      <c r="J10" s="3" t="s">
        <v>5</v>
      </c>
      <c r="L10" s="3" t="s">
        <v>4</v>
      </c>
      <c r="M10" s="3" t="s">
        <v>8</v>
      </c>
      <c r="O10" s="83"/>
      <c r="Q10" s="83"/>
      <c r="S10" s="83"/>
      <c r="U10" s="83"/>
      <c r="W10" s="83"/>
    </row>
    <row r="11" spans="1:23" ht="21" x14ac:dyDescent="0.55000000000000004">
      <c r="A11" s="4" t="s">
        <v>101</v>
      </c>
      <c r="C11" s="6">
        <v>4200000</v>
      </c>
      <c r="E11" s="6">
        <v>14099676972</v>
      </c>
      <c r="G11" s="6">
        <v>14871385620</v>
      </c>
      <c r="I11" s="6">
        <v>0</v>
      </c>
      <c r="J11" s="6">
        <v>0</v>
      </c>
      <c r="L11" s="6">
        <v>0</v>
      </c>
      <c r="M11" s="6">
        <v>0</v>
      </c>
      <c r="N11" s="5"/>
      <c r="O11" s="6">
        <v>4200000</v>
      </c>
      <c r="Q11" s="6">
        <v>4231</v>
      </c>
      <c r="S11" s="6">
        <v>14099676972</v>
      </c>
      <c r="U11" s="6">
        <v>17668642320</v>
      </c>
      <c r="W11" s="7">
        <v>2.0017259684829765E-2</v>
      </c>
    </row>
    <row r="12" spans="1:23" ht="21" x14ac:dyDescent="0.55000000000000004">
      <c r="A12" s="4" t="s">
        <v>100</v>
      </c>
      <c r="C12" s="6">
        <v>0</v>
      </c>
      <c r="D12" s="6"/>
      <c r="E12" s="6">
        <v>0</v>
      </c>
      <c r="F12" s="6"/>
      <c r="G12" s="6">
        <v>0</v>
      </c>
      <c r="H12" s="5"/>
      <c r="I12" s="6">
        <v>800000</v>
      </c>
      <c r="J12" s="6">
        <v>2648855846</v>
      </c>
      <c r="L12" s="6">
        <v>800000</v>
      </c>
      <c r="M12" s="6">
        <v>2886406684</v>
      </c>
      <c r="O12" s="6">
        <v>0</v>
      </c>
      <c r="Q12" s="6">
        <v>0</v>
      </c>
      <c r="S12" s="6">
        <v>0</v>
      </c>
      <c r="U12" s="6">
        <v>0</v>
      </c>
      <c r="W12" s="7">
        <v>0</v>
      </c>
    </row>
    <row r="13" spans="1:23" ht="21" x14ac:dyDescent="0.55000000000000004">
      <c r="A13" s="4" t="s">
        <v>99</v>
      </c>
      <c r="C13" s="6">
        <v>57991000</v>
      </c>
      <c r="E13" s="6">
        <v>19278254696</v>
      </c>
      <c r="G13" s="6">
        <v>23173673327</v>
      </c>
      <c r="I13" s="6">
        <v>0</v>
      </c>
      <c r="J13" s="6">
        <v>0</v>
      </c>
      <c r="L13" s="6">
        <v>1991000</v>
      </c>
      <c r="M13" s="6">
        <v>995911884</v>
      </c>
      <c r="O13" s="6">
        <v>56000000</v>
      </c>
      <c r="Q13" s="6">
        <v>526</v>
      </c>
      <c r="S13" s="6">
        <v>18616376041</v>
      </c>
      <c r="U13" s="6">
        <v>29614737600</v>
      </c>
      <c r="W13" s="7">
        <v>3.3551298526557763E-2</v>
      </c>
    </row>
    <row r="14" spans="1:23" ht="21" x14ac:dyDescent="0.55000000000000004">
      <c r="A14" s="4" t="s">
        <v>98</v>
      </c>
      <c r="C14" s="6">
        <v>41313066</v>
      </c>
      <c r="E14" s="6">
        <v>19998625928</v>
      </c>
      <c r="G14" s="6">
        <v>41436858537</v>
      </c>
      <c r="I14" s="6">
        <v>2000000</v>
      </c>
      <c r="J14" s="6">
        <v>2406230882</v>
      </c>
      <c r="L14" s="6">
        <v>8000000</v>
      </c>
      <c r="M14" s="6">
        <v>9037370829</v>
      </c>
      <c r="O14" s="6">
        <v>35313066</v>
      </c>
      <c r="Q14" s="6">
        <v>1217</v>
      </c>
      <c r="S14" s="6">
        <v>18266640077</v>
      </c>
      <c r="U14" s="6">
        <v>42966014787</v>
      </c>
      <c r="W14" s="7">
        <v>4.8677304120875689E-2</v>
      </c>
    </row>
    <row r="15" spans="1:23" ht="21" x14ac:dyDescent="0.55000000000000004">
      <c r="A15" s="4" t="s">
        <v>97</v>
      </c>
      <c r="C15" s="6">
        <v>0</v>
      </c>
      <c r="D15" s="6"/>
      <c r="E15" s="6">
        <v>0</v>
      </c>
      <c r="F15" s="6"/>
      <c r="G15" s="6">
        <v>0</v>
      </c>
      <c r="H15" s="5"/>
      <c r="I15" s="6">
        <v>2400000</v>
      </c>
      <c r="J15" s="6">
        <v>10830040925</v>
      </c>
      <c r="L15" s="6">
        <v>0</v>
      </c>
      <c r="M15" s="6">
        <v>0</v>
      </c>
      <c r="O15" s="6">
        <v>2400000</v>
      </c>
      <c r="Q15" s="6">
        <v>4312</v>
      </c>
      <c r="S15" s="6">
        <v>10830040925</v>
      </c>
      <c r="U15" s="6">
        <v>10241895960</v>
      </c>
      <c r="W15" s="7">
        <v>1.1603307565078878E-2</v>
      </c>
    </row>
    <row r="16" spans="1:23" ht="21" x14ac:dyDescent="0.55000000000000004">
      <c r="A16" s="4" t="s">
        <v>96</v>
      </c>
      <c r="C16" s="6">
        <v>1450000</v>
      </c>
      <c r="E16" s="6">
        <v>3000155735</v>
      </c>
      <c r="G16" s="6">
        <v>2337906195</v>
      </c>
      <c r="I16" s="6">
        <v>0</v>
      </c>
      <c r="J16" s="6">
        <v>0</v>
      </c>
      <c r="L16" s="6">
        <v>0</v>
      </c>
      <c r="M16" s="6">
        <v>0</v>
      </c>
      <c r="N16" s="5"/>
      <c r="O16" s="6">
        <v>1450000</v>
      </c>
      <c r="Q16" s="6">
        <v>2031</v>
      </c>
      <c r="S16" s="6">
        <v>3000155735</v>
      </c>
      <c r="U16" s="6">
        <v>2928868920</v>
      </c>
      <c r="W16" s="7">
        <v>3.3181909901533898E-3</v>
      </c>
    </row>
    <row r="17" spans="1:23" ht="21" x14ac:dyDescent="0.55000000000000004">
      <c r="A17" s="4" t="s">
        <v>95</v>
      </c>
      <c r="C17" s="6">
        <v>44000</v>
      </c>
      <c r="E17" s="6">
        <v>14004980</v>
      </c>
      <c r="G17" s="6">
        <v>13208936</v>
      </c>
      <c r="I17" s="6">
        <v>0</v>
      </c>
      <c r="J17" s="6">
        <v>0</v>
      </c>
      <c r="L17" s="6">
        <v>44000</v>
      </c>
      <c r="M17" s="6">
        <v>15833231</v>
      </c>
      <c r="O17" s="6">
        <v>0</v>
      </c>
      <c r="Q17" s="6">
        <v>0</v>
      </c>
      <c r="S17" s="6">
        <v>0</v>
      </c>
      <c r="U17" s="6">
        <v>0</v>
      </c>
      <c r="W17" s="7">
        <v>0</v>
      </c>
    </row>
    <row r="18" spans="1:23" ht="21" x14ac:dyDescent="0.55000000000000004">
      <c r="A18" s="4" t="s">
        <v>94</v>
      </c>
      <c r="C18" s="6">
        <v>15986000</v>
      </c>
      <c r="E18" s="6">
        <v>21374189919</v>
      </c>
      <c r="G18" s="6">
        <v>18576442578</v>
      </c>
      <c r="I18" s="6">
        <v>9800000</v>
      </c>
      <c r="J18" s="6">
        <v>13572583523</v>
      </c>
      <c r="L18" s="6">
        <v>3851000</v>
      </c>
      <c r="M18" s="6">
        <v>4978765350</v>
      </c>
      <c r="O18" s="6">
        <v>21935000</v>
      </c>
      <c r="Q18" s="6">
        <v>1437</v>
      </c>
      <c r="S18" s="6">
        <v>29796269811</v>
      </c>
      <c r="U18" s="6">
        <v>31245829513</v>
      </c>
      <c r="W18" s="7">
        <v>3.5399204539992006E-2</v>
      </c>
    </row>
    <row r="19" spans="1:23" ht="21" x14ac:dyDescent="0.55000000000000004">
      <c r="A19" s="4" t="s">
        <v>93</v>
      </c>
      <c r="C19" s="6">
        <v>350000</v>
      </c>
      <c r="E19" s="6">
        <v>8983711439</v>
      </c>
      <c r="G19" s="6">
        <v>7688976750</v>
      </c>
      <c r="I19" s="6">
        <v>160000</v>
      </c>
      <c r="J19" s="6">
        <v>3600438880</v>
      </c>
      <c r="L19" s="6">
        <v>10000</v>
      </c>
      <c r="M19" s="6">
        <v>262429200</v>
      </c>
      <c r="O19" s="6">
        <v>500000</v>
      </c>
      <c r="Q19" s="6">
        <v>26100</v>
      </c>
      <c r="S19" s="6">
        <v>12337402274</v>
      </c>
      <c r="U19" s="6">
        <v>13051876500</v>
      </c>
      <c r="W19" s="7">
        <v>1.4786806849278444E-2</v>
      </c>
    </row>
    <row r="20" spans="1:23" ht="21" x14ac:dyDescent="0.55000000000000004">
      <c r="A20" s="4" t="s">
        <v>92</v>
      </c>
      <c r="C20" s="6">
        <v>2200000</v>
      </c>
      <c r="E20" s="6">
        <v>22872642596</v>
      </c>
      <c r="G20" s="6">
        <v>20382001200</v>
      </c>
      <c r="I20" s="6">
        <v>400000</v>
      </c>
      <c r="J20" s="6">
        <v>3863582080</v>
      </c>
      <c r="L20" s="6">
        <v>350000</v>
      </c>
      <c r="M20" s="6">
        <v>3740111563</v>
      </c>
      <c r="O20" s="6">
        <v>2250000</v>
      </c>
      <c r="Q20" s="6">
        <v>10930</v>
      </c>
      <c r="S20" s="6">
        <v>23137117508</v>
      </c>
      <c r="U20" s="6">
        <v>24826398750</v>
      </c>
      <c r="W20" s="7">
        <v>2.812646618893596E-2</v>
      </c>
    </row>
    <row r="21" spans="1:23" ht="21" x14ac:dyDescent="0.55000000000000004">
      <c r="A21" s="4" t="s">
        <v>91</v>
      </c>
      <c r="C21" s="6">
        <v>3800000</v>
      </c>
      <c r="E21" s="6">
        <v>31021628950</v>
      </c>
      <c r="G21" s="6">
        <v>32070041100</v>
      </c>
      <c r="I21" s="6">
        <v>400000</v>
      </c>
      <c r="J21" s="6">
        <v>3659392756</v>
      </c>
      <c r="L21" s="6">
        <v>600000</v>
      </c>
      <c r="M21" s="6">
        <v>6008038276</v>
      </c>
      <c r="O21" s="6">
        <v>3600000</v>
      </c>
      <c r="Q21" s="6">
        <v>10060</v>
      </c>
      <c r="S21" s="6">
        <v>29726590034</v>
      </c>
      <c r="U21" s="6">
        <v>36072086400</v>
      </c>
      <c r="W21" s="7">
        <v>4.0866995197762088E-2</v>
      </c>
    </row>
    <row r="22" spans="1:23" ht="21" x14ac:dyDescent="0.55000000000000004">
      <c r="A22" s="4" t="s">
        <v>90</v>
      </c>
      <c r="C22" s="6">
        <v>2000000</v>
      </c>
      <c r="E22" s="6">
        <v>18537283220</v>
      </c>
      <c r="G22" s="6">
        <v>15387894000</v>
      </c>
      <c r="I22" s="6">
        <v>0</v>
      </c>
      <c r="J22" s="6">
        <v>0</v>
      </c>
      <c r="L22" s="6">
        <v>0</v>
      </c>
      <c r="M22" s="6">
        <v>0</v>
      </c>
      <c r="N22" s="5"/>
      <c r="O22" s="6">
        <v>2000000</v>
      </c>
      <c r="Q22" s="6">
        <v>8350</v>
      </c>
      <c r="S22" s="6">
        <v>18537283220</v>
      </c>
      <c r="U22" s="6">
        <v>16441587000</v>
      </c>
      <c r="W22" s="7">
        <v>1.8627097127727758E-2</v>
      </c>
    </row>
    <row r="23" spans="1:23" ht="21" x14ac:dyDescent="0.55000000000000004">
      <c r="A23" s="4" t="s">
        <v>89</v>
      </c>
      <c r="C23" s="6">
        <v>0</v>
      </c>
      <c r="D23" s="6"/>
      <c r="E23" s="6">
        <v>0</v>
      </c>
      <c r="F23" s="6"/>
      <c r="G23" s="6">
        <v>0</v>
      </c>
      <c r="H23" s="5"/>
      <c r="I23" s="6">
        <v>720501</v>
      </c>
      <c r="J23" s="6">
        <v>11628405091</v>
      </c>
      <c r="L23" s="6">
        <v>220501</v>
      </c>
      <c r="M23" s="6">
        <v>3715512713</v>
      </c>
      <c r="O23" s="6">
        <v>500000</v>
      </c>
      <c r="Q23" s="6">
        <v>16900</v>
      </c>
      <c r="S23" s="6">
        <v>8097217708</v>
      </c>
      <c r="U23" s="6">
        <v>8449425000</v>
      </c>
      <c r="W23" s="7">
        <v>9.5725710753135403E-3</v>
      </c>
    </row>
    <row r="24" spans="1:23" ht="21" x14ac:dyDescent="0.55000000000000004">
      <c r="A24" s="4" t="s">
        <v>88</v>
      </c>
      <c r="C24" s="6">
        <v>1875000</v>
      </c>
      <c r="E24" s="6">
        <v>6098945898</v>
      </c>
      <c r="G24" s="6">
        <v>5682859594</v>
      </c>
      <c r="I24" s="6">
        <v>0</v>
      </c>
      <c r="J24" s="6">
        <v>0</v>
      </c>
      <c r="L24" s="6">
        <v>0</v>
      </c>
      <c r="M24" s="6">
        <v>0</v>
      </c>
      <c r="N24" s="5"/>
      <c r="O24" s="6">
        <v>1875000</v>
      </c>
      <c r="Q24" s="6">
        <v>3216</v>
      </c>
      <c r="S24" s="6">
        <v>6098945898</v>
      </c>
      <c r="U24" s="6">
        <v>6018351469</v>
      </c>
      <c r="W24" s="7">
        <v>6.818345294883398E-3</v>
      </c>
    </row>
    <row r="25" spans="1:23" ht="21" x14ac:dyDescent="0.55000000000000004">
      <c r="A25" s="4" t="s">
        <v>87</v>
      </c>
      <c r="C25" s="6">
        <v>9100000</v>
      </c>
      <c r="E25" s="6">
        <v>44348561527</v>
      </c>
      <c r="G25" s="6">
        <v>62778233700</v>
      </c>
      <c r="I25" s="6">
        <v>0</v>
      </c>
      <c r="J25" s="6">
        <v>0</v>
      </c>
      <c r="L25" s="6">
        <v>0</v>
      </c>
      <c r="M25" s="6">
        <v>0</v>
      </c>
      <c r="N25" s="5"/>
      <c r="O25" s="6">
        <v>9100000</v>
      </c>
      <c r="Q25" s="6">
        <v>8750</v>
      </c>
      <c r="S25" s="6">
        <v>44348561527</v>
      </c>
      <c r="U25" s="6">
        <v>79332148350</v>
      </c>
      <c r="W25" s="7">
        <v>8.9877432918535019E-2</v>
      </c>
    </row>
    <row r="26" spans="1:23" ht="21" x14ac:dyDescent="0.55000000000000004">
      <c r="A26" s="4" t="s">
        <v>86</v>
      </c>
      <c r="C26" s="6">
        <v>650000</v>
      </c>
      <c r="E26" s="6">
        <v>11052036371</v>
      </c>
      <c r="G26" s="6">
        <v>8535410325</v>
      </c>
      <c r="I26" s="6">
        <v>336500</v>
      </c>
      <c r="J26" s="6">
        <v>5216536444</v>
      </c>
      <c r="L26" s="6">
        <v>0</v>
      </c>
      <c r="M26" s="6">
        <v>0</v>
      </c>
      <c r="O26" s="6">
        <v>986500</v>
      </c>
      <c r="Q26" s="6">
        <v>15210</v>
      </c>
      <c r="S26" s="6">
        <v>16268572815</v>
      </c>
      <c r="U26" s="6">
        <v>15003643972</v>
      </c>
      <c r="W26" s="7">
        <v>1.6998014457867791E-2</v>
      </c>
    </row>
    <row r="27" spans="1:23" ht="21" x14ac:dyDescent="0.55000000000000004">
      <c r="A27" s="4" t="s">
        <v>85</v>
      </c>
      <c r="C27" s="6">
        <v>14400000</v>
      </c>
      <c r="E27" s="6">
        <v>47870389253</v>
      </c>
      <c r="G27" s="6">
        <v>31920933600</v>
      </c>
      <c r="I27" s="6">
        <v>5000000</v>
      </c>
      <c r="J27" s="6">
        <v>12983377707</v>
      </c>
      <c r="L27" s="6">
        <v>5300000</v>
      </c>
      <c r="M27" s="6">
        <v>14658523818</v>
      </c>
      <c r="O27" s="6">
        <v>14100000</v>
      </c>
      <c r="Q27" s="6">
        <v>2739</v>
      </c>
      <c r="S27" s="6">
        <v>44228768769</v>
      </c>
      <c r="U27" s="6">
        <v>38852643060</v>
      </c>
      <c r="W27" s="7">
        <v>4.4017159410922914E-2</v>
      </c>
    </row>
    <row r="28" spans="1:23" ht="21" x14ac:dyDescent="0.55000000000000004">
      <c r="A28" s="4" t="s">
        <v>84</v>
      </c>
      <c r="C28" s="6">
        <v>0</v>
      </c>
      <c r="D28" s="6"/>
      <c r="E28" s="6">
        <v>0</v>
      </c>
      <c r="F28" s="6"/>
      <c r="G28" s="6">
        <v>0</v>
      </c>
      <c r="H28" s="5"/>
      <c r="I28" s="6">
        <v>500000</v>
      </c>
      <c r="J28" s="6">
        <v>6325570798</v>
      </c>
      <c r="L28" s="6">
        <v>0</v>
      </c>
      <c r="M28" s="6">
        <v>0</v>
      </c>
      <c r="O28" s="6">
        <v>500000</v>
      </c>
      <c r="Q28" s="6">
        <v>12770</v>
      </c>
      <c r="S28" s="6">
        <v>6325570798</v>
      </c>
      <c r="U28" s="6">
        <v>6396711750</v>
      </c>
      <c r="W28" s="7">
        <v>7.246999396428545E-3</v>
      </c>
    </row>
    <row r="29" spans="1:23" ht="21" x14ac:dyDescent="0.55000000000000004">
      <c r="A29" s="4" t="s">
        <v>83</v>
      </c>
      <c r="C29" s="6">
        <v>11000000</v>
      </c>
      <c r="E29" s="6">
        <v>44697071750</v>
      </c>
      <c r="G29" s="6">
        <v>64185808500</v>
      </c>
      <c r="I29" s="6">
        <v>0</v>
      </c>
      <c r="J29" s="6">
        <v>0</v>
      </c>
      <c r="L29" s="6">
        <v>0</v>
      </c>
      <c r="M29" s="6">
        <v>0</v>
      </c>
      <c r="N29" s="5"/>
      <c r="O29" s="6">
        <v>11000000</v>
      </c>
      <c r="Q29" s="6">
        <v>7870</v>
      </c>
      <c r="S29" s="6">
        <v>44697071750</v>
      </c>
      <c r="U29" s="6">
        <v>86710981500</v>
      </c>
      <c r="W29" s="7">
        <v>9.8237102929364717E-2</v>
      </c>
    </row>
    <row r="30" spans="1:23" ht="21" x14ac:dyDescent="0.55000000000000004">
      <c r="A30" s="4" t="s">
        <v>82</v>
      </c>
      <c r="C30" s="6">
        <v>700000</v>
      </c>
      <c r="E30" s="6">
        <v>9935597718</v>
      </c>
      <c r="G30" s="6">
        <v>8148227850</v>
      </c>
      <c r="I30" s="6">
        <v>0</v>
      </c>
      <c r="J30" s="6">
        <v>0</v>
      </c>
      <c r="L30" s="6">
        <v>0</v>
      </c>
      <c r="M30" s="6">
        <v>0</v>
      </c>
      <c r="N30" s="5"/>
      <c r="O30" s="6">
        <v>700000</v>
      </c>
      <c r="Q30" s="6">
        <v>13530</v>
      </c>
      <c r="S30" s="6">
        <v>9935597718</v>
      </c>
      <c r="U30" s="6">
        <v>9449439300</v>
      </c>
      <c r="W30" s="7">
        <v>1.0705513016697707E-2</v>
      </c>
    </row>
    <row r="31" spans="1:23" ht="21" x14ac:dyDescent="0.55000000000000004">
      <c r="A31" s="4" t="s">
        <v>81</v>
      </c>
      <c r="C31" s="6">
        <v>7850000</v>
      </c>
      <c r="E31" s="6">
        <v>20465056527</v>
      </c>
      <c r="G31" s="6">
        <v>27124244730</v>
      </c>
      <c r="I31" s="6">
        <v>800000</v>
      </c>
      <c r="J31" s="6">
        <v>3355911386</v>
      </c>
      <c r="L31" s="6">
        <v>0</v>
      </c>
      <c r="M31" s="6">
        <v>0</v>
      </c>
      <c r="O31" s="6">
        <v>8650000</v>
      </c>
      <c r="Q31" s="6">
        <v>4865</v>
      </c>
      <c r="S31" s="6">
        <v>23820967913</v>
      </c>
      <c r="U31" s="6">
        <v>42132809250</v>
      </c>
      <c r="W31" s="7">
        <v>4.7733344120842867E-2</v>
      </c>
    </row>
    <row r="32" spans="1:23" ht="21" x14ac:dyDescent="0.55000000000000004">
      <c r="A32" s="4" t="s">
        <v>80</v>
      </c>
      <c r="C32" s="6">
        <v>1400000</v>
      </c>
      <c r="E32" s="6">
        <v>14385369699</v>
      </c>
      <c r="G32" s="6">
        <v>14195034000</v>
      </c>
      <c r="I32" s="6">
        <v>100000</v>
      </c>
      <c r="J32" s="6">
        <v>1152068122</v>
      </c>
      <c r="L32" s="6">
        <v>0</v>
      </c>
      <c r="M32" s="6">
        <v>0</v>
      </c>
      <c r="O32" s="6">
        <v>1500000</v>
      </c>
      <c r="Q32" s="6">
        <v>12640</v>
      </c>
      <c r="S32" s="6">
        <v>15537437821</v>
      </c>
      <c r="U32" s="6">
        <v>18787545000</v>
      </c>
      <c r="W32" s="7">
        <v>2.1284893332167754E-2</v>
      </c>
    </row>
    <row r="33" spans="1:23" ht="21" x14ac:dyDescent="0.55000000000000004">
      <c r="A33" s="4" t="s">
        <v>79</v>
      </c>
      <c r="C33" s="6">
        <v>600000</v>
      </c>
      <c r="E33" s="6">
        <v>9532063153</v>
      </c>
      <c r="G33" s="6">
        <v>10497168000</v>
      </c>
      <c r="I33" s="6">
        <v>200000</v>
      </c>
      <c r="J33" s="6">
        <v>3901617332</v>
      </c>
      <c r="L33" s="6">
        <v>0</v>
      </c>
      <c r="M33" s="6">
        <v>0</v>
      </c>
      <c r="O33" s="6">
        <v>800000</v>
      </c>
      <c r="Q33" s="6">
        <v>23720</v>
      </c>
      <c r="S33" s="6">
        <v>13433680485</v>
      </c>
      <c r="U33" s="6">
        <v>18902854800</v>
      </c>
      <c r="W33" s="7">
        <v>2.1415530772724973E-2</v>
      </c>
    </row>
    <row r="34" spans="1:23" ht="21" x14ac:dyDescent="0.55000000000000004">
      <c r="A34" s="4" t="s">
        <v>78</v>
      </c>
      <c r="C34" s="6">
        <v>5100000</v>
      </c>
      <c r="E34" s="6">
        <v>9708803181</v>
      </c>
      <c r="G34" s="6">
        <v>10985942385</v>
      </c>
      <c r="I34" s="6">
        <v>1200000</v>
      </c>
      <c r="J34" s="6">
        <v>2870661486</v>
      </c>
      <c r="L34" s="6">
        <v>800000</v>
      </c>
      <c r="M34" s="6">
        <v>2114221447</v>
      </c>
      <c r="O34" s="6">
        <v>5500000</v>
      </c>
      <c r="Q34" s="6">
        <v>2913</v>
      </c>
      <c r="S34" s="6">
        <v>10982072329</v>
      </c>
      <c r="U34" s="6">
        <v>15948041175</v>
      </c>
      <c r="W34" s="7">
        <v>1.8067946358446208E-2</v>
      </c>
    </row>
    <row r="35" spans="1:23" ht="21" x14ac:dyDescent="0.55000000000000004">
      <c r="A35" s="4" t="s">
        <v>77</v>
      </c>
      <c r="C35" s="6">
        <v>450000</v>
      </c>
      <c r="E35" s="6">
        <v>17967312376</v>
      </c>
      <c r="G35" s="6">
        <v>25094792250</v>
      </c>
      <c r="I35" s="6">
        <v>0</v>
      </c>
      <c r="J35" s="6">
        <v>0</v>
      </c>
      <c r="L35" s="6">
        <v>0</v>
      </c>
      <c r="M35" s="6">
        <v>0</v>
      </c>
      <c r="N35" s="5"/>
      <c r="O35" s="6">
        <v>450000</v>
      </c>
      <c r="Q35" s="6">
        <v>67200</v>
      </c>
      <c r="S35" s="6">
        <v>17967312376</v>
      </c>
      <c r="U35" s="6">
        <v>30136116825</v>
      </c>
      <c r="W35" s="7">
        <v>3.4141982471146227E-2</v>
      </c>
    </row>
    <row r="36" spans="1:23" ht="21" x14ac:dyDescent="0.55000000000000004">
      <c r="A36" s="4" t="s">
        <v>76</v>
      </c>
      <c r="C36" s="6">
        <v>3900000</v>
      </c>
      <c r="E36" s="6">
        <v>17451066898</v>
      </c>
      <c r="G36" s="6">
        <v>15701019750</v>
      </c>
      <c r="I36" s="6">
        <v>0</v>
      </c>
      <c r="J36" s="6">
        <v>0</v>
      </c>
      <c r="L36" s="6">
        <v>1350000</v>
      </c>
      <c r="M36" s="6">
        <v>6369173458</v>
      </c>
      <c r="O36" s="6">
        <v>2550000</v>
      </c>
      <c r="Q36" s="6">
        <v>5396</v>
      </c>
      <c r="S36" s="6">
        <v>11410312972</v>
      </c>
      <c r="U36" s="6">
        <v>13690603327</v>
      </c>
      <c r="W36" s="7">
        <v>1.5510436912764066E-2</v>
      </c>
    </row>
    <row r="37" spans="1:23" ht="21" x14ac:dyDescent="0.55000000000000004">
      <c r="A37" s="4" t="s">
        <v>75</v>
      </c>
      <c r="C37" s="6">
        <v>200000</v>
      </c>
      <c r="E37" s="6">
        <v>8564224465</v>
      </c>
      <c r="G37" s="6">
        <v>7037874000</v>
      </c>
      <c r="I37" s="6">
        <v>0</v>
      </c>
      <c r="J37" s="6">
        <v>0</v>
      </c>
      <c r="L37" s="6">
        <v>0</v>
      </c>
      <c r="M37" s="6">
        <v>0</v>
      </c>
      <c r="N37" s="5"/>
      <c r="O37" s="6">
        <v>200000</v>
      </c>
      <c r="Q37" s="6">
        <v>42920</v>
      </c>
      <c r="S37" s="6">
        <v>8564224465</v>
      </c>
      <c r="U37" s="6">
        <v>8588592000</v>
      </c>
      <c r="W37" s="7">
        <v>9.7302369518481157E-3</v>
      </c>
    </row>
    <row r="38" spans="1:23" ht="21" x14ac:dyDescent="0.55000000000000004">
      <c r="A38" s="4" t="s">
        <v>74</v>
      </c>
      <c r="C38" s="6">
        <v>600000</v>
      </c>
      <c r="E38" s="6">
        <v>20419932104</v>
      </c>
      <c r="G38" s="6">
        <v>18698080500</v>
      </c>
      <c r="I38" s="6">
        <v>0</v>
      </c>
      <c r="J38" s="6">
        <v>0</v>
      </c>
      <c r="L38" s="6">
        <v>0</v>
      </c>
      <c r="M38" s="6">
        <v>0</v>
      </c>
      <c r="N38" s="5"/>
      <c r="O38" s="6">
        <v>600000</v>
      </c>
      <c r="Q38" s="6">
        <v>36020</v>
      </c>
      <c r="S38" s="6">
        <v>20419932104</v>
      </c>
      <c r="U38" s="6">
        <v>21483408600</v>
      </c>
      <c r="W38" s="7">
        <v>2.4339106597608968E-2</v>
      </c>
    </row>
    <row r="39" spans="1:23" ht="21" x14ac:dyDescent="0.55000000000000004">
      <c r="A39" s="4" t="s">
        <v>73</v>
      </c>
      <c r="C39" s="6">
        <v>650000</v>
      </c>
      <c r="E39" s="6">
        <v>17002674735</v>
      </c>
      <c r="G39" s="6">
        <v>22459565700</v>
      </c>
      <c r="I39" s="6">
        <v>0</v>
      </c>
      <c r="J39" s="6">
        <v>0</v>
      </c>
      <c r="L39" s="6">
        <v>0</v>
      </c>
      <c r="M39" s="6">
        <v>0</v>
      </c>
      <c r="N39" s="5"/>
      <c r="O39" s="6">
        <v>650000</v>
      </c>
      <c r="Q39" s="6">
        <v>44470</v>
      </c>
      <c r="S39" s="6">
        <v>17002674735</v>
      </c>
      <c r="U39" s="6">
        <v>28940274675</v>
      </c>
      <c r="W39" s="7">
        <v>3.2787182117781262E-2</v>
      </c>
    </row>
    <row r="40" spans="1:23" ht="21" x14ac:dyDescent="0.55000000000000004">
      <c r="A40" s="4" t="s">
        <v>72</v>
      </c>
      <c r="C40" s="6">
        <v>3000000</v>
      </c>
      <c r="E40" s="6">
        <v>8292444580</v>
      </c>
      <c r="G40" s="6">
        <v>7157160000</v>
      </c>
      <c r="I40" s="6">
        <v>0</v>
      </c>
      <c r="J40" s="6">
        <v>0</v>
      </c>
      <c r="L40" s="6">
        <v>0</v>
      </c>
      <c r="M40" s="6">
        <v>0</v>
      </c>
      <c r="N40" s="5"/>
      <c r="O40" s="6">
        <v>3000000</v>
      </c>
      <c r="Q40" s="6">
        <v>2806</v>
      </c>
      <c r="S40" s="6">
        <v>8292444580</v>
      </c>
      <c r="U40" s="6">
        <v>8373877200</v>
      </c>
      <c r="W40" s="7">
        <v>9.4869810280519135E-3</v>
      </c>
    </row>
    <row r="41" spans="1:23" ht="21" x14ac:dyDescent="0.55000000000000004">
      <c r="A41" s="4" t="s">
        <v>71</v>
      </c>
      <c r="C41" s="6">
        <v>120000</v>
      </c>
      <c r="E41" s="6">
        <v>18239142954</v>
      </c>
      <c r="G41" s="6">
        <v>30083929200</v>
      </c>
      <c r="I41" s="6">
        <v>0</v>
      </c>
      <c r="J41" s="6">
        <v>0</v>
      </c>
      <c r="L41" s="6">
        <v>0</v>
      </c>
      <c r="M41" s="6">
        <v>0</v>
      </c>
      <c r="N41" s="5"/>
      <c r="O41" s="6">
        <v>120000</v>
      </c>
      <c r="Q41" s="6">
        <v>282400</v>
      </c>
      <c r="S41" s="6">
        <v>18239142954</v>
      </c>
      <c r="U41" s="6">
        <v>33984581400</v>
      </c>
      <c r="W41" s="7">
        <v>3.850200704974345E-2</v>
      </c>
    </row>
    <row r="42" spans="1:23" ht="21" x14ac:dyDescent="0.55000000000000004">
      <c r="A42" s="4" t="s">
        <v>70</v>
      </c>
      <c r="C42" s="6">
        <v>1100000</v>
      </c>
      <c r="E42" s="6">
        <v>16548215065</v>
      </c>
      <c r="G42" s="6">
        <v>15986312100</v>
      </c>
      <c r="I42" s="6">
        <v>0</v>
      </c>
      <c r="J42" s="6">
        <v>0</v>
      </c>
      <c r="L42" s="6">
        <v>0</v>
      </c>
      <c r="M42" s="6">
        <v>0</v>
      </c>
      <c r="N42" s="5"/>
      <c r="O42" s="6">
        <v>1100000</v>
      </c>
      <c r="Q42" s="6">
        <v>17700</v>
      </c>
      <c r="S42" s="6">
        <v>16548215065</v>
      </c>
      <c r="U42" s="6">
        <v>19507237200</v>
      </c>
      <c r="W42" s="7">
        <v>2.2100251150817988E-2</v>
      </c>
    </row>
    <row r="43" spans="1:23" ht="21" x14ac:dyDescent="0.55000000000000004">
      <c r="A43" s="4" t="s">
        <v>69</v>
      </c>
      <c r="C43" s="6">
        <v>2000000</v>
      </c>
      <c r="E43" s="6">
        <v>10526832667</v>
      </c>
      <c r="G43" s="6">
        <v>11411694000</v>
      </c>
      <c r="I43" s="6">
        <v>0</v>
      </c>
      <c r="J43" s="6">
        <v>0</v>
      </c>
      <c r="L43" s="6">
        <v>0</v>
      </c>
      <c r="M43" s="6">
        <v>0</v>
      </c>
      <c r="N43" s="5"/>
      <c r="O43" s="6">
        <v>2000000</v>
      </c>
      <c r="Q43" s="6">
        <v>7320</v>
      </c>
      <c r="S43" s="6">
        <v>10526832667</v>
      </c>
      <c r="U43" s="6">
        <v>14552892000</v>
      </c>
      <c r="W43" s="7">
        <v>1.6487345946187084E-2</v>
      </c>
    </row>
    <row r="44" spans="1:23" ht="21" x14ac:dyDescent="0.55000000000000004">
      <c r="A44" s="4" t="s">
        <v>68</v>
      </c>
      <c r="C44" s="6">
        <v>100000</v>
      </c>
      <c r="E44" s="6">
        <v>2552366400</v>
      </c>
      <c r="G44" s="6">
        <v>2862864000</v>
      </c>
      <c r="I44" s="6">
        <v>0</v>
      </c>
      <c r="J44" s="6">
        <v>0</v>
      </c>
      <c r="L44" s="6">
        <v>0</v>
      </c>
      <c r="M44" s="6">
        <v>0</v>
      </c>
      <c r="N44" s="5"/>
      <c r="O44" s="6">
        <v>100000</v>
      </c>
      <c r="Q44" s="6">
        <v>29800</v>
      </c>
      <c r="S44" s="6">
        <v>2552366400</v>
      </c>
      <c r="U44" s="6">
        <v>3002031000</v>
      </c>
      <c r="W44" s="7">
        <v>3.4010781938172813E-3</v>
      </c>
    </row>
    <row r="45" spans="1:23" ht="21" x14ac:dyDescent="0.55000000000000004">
      <c r="A45" s="4" t="s">
        <v>67</v>
      </c>
      <c r="C45" s="6">
        <v>500000</v>
      </c>
      <c r="E45" s="6">
        <v>23754619620</v>
      </c>
      <c r="G45" s="6">
        <v>34592940000</v>
      </c>
      <c r="I45" s="6">
        <v>0</v>
      </c>
      <c r="J45" s="6">
        <v>0</v>
      </c>
      <c r="L45" s="6">
        <v>100000</v>
      </c>
      <c r="M45" s="6">
        <v>7910152982</v>
      </c>
      <c r="O45" s="6">
        <v>400000</v>
      </c>
      <c r="Q45" s="6">
        <v>77650</v>
      </c>
      <c r="S45" s="6">
        <v>19003695696</v>
      </c>
      <c r="U45" s="6">
        <v>30855312000</v>
      </c>
      <c r="W45" s="7">
        <v>3.4956777197380266E-2</v>
      </c>
    </row>
    <row r="46" spans="1:23" ht="21" x14ac:dyDescent="0.55000000000000004">
      <c r="A46" s="4" t="s">
        <v>66</v>
      </c>
      <c r="C46" s="6">
        <v>5802960</v>
      </c>
      <c r="E46" s="6">
        <v>17199552966</v>
      </c>
      <c r="G46" s="6">
        <v>10815810727</v>
      </c>
      <c r="I46" s="6">
        <v>0</v>
      </c>
      <c r="J46" s="6">
        <v>0</v>
      </c>
      <c r="L46" s="6">
        <v>0</v>
      </c>
      <c r="M46" s="6">
        <v>0</v>
      </c>
      <c r="N46" s="5"/>
      <c r="O46" s="6">
        <v>5802960</v>
      </c>
      <c r="Q46" s="6">
        <v>2595</v>
      </c>
      <c r="S46" s="6">
        <v>17199552966</v>
      </c>
      <c r="U46" s="6">
        <v>14992155776</v>
      </c>
      <c r="W46" s="7">
        <v>1.6984999184906951E-2</v>
      </c>
    </row>
    <row r="47" spans="1:23" ht="21" x14ac:dyDescent="0.55000000000000004">
      <c r="A47" s="4" t="s">
        <v>65</v>
      </c>
      <c r="C47" s="6">
        <v>1800000</v>
      </c>
      <c r="E47" s="6">
        <v>3883758963</v>
      </c>
      <c r="G47" s="6">
        <v>2963064240</v>
      </c>
      <c r="I47" s="6">
        <v>0</v>
      </c>
      <c r="J47" s="6">
        <v>0</v>
      </c>
      <c r="L47" s="6">
        <v>0</v>
      </c>
      <c r="M47" s="6">
        <v>0</v>
      </c>
      <c r="N47" s="5"/>
      <c r="O47" s="6">
        <v>1800000</v>
      </c>
      <c r="Q47" s="6">
        <v>2031</v>
      </c>
      <c r="S47" s="6">
        <v>3883758963</v>
      </c>
      <c r="U47" s="6">
        <v>3634047990</v>
      </c>
      <c r="W47" s="7">
        <v>4.1171065102507337E-3</v>
      </c>
    </row>
    <row r="48" spans="1:23" ht="21.75" thickBot="1" x14ac:dyDescent="0.6">
      <c r="A48" s="8" t="s">
        <v>9</v>
      </c>
      <c r="C48" s="11"/>
      <c r="E48" s="8">
        <f>SUM(E11:$E$47)</f>
        <v>559676213305</v>
      </c>
      <c r="G48" s="8">
        <f>SUM(G11:$G$47)</f>
        <v>624857357394</v>
      </c>
      <c r="I48" s="11"/>
      <c r="J48" s="8">
        <f>SUM(J11:$J$47)</f>
        <v>88015273258</v>
      </c>
      <c r="L48" s="11"/>
      <c r="M48" s="8">
        <f>SUM(M11:$M$47)</f>
        <v>62692451435</v>
      </c>
      <c r="O48" s="11"/>
      <c r="Q48" s="11"/>
      <c r="S48" s="8">
        <f>SUM(S11:$S$47)</f>
        <v>593732484071</v>
      </c>
      <c r="U48" s="8">
        <f>SUM(U11:$U$47)</f>
        <v>802783662369</v>
      </c>
      <c r="W48" s="9">
        <f>SUM(W11:$W$47)</f>
        <v>0.90949427518769166</v>
      </c>
    </row>
    <row r="49" spans="3:23" ht="21.75" thickTop="1" x14ac:dyDescent="0.55000000000000004">
      <c r="C49" s="11"/>
      <c r="E49" s="10"/>
      <c r="G49" s="10"/>
      <c r="I49" s="11"/>
      <c r="J49" s="10"/>
      <c r="L49" s="11"/>
      <c r="M49" s="10"/>
      <c r="O49" s="11"/>
      <c r="Q49" s="11"/>
      <c r="S49" s="10"/>
      <c r="U49" s="10"/>
      <c r="W49" s="10"/>
    </row>
  </sheetData>
  <mergeCells count="19"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</mergeCells>
  <pageMargins left="0.7" right="0.7" top="0.75" bottom="0.75" header="0.3" footer="0.3"/>
  <pageSetup paperSize="9" scale="5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20D2-B990-4F64-8FD7-ECCB68AA70E4}">
  <sheetPr>
    <pageSetUpPr fitToPage="1"/>
  </sheetPr>
  <dimension ref="A1:Q13"/>
  <sheetViews>
    <sheetView rightToLeft="1" view="pageBreakPreview" zoomScale="85" zoomScaleNormal="100" zoomScaleSheetLayoutView="85" workbookViewId="0">
      <selection activeCell="R7" sqref="R7"/>
    </sheetView>
  </sheetViews>
  <sheetFormatPr defaultColWidth="8.85546875" defaultRowHeight="19.5" x14ac:dyDescent="0.55000000000000004"/>
  <cols>
    <col min="1" max="1" width="26.5703125" style="1" customWidth="1"/>
    <col min="2" max="2" width="1.42578125" style="1" customWidth="1"/>
    <col min="3" max="3" width="18.42578125" style="1" customWidth="1"/>
    <col min="4" max="4" width="1.42578125" style="1" customWidth="1"/>
    <col min="5" max="5" width="9.85546875" style="1" customWidth="1"/>
    <col min="6" max="6" width="1.42578125" style="1" customWidth="1"/>
    <col min="7" max="7" width="11.42578125" style="1" customWidth="1"/>
    <col min="8" max="8" width="1.42578125" style="1" customWidth="1"/>
    <col min="9" max="9" width="18.42578125" style="1" customWidth="1"/>
    <col min="10" max="10" width="1.42578125" style="1" customWidth="1"/>
    <col min="11" max="11" width="18.42578125" style="1" customWidth="1"/>
    <col min="12" max="12" width="1.42578125" style="1" customWidth="1"/>
    <col min="13" max="13" width="18.42578125" style="1" customWidth="1"/>
    <col min="14" max="14" width="1.42578125" style="1" customWidth="1"/>
    <col min="15" max="15" width="18.42578125" style="1" customWidth="1"/>
    <col min="16" max="16" width="1.42578125" style="1" customWidth="1"/>
    <col min="17" max="17" width="10.5703125" style="1" customWidth="1"/>
    <col min="18" max="16384" width="8.85546875" style="1"/>
  </cols>
  <sheetData>
    <row r="1" spans="1:17" ht="19.899999999999999" customHeight="1" x14ac:dyDescent="0.55000000000000004">
      <c r="A1" s="90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19.899999999999999" customHeight="1" x14ac:dyDescent="0.55000000000000004">
      <c r="A2" s="9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19.899999999999999" customHeight="1" x14ac:dyDescent="0.55000000000000004">
      <c r="A3" s="9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5" spans="1:17" ht="21" x14ac:dyDescent="0.55000000000000004">
      <c r="A5" s="91" t="s">
        <v>114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</row>
    <row r="7" spans="1:17" ht="21" x14ac:dyDescent="0.55000000000000004">
      <c r="C7" s="92" t="s">
        <v>12</v>
      </c>
      <c r="D7" s="93"/>
      <c r="E7" s="93"/>
      <c r="F7" s="93"/>
      <c r="G7" s="93"/>
      <c r="I7" s="12" t="s">
        <v>2</v>
      </c>
      <c r="K7" s="92" t="s">
        <v>55</v>
      </c>
      <c r="L7" s="93"/>
      <c r="M7" s="93"/>
      <c r="O7" s="92" t="s">
        <v>3</v>
      </c>
      <c r="P7" s="93"/>
      <c r="Q7" s="93"/>
    </row>
    <row r="8" spans="1:17" ht="63" x14ac:dyDescent="0.55000000000000004">
      <c r="A8" s="12" t="s">
        <v>13</v>
      </c>
      <c r="C8" s="12" t="s">
        <v>14</v>
      </c>
      <c r="E8" s="12" t="s">
        <v>15</v>
      </c>
      <c r="G8" s="13" t="s">
        <v>16</v>
      </c>
      <c r="I8" s="12" t="s">
        <v>17</v>
      </c>
      <c r="K8" s="12" t="s">
        <v>18</v>
      </c>
      <c r="M8" s="12" t="s">
        <v>19</v>
      </c>
      <c r="O8" s="12" t="s">
        <v>17</v>
      </c>
      <c r="Q8" s="13" t="s">
        <v>7</v>
      </c>
    </row>
    <row r="9" spans="1:17" ht="21" x14ac:dyDescent="0.55000000000000004">
      <c r="A9" s="14" t="s">
        <v>21</v>
      </c>
      <c r="C9" s="15" t="s">
        <v>113</v>
      </c>
      <c r="E9" s="16" t="s">
        <v>20</v>
      </c>
      <c r="G9" s="15" t="s">
        <v>112</v>
      </c>
      <c r="I9" s="17">
        <v>2713191838</v>
      </c>
      <c r="K9" s="17">
        <v>9000378176</v>
      </c>
      <c r="M9" s="17">
        <v>7953909698</v>
      </c>
      <c r="O9" s="17">
        <v>3759660316</v>
      </c>
      <c r="Q9" s="18">
        <v>4.2594159477059995E-3</v>
      </c>
    </row>
    <row r="10" spans="1:17" ht="21" x14ac:dyDescent="0.55000000000000004">
      <c r="A10" s="14" t="s">
        <v>22</v>
      </c>
      <c r="C10" s="15" t="s">
        <v>111</v>
      </c>
      <c r="E10" s="16" t="s">
        <v>110</v>
      </c>
      <c r="G10" s="15" t="s">
        <v>109</v>
      </c>
      <c r="I10" s="17">
        <v>18863893</v>
      </c>
      <c r="K10" s="17">
        <v>0</v>
      </c>
      <c r="L10" s="17"/>
      <c r="M10" s="17">
        <v>0</v>
      </c>
      <c r="N10" s="15"/>
      <c r="O10" s="17">
        <v>18863893</v>
      </c>
      <c r="Q10" s="18">
        <v>2.1371389946606966E-5</v>
      </c>
    </row>
    <row r="11" spans="1:17" ht="21" x14ac:dyDescent="0.55000000000000004">
      <c r="A11" s="14" t="s">
        <v>22</v>
      </c>
      <c r="C11" s="15" t="s">
        <v>108</v>
      </c>
      <c r="E11" s="16" t="s">
        <v>20</v>
      </c>
      <c r="G11" s="15" t="s">
        <v>107</v>
      </c>
      <c r="I11" s="17">
        <v>79025277707</v>
      </c>
      <c r="K11" s="17">
        <v>71306845156</v>
      </c>
      <c r="M11" s="17">
        <v>112431465373</v>
      </c>
      <c r="O11" s="17">
        <v>37900657490</v>
      </c>
      <c r="Q11" s="18">
        <v>4.2938630454041483E-2</v>
      </c>
    </row>
    <row r="12" spans="1:17" ht="21.75" thickBot="1" x14ac:dyDescent="0.6">
      <c r="A12" s="19" t="s">
        <v>9</v>
      </c>
      <c r="I12" s="19">
        <f>SUM(I9:$I$11)</f>
        <v>81757333438</v>
      </c>
      <c r="K12" s="19">
        <f>SUM(K9:$K$11)</f>
        <v>80307223332</v>
      </c>
      <c r="M12" s="19">
        <f>SUM(M9:$M$11)</f>
        <v>120385375071</v>
      </c>
      <c r="O12" s="19">
        <f>SUM(O9:$O$11)</f>
        <v>41679181699</v>
      </c>
      <c r="Q12" s="20">
        <f>SUM(Q9:$Q$11)</f>
        <v>4.7219417791694092E-2</v>
      </c>
    </row>
    <row r="13" spans="1:17" ht="21.75" thickTop="1" x14ac:dyDescent="0.55000000000000004">
      <c r="I13" s="21"/>
      <c r="K13" s="21"/>
      <c r="M13" s="21"/>
      <c r="O13" s="21"/>
      <c r="Q13" s="21"/>
    </row>
  </sheetData>
  <mergeCells count="7">
    <mergeCell ref="A1:Q1"/>
    <mergeCell ref="A2:Q2"/>
    <mergeCell ref="A3:Q3"/>
    <mergeCell ref="A5:Q5"/>
    <mergeCell ref="C7:G7"/>
    <mergeCell ref="K7:M7"/>
    <mergeCell ref="O7:Q7"/>
  </mergeCells>
  <pageMargins left="0.7" right="0.7" top="0.75" bottom="0.75" header="0.3" footer="0.3"/>
  <pageSetup paperSize="9" scale="8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3810-DDAF-4890-AC39-E842DD076727}">
  <sheetPr>
    <pageSetUpPr fitToPage="1"/>
  </sheetPr>
  <dimension ref="A1:I13"/>
  <sheetViews>
    <sheetView rightToLeft="1" view="pageBreakPreview" zoomScaleNormal="100" zoomScaleSheetLayoutView="100" workbookViewId="0">
      <selection activeCell="A8" sqref="A8"/>
    </sheetView>
  </sheetViews>
  <sheetFormatPr defaultColWidth="8.85546875" defaultRowHeight="19.5" x14ac:dyDescent="0.55000000000000004"/>
  <cols>
    <col min="1" max="1" width="49.7109375" style="34" customWidth="1"/>
    <col min="2" max="2" width="1.42578125" style="34" customWidth="1"/>
    <col min="3" max="3" width="11.42578125" style="34" customWidth="1"/>
    <col min="4" max="4" width="1.42578125" style="34" customWidth="1"/>
    <col min="5" max="5" width="21.28515625" style="34" customWidth="1"/>
    <col min="6" max="6" width="1.42578125" style="34" customWidth="1"/>
    <col min="7" max="7" width="11.42578125" style="34" customWidth="1"/>
    <col min="8" max="8" width="1.42578125" style="34" customWidth="1"/>
    <col min="9" max="9" width="11.42578125" style="34" customWidth="1"/>
    <col min="10" max="16384" width="8.85546875" style="34"/>
  </cols>
  <sheetData>
    <row r="1" spans="1:9" ht="19.899999999999999" customHeight="1" x14ac:dyDescent="0.55000000000000004">
      <c r="A1" s="94" t="s">
        <v>106</v>
      </c>
      <c r="B1" s="95"/>
      <c r="C1" s="95"/>
      <c r="D1" s="95"/>
      <c r="E1" s="95"/>
      <c r="F1" s="95"/>
      <c r="G1" s="95"/>
      <c r="H1" s="95"/>
      <c r="I1" s="95"/>
    </row>
    <row r="2" spans="1:9" ht="19.899999999999999" customHeight="1" x14ac:dyDescent="0.55000000000000004">
      <c r="A2" s="94" t="s">
        <v>23</v>
      </c>
      <c r="B2" s="95"/>
      <c r="C2" s="95"/>
      <c r="D2" s="95"/>
      <c r="E2" s="95"/>
      <c r="F2" s="95"/>
      <c r="G2" s="95"/>
      <c r="H2" s="95"/>
      <c r="I2" s="95"/>
    </row>
    <row r="3" spans="1:9" ht="19.899999999999999" customHeight="1" x14ac:dyDescent="0.55000000000000004">
      <c r="A3" s="94" t="s">
        <v>1</v>
      </c>
      <c r="B3" s="95"/>
      <c r="C3" s="95"/>
      <c r="D3" s="95"/>
      <c r="E3" s="95"/>
      <c r="F3" s="95"/>
      <c r="G3" s="95"/>
      <c r="H3" s="95"/>
      <c r="I3" s="95"/>
    </row>
    <row r="5" spans="1:9" ht="21" x14ac:dyDescent="0.55000000000000004">
      <c r="A5" s="96" t="s">
        <v>24</v>
      </c>
      <c r="B5" s="95"/>
      <c r="C5" s="95"/>
      <c r="D5" s="95"/>
      <c r="E5" s="95"/>
      <c r="F5" s="95"/>
      <c r="G5" s="95"/>
      <c r="H5" s="95"/>
      <c r="I5" s="95"/>
    </row>
    <row r="6" spans="1:9" ht="21" x14ac:dyDescent="0.55000000000000004">
      <c r="E6" s="97" t="s">
        <v>59</v>
      </c>
      <c r="F6" s="97"/>
      <c r="G6" s="97"/>
      <c r="H6" s="97"/>
      <c r="I6" s="97"/>
    </row>
    <row r="7" spans="1:9" ht="63" x14ac:dyDescent="0.55000000000000004">
      <c r="A7" s="35" t="s">
        <v>25</v>
      </c>
      <c r="C7" s="35" t="s">
        <v>26</v>
      </c>
      <c r="E7" s="35" t="s">
        <v>17</v>
      </c>
      <c r="G7" s="36" t="s">
        <v>27</v>
      </c>
      <c r="I7" s="36" t="s">
        <v>28</v>
      </c>
    </row>
    <row r="8" spans="1:9" ht="21" x14ac:dyDescent="0.55000000000000004">
      <c r="A8" s="37" t="s">
        <v>116</v>
      </c>
      <c r="C8" s="44" t="s">
        <v>61</v>
      </c>
      <c r="E8" s="38">
        <f>'4'!$S$86</f>
        <v>133775961026</v>
      </c>
      <c r="G8" s="39">
        <f>E8/$E$12</f>
        <v>0.7772587956794339</v>
      </c>
      <c r="I8" s="39">
        <v>0.15155822971264424</v>
      </c>
    </row>
    <row r="9" spans="1:9" ht="21" x14ac:dyDescent="0.55000000000000004">
      <c r="A9" s="37" t="s">
        <v>320</v>
      </c>
      <c r="C9" s="44" t="s">
        <v>115</v>
      </c>
      <c r="E9" s="38">
        <f>'5'!$O$142</f>
        <v>26658552591</v>
      </c>
      <c r="G9" s="39">
        <f t="shared" ref="G9:G11" si="0">E9/$E$12</f>
        <v>0.15489026819557189</v>
      </c>
      <c r="I9" s="39">
        <v>3.0202160436045226E-2</v>
      </c>
    </row>
    <row r="10" spans="1:9" ht="21" x14ac:dyDescent="0.55000000000000004">
      <c r="A10" s="37" t="s">
        <v>29</v>
      </c>
      <c r="C10" s="44" t="s">
        <v>62</v>
      </c>
      <c r="E10" s="38">
        <f>'6'!$I$11</f>
        <v>11524709698</v>
      </c>
      <c r="G10" s="39">
        <f t="shared" si="0"/>
        <v>6.6960326143211971E-2</v>
      </c>
      <c r="I10" s="39">
        <v>1.305664026918521E-2</v>
      </c>
    </row>
    <row r="11" spans="1:9" ht="21" x14ac:dyDescent="0.55000000000000004">
      <c r="A11" s="37" t="s">
        <v>30</v>
      </c>
      <c r="C11" s="44" t="s">
        <v>319</v>
      </c>
      <c r="E11" s="38">
        <f>'7'!$E$11</f>
        <v>153285118</v>
      </c>
      <c r="G11" s="39">
        <f t="shared" si="0"/>
        <v>8.9060998178218333E-4</v>
      </c>
      <c r="I11" s="39">
        <v>1.7366065582484285E-4</v>
      </c>
    </row>
    <row r="12" spans="1:9" ht="21.75" thickBot="1" x14ac:dyDescent="0.6">
      <c r="A12" s="43" t="s">
        <v>9</v>
      </c>
      <c r="E12" s="40">
        <f>SUM(E8:$E$11)</f>
        <v>172112508433</v>
      </c>
      <c r="G12" s="45">
        <f>SUM(G8:$G$11)</f>
        <v>1</v>
      </c>
      <c r="I12" s="41">
        <f>SUM(I8:$I$11)</f>
        <v>0.19499069107369951</v>
      </c>
    </row>
    <row r="13" spans="1:9" ht="21.75" thickTop="1" x14ac:dyDescent="0.55000000000000004">
      <c r="E13" s="42"/>
      <c r="G13" s="42"/>
      <c r="I13" s="42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scale="7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58F2-4419-4DE9-9C92-A25047C9C4C9}">
  <sheetPr>
    <pageSetUpPr fitToPage="1"/>
  </sheetPr>
  <dimension ref="A1:U93"/>
  <sheetViews>
    <sheetView rightToLeft="1" view="pageBreakPreview" zoomScale="60" zoomScaleNormal="100" workbookViewId="0">
      <selection activeCell="E14" sqref="E14"/>
    </sheetView>
  </sheetViews>
  <sheetFormatPr defaultColWidth="8.85546875" defaultRowHeight="19.5" x14ac:dyDescent="0.55000000000000004"/>
  <cols>
    <col min="1" max="1" width="36.425781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7" style="1" customWidth="1"/>
    <col min="10" max="10" width="1.42578125" style="1" customWidth="1"/>
    <col min="11" max="11" width="10.5703125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7" style="1" customWidth="1"/>
    <col min="18" max="18" width="1.42578125" style="1" customWidth="1"/>
    <col min="19" max="19" width="17" style="1" customWidth="1"/>
    <col min="20" max="20" width="1.42578125" style="1" customWidth="1"/>
    <col min="21" max="21" width="10.5703125" style="1" customWidth="1"/>
    <col min="22" max="16384" width="8.85546875" style="1"/>
  </cols>
  <sheetData>
    <row r="1" spans="1:21" ht="19.899999999999999" customHeight="1" x14ac:dyDescent="0.55000000000000004">
      <c r="A1" s="90" t="s">
        <v>106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1" ht="19.899999999999999" customHeight="1" x14ac:dyDescent="0.55000000000000004">
      <c r="A2" s="90" t="s">
        <v>23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ht="19.899999999999999" customHeight="1" x14ac:dyDescent="0.55000000000000004">
      <c r="A3" s="9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5" spans="1:21" ht="21" x14ac:dyDescent="0.55000000000000004">
      <c r="A5" s="91" t="s">
        <v>178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7" spans="1:21" ht="21" x14ac:dyDescent="0.55000000000000004">
      <c r="C7" s="92" t="s">
        <v>58</v>
      </c>
      <c r="D7" s="93"/>
      <c r="E7" s="93"/>
      <c r="F7" s="93"/>
      <c r="G7" s="93"/>
      <c r="H7" s="93"/>
      <c r="I7" s="93"/>
      <c r="J7" s="93"/>
      <c r="K7" s="93"/>
      <c r="M7" s="92" t="s">
        <v>59</v>
      </c>
      <c r="N7" s="93"/>
      <c r="O7" s="93"/>
      <c r="P7" s="93"/>
      <c r="Q7" s="93"/>
      <c r="R7" s="93"/>
      <c r="S7" s="93"/>
      <c r="T7" s="93"/>
      <c r="U7" s="93"/>
    </row>
    <row r="8" spans="1:21" ht="63" x14ac:dyDescent="0.55000000000000004">
      <c r="A8" s="12" t="s">
        <v>177</v>
      </c>
      <c r="C8" s="13" t="s">
        <v>176</v>
      </c>
      <c r="E8" s="13" t="s">
        <v>41</v>
      </c>
      <c r="G8" s="13" t="s">
        <v>42</v>
      </c>
      <c r="I8" s="13" t="s">
        <v>175</v>
      </c>
      <c r="K8" s="13" t="s">
        <v>174</v>
      </c>
      <c r="M8" s="13" t="s">
        <v>176</v>
      </c>
      <c r="O8" s="13" t="s">
        <v>41</v>
      </c>
      <c r="Q8" s="13" t="s">
        <v>42</v>
      </c>
      <c r="S8" s="13" t="s">
        <v>175</v>
      </c>
      <c r="U8" s="13" t="s">
        <v>174</v>
      </c>
    </row>
    <row r="9" spans="1:21" ht="21" x14ac:dyDescent="0.55000000000000004">
      <c r="A9" s="16" t="s">
        <v>100</v>
      </c>
      <c r="C9" s="17">
        <v>0</v>
      </c>
      <c r="E9" s="17">
        <v>0</v>
      </c>
      <c r="G9" s="17">
        <v>254827730</v>
      </c>
      <c r="I9" s="17">
        <v>254827730</v>
      </c>
      <c r="K9" s="18">
        <v>1.6502662665905273E-3</v>
      </c>
      <c r="M9" s="17">
        <v>0</v>
      </c>
      <c r="O9" s="17">
        <v>0</v>
      </c>
      <c r="Q9" s="17">
        <v>254827730</v>
      </c>
      <c r="S9" s="17">
        <v>254827730</v>
      </c>
      <c r="U9" s="18">
        <v>1.4805880892683602E-3</v>
      </c>
    </row>
    <row r="10" spans="1:21" ht="21" x14ac:dyDescent="0.55000000000000004">
      <c r="A10" s="16" t="s">
        <v>99</v>
      </c>
      <c r="C10" s="17">
        <v>0</v>
      </c>
      <c r="E10" s="17">
        <v>7322753059</v>
      </c>
      <c r="G10" s="17">
        <v>120184214</v>
      </c>
      <c r="I10" s="17">
        <v>7442937273</v>
      </c>
      <c r="K10" s="18">
        <v>4.8200516898146015E-2</v>
      </c>
      <c r="M10" s="17">
        <v>0</v>
      </c>
      <c r="O10" s="17">
        <v>4815856604</v>
      </c>
      <c r="Q10" s="17">
        <v>-832915405</v>
      </c>
      <c r="S10" s="17">
        <v>3982941199</v>
      </c>
      <c r="U10" s="18">
        <v>2.3141497589354351E-2</v>
      </c>
    </row>
    <row r="11" spans="1:21" ht="21" x14ac:dyDescent="0.55000000000000004">
      <c r="A11" s="16" t="s">
        <v>173</v>
      </c>
      <c r="C11" s="17">
        <v>0</v>
      </c>
      <c r="E11" s="17">
        <v>2797256700</v>
      </c>
      <c r="G11" s="17">
        <v>0</v>
      </c>
      <c r="I11" s="17">
        <v>2797256700</v>
      </c>
      <c r="K11" s="18">
        <v>1.8115055104106364E-2</v>
      </c>
      <c r="M11" s="17">
        <v>1258089360</v>
      </c>
      <c r="O11" s="17">
        <v>3568965348</v>
      </c>
      <c r="Q11" s="17">
        <v>1338953748</v>
      </c>
      <c r="S11" s="17">
        <v>6166008456</v>
      </c>
      <c r="U11" s="18">
        <v>3.5825452270369443E-2</v>
      </c>
    </row>
    <row r="12" spans="1:21" ht="21" x14ac:dyDescent="0.55000000000000004">
      <c r="A12" s="16" t="s">
        <v>98</v>
      </c>
      <c r="C12" s="17">
        <v>0</v>
      </c>
      <c r="E12" s="17">
        <v>6942241769</v>
      </c>
      <c r="G12" s="17">
        <v>1270242463</v>
      </c>
      <c r="I12" s="17">
        <v>8212484232</v>
      </c>
      <c r="K12" s="18">
        <v>5.3184108703461012E-2</v>
      </c>
      <c r="M12" s="17">
        <v>1800000000</v>
      </c>
      <c r="O12" s="17">
        <v>8450510266</v>
      </c>
      <c r="Q12" s="17">
        <v>3552330834</v>
      </c>
      <c r="S12" s="17">
        <v>13802841100</v>
      </c>
      <c r="U12" s="18">
        <v>8.0196618047509161E-2</v>
      </c>
    </row>
    <row r="13" spans="1:21" ht="21" x14ac:dyDescent="0.55000000000000004">
      <c r="A13" s="16" t="s">
        <v>97</v>
      </c>
      <c r="C13" s="17">
        <v>0</v>
      </c>
      <c r="E13" s="17">
        <v>-588144965</v>
      </c>
      <c r="G13" s="17">
        <v>0</v>
      </c>
      <c r="I13" s="17">
        <v>-588144965</v>
      </c>
      <c r="K13" s="18">
        <v>-3.8088311488100857E-3</v>
      </c>
      <c r="M13" s="17">
        <v>0</v>
      </c>
      <c r="O13" s="17">
        <v>-588144965</v>
      </c>
      <c r="Q13" s="17">
        <v>-136788503</v>
      </c>
      <c r="S13" s="17">
        <v>-724933468</v>
      </c>
      <c r="U13" s="18">
        <v>-4.2119743335342899E-3</v>
      </c>
    </row>
    <row r="14" spans="1:21" ht="21" x14ac:dyDescent="0.55000000000000004">
      <c r="A14" s="16" t="s">
        <v>172</v>
      </c>
      <c r="C14" s="17">
        <v>0</v>
      </c>
      <c r="E14" s="17">
        <v>796044</v>
      </c>
      <c r="G14" s="17">
        <v>1923020</v>
      </c>
      <c r="I14" s="17">
        <v>2719064</v>
      </c>
      <c r="K14" s="18">
        <v>1.7608678599855302E-5</v>
      </c>
      <c r="M14" s="17">
        <v>0</v>
      </c>
      <c r="O14" s="17">
        <v>0</v>
      </c>
      <c r="Q14" s="17">
        <v>-2455634450</v>
      </c>
      <c r="S14" s="17">
        <v>-2455634450</v>
      </c>
      <c r="U14" s="18">
        <v>-1.4267611763708214E-2</v>
      </c>
    </row>
    <row r="15" spans="1:21" ht="21" x14ac:dyDescent="0.55000000000000004">
      <c r="A15" s="16" t="s">
        <v>171</v>
      </c>
      <c r="C15" s="17">
        <v>0</v>
      </c>
      <c r="E15" s="17">
        <v>3520925100</v>
      </c>
      <c r="G15" s="17">
        <v>0</v>
      </c>
      <c r="I15" s="17">
        <v>3520925100</v>
      </c>
      <c r="K15" s="18">
        <v>2.2801537021586618E-2</v>
      </c>
      <c r="M15" s="17">
        <v>2200000000</v>
      </c>
      <c r="O15" s="17">
        <v>-2071405242</v>
      </c>
      <c r="Q15" s="17">
        <v>-3087240096</v>
      </c>
      <c r="S15" s="17">
        <v>-2958645338</v>
      </c>
      <c r="U15" s="18">
        <v>-1.7190181962583748E-2</v>
      </c>
    </row>
    <row r="16" spans="1:21" ht="21" x14ac:dyDescent="0.55000000000000004">
      <c r="A16" s="16" t="s">
        <v>94</v>
      </c>
      <c r="C16" s="17">
        <v>0</v>
      </c>
      <c r="E16" s="17">
        <v>4628518978</v>
      </c>
      <c r="G16" s="17">
        <v>-525415566</v>
      </c>
      <c r="I16" s="17">
        <v>4103103412</v>
      </c>
      <c r="K16" s="18">
        <v>2.6571728081383035E-2</v>
      </c>
      <c r="M16" s="17">
        <v>0</v>
      </c>
      <c r="O16" s="17">
        <v>-226842303</v>
      </c>
      <c r="Q16" s="17">
        <v>-6456662846</v>
      </c>
      <c r="S16" s="17">
        <v>-6683505149</v>
      </c>
      <c r="U16" s="18">
        <v>-3.883218721201636E-2</v>
      </c>
    </row>
    <row r="17" spans="1:21" ht="21" x14ac:dyDescent="0.55000000000000004">
      <c r="A17" s="16" t="s">
        <v>170</v>
      </c>
      <c r="C17" s="17">
        <v>0</v>
      </c>
      <c r="E17" s="17">
        <v>590962725</v>
      </c>
      <c r="G17" s="17">
        <v>0</v>
      </c>
      <c r="I17" s="17">
        <v>590962725</v>
      </c>
      <c r="K17" s="18">
        <v>3.8270789834368279E-3</v>
      </c>
      <c r="M17" s="17">
        <v>646000000</v>
      </c>
      <c r="O17" s="17">
        <v>-1068163381</v>
      </c>
      <c r="Q17" s="17">
        <v>-6846862313</v>
      </c>
      <c r="S17" s="17">
        <v>-7269025694</v>
      </c>
      <c r="U17" s="18">
        <v>-4.2234151138583212E-2</v>
      </c>
    </row>
    <row r="18" spans="1:21" ht="21" x14ac:dyDescent="0.55000000000000004">
      <c r="A18" s="16" t="s">
        <v>93</v>
      </c>
      <c r="C18" s="17">
        <v>0</v>
      </c>
      <c r="E18" s="17">
        <v>2016522582</v>
      </c>
      <c r="G18" s="17">
        <v>9938288</v>
      </c>
      <c r="I18" s="17">
        <v>2026460870</v>
      </c>
      <c r="K18" s="18">
        <v>1.3123375600946929E-2</v>
      </c>
      <c r="M18" s="17">
        <v>1330000000</v>
      </c>
      <c r="O18" s="17">
        <v>348790920</v>
      </c>
      <c r="Q18" s="17">
        <v>1303497426</v>
      </c>
      <c r="S18" s="17">
        <v>2982288346</v>
      </c>
      <c r="U18" s="18">
        <v>1.7327551455453605E-2</v>
      </c>
    </row>
    <row r="19" spans="1:21" ht="21" x14ac:dyDescent="0.55000000000000004">
      <c r="A19" s="16" t="s">
        <v>92</v>
      </c>
      <c r="C19" s="17">
        <v>0</v>
      </c>
      <c r="E19" s="17">
        <v>4420245750</v>
      </c>
      <c r="G19" s="17">
        <v>-76931900</v>
      </c>
      <c r="I19" s="17">
        <v>4343313850</v>
      </c>
      <c r="K19" s="18">
        <v>2.8127332656734137E-2</v>
      </c>
      <c r="M19" s="17">
        <v>1705000000</v>
      </c>
      <c r="O19" s="17">
        <v>144346945</v>
      </c>
      <c r="Q19" s="17">
        <v>-76931900</v>
      </c>
      <c r="S19" s="17">
        <v>1772415045</v>
      </c>
      <c r="U19" s="18">
        <v>1.0298002516708227E-2</v>
      </c>
    </row>
    <row r="20" spans="1:21" ht="42" x14ac:dyDescent="0.55000000000000004">
      <c r="A20" s="16" t="s">
        <v>169</v>
      </c>
      <c r="C20" s="17">
        <v>0</v>
      </c>
      <c r="E20" s="17">
        <v>1251697203</v>
      </c>
      <c r="G20" s="17">
        <v>0</v>
      </c>
      <c r="I20" s="17">
        <v>1251697203</v>
      </c>
      <c r="K20" s="18">
        <v>8.106000355991929E-3</v>
      </c>
      <c r="M20" s="17">
        <v>1553500000</v>
      </c>
      <c r="O20" s="17">
        <v>-3197995696</v>
      </c>
      <c r="Q20" s="17">
        <v>-1181765226</v>
      </c>
      <c r="S20" s="17">
        <v>-2826260922</v>
      </c>
      <c r="U20" s="18">
        <v>-1.6421008256353474E-2</v>
      </c>
    </row>
    <row r="21" spans="1:21" ht="21" x14ac:dyDescent="0.55000000000000004">
      <c r="A21" s="16" t="s">
        <v>168</v>
      </c>
      <c r="C21" s="17">
        <v>0</v>
      </c>
      <c r="E21" s="17">
        <v>6491004307</v>
      </c>
      <c r="G21" s="17">
        <v>-104351763</v>
      </c>
      <c r="I21" s="17">
        <v>6386652544</v>
      </c>
      <c r="K21" s="18">
        <v>4.136000917089272E-2</v>
      </c>
      <c r="M21" s="17">
        <v>5006486160</v>
      </c>
      <c r="O21" s="17">
        <v>-818024176</v>
      </c>
      <c r="Q21" s="17">
        <v>-4324637275</v>
      </c>
      <c r="S21" s="17">
        <v>-136175291</v>
      </c>
      <c r="U21" s="18">
        <v>-7.9119926982535588E-4</v>
      </c>
    </row>
    <row r="22" spans="1:21" ht="21" x14ac:dyDescent="0.55000000000000004">
      <c r="A22" s="16" t="s">
        <v>90</v>
      </c>
      <c r="C22" s="17">
        <v>0</v>
      </c>
      <c r="E22" s="17">
        <v>1053693000</v>
      </c>
      <c r="G22" s="17">
        <v>0</v>
      </c>
      <c r="I22" s="17">
        <v>1053693000</v>
      </c>
      <c r="K22" s="18">
        <v>6.823723671056413E-3</v>
      </c>
      <c r="M22" s="17">
        <v>2100000000</v>
      </c>
      <c r="O22" s="17">
        <v>-2095696220</v>
      </c>
      <c r="Q22" s="17">
        <v>998010902</v>
      </c>
      <c r="S22" s="17">
        <v>1002314682</v>
      </c>
      <c r="U22" s="18">
        <v>5.8236016145809723E-3</v>
      </c>
    </row>
    <row r="23" spans="1:21" ht="21" x14ac:dyDescent="0.55000000000000004">
      <c r="A23" s="16" t="s">
        <v>89</v>
      </c>
      <c r="C23" s="17">
        <v>0</v>
      </c>
      <c r="E23" s="17">
        <v>352207292</v>
      </c>
      <c r="G23" s="17">
        <v>206564937</v>
      </c>
      <c r="I23" s="17">
        <v>558772229</v>
      </c>
      <c r="K23" s="18">
        <v>3.6186130929561598E-3</v>
      </c>
      <c r="M23" s="17">
        <v>0</v>
      </c>
      <c r="O23" s="17">
        <v>352207292</v>
      </c>
      <c r="Q23" s="17">
        <v>206564937</v>
      </c>
      <c r="S23" s="17">
        <v>558772229</v>
      </c>
      <c r="U23" s="18">
        <v>3.2465521192349537E-3</v>
      </c>
    </row>
    <row r="24" spans="1:21" ht="21" x14ac:dyDescent="0.55000000000000004">
      <c r="A24" s="16" t="s">
        <v>167</v>
      </c>
      <c r="C24" s="17">
        <v>0</v>
      </c>
      <c r="E24" s="17">
        <v>3440442878</v>
      </c>
      <c r="G24" s="17">
        <v>0</v>
      </c>
      <c r="I24" s="17">
        <v>3440442878</v>
      </c>
      <c r="K24" s="18">
        <v>2.2280333555908648E-2</v>
      </c>
      <c r="M24" s="17">
        <v>1310400000</v>
      </c>
      <c r="O24" s="17">
        <v>3250107179</v>
      </c>
      <c r="Q24" s="17">
        <v>44473593</v>
      </c>
      <c r="S24" s="17">
        <v>4604980772</v>
      </c>
      <c r="U24" s="18">
        <v>2.675564265448277E-2</v>
      </c>
    </row>
    <row r="25" spans="1:21" ht="21" x14ac:dyDescent="0.55000000000000004">
      <c r="A25" s="16" t="s">
        <v>166</v>
      </c>
      <c r="C25" s="17">
        <v>0</v>
      </c>
      <c r="E25" s="17">
        <v>5041324575</v>
      </c>
      <c r="G25" s="17">
        <v>0</v>
      </c>
      <c r="I25" s="17">
        <v>5041324575</v>
      </c>
      <c r="K25" s="18">
        <v>3.2647655280908114E-2</v>
      </c>
      <c r="M25" s="17">
        <v>4394680000</v>
      </c>
      <c r="O25" s="17">
        <v>3455073741</v>
      </c>
      <c r="Q25" s="17">
        <v>-1308998245</v>
      </c>
      <c r="S25" s="17">
        <v>6540755496</v>
      </c>
      <c r="U25" s="18">
        <v>3.8002789893369006E-2</v>
      </c>
    </row>
    <row r="26" spans="1:21" ht="21" x14ac:dyDescent="0.55000000000000004">
      <c r="A26" s="16" t="s">
        <v>88</v>
      </c>
      <c r="C26" s="17">
        <v>0</v>
      </c>
      <c r="E26" s="17">
        <v>335491875</v>
      </c>
      <c r="G26" s="17">
        <v>0</v>
      </c>
      <c r="I26" s="17">
        <v>335491875</v>
      </c>
      <c r="K26" s="18">
        <v>2.1726478669637163E-3</v>
      </c>
      <c r="M26" s="17">
        <v>562500000</v>
      </c>
      <c r="O26" s="17">
        <v>-80594429</v>
      </c>
      <c r="Q26" s="17">
        <v>598442884</v>
      </c>
      <c r="S26" s="17">
        <v>1080348455</v>
      </c>
      <c r="U26" s="18">
        <v>6.2769897716095299E-3</v>
      </c>
    </row>
    <row r="27" spans="1:21" ht="21" x14ac:dyDescent="0.55000000000000004">
      <c r="A27" s="16" t="s">
        <v>87</v>
      </c>
      <c r="C27" s="17">
        <v>0</v>
      </c>
      <c r="E27" s="17">
        <v>16553914650</v>
      </c>
      <c r="G27" s="17">
        <v>0</v>
      </c>
      <c r="I27" s="17">
        <v>16553914650</v>
      </c>
      <c r="K27" s="18">
        <v>0.1072032738623608</v>
      </c>
      <c r="M27" s="17">
        <v>0</v>
      </c>
      <c r="O27" s="17">
        <v>16816390971</v>
      </c>
      <c r="Q27" s="17">
        <v>4884647069</v>
      </c>
      <c r="S27" s="17">
        <v>21701038040</v>
      </c>
      <c r="U27" s="18">
        <v>0.12608635036219804</v>
      </c>
    </row>
    <row r="28" spans="1:21" ht="21" x14ac:dyDescent="0.55000000000000004">
      <c r="A28" s="16" t="s">
        <v>165</v>
      </c>
      <c r="C28" s="17">
        <v>0</v>
      </c>
      <c r="E28" s="17">
        <v>13923583599</v>
      </c>
      <c r="G28" s="17">
        <v>-5228987924</v>
      </c>
      <c r="I28" s="17">
        <v>8694595675</v>
      </c>
      <c r="K28" s="18">
        <v>5.6306265978574604E-2</v>
      </c>
      <c r="M28" s="17">
        <v>4760000000</v>
      </c>
      <c r="O28" s="17">
        <v>-14289064683</v>
      </c>
      <c r="Q28" s="17">
        <v>-13375259315</v>
      </c>
      <c r="S28" s="17">
        <v>-22904323998</v>
      </c>
      <c r="U28" s="18">
        <v>-0.13307762583052585</v>
      </c>
    </row>
    <row r="29" spans="1:21" ht="21" x14ac:dyDescent="0.55000000000000004">
      <c r="A29" s="16" t="s">
        <v>84</v>
      </c>
      <c r="C29" s="17">
        <v>0</v>
      </c>
      <c r="E29" s="17">
        <v>71140952</v>
      </c>
      <c r="G29" s="17">
        <v>0</v>
      </c>
      <c r="I29" s="17">
        <v>71140952</v>
      </c>
      <c r="K29" s="18">
        <v>4.6070933198178983E-4</v>
      </c>
      <c r="M29" s="17">
        <v>0</v>
      </c>
      <c r="O29" s="17">
        <v>71140952</v>
      </c>
      <c r="Q29" s="17">
        <v>99830342</v>
      </c>
      <c r="S29" s="17">
        <v>170971294</v>
      </c>
      <c r="U29" s="18">
        <v>9.9336936958626548E-4</v>
      </c>
    </row>
    <row r="30" spans="1:21" ht="21" x14ac:dyDescent="0.55000000000000004">
      <c r="A30" s="16" t="s">
        <v>164</v>
      </c>
      <c r="C30" s="17">
        <v>0</v>
      </c>
      <c r="E30" s="17">
        <v>4176345049</v>
      </c>
      <c r="G30" s="17">
        <v>0</v>
      </c>
      <c r="I30" s="17">
        <v>4176345049</v>
      </c>
      <c r="K30" s="18">
        <v>2.7046041464981314E-2</v>
      </c>
      <c r="M30" s="17">
        <v>1976000000</v>
      </c>
      <c r="O30" s="17">
        <v>-3114776579</v>
      </c>
      <c r="Q30" s="17">
        <v>-1626775972</v>
      </c>
      <c r="S30" s="17">
        <v>-2765552551</v>
      </c>
      <c r="U30" s="18">
        <v>-1.6068283335005689E-2</v>
      </c>
    </row>
    <row r="31" spans="1:21" ht="21" x14ac:dyDescent="0.55000000000000004">
      <c r="A31" s="16" t="s">
        <v>163</v>
      </c>
      <c r="C31" s="17">
        <v>0</v>
      </c>
      <c r="E31" s="17">
        <v>670983750</v>
      </c>
      <c r="G31" s="17">
        <v>0</v>
      </c>
      <c r="I31" s="17">
        <v>670983750</v>
      </c>
      <c r="K31" s="18">
        <v>4.3452957339274326E-3</v>
      </c>
      <c r="M31" s="17">
        <v>1612000000</v>
      </c>
      <c r="O31" s="17">
        <v>-2246210499</v>
      </c>
      <c r="Q31" s="17">
        <v>-6999131137</v>
      </c>
      <c r="S31" s="17">
        <v>-7633341636</v>
      </c>
      <c r="U31" s="18">
        <v>-4.4350882486681724E-2</v>
      </c>
    </row>
    <row r="32" spans="1:21" ht="21" x14ac:dyDescent="0.55000000000000004">
      <c r="A32" s="16" t="s">
        <v>162</v>
      </c>
      <c r="C32" s="17">
        <v>0</v>
      </c>
      <c r="E32" s="17">
        <v>22525173000</v>
      </c>
      <c r="G32" s="17">
        <v>0</v>
      </c>
      <c r="I32" s="17">
        <v>22525173000</v>
      </c>
      <c r="K32" s="18">
        <v>0.14587318715673425</v>
      </c>
      <c r="M32" s="17">
        <v>4440000000</v>
      </c>
      <c r="O32" s="17">
        <v>22622019607</v>
      </c>
      <c r="Q32" s="17">
        <v>2388053323</v>
      </c>
      <c r="S32" s="17">
        <v>29450072930</v>
      </c>
      <c r="U32" s="18">
        <v>0.17110942835084139</v>
      </c>
    </row>
    <row r="33" spans="1:21" ht="21" x14ac:dyDescent="0.55000000000000004">
      <c r="A33" s="16" t="s">
        <v>76</v>
      </c>
      <c r="C33" s="17">
        <v>0</v>
      </c>
      <c r="E33" s="17">
        <v>4030337503</v>
      </c>
      <c r="G33" s="17">
        <v>366542782</v>
      </c>
      <c r="I33" s="17">
        <v>4396880285</v>
      </c>
      <c r="K33" s="18">
        <v>2.847422928647696E-2</v>
      </c>
      <c r="M33" s="17">
        <v>1891500000</v>
      </c>
      <c r="O33" s="17">
        <v>2280290355</v>
      </c>
      <c r="Q33" s="17">
        <v>855130802</v>
      </c>
      <c r="S33" s="17">
        <v>5026921157</v>
      </c>
      <c r="U33" s="18">
        <v>2.920718083053726E-2</v>
      </c>
    </row>
    <row r="34" spans="1:21" ht="21" x14ac:dyDescent="0.55000000000000004">
      <c r="A34" s="16" t="s">
        <v>161</v>
      </c>
      <c r="C34" s="17">
        <v>0</v>
      </c>
      <c r="E34" s="17">
        <v>11652653134</v>
      </c>
      <c r="G34" s="17">
        <v>0</v>
      </c>
      <c r="I34" s="17">
        <v>11652653134</v>
      </c>
      <c r="K34" s="18">
        <v>7.5462667988764748E-2</v>
      </c>
      <c r="M34" s="17">
        <v>3330000000</v>
      </c>
      <c r="O34" s="17">
        <v>12328132511</v>
      </c>
      <c r="Q34" s="17">
        <v>1386090593</v>
      </c>
      <c r="S34" s="17">
        <v>17044223104</v>
      </c>
      <c r="U34" s="18">
        <v>9.9029543286419414E-2</v>
      </c>
    </row>
    <row r="35" spans="1:21" ht="21" x14ac:dyDescent="0.55000000000000004">
      <c r="A35" s="16" t="s">
        <v>160</v>
      </c>
      <c r="C35" s="17">
        <v>0</v>
      </c>
      <c r="E35" s="17">
        <v>4504069468</v>
      </c>
      <c r="G35" s="17">
        <v>0</v>
      </c>
      <c r="I35" s="17">
        <v>4504069468</v>
      </c>
      <c r="K35" s="18">
        <v>2.916838722936763E-2</v>
      </c>
      <c r="M35" s="17">
        <v>1298050000</v>
      </c>
      <c r="O35" s="17">
        <v>5023665926</v>
      </c>
      <c r="Q35" s="17">
        <v>5602455</v>
      </c>
      <c r="S35" s="17">
        <v>6327318381</v>
      </c>
      <c r="U35" s="18">
        <v>3.6762687608280956E-2</v>
      </c>
    </row>
    <row r="36" spans="1:21" ht="21" x14ac:dyDescent="0.55000000000000004">
      <c r="A36" s="16" t="s">
        <v>159</v>
      </c>
      <c r="C36" s="17">
        <v>0</v>
      </c>
      <c r="E36" s="17">
        <v>3828350160</v>
      </c>
      <c r="G36" s="17">
        <v>389963483</v>
      </c>
      <c r="I36" s="17">
        <v>4218313643</v>
      </c>
      <c r="K36" s="18">
        <v>2.7317830390521065E-2</v>
      </c>
      <c r="M36" s="17">
        <v>1080336390</v>
      </c>
      <c r="O36" s="17">
        <v>4006765284</v>
      </c>
      <c r="Q36" s="17">
        <v>543714539</v>
      </c>
      <c r="S36" s="17">
        <v>5630816213</v>
      </c>
      <c r="U36" s="18">
        <v>3.2715903476544621E-2</v>
      </c>
    </row>
    <row r="37" spans="1:21" ht="21" x14ac:dyDescent="0.55000000000000004">
      <c r="A37" s="16" t="s">
        <v>75</v>
      </c>
      <c r="C37" s="17">
        <v>0</v>
      </c>
      <c r="E37" s="17">
        <v>1550718000</v>
      </c>
      <c r="G37" s="17">
        <v>0</v>
      </c>
      <c r="I37" s="17">
        <v>1550718000</v>
      </c>
      <c r="K37" s="18">
        <v>1.0042461251743399E-2</v>
      </c>
      <c r="M37" s="17">
        <v>953521800</v>
      </c>
      <c r="O37" s="17">
        <v>-1610361000</v>
      </c>
      <c r="Q37" s="17">
        <v>564872035</v>
      </c>
      <c r="S37" s="17">
        <v>-91967165</v>
      </c>
      <c r="U37" s="18">
        <v>-5.3434329577388623E-4</v>
      </c>
    </row>
    <row r="38" spans="1:21" ht="21" x14ac:dyDescent="0.55000000000000004">
      <c r="A38" s="16" t="s">
        <v>74</v>
      </c>
      <c r="C38" s="17">
        <v>0</v>
      </c>
      <c r="E38" s="17">
        <v>2785328100</v>
      </c>
      <c r="G38" s="17">
        <v>0</v>
      </c>
      <c r="I38" s="17">
        <v>2785328100</v>
      </c>
      <c r="K38" s="18">
        <v>1.8037805402169878E-2</v>
      </c>
      <c r="M38" s="17">
        <v>2492000000</v>
      </c>
      <c r="O38" s="17">
        <v>992444320</v>
      </c>
      <c r="Q38" s="17">
        <v>0</v>
      </c>
      <c r="S38" s="17">
        <v>3484444320</v>
      </c>
      <c r="U38" s="18">
        <v>2.0245154473223108E-2</v>
      </c>
    </row>
    <row r="39" spans="1:21" ht="21" x14ac:dyDescent="0.55000000000000004">
      <c r="A39" s="16" t="s">
        <v>73</v>
      </c>
      <c r="C39" s="17">
        <v>0</v>
      </c>
      <c r="E39" s="17">
        <v>6480708975</v>
      </c>
      <c r="G39" s="17">
        <v>0</v>
      </c>
      <c r="I39" s="17">
        <v>6480708975</v>
      </c>
      <c r="K39" s="18">
        <v>4.1969119314577627E-2</v>
      </c>
      <c r="M39" s="17">
        <v>2380003400</v>
      </c>
      <c r="O39" s="17">
        <v>7283220796</v>
      </c>
      <c r="Q39" s="17">
        <v>2790422977</v>
      </c>
      <c r="S39" s="17">
        <v>12453647173</v>
      </c>
      <c r="U39" s="18">
        <v>7.2357594961483918E-2</v>
      </c>
    </row>
    <row r="40" spans="1:21" ht="21" x14ac:dyDescent="0.55000000000000004">
      <c r="A40" s="16" t="s">
        <v>72</v>
      </c>
      <c r="C40" s="17">
        <v>0</v>
      </c>
      <c r="E40" s="17">
        <v>1216717200</v>
      </c>
      <c r="G40" s="17">
        <v>0</v>
      </c>
      <c r="I40" s="17">
        <v>1216717200</v>
      </c>
      <c r="K40" s="18">
        <v>7.8794695975217457E-3</v>
      </c>
      <c r="M40" s="17">
        <v>864000000</v>
      </c>
      <c r="O40" s="17">
        <v>-1017967864</v>
      </c>
      <c r="Q40" s="17">
        <v>-262326308</v>
      </c>
      <c r="S40" s="17">
        <v>-416294172</v>
      </c>
      <c r="U40" s="18">
        <v>-2.4187328148904128E-3</v>
      </c>
    </row>
    <row r="41" spans="1:21" ht="21" x14ac:dyDescent="0.55000000000000004">
      <c r="A41" s="16" t="s">
        <v>158</v>
      </c>
      <c r="C41" s="17">
        <v>0</v>
      </c>
      <c r="E41" s="17">
        <v>3900652200</v>
      </c>
      <c r="G41" s="17">
        <v>0</v>
      </c>
      <c r="I41" s="17">
        <v>3900652200</v>
      </c>
      <c r="K41" s="18">
        <v>2.5260652533231478E-2</v>
      </c>
      <c r="M41" s="17">
        <v>4560000000</v>
      </c>
      <c r="O41" s="17">
        <v>8293226142</v>
      </c>
      <c r="Q41" s="17">
        <v>778763390</v>
      </c>
      <c r="S41" s="17">
        <v>13631989532</v>
      </c>
      <c r="U41" s="18">
        <v>7.9203944304295962E-2</v>
      </c>
    </row>
    <row r="42" spans="1:21" ht="21" x14ac:dyDescent="0.55000000000000004">
      <c r="A42" s="16" t="s">
        <v>69</v>
      </c>
      <c r="C42" s="17">
        <v>0</v>
      </c>
      <c r="E42" s="17">
        <v>3141198000</v>
      </c>
      <c r="G42" s="17">
        <v>0</v>
      </c>
      <c r="I42" s="17">
        <v>3141198000</v>
      </c>
      <c r="K42" s="18">
        <v>2.0342421509941758E-2</v>
      </c>
      <c r="M42" s="17">
        <v>3248000000</v>
      </c>
      <c r="O42" s="17">
        <v>4115367000</v>
      </c>
      <c r="Q42" s="17">
        <v>3233980000</v>
      </c>
      <c r="S42" s="17">
        <v>10597347000</v>
      </c>
      <c r="U42" s="18">
        <v>6.1572207020184927E-2</v>
      </c>
    </row>
    <row r="43" spans="1:21" ht="21" x14ac:dyDescent="0.55000000000000004">
      <c r="A43" s="16" t="s">
        <v>68</v>
      </c>
      <c r="C43" s="17">
        <v>0</v>
      </c>
      <c r="E43" s="17">
        <v>139167000</v>
      </c>
      <c r="G43" s="17">
        <v>0</v>
      </c>
      <c r="I43" s="17">
        <v>139167000</v>
      </c>
      <c r="K43" s="18">
        <v>9.012465225923564E-4</v>
      </c>
      <c r="M43" s="17">
        <v>235000000</v>
      </c>
      <c r="O43" s="17">
        <v>449664600</v>
      </c>
      <c r="Q43" s="17">
        <v>560334700</v>
      </c>
      <c r="S43" s="17">
        <v>1244999300</v>
      </c>
      <c r="U43" s="18">
        <v>7.2336363657418525E-3</v>
      </c>
    </row>
    <row r="44" spans="1:21" ht="21" x14ac:dyDescent="0.55000000000000004">
      <c r="A44" s="16" t="s">
        <v>67</v>
      </c>
      <c r="C44" s="17">
        <v>0</v>
      </c>
      <c r="E44" s="17">
        <v>1013295924</v>
      </c>
      <c r="G44" s="17">
        <v>3206576076</v>
      </c>
      <c r="I44" s="17">
        <v>4219872000</v>
      </c>
      <c r="K44" s="18">
        <v>2.7327922321993377E-2</v>
      </c>
      <c r="M44" s="17">
        <v>0</v>
      </c>
      <c r="O44" s="17">
        <v>11851616304</v>
      </c>
      <c r="Q44" s="17">
        <v>9876250151</v>
      </c>
      <c r="S44" s="17">
        <v>21727866455</v>
      </c>
      <c r="U44" s="18">
        <v>0.12624222755697173</v>
      </c>
    </row>
    <row r="45" spans="1:21" ht="21" x14ac:dyDescent="0.55000000000000004">
      <c r="A45" s="16" t="s">
        <v>157</v>
      </c>
      <c r="C45" s="17">
        <v>434000000</v>
      </c>
      <c r="E45" s="17">
        <v>1301211450</v>
      </c>
      <c r="G45" s="17">
        <v>0</v>
      </c>
      <c r="I45" s="17">
        <v>1735211450</v>
      </c>
      <c r="K45" s="18">
        <v>1.1237242200197896E-2</v>
      </c>
      <c r="M45" s="17">
        <v>434000000</v>
      </c>
      <c r="O45" s="17">
        <v>-486158418</v>
      </c>
      <c r="Q45" s="17">
        <v>-153952245</v>
      </c>
      <c r="S45" s="17">
        <v>-206110663</v>
      </c>
      <c r="U45" s="18">
        <v>-1.19753447832779E-3</v>
      </c>
    </row>
    <row r="46" spans="1:21" ht="21" x14ac:dyDescent="0.55000000000000004">
      <c r="A46" s="16" t="s">
        <v>156</v>
      </c>
      <c r="C46" s="17">
        <v>0</v>
      </c>
      <c r="E46" s="17">
        <v>0</v>
      </c>
      <c r="G46" s="17">
        <v>0</v>
      </c>
      <c r="I46" s="17">
        <v>0</v>
      </c>
      <c r="K46" s="18">
        <v>0</v>
      </c>
      <c r="L46" s="15"/>
      <c r="M46" s="17">
        <v>0</v>
      </c>
      <c r="O46" s="17">
        <v>0</v>
      </c>
      <c r="Q46" s="17">
        <v>410312059</v>
      </c>
      <c r="S46" s="17">
        <v>410312059</v>
      </c>
      <c r="U46" s="18">
        <v>2.3839758233477051E-3</v>
      </c>
    </row>
    <row r="47" spans="1:21" ht="21" x14ac:dyDescent="0.55000000000000004">
      <c r="A47" s="16" t="s">
        <v>155</v>
      </c>
      <c r="C47" s="17">
        <v>0</v>
      </c>
      <c r="E47" s="17">
        <v>0</v>
      </c>
      <c r="G47" s="17">
        <v>0</v>
      </c>
      <c r="I47" s="17">
        <v>0</v>
      </c>
      <c r="K47" s="18">
        <v>0</v>
      </c>
      <c r="L47" s="15"/>
      <c r="M47" s="17">
        <v>0</v>
      </c>
      <c r="O47" s="17">
        <v>0</v>
      </c>
      <c r="Q47" s="17">
        <v>191025600</v>
      </c>
      <c r="S47" s="17">
        <v>191025600</v>
      </c>
      <c r="U47" s="18">
        <v>1.1098879549150402E-3</v>
      </c>
    </row>
    <row r="48" spans="1:21" ht="21" x14ac:dyDescent="0.55000000000000004">
      <c r="A48" s="16" t="s">
        <v>154</v>
      </c>
      <c r="C48" s="17">
        <v>0</v>
      </c>
      <c r="E48" s="17">
        <v>0</v>
      </c>
      <c r="G48" s="17">
        <v>0</v>
      </c>
      <c r="I48" s="17">
        <v>0</v>
      </c>
      <c r="K48" s="18">
        <v>0</v>
      </c>
      <c r="L48" s="15"/>
      <c r="M48" s="17">
        <v>0</v>
      </c>
      <c r="O48" s="17">
        <v>0</v>
      </c>
      <c r="Q48" s="17">
        <v>-1476525993</v>
      </c>
      <c r="S48" s="17">
        <v>-1476525993</v>
      </c>
      <c r="U48" s="18">
        <v>-8.5788418659575941E-3</v>
      </c>
    </row>
    <row r="49" spans="1:21" ht="21" x14ac:dyDescent="0.55000000000000004">
      <c r="A49" s="16" t="s">
        <v>153</v>
      </c>
      <c r="C49" s="17">
        <v>0</v>
      </c>
      <c r="E49" s="17">
        <v>0</v>
      </c>
      <c r="G49" s="17">
        <v>0</v>
      </c>
      <c r="I49" s="17">
        <v>0</v>
      </c>
      <c r="K49" s="18">
        <v>0</v>
      </c>
      <c r="L49" s="15"/>
      <c r="M49" s="17">
        <v>291128585</v>
      </c>
      <c r="O49" s="17">
        <v>0</v>
      </c>
      <c r="Q49" s="17">
        <v>820651110</v>
      </c>
      <c r="S49" s="17">
        <v>1111779695</v>
      </c>
      <c r="U49" s="18">
        <v>6.4596100836726454E-3</v>
      </c>
    </row>
    <row r="50" spans="1:21" ht="21" x14ac:dyDescent="0.55000000000000004">
      <c r="A50" s="16" t="s">
        <v>152</v>
      </c>
      <c r="C50" s="17">
        <v>0</v>
      </c>
      <c r="E50" s="17">
        <v>0</v>
      </c>
      <c r="G50" s="17">
        <v>0</v>
      </c>
      <c r="I50" s="17">
        <v>0</v>
      </c>
      <c r="K50" s="18">
        <v>0</v>
      </c>
      <c r="L50" s="15"/>
      <c r="M50" s="17">
        <v>0</v>
      </c>
      <c r="O50" s="17">
        <v>0</v>
      </c>
      <c r="Q50" s="17">
        <v>-2841925362</v>
      </c>
      <c r="S50" s="17">
        <v>-2841925362</v>
      </c>
      <c r="U50" s="18">
        <v>-1.6512021048756636E-2</v>
      </c>
    </row>
    <row r="51" spans="1:21" ht="21" x14ac:dyDescent="0.55000000000000004">
      <c r="A51" s="16" t="s">
        <v>151</v>
      </c>
      <c r="C51" s="17">
        <v>0</v>
      </c>
      <c r="E51" s="17">
        <v>0</v>
      </c>
      <c r="G51" s="17">
        <v>0</v>
      </c>
      <c r="I51" s="17">
        <v>0</v>
      </c>
      <c r="K51" s="18">
        <v>0</v>
      </c>
      <c r="L51" s="15"/>
      <c r="M51" s="17">
        <v>952000000</v>
      </c>
      <c r="O51" s="17">
        <v>0</v>
      </c>
      <c r="Q51" s="17">
        <v>-2453485900</v>
      </c>
      <c r="S51" s="17">
        <v>-1501485900</v>
      </c>
      <c r="U51" s="18">
        <v>-8.7238627434478352E-3</v>
      </c>
    </row>
    <row r="52" spans="1:21" ht="21" x14ac:dyDescent="0.55000000000000004">
      <c r="A52" s="16" t="s">
        <v>150</v>
      </c>
      <c r="C52" s="17">
        <v>0</v>
      </c>
      <c r="E52" s="17">
        <v>0</v>
      </c>
      <c r="G52" s="17">
        <v>0</v>
      </c>
      <c r="I52" s="17">
        <v>0</v>
      </c>
      <c r="K52" s="18">
        <v>0</v>
      </c>
      <c r="L52" s="15"/>
      <c r="M52" s="17">
        <v>0</v>
      </c>
      <c r="O52" s="17">
        <v>0</v>
      </c>
      <c r="Q52" s="17">
        <v>-707351562</v>
      </c>
      <c r="S52" s="17">
        <v>-707351562</v>
      </c>
      <c r="U52" s="18">
        <v>-4.1098207703791504E-3</v>
      </c>
    </row>
    <row r="53" spans="1:21" ht="21" x14ac:dyDescent="0.55000000000000004">
      <c r="A53" s="16" t="s">
        <v>149</v>
      </c>
      <c r="C53" s="17">
        <v>0</v>
      </c>
      <c r="E53" s="17">
        <v>0</v>
      </c>
      <c r="G53" s="17">
        <v>0</v>
      </c>
      <c r="I53" s="17">
        <v>0</v>
      </c>
      <c r="K53" s="18">
        <v>0</v>
      </c>
      <c r="L53" s="15"/>
      <c r="M53" s="17">
        <v>0</v>
      </c>
      <c r="O53" s="17">
        <v>0</v>
      </c>
      <c r="Q53" s="17">
        <v>-2314315880</v>
      </c>
      <c r="S53" s="17">
        <v>-2314315880</v>
      </c>
      <c r="U53" s="18">
        <v>-1.3446529256186616E-2</v>
      </c>
    </row>
    <row r="54" spans="1:21" ht="21" x14ac:dyDescent="0.55000000000000004">
      <c r="A54" s="16" t="s">
        <v>148</v>
      </c>
      <c r="C54" s="17">
        <v>0</v>
      </c>
      <c r="E54" s="17">
        <v>0</v>
      </c>
      <c r="G54" s="17">
        <v>0</v>
      </c>
      <c r="I54" s="17">
        <v>0</v>
      </c>
      <c r="K54" s="18">
        <v>0</v>
      </c>
      <c r="L54" s="15"/>
      <c r="M54" s="17">
        <v>1257300000</v>
      </c>
      <c r="O54" s="17">
        <v>0</v>
      </c>
      <c r="Q54" s="17">
        <v>2831026152</v>
      </c>
      <c r="S54" s="17">
        <v>4088326152</v>
      </c>
      <c r="U54" s="18">
        <v>2.3753800285767752E-2</v>
      </c>
    </row>
    <row r="55" spans="1:21" ht="21" x14ac:dyDescent="0.55000000000000004">
      <c r="A55" s="16" t="s">
        <v>147</v>
      </c>
      <c r="C55" s="17">
        <v>0</v>
      </c>
      <c r="E55" s="17">
        <v>0</v>
      </c>
      <c r="G55" s="17">
        <v>0</v>
      </c>
      <c r="I55" s="17">
        <v>0</v>
      </c>
      <c r="K55" s="18">
        <v>0</v>
      </c>
      <c r="L55" s="15"/>
      <c r="M55" s="17">
        <v>292500000</v>
      </c>
      <c r="O55" s="17">
        <v>0</v>
      </c>
      <c r="Q55" s="17">
        <v>1119306895</v>
      </c>
      <c r="S55" s="17">
        <v>1411806895</v>
      </c>
      <c r="U55" s="18">
        <v>8.2028140072665807E-3</v>
      </c>
    </row>
    <row r="56" spans="1:21" ht="21" x14ac:dyDescent="0.55000000000000004">
      <c r="A56" s="16" t="s">
        <v>146</v>
      </c>
      <c r="C56" s="17">
        <v>0</v>
      </c>
      <c r="E56" s="17">
        <v>0</v>
      </c>
      <c r="G56" s="17">
        <v>0</v>
      </c>
      <c r="I56" s="17">
        <v>0</v>
      </c>
      <c r="K56" s="18">
        <v>0</v>
      </c>
      <c r="L56" s="15"/>
      <c r="M56" s="17">
        <v>0</v>
      </c>
      <c r="O56" s="17">
        <v>0</v>
      </c>
      <c r="Q56" s="17">
        <v>-201510906</v>
      </c>
      <c r="S56" s="17">
        <v>-201510906</v>
      </c>
      <c r="U56" s="18">
        <v>-1.1708091865876454E-3</v>
      </c>
    </row>
    <row r="57" spans="1:21" ht="21" x14ac:dyDescent="0.55000000000000004">
      <c r="A57" s="16" t="s">
        <v>145</v>
      </c>
      <c r="C57" s="17">
        <v>0</v>
      </c>
      <c r="E57" s="17">
        <v>0</v>
      </c>
      <c r="G57" s="17">
        <v>0</v>
      </c>
      <c r="I57" s="17">
        <v>0</v>
      </c>
      <c r="K57" s="18">
        <v>0</v>
      </c>
      <c r="L57" s="15"/>
      <c r="M57" s="17">
        <v>0</v>
      </c>
      <c r="O57" s="17">
        <v>0</v>
      </c>
      <c r="Q57" s="17">
        <v>694641600</v>
      </c>
      <c r="S57" s="17">
        <v>694641600</v>
      </c>
      <c r="U57" s="18">
        <v>4.0359739470673638E-3</v>
      </c>
    </row>
    <row r="58" spans="1:21" ht="21" x14ac:dyDescent="0.55000000000000004">
      <c r="A58" s="16" t="s">
        <v>144</v>
      </c>
      <c r="C58" s="17">
        <v>0</v>
      </c>
      <c r="E58" s="17">
        <v>0</v>
      </c>
      <c r="G58" s="17">
        <v>0</v>
      </c>
      <c r="I58" s="17">
        <v>0</v>
      </c>
      <c r="K58" s="18">
        <v>0</v>
      </c>
      <c r="L58" s="15"/>
      <c r="M58" s="17">
        <v>0</v>
      </c>
      <c r="O58" s="17">
        <v>0</v>
      </c>
      <c r="Q58" s="17">
        <v>6310789540</v>
      </c>
      <c r="S58" s="17">
        <v>6310789540</v>
      </c>
      <c r="U58" s="18">
        <v>3.6666652513850644E-2</v>
      </c>
    </row>
    <row r="59" spans="1:21" ht="21" x14ac:dyDescent="0.55000000000000004">
      <c r="A59" s="16" t="s">
        <v>143</v>
      </c>
      <c r="C59" s="17">
        <v>0</v>
      </c>
      <c r="E59" s="17">
        <v>0</v>
      </c>
      <c r="G59" s="17">
        <v>0</v>
      </c>
      <c r="I59" s="17">
        <v>0</v>
      </c>
      <c r="K59" s="18">
        <v>0</v>
      </c>
      <c r="L59" s="15"/>
      <c r="M59" s="17">
        <v>0</v>
      </c>
      <c r="O59" s="17">
        <v>0</v>
      </c>
      <c r="Q59" s="17">
        <v>1736288324</v>
      </c>
      <c r="S59" s="17">
        <v>1736288324</v>
      </c>
      <c r="U59" s="18">
        <v>1.0088100741823206E-2</v>
      </c>
    </row>
    <row r="60" spans="1:21" ht="21" x14ac:dyDescent="0.55000000000000004">
      <c r="A60" s="16" t="s">
        <v>142</v>
      </c>
      <c r="C60" s="17">
        <v>0</v>
      </c>
      <c r="E60" s="17">
        <v>0</v>
      </c>
      <c r="G60" s="17">
        <v>0</v>
      </c>
      <c r="I60" s="17">
        <v>0</v>
      </c>
      <c r="K60" s="18">
        <v>0</v>
      </c>
      <c r="L60" s="15"/>
      <c r="M60" s="17">
        <v>0</v>
      </c>
      <c r="O60" s="17">
        <v>0</v>
      </c>
      <c r="Q60" s="17">
        <v>-436957507</v>
      </c>
      <c r="S60" s="17">
        <v>-436957507</v>
      </c>
      <c r="U60" s="18">
        <v>-2.5387899518651133E-3</v>
      </c>
    </row>
    <row r="61" spans="1:21" ht="21" x14ac:dyDescent="0.55000000000000004">
      <c r="A61" s="16" t="s">
        <v>141</v>
      </c>
      <c r="C61" s="17">
        <v>0</v>
      </c>
      <c r="E61" s="17">
        <v>0</v>
      </c>
      <c r="G61" s="17">
        <v>0</v>
      </c>
      <c r="I61" s="17">
        <v>0</v>
      </c>
      <c r="K61" s="18">
        <v>0</v>
      </c>
      <c r="L61" s="15"/>
      <c r="M61" s="17">
        <v>642857000</v>
      </c>
      <c r="O61" s="17">
        <v>0</v>
      </c>
      <c r="Q61" s="17">
        <v>901828280</v>
      </c>
      <c r="S61" s="17">
        <v>1544685280</v>
      </c>
      <c r="U61" s="18">
        <v>8.9748577489434222E-3</v>
      </c>
    </row>
    <row r="62" spans="1:21" ht="21" x14ac:dyDescent="0.55000000000000004">
      <c r="A62" s="16" t="s">
        <v>140</v>
      </c>
      <c r="C62" s="17">
        <v>0</v>
      </c>
      <c r="E62" s="17">
        <v>0</v>
      </c>
      <c r="G62" s="17">
        <v>0</v>
      </c>
      <c r="I62" s="17">
        <v>0</v>
      </c>
      <c r="K62" s="18">
        <v>0</v>
      </c>
      <c r="L62" s="15"/>
      <c r="M62" s="17">
        <v>0</v>
      </c>
      <c r="O62" s="17">
        <v>0</v>
      </c>
      <c r="Q62" s="17">
        <v>402934800</v>
      </c>
      <c r="S62" s="17">
        <v>402934800</v>
      </c>
      <c r="U62" s="18">
        <v>2.3411128201460997E-3</v>
      </c>
    </row>
    <row r="63" spans="1:21" ht="21" x14ac:dyDescent="0.55000000000000004">
      <c r="A63" s="16" t="s">
        <v>139</v>
      </c>
      <c r="C63" s="17">
        <v>0</v>
      </c>
      <c r="E63" s="17">
        <v>0</v>
      </c>
      <c r="G63" s="17">
        <v>0</v>
      </c>
      <c r="I63" s="17">
        <v>0</v>
      </c>
      <c r="K63" s="18">
        <v>0</v>
      </c>
      <c r="L63" s="15"/>
      <c r="M63" s="17">
        <v>0</v>
      </c>
      <c r="O63" s="17">
        <v>0</v>
      </c>
      <c r="Q63" s="17">
        <v>229043646</v>
      </c>
      <c r="S63" s="17">
        <v>229043646</v>
      </c>
      <c r="U63" s="18">
        <v>1.3307786173435627E-3</v>
      </c>
    </row>
    <row r="64" spans="1:21" ht="21" x14ac:dyDescent="0.55000000000000004">
      <c r="A64" s="16" t="s">
        <v>138</v>
      </c>
      <c r="C64" s="17">
        <v>0</v>
      </c>
      <c r="E64" s="17">
        <v>0</v>
      </c>
      <c r="G64" s="17">
        <v>0</v>
      </c>
      <c r="I64" s="17">
        <v>0</v>
      </c>
      <c r="K64" s="18">
        <v>0</v>
      </c>
      <c r="L64" s="15"/>
      <c r="M64" s="17">
        <v>0</v>
      </c>
      <c r="O64" s="17">
        <v>0</v>
      </c>
      <c r="Q64" s="17">
        <v>2814038028</v>
      </c>
      <c r="S64" s="17">
        <v>2814038028</v>
      </c>
      <c r="U64" s="18">
        <v>1.6349991372622691E-2</v>
      </c>
    </row>
    <row r="65" spans="1:21" ht="21" x14ac:dyDescent="0.55000000000000004">
      <c r="A65" s="16" t="s">
        <v>137</v>
      </c>
      <c r="C65" s="17">
        <v>0</v>
      </c>
      <c r="E65" s="17">
        <v>0</v>
      </c>
      <c r="G65" s="17">
        <v>0</v>
      </c>
      <c r="I65" s="17">
        <v>0</v>
      </c>
      <c r="K65" s="18">
        <v>0</v>
      </c>
      <c r="L65" s="15"/>
      <c r="M65" s="17">
        <v>637000000</v>
      </c>
      <c r="O65" s="17">
        <v>0</v>
      </c>
      <c r="Q65" s="17">
        <v>-714788246</v>
      </c>
      <c r="S65" s="17">
        <v>-77788246</v>
      </c>
      <c r="U65" s="18">
        <v>-4.5196160760321163E-4</v>
      </c>
    </row>
    <row r="66" spans="1:21" ht="21" x14ac:dyDescent="0.55000000000000004">
      <c r="A66" s="16" t="s">
        <v>136</v>
      </c>
      <c r="C66" s="17">
        <v>0</v>
      </c>
      <c r="E66" s="17">
        <v>0</v>
      </c>
      <c r="G66" s="17">
        <v>0</v>
      </c>
      <c r="I66" s="17">
        <v>0</v>
      </c>
      <c r="K66" s="18">
        <v>0</v>
      </c>
      <c r="L66" s="15"/>
      <c r="M66" s="17">
        <v>1160426080</v>
      </c>
      <c r="O66" s="17">
        <v>0</v>
      </c>
      <c r="Q66" s="17">
        <v>-2799209091</v>
      </c>
      <c r="S66" s="17">
        <v>-1638783011</v>
      </c>
      <c r="U66" s="18">
        <v>-9.5215799590646598E-3</v>
      </c>
    </row>
    <row r="67" spans="1:21" ht="21" x14ac:dyDescent="0.55000000000000004">
      <c r="A67" s="16" t="s">
        <v>135</v>
      </c>
      <c r="C67" s="17">
        <v>0</v>
      </c>
      <c r="E67" s="17">
        <v>0</v>
      </c>
      <c r="G67" s="17">
        <v>0</v>
      </c>
      <c r="I67" s="17">
        <v>0</v>
      </c>
      <c r="K67" s="18">
        <v>0</v>
      </c>
      <c r="L67" s="15"/>
      <c r="M67" s="17">
        <v>1344000000</v>
      </c>
      <c r="O67" s="17">
        <v>0</v>
      </c>
      <c r="Q67" s="17">
        <v>-4634389748</v>
      </c>
      <c r="S67" s="17">
        <v>-3290389748</v>
      </c>
      <c r="U67" s="18">
        <v>-1.9117667727682232E-2</v>
      </c>
    </row>
    <row r="68" spans="1:21" ht="21" x14ac:dyDescent="0.55000000000000004">
      <c r="A68" s="16" t="s">
        <v>134</v>
      </c>
      <c r="C68" s="17">
        <v>0</v>
      </c>
      <c r="E68" s="17">
        <v>0</v>
      </c>
      <c r="G68" s="17">
        <v>0</v>
      </c>
      <c r="I68" s="17">
        <v>0</v>
      </c>
      <c r="K68" s="18">
        <v>0</v>
      </c>
      <c r="L68" s="15"/>
      <c r="M68" s="17">
        <v>0</v>
      </c>
      <c r="O68" s="17">
        <v>0</v>
      </c>
      <c r="Q68" s="17">
        <v>597495097</v>
      </c>
      <c r="S68" s="17">
        <v>597495097</v>
      </c>
      <c r="U68" s="18">
        <v>3.4715379052917181E-3</v>
      </c>
    </row>
    <row r="69" spans="1:21" ht="21" x14ac:dyDescent="0.55000000000000004">
      <c r="A69" s="16" t="s">
        <v>133</v>
      </c>
      <c r="C69" s="17">
        <v>0</v>
      </c>
      <c r="E69" s="17">
        <v>0</v>
      </c>
      <c r="G69" s="17">
        <v>0</v>
      </c>
      <c r="I69" s="17">
        <v>0</v>
      </c>
      <c r="K69" s="18">
        <v>0</v>
      </c>
      <c r="L69" s="15"/>
      <c r="M69" s="17">
        <v>225000000</v>
      </c>
      <c r="O69" s="17">
        <v>0</v>
      </c>
      <c r="Q69" s="17">
        <v>2133705317</v>
      </c>
      <c r="S69" s="17">
        <v>2358705317</v>
      </c>
      <c r="U69" s="18">
        <v>1.3704438674881072E-2</v>
      </c>
    </row>
    <row r="70" spans="1:21" ht="21" x14ac:dyDescent="0.55000000000000004">
      <c r="A70" s="16" t="s">
        <v>132</v>
      </c>
      <c r="C70" s="17">
        <v>0</v>
      </c>
      <c r="E70" s="17">
        <v>0</v>
      </c>
      <c r="G70" s="17">
        <v>0</v>
      </c>
      <c r="I70" s="17">
        <v>0</v>
      </c>
      <c r="K70" s="18">
        <v>0</v>
      </c>
      <c r="L70" s="15"/>
      <c r="M70" s="17">
        <v>0</v>
      </c>
      <c r="O70" s="17">
        <v>0</v>
      </c>
      <c r="Q70" s="17">
        <v>1447873382</v>
      </c>
      <c r="S70" s="17">
        <v>1447873382</v>
      </c>
      <c r="U70" s="18">
        <v>8.4123658133983242E-3</v>
      </c>
    </row>
    <row r="71" spans="1:21" ht="21" x14ac:dyDescent="0.55000000000000004">
      <c r="A71" s="16" t="s">
        <v>131</v>
      </c>
      <c r="C71" s="17">
        <v>0</v>
      </c>
      <c r="E71" s="17">
        <v>0</v>
      </c>
      <c r="G71" s="17">
        <v>0</v>
      </c>
      <c r="I71" s="17">
        <v>0</v>
      </c>
      <c r="K71" s="18">
        <v>0</v>
      </c>
      <c r="L71" s="15"/>
      <c r="M71" s="17">
        <v>0</v>
      </c>
      <c r="O71" s="17">
        <v>0</v>
      </c>
      <c r="Q71" s="17">
        <v>-2220221191</v>
      </c>
      <c r="S71" s="17">
        <v>-2220221191</v>
      </c>
      <c r="U71" s="18">
        <v>-1.2899824720550675E-2</v>
      </c>
    </row>
    <row r="72" spans="1:21" ht="21" x14ac:dyDescent="0.55000000000000004">
      <c r="A72" s="16" t="s">
        <v>130</v>
      </c>
      <c r="C72" s="17">
        <v>0</v>
      </c>
      <c r="E72" s="17">
        <v>0</v>
      </c>
      <c r="G72" s="17">
        <v>0</v>
      </c>
      <c r="I72" s="17">
        <v>0</v>
      </c>
      <c r="K72" s="18">
        <v>0</v>
      </c>
      <c r="L72" s="15"/>
      <c r="M72" s="17">
        <v>0</v>
      </c>
      <c r="O72" s="17">
        <v>0</v>
      </c>
      <c r="Q72" s="17">
        <v>157727</v>
      </c>
      <c r="S72" s="17">
        <v>157727</v>
      </c>
      <c r="U72" s="18">
        <v>9.164179956240659E-7</v>
      </c>
    </row>
    <row r="73" spans="1:21" ht="21" x14ac:dyDescent="0.55000000000000004">
      <c r="A73" s="16" t="s">
        <v>129</v>
      </c>
      <c r="C73" s="17">
        <v>0</v>
      </c>
      <c r="E73" s="17">
        <v>0</v>
      </c>
      <c r="G73" s="17">
        <v>0</v>
      </c>
      <c r="I73" s="17">
        <v>0</v>
      </c>
      <c r="K73" s="18">
        <v>0</v>
      </c>
      <c r="L73" s="15"/>
      <c r="M73" s="17">
        <v>0</v>
      </c>
      <c r="O73" s="17">
        <v>0</v>
      </c>
      <c r="Q73" s="17">
        <v>-364180561</v>
      </c>
      <c r="S73" s="17">
        <v>-364180561</v>
      </c>
      <c r="U73" s="18">
        <v>-2.1159447637808864E-3</v>
      </c>
    </row>
    <row r="74" spans="1:21" ht="21" x14ac:dyDescent="0.55000000000000004">
      <c r="A74" s="16" t="s">
        <v>128</v>
      </c>
      <c r="C74" s="17">
        <v>0</v>
      </c>
      <c r="E74" s="17">
        <v>0</v>
      </c>
      <c r="G74" s="17">
        <v>0</v>
      </c>
      <c r="I74" s="17">
        <v>0</v>
      </c>
      <c r="K74" s="18">
        <v>0</v>
      </c>
      <c r="L74" s="15"/>
      <c r="M74" s="17">
        <v>0</v>
      </c>
      <c r="O74" s="17">
        <v>0</v>
      </c>
      <c r="Q74" s="17">
        <v>-7535029565</v>
      </c>
      <c r="S74" s="17">
        <v>-7535029565</v>
      </c>
      <c r="U74" s="18">
        <v>-4.3779674316542998E-2</v>
      </c>
    </row>
    <row r="75" spans="1:21" ht="21" x14ac:dyDescent="0.55000000000000004">
      <c r="A75" s="16" t="s">
        <v>127</v>
      </c>
      <c r="C75" s="17">
        <v>0</v>
      </c>
      <c r="E75" s="17">
        <v>0</v>
      </c>
      <c r="G75" s="17">
        <v>0</v>
      </c>
      <c r="I75" s="17">
        <v>0</v>
      </c>
      <c r="K75" s="18">
        <v>0</v>
      </c>
      <c r="L75" s="15"/>
      <c r="M75" s="17">
        <v>296000000</v>
      </c>
      <c r="O75" s="17">
        <v>0</v>
      </c>
      <c r="Q75" s="17">
        <v>-1418258700</v>
      </c>
      <c r="S75" s="17">
        <v>-1122258700</v>
      </c>
      <c r="U75" s="18">
        <v>-6.5204947055714614E-3</v>
      </c>
    </row>
    <row r="76" spans="1:21" ht="21" x14ac:dyDescent="0.55000000000000004">
      <c r="A76" s="16" t="s">
        <v>126</v>
      </c>
      <c r="C76" s="17">
        <v>0</v>
      </c>
      <c r="E76" s="17">
        <v>0</v>
      </c>
      <c r="G76" s="17">
        <v>0</v>
      </c>
      <c r="I76" s="17">
        <v>0</v>
      </c>
      <c r="K76" s="18">
        <v>0</v>
      </c>
      <c r="L76" s="15"/>
      <c r="M76" s="17">
        <v>0</v>
      </c>
      <c r="O76" s="17">
        <v>0</v>
      </c>
      <c r="Q76" s="17">
        <v>-2474802263</v>
      </c>
      <c r="S76" s="17">
        <v>-2474802263</v>
      </c>
      <c r="U76" s="18">
        <v>-1.4378979689110694E-2</v>
      </c>
    </row>
    <row r="77" spans="1:21" ht="21" x14ac:dyDescent="0.55000000000000004">
      <c r="A77" s="16" t="s">
        <v>125</v>
      </c>
      <c r="C77" s="17">
        <v>0</v>
      </c>
      <c r="E77" s="17">
        <v>0</v>
      </c>
      <c r="G77" s="17">
        <v>0</v>
      </c>
      <c r="I77" s="17">
        <v>0</v>
      </c>
      <c r="K77" s="18">
        <v>0</v>
      </c>
      <c r="L77" s="15"/>
      <c r="M77" s="17">
        <v>0</v>
      </c>
      <c r="O77" s="17">
        <v>0</v>
      </c>
      <c r="Q77" s="17">
        <v>1102917532</v>
      </c>
      <c r="S77" s="17">
        <v>1102917532</v>
      </c>
      <c r="U77" s="18">
        <v>6.4081195611029283E-3</v>
      </c>
    </row>
    <row r="78" spans="1:21" ht="21" x14ac:dyDescent="0.55000000000000004">
      <c r="A78" s="16" t="s">
        <v>124</v>
      </c>
      <c r="C78" s="17">
        <v>0</v>
      </c>
      <c r="E78" s="17">
        <v>0</v>
      </c>
      <c r="G78" s="17">
        <v>0</v>
      </c>
      <c r="I78" s="17">
        <v>0</v>
      </c>
      <c r="K78" s="18">
        <v>0</v>
      </c>
      <c r="L78" s="15"/>
      <c r="M78" s="17">
        <v>262500000</v>
      </c>
      <c r="O78" s="17">
        <v>0</v>
      </c>
      <c r="Q78" s="17">
        <v>808314250</v>
      </c>
      <c r="S78" s="17">
        <v>1070814250</v>
      </c>
      <c r="U78" s="18">
        <v>6.2215945822255382E-3</v>
      </c>
    </row>
    <row r="79" spans="1:21" ht="21" x14ac:dyDescent="0.55000000000000004">
      <c r="A79" s="16" t="s">
        <v>123</v>
      </c>
      <c r="C79" s="17">
        <v>0</v>
      </c>
      <c r="E79" s="17">
        <v>0</v>
      </c>
      <c r="G79" s="17">
        <v>0</v>
      </c>
      <c r="I79" s="17">
        <v>0</v>
      </c>
      <c r="K79" s="18">
        <v>0</v>
      </c>
      <c r="L79" s="15"/>
      <c r="M79" s="17">
        <v>0</v>
      </c>
      <c r="O79" s="17">
        <v>0</v>
      </c>
      <c r="Q79" s="17">
        <v>2697705400</v>
      </c>
      <c r="S79" s="17">
        <v>2697705400</v>
      </c>
      <c r="U79" s="18">
        <v>1.5674081009923596E-2</v>
      </c>
    </row>
    <row r="80" spans="1:21" ht="21" x14ac:dyDescent="0.55000000000000004">
      <c r="A80" s="16" t="s">
        <v>122</v>
      </c>
      <c r="C80" s="17">
        <v>0</v>
      </c>
      <c r="E80" s="17">
        <v>0</v>
      </c>
      <c r="G80" s="17">
        <v>0</v>
      </c>
      <c r="I80" s="17">
        <v>0</v>
      </c>
      <c r="K80" s="18">
        <v>0</v>
      </c>
      <c r="L80" s="15"/>
      <c r="M80" s="17">
        <v>420000000</v>
      </c>
      <c r="O80" s="17">
        <v>0</v>
      </c>
      <c r="Q80" s="17">
        <v>-1983363651</v>
      </c>
      <c r="S80" s="17">
        <v>-1563363651</v>
      </c>
      <c r="U80" s="18">
        <v>-9.0833819414617763E-3</v>
      </c>
    </row>
    <row r="81" spans="1:21" ht="21" x14ac:dyDescent="0.55000000000000004">
      <c r="A81" s="16" t="s">
        <v>121</v>
      </c>
      <c r="C81" s="17">
        <v>0</v>
      </c>
      <c r="E81" s="17">
        <v>0</v>
      </c>
      <c r="G81" s="17">
        <v>0</v>
      </c>
      <c r="I81" s="17">
        <v>0</v>
      </c>
      <c r="K81" s="18">
        <v>0</v>
      </c>
      <c r="L81" s="15"/>
      <c r="M81" s="17">
        <v>1839860000</v>
      </c>
      <c r="O81" s="17">
        <v>0</v>
      </c>
      <c r="Q81" s="17">
        <v>-2090606228</v>
      </c>
      <c r="S81" s="17">
        <v>-250746228</v>
      </c>
      <c r="U81" s="18">
        <v>-1.4568739383495218E-3</v>
      </c>
    </row>
    <row r="82" spans="1:21" ht="21" x14ac:dyDescent="0.55000000000000004">
      <c r="A82" s="16" t="s">
        <v>120</v>
      </c>
      <c r="C82" s="17">
        <v>0</v>
      </c>
      <c r="E82" s="17">
        <v>0</v>
      </c>
      <c r="G82" s="17">
        <v>0</v>
      </c>
      <c r="I82" s="17">
        <v>0</v>
      </c>
      <c r="K82" s="18">
        <v>0</v>
      </c>
      <c r="L82" s="15"/>
      <c r="M82" s="17">
        <v>1865500000</v>
      </c>
      <c r="O82" s="17">
        <v>0</v>
      </c>
      <c r="Q82" s="17">
        <v>433500928</v>
      </c>
      <c r="S82" s="17">
        <v>2299000928</v>
      </c>
      <c r="U82" s="18">
        <v>1.3357547042520478E-2</v>
      </c>
    </row>
    <row r="83" spans="1:21" ht="21" x14ac:dyDescent="0.55000000000000004">
      <c r="A83" s="16" t="s">
        <v>119</v>
      </c>
      <c r="C83" s="17">
        <v>0</v>
      </c>
      <c r="E83" s="17">
        <v>0</v>
      </c>
      <c r="G83" s="17">
        <v>0</v>
      </c>
      <c r="I83" s="17">
        <v>0</v>
      </c>
      <c r="K83" s="18">
        <v>0</v>
      </c>
      <c r="L83" s="15"/>
      <c r="M83" s="17">
        <v>0</v>
      </c>
      <c r="O83" s="17">
        <v>0</v>
      </c>
      <c r="Q83" s="17">
        <v>-2496132153</v>
      </c>
      <c r="S83" s="17">
        <v>-2496132153</v>
      </c>
      <c r="U83" s="18">
        <v>-1.4502909612590388E-2</v>
      </c>
    </row>
    <row r="84" spans="1:21" ht="21" x14ac:dyDescent="0.55000000000000004">
      <c r="A84" s="16" t="s">
        <v>118</v>
      </c>
      <c r="C84" s="17">
        <v>0</v>
      </c>
      <c r="E84" s="17">
        <v>0</v>
      </c>
      <c r="G84" s="17">
        <v>0</v>
      </c>
      <c r="I84" s="17">
        <v>0</v>
      </c>
      <c r="K84" s="18">
        <v>0</v>
      </c>
      <c r="L84" s="15"/>
      <c r="M84" s="17">
        <v>0</v>
      </c>
      <c r="O84" s="17">
        <v>0</v>
      </c>
      <c r="Q84" s="17">
        <v>1118081095</v>
      </c>
      <c r="S84" s="17">
        <v>1118081095</v>
      </c>
      <c r="U84" s="18">
        <v>6.4962221815228899E-3</v>
      </c>
    </row>
    <row r="85" spans="1:21" ht="21" x14ac:dyDescent="0.55000000000000004">
      <c r="A85" s="16" t="s">
        <v>117</v>
      </c>
      <c r="C85" s="17">
        <v>0</v>
      </c>
      <c r="E85" s="17">
        <v>0</v>
      </c>
      <c r="G85" s="17">
        <v>0</v>
      </c>
      <c r="I85" s="17">
        <v>0</v>
      </c>
      <c r="K85" s="18">
        <v>0</v>
      </c>
      <c r="L85" s="15"/>
      <c r="M85" s="17">
        <v>0</v>
      </c>
      <c r="O85" s="17">
        <v>0</v>
      </c>
      <c r="Q85" s="17">
        <v>-1517070806</v>
      </c>
      <c r="S85" s="17">
        <v>-1517070806</v>
      </c>
      <c r="U85" s="18">
        <v>-8.8144134311456263E-3</v>
      </c>
    </row>
    <row r="86" spans="1:21" ht="21.75" thickBot="1" x14ac:dyDescent="0.6">
      <c r="A86" s="19" t="s">
        <v>9</v>
      </c>
      <c r="C86" s="19">
        <f>SUM(C9:$C$85)</f>
        <v>434000000</v>
      </c>
      <c r="E86" s="19">
        <f>SUM(E9:$E$85)</f>
        <v>153083486986</v>
      </c>
      <c r="G86" s="19">
        <f>SUM(G9:$G$85)</f>
        <v>-108924160</v>
      </c>
      <c r="I86" s="19">
        <f>SUM(I9:$I$85)</f>
        <v>153408562826</v>
      </c>
      <c r="K86" s="20">
        <f>SUM(K9:$K$85)</f>
        <v>0.99347498891851893</v>
      </c>
      <c r="M86" s="19">
        <f>SUM(M9:$M$85)</f>
        <v>70907138775</v>
      </c>
      <c r="O86" s="19">
        <f>SUM(O9:$O$85)</f>
        <v>87608397608</v>
      </c>
      <c r="Q86" s="19">
        <f>SUM(Q9:$Q$85)</f>
        <v>-24739575357</v>
      </c>
      <c r="S86" s="19">
        <f>SUM(S9:$S$85)</f>
        <v>133775961026</v>
      </c>
      <c r="U86" s="20">
        <f>SUM(U9:$U$85)</f>
        <v>0.77725879567943423</v>
      </c>
    </row>
    <row r="87" spans="1:21" ht="21.75" thickTop="1" x14ac:dyDescent="0.55000000000000004">
      <c r="C87" s="21"/>
      <c r="E87" s="21"/>
      <c r="G87" s="21"/>
      <c r="I87" s="21"/>
      <c r="K87" s="21"/>
      <c r="M87" s="21"/>
      <c r="O87" s="21"/>
      <c r="Q87" s="21"/>
      <c r="S87" s="21"/>
      <c r="U87" s="21"/>
    </row>
    <row r="88" spans="1:21" x14ac:dyDescent="0.55000000000000004">
      <c r="G88" s="22"/>
      <c r="Q88" s="22"/>
    </row>
    <row r="89" spans="1:21" x14ac:dyDescent="0.55000000000000004">
      <c r="G89" s="22"/>
      <c r="Q89" s="22"/>
    </row>
    <row r="90" spans="1:21" x14ac:dyDescent="0.55000000000000004">
      <c r="G90" s="22"/>
      <c r="Q90" s="22"/>
    </row>
    <row r="91" spans="1:21" x14ac:dyDescent="0.55000000000000004">
      <c r="G91" s="23"/>
      <c r="Q91" s="22"/>
    </row>
    <row r="92" spans="1:21" x14ac:dyDescent="0.55000000000000004">
      <c r="Q92" s="22"/>
    </row>
    <row r="93" spans="1:21" x14ac:dyDescent="0.55000000000000004">
      <c r="Q93" s="23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67D2-9D84-46FE-B2DB-7F51C167790B}">
  <sheetPr>
    <pageSetUpPr fitToPage="1"/>
  </sheetPr>
  <dimension ref="A1:Q143"/>
  <sheetViews>
    <sheetView rightToLeft="1" view="pageBreakPreview" topLeftCell="A137" zoomScale="70" zoomScaleNormal="82" zoomScaleSheetLayoutView="70" workbookViewId="0">
      <selection activeCell="T1" sqref="T1:U1048576"/>
    </sheetView>
  </sheetViews>
  <sheetFormatPr defaultColWidth="8.85546875" defaultRowHeight="19.5" x14ac:dyDescent="0.55000000000000004"/>
  <cols>
    <col min="1" max="1" width="43.28515625" style="1" customWidth="1"/>
    <col min="2" max="2" width="1.42578125" style="1" customWidth="1"/>
    <col min="3" max="3" width="17" style="1" customWidth="1"/>
    <col min="4" max="4" width="1.42578125" style="1" customWidth="1"/>
    <col min="5" max="5" width="17" style="1" customWidth="1"/>
    <col min="6" max="6" width="1.42578125" style="1" customWidth="1"/>
    <col min="7" max="7" width="17" style="1" customWidth="1"/>
    <col min="8" max="8" width="1.42578125" style="1" customWidth="1"/>
    <col min="9" max="9" width="10.5703125" style="1" customWidth="1"/>
    <col min="10" max="10" width="1.42578125" style="1" customWidth="1"/>
    <col min="11" max="11" width="17" style="1" customWidth="1"/>
    <col min="12" max="12" width="1.42578125" style="1" customWidth="1"/>
    <col min="13" max="13" width="17" style="1" customWidth="1"/>
    <col min="14" max="14" width="1.42578125" style="1" customWidth="1"/>
    <col min="15" max="15" width="17" style="1" customWidth="1"/>
    <col min="16" max="16" width="1.42578125" style="1" customWidth="1"/>
    <col min="17" max="17" width="10.5703125" style="1" customWidth="1"/>
    <col min="18" max="16384" width="8.85546875" style="1"/>
  </cols>
  <sheetData>
    <row r="1" spans="1:17" ht="19.899999999999999" customHeight="1" x14ac:dyDescent="0.55000000000000004">
      <c r="A1" s="90" t="s">
        <v>179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pans="1:17" ht="19.899999999999999" customHeight="1" x14ac:dyDescent="0.55000000000000004">
      <c r="A2" s="90" t="s">
        <v>23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17" ht="19.899999999999999" customHeight="1" x14ac:dyDescent="0.55000000000000004">
      <c r="A3" s="9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5" spans="1:17" ht="21" x14ac:dyDescent="0.55000000000000004">
      <c r="A5" s="91" t="s">
        <v>180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</row>
    <row r="7" spans="1:17" ht="21" x14ac:dyDescent="0.55000000000000004">
      <c r="C7" s="98" t="s">
        <v>58</v>
      </c>
      <c r="D7" s="98"/>
      <c r="E7" s="98"/>
      <c r="F7" s="98"/>
      <c r="G7" s="98"/>
      <c r="H7" s="98"/>
      <c r="I7" s="98"/>
      <c r="K7" s="98" t="s">
        <v>59</v>
      </c>
      <c r="L7" s="98"/>
      <c r="M7" s="98"/>
      <c r="N7" s="98"/>
      <c r="O7" s="98"/>
      <c r="P7" s="98"/>
      <c r="Q7" s="98"/>
    </row>
    <row r="8" spans="1:17" ht="63" x14ac:dyDescent="0.55000000000000004">
      <c r="A8" s="12" t="s">
        <v>181</v>
      </c>
      <c r="C8" s="13" t="s">
        <v>41</v>
      </c>
      <c r="E8" s="13" t="s">
        <v>42</v>
      </c>
      <c r="G8" s="13" t="s">
        <v>175</v>
      </c>
      <c r="I8" s="13" t="s">
        <v>174</v>
      </c>
      <c r="K8" s="13" t="s">
        <v>41</v>
      </c>
      <c r="M8" s="13" t="s">
        <v>42</v>
      </c>
      <c r="O8" s="13" t="s">
        <v>175</v>
      </c>
      <c r="Q8" s="13" t="s">
        <v>174</v>
      </c>
    </row>
    <row r="9" spans="1:17" ht="21" x14ac:dyDescent="0.55000000000000004">
      <c r="A9" s="16" t="s">
        <v>182</v>
      </c>
      <c r="C9" s="17">
        <v>0</v>
      </c>
      <c r="E9" s="17">
        <v>0</v>
      </c>
      <c r="G9" s="17">
        <f>E9+C9</f>
        <v>0</v>
      </c>
      <c r="I9" s="18">
        <v>0</v>
      </c>
      <c r="K9" s="17">
        <v>0</v>
      </c>
      <c r="M9" s="17">
        <v>39994850</v>
      </c>
      <c r="O9" s="17">
        <f>M9+K9</f>
        <v>39994850</v>
      </c>
      <c r="Q9" s="18">
        <v>2.323761960367291E-4</v>
      </c>
    </row>
    <row r="10" spans="1:17" ht="21" x14ac:dyDescent="0.55000000000000004">
      <c r="A10" s="16" t="s">
        <v>183</v>
      </c>
      <c r="C10" s="17">
        <v>0</v>
      </c>
      <c r="E10" s="17">
        <v>0</v>
      </c>
      <c r="G10" s="17">
        <f t="shared" ref="G10:G73" si="0">E10+C10</f>
        <v>0</v>
      </c>
      <c r="I10" s="18">
        <v>0</v>
      </c>
      <c r="K10" s="17">
        <v>3399125</v>
      </c>
      <c r="M10" s="17">
        <v>165978980</v>
      </c>
      <c r="O10" s="17">
        <f t="shared" ref="O10:O73" si="1">M10+K10</f>
        <v>169378105</v>
      </c>
      <c r="Q10" s="18">
        <v>9.8411269780508464E-4</v>
      </c>
    </row>
    <row r="11" spans="1:17" ht="21" x14ac:dyDescent="0.55000000000000004">
      <c r="A11" s="16" t="s">
        <v>184</v>
      </c>
      <c r="C11" s="17">
        <v>0</v>
      </c>
      <c r="E11" s="17">
        <v>0</v>
      </c>
      <c r="G11" s="17">
        <f t="shared" si="0"/>
        <v>0</v>
      </c>
      <c r="I11" s="18">
        <v>0</v>
      </c>
      <c r="K11" s="17">
        <v>6998198</v>
      </c>
      <c r="M11" s="17">
        <v>153286869</v>
      </c>
      <c r="O11" s="17">
        <f t="shared" si="1"/>
        <v>160285067</v>
      </c>
      <c r="Q11" s="18">
        <v>9.3128075617116349E-4</v>
      </c>
    </row>
    <row r="12" spans="1:17" ht="21" x14ac:dyDescent="0.55000000000000004">
      <c r="A12" s="16" t="s">
        <v>185</v>
      </c>
      <c r="C12" s="17">
        <v>0</v>
      </c>
      <c r="E12" s="17">
        <v>0</v>
      </c>
      <c r="G12" s="17">
        <f t="shared" si="0"/>
        <v>0</v>
      </c>
      <c r="I12" s="18">
        <v>0</v>
      </c>
      <c r="K12" s="17">
        <v>0</v>
      </c>
      <c r="M12" s="17">
        <v>2571000</v>
      </c>
      <c r="O12" s="17">
        <f t="shared" si="1"/>
        <v>2571000</v>
      </c>
      <c r="Q12" s="18">
        <v>1.4937903255304885E-5</v>
      </c>
    </row>
    <row r="13" spans="1:17" ht="21" x14ac:dyDescent="0.55000000000000004">
      <c r="A13" s="16" t="s">
        <v>186</v>
      </c>
      <c r="C13" s="17">
        <v>0</v>
      </c>
      <c r="E13" s="17">
        <v>0</v>
      </c>
      <c r="G13" s="17">
        <f t="shared" si="0"/>
        <v>0</v>
      </c>
      <c r="I13" s="18">
        <v>0</v>
      </c>
      <c r="K13" s="17">
        <v>-449884125</v>
      </c>
      <c r="M13" s="17">
        <v>643341293</v>
      </c>
      <c r="O13" s="17">
        <f t="shared" si="1"/>
        <v>193457168</v>
      </c>
      <c r="Q13" s="18">
        <v>1.1240157369230897E-3</v>
      </c>
    </row>
    <row r="14" spans="1:17" ht="21" x14ac:dyDescent="0.55000000000000004">
      <c r="A14" s="16" t="s">
        <v>187</v>
      </c>
      <c r="C14" s="17">
        <v>0</v>
      </c>
      <c r="E14" s="17">
        <v>0</v>
      </c>
      <c r="G14" s="17">
        <f t="shared" si="0"/>
        <v>0</v>
      </c>
      <c r="I14" s="18">
        <v>0</v>
      </c>
      <c r="K14" s="17">
        <v>-132110973</v>
      </c>
      <c r="M14" s="17">
        <v>-987077134</v>
      </c>
      <c r="O14" s="17">
        <f t="shared" si="1"/>
        <v>-1119188107</v>
      </c>
      <c r="Q14" s="18">
        <v>-6.502654090569355E-3</v>
      </c>
    </row>
    <row r="15" spans="1:17" ht="21" x14ac:dyDescent="0.55000000000000004">
      <c r="A15" s="16" t="s">
        <v>188</v>
      </c>
      <c r="C15" s="17">
        <v>0</v>
      </c>
      <c r="E15" s="17">
        <v>0</v>
      </c>
      <c r="G15" s="17">
        <f t="shared" si="0"/>
        <v>0</v>
      </c>
      <c r="I15" s="18">
        <v>0</v>
      </c>
      <c r="K15" s="17">
        <v>18005293</v>
      </c>
      <c r="M15" s="17">
        <v>17872710</v>
      </c>
      <c r="O15" s="17">
        <f t="shared" si="1"/>
        <v>35878003</v>
      </c>
      <c r="Q15" s="18">
        <v>2.0845668526158631E-4</v>
      </c>
    </row>
    <row r="16" spans="1:17" ht="21" x14ac:dyDescent="0.55000000000000004">
      <c r="A16" s="16" t="s">
        <v>189</v>
      </c>
      <c r="C16" s="17">
        <v>0</v>
      </c>
      <c r="E16" s="17">
        <v>0</v>
      </c>
      <c r="G16" s="17">
        <f t="shared" si="0"/>
        <v>0</v>
      </c>
      <c r="I16" s="18">
        <v>0</v>
      </c>
      <c r="K16" s="17">
        <v>2998</v>
      </c>
      <c r="M16" s="17">
        <v>-2600103280</v>
      </c>
      <c r="O16" s="17">
        <f t="shared" si="1"/>
        <v>-2600100282</v>
      </c>
      <c r="Q16" s="18">
        <v>-1.5106980344849065E-2</v>
      </c>
    </row>
    <row r="17" spans="1:17" ht="21" x14ac:dyDescent="0.55000000000000004">
      <c r="A17" s="16" t="s">
        <v>190</v>
      </c>
      <c r="C17" s="17">
        <v>0</v>
      </c>
      <c r="E17" s="17">
        <v>0</v>
      </c>
      <c r="G17" s="17">
        <f t="shared" si="0"/>
        <v>0</v>
      </c>
      <c r="I17" s="18">
        <v>0</v>
      </c>
      <c r="K17" s="17">
        <v>0</v>
      </c>
      <c r="M17" s="17">
        <v>4000935</v>
      </c>
      <c r="O17" s="17">
        <f t="shared" si="1"/>
        <v>4000935</v>
      </c>
      <c r="Q17" s="18">
        <v>2.3246044325462172E-5</v>
      </c>
    </row>
    <row r="18" spans="1:17" ht="21" x14ac:dyDescent="0.55000000000000004">
      <c r="A18" s="16" t="s">
        <v>191</v>
      </c>
      <c r="C18" s="17">
        <v>-125016738</v>
      </c>
      <c r="E18" s="17">
        <v>-475171214</v>
      </c>
      <c r="G18" s="17">
        <f t="shared" si="0"/>
        <v>-600187952</v>
      </c>
      <c r="I18" s="18">
        <v>-3.886821621805659E-3</v>
      </c>
      <c r="K18" s="17">
        <v>-119969100</v>
      </c>
      <c r="M18" s="17">
        <v>-475171214</v>
      </c>
      <c r="O18" s="17">
        <f t="shared" si="1"/>
        <v>-595140314</v>
      </c>
      <c r="Q18" s="18">
        <v>-3.4578562558785571E-3</v>
      </c>
    </row>
    <row r="19" spans="1:17" ht="21" x14ac:dyDescent="0.55000000000000004">
      <c r="A19" s="16" t="s">
        <v>304</v>
      </c>
      <c r="C19" s="17">
        <v>-12836875</v>
      </c>
      <c r="E19" s="17">
        <v>0</v>
      </c>
      <c r="G19" s="17">
        <f t="shared" si="0"/>
        <v>-12836875</v>
      </c>
      <c r="I19" s="18">
        <v>-8.3131697562660372E-5</v>
      </c>
      <c r="K19" s="17">
        <v>-12836875</v>
      </c>
      <c r="M19" s="17">
        <v>0</v>
      </c>
      <c r="O19" s="17">
        <f t="shared" si="1"/>
        <v>-12836875</v>
      </c>
      <c r="Q19" s="18">
        <v>-7.4584207254158649E-5</v>
      </c>
    </row>
    <row r="20" spans="1:17" ht="21" x14ac:dyDescent="0.55000000000000004">
      <c r="A20" s="16" t="s">
        <v>192</v>
      </c>
      <c r="C20" s="17">
        <v>0</v>
      </c>
      <c r="E20" s="17">
        <v>0</v>
      </c>
      <c r="G20" s="17">
        <f t="shared" si="0"/>
        <v>0</v>
      </c>
      <c r="I20" s="18">
        <v>0</v>
      </c>
      <c r="K20" s="17">
        <v>552857603</v>
      </c>
      <c r="M20" s="17">
        <v>652987649</v>
      </c>
      <c r="O20" s="17">
        <f t="shared" si="1"/>
        <v>1205845252</v>
      </c>
      <c r="Q20" s="18">
        <v>7.006145357932609E-3</v>
      </c>
    </row>
    <row r="21" spans="1:17" ht="21" x14ac:dyDescent="0.55000000000000004">
      <c r="A21" s="16" t="s">
        <v>193</v>
      </c>
      <c r="C21" s="17">
        <v>0</v>
      </c>
      <c r="E21" s="17">
        <v>0</v>
      </c>
      <c r="G21" s="17">
        <f t="shared" si="0"/>
        <v>0</v>
      </c>
      <c r="I21" s="18">
        <v>0</v>
      </c>
      <c r="K21" s="17">
        <v>36052714</v>
      </c>
      <c r="M21" s="17">
        <v>-143352748</v>
      </c>
      <c r="O21" s="17">
        <f t="shared" si="1"/>
        <v>-107300034</v>
      </c>
      <c r="Q21" s="18">
        <v>-6.2342960995057355E-4</v>
      </c>
    </row>
    <row r="22" spans="1:17" ht="21" x14ac:dyDescent="0.55000000000000004">
      <c r="A22" s="16" t="s">
        <v>194</v>
      </c>
      <c r="C22" s="17">
        <v>-515</v>
      </c>
      <c r="E22" s="17">
        <v>2000000</v>
      </c>
      <c r="G22" s="17">
        <f t="shared" si="0"/>
        <v>1999485</v>
      </c>
      <c r="I22" s="18">
        <v>1.2948679667058842E-5</v>
      </c>
      <c r="K22" s="17">
        <v>0</v>
      </c>
      <c r="M22" s="17">
        <v>45634580</v>
      </c>
      <c r="O22" s="17">
        <f t="shared" si="1"/>
        <v>45634580</v>
      </c>
      <c r="Q22" s="18">
        <v>2.6514388997917978E-4</v>
      </c>
    </row>
    <row r="23" spans="1:17" ht="21" x14ac:dyDescent="0.55000000000000004">
      <c r="A23" s="16" t="s">
        <v>195</v>
      </c>
      <c r="C23" s="17">
        <v>-19042745</v>
      </c>
      <c r="E23" s="17">
        <v>-638211828</v>
      </c>
      <c r="G23" s="17">
        <f t="shared" si="0"/>
        <v>-657254573</v>
      </c>
      <c r="I23" s="18">
        <v>-4.2563854820048871E-3</v>
      </c>
      <c r="K23" s="17">
        <v>-13996395</v>
      </c>
      <c r="M23" s="17">
        <v>-599419268</v>
      </c>
      <c r="O23" s="17">
        <f t="shared" si="1"/>
        <v>-613415663</v>
      </c>
      <c r="Q23" s="18">
        <v>-3.564038828931429E-3</v>
      </c>
    </row>
    <row r="24" spans="1:17" ht="21" x14ac:dyDescent="0.55000000000000004">
      <c r="A24" s="16" t="s">
        <v>196</v>
      </c>
      <c r="C24" s="17">
        <v>0</v>
      </c>
      <c r="E24" s="17">
        <v>0</v>
      </c>
      <c r="G24" s="17">
        <f t="shared" si="0"/>
        <v>0</v>
      </c>
      <c r="I24" s="18">
        <v>0</v>
      </c>
      <c r="K24" s="17">
        <v>-3898996</v>
      </c>
      <c r="M24" s="17">
        <v>330679973</v>
      </c>
      <c r="O24" s="17">
        <f t="shared" si="1"/>
        <v>326780977</v>
      </c>
      <c r="Q24" s="18">
        <v>1.8986474601711436E-3</v>
      </c>
    </row>
    <row r="25" spans="1:17" ht="21" x14ac:dyDescent="0.55000000000000004">
      <c r="A25" s="16" t="s">
        <v>197</v>
      </c>
      <c r="C25" s="17">
        <v>0</v>
      </c>
      <c r="E25" s="17">
        <v>0</v>
      </c>
      <c r="G25" s="17">
        <f t="shared" si="0"/>
        <v>0</v>
      </c>
      <c r="I25" s="18">
        <v>0</v>
      </c>
      <c r="K25" s="17">
        <v>0</v>
      </c>
      <c r="M25" s="17">
        <v>152611430</v>
      </c>
      <c r="O25" s="17">
        <f t="shared" si="1"/>
        <v>152611430</v>
      </c>
      <c r="Q25" s="18">
        <v>8.8669575145613902E-4</v>
      </c>
    </row>
    <row r="26" spans="1:17" ht="21" x14ac:dyDescent="0.55000000000000004">
      <c r="A26" s="16" t="s">
        <v>301</v>
      </c>
      <c r="C26" s="17">
        <v>51165200</v>
      </c>
      <c r="E26" s="17">
        <v>0</v>
      </c>
      <c r="G26" s="17">
        <f t="shared" si="0"/>
        <v>51165200</v>
      </c>
      <c r="I26" s="18">
        <v>3.3134621410063045E-4</v>
      </c>
      <c r="K26" s="17">
        <v>51165200</v>
      </c>
      <c r="M26" s="17">
        <v>0</v>
      </c>
      <c r="O26" s="17">
        <f t="shared" si="1"/>
        <v>51165200</v>
      </c>
      <c r="Q26" s="18">
        <v>2.9727763813237087E-4</v>
      </c>
    </row>
    <row r="27" spans="1:17" ht="21" x14ac:dyDescent="0.55000000000000004">
      <c r="A27" s="16" t="s">
        <v>198</v>
      </c>
      <c r="C27" s="17">
        <v>0</v>
      </c>
      <c r="E27" s="17">
        <v>0</v>
      </c>
      <c r="G27" s="17">
        <f t="shared" si="0"/>
        <v>0</v>
      </c>
      <c r="I27" s="18">
        <v>0</v>
      </c>
      <c r="K27" s="17">
        <v>-111971160</v>
      </c>
      <c r="M27" s="17">
        <v>486645713</v>
      </c>
      <c r="O27" s="17">
        <f t="shared" si="1"/>
        <v>374674553</v>
      </c>
      <c r="Q27" s="18">
        <v>2.1769164624420856E-3</v>
      </c>
    </row>
    <row r="28" spans="1:17" ht="21" x14ac:dyDescent="0.55000000000000004">
      <c r="A28" s="16" t="s">
        <v>199</v>
      </c>
      <c r="C28" s="17">
        <v>0</v>
      </c>
      <c r="E28" s="17">
        <v>0</v>
      </c>
      <c r="G28" s="17">
        <f t="shared" si="0"/>
        <v>0</v>
      </c>
      <c r="I28" s="18">
        <v>0</v>
      </c>
      <c r="K28" s="17">
        <v>0</v>
      </c>
      <c r="M28" s="17">
        <v>28953636</v>
      </c>
      <c r="O28" s="17">
        <f t="shared" si="1"/>
        <v>28953636</v>
      </c>
      <c r="Q28" s="18">
        <v>1.6822505385348608E-4</v>
      </c>
    </row>
    <row r="29" spans="1:17" ht="21" x14ac:dyDescent="0.55000000000000004">
      <c r="A29" s="16" t="s">
        <v>200</v>
      </c>
      <c r="C29" s="17">
        <v>0</v>
      </c>
      <c r="E29" s="17">
        <v>0</v>
      </c>
      <c r="G29" s="17">
        <f t="shared" si="0"/>
        <v>0</v>
      </c>
      <c r="I29" s="18">
        <v>0</v>
      </c>
      <c r="K29" s="17">
        <v>336473735</v>
      </c>
      <c r="M29" s="17">
        <v>450982632</v>
      </c>
      <c r="O29" s="17">
        <f t="shared" si="1"/>
        <v>787456367</v>
      </c>
      <c r="Q29" s="18">
        <v>4.5752419401088517E-3</v>
      </c>
    </row>
    <row r="30" spans="1:17" ht="21" x14ac:dyDescent="0.55000000000000004">
      <c r="A30" s="16" t="s">
        <v>201</v>
      </c>
      <c r="C30" s="17">
        <v>0</v>
      </c>
      <c r="E30" s="17">
        <v>0</v>
      </c>
      <c r="G30" s="17">
        <f t="shared" si="0"/>
        <v>0</v>
      </c>
      <c r="I30" s="18">
        <v>0</v>
      </c>
      <c r="K30" s="17">
        <v>169936230</v>
      </c>
      <c r="M30" s="17">
        <v>815842743</v>
      </c>
      <c r="O30" s="17">
        <f t="shared" si="1"/>
        <v>985778973</v>
      </c>
      <c r="Q30" s="18">
        <v>5.72752661602015E-3</v>
      </c>
    </row>
    <row r="31" spans="1:17" ht="21" x14ac:dyDescent="0.55000000000000004">
      <c r="A31" s="16" t="s">
        <v>202</v>
      </c>
      <c r="C31" s="17">
        <v>0</v>
      </c>
      <c r="E31" s="17">
        <v>0</v>
      </c>
      <c r="G31" s="17">
        <f t="shared" si="0"/>
        <v>0</v>
      </c>
      <c r="I31" s="18">
        <v>0</v>
      </c>
      <c r="K31" s="17">
        <v>0</v>
      </c>
      <c r="M31" s="17">
        <v>91444000</v>
      </c>
      <c r="O31" s="17">
        <f t="shared" si="1"/>
        <v>91444000</v>
      </c>
      <c r="Q31" s="18">
        <v>5.3130362710155569E-4</v>
      </c>
    </row>
    <row r="32" spans="1:17" ht="21" x14ac:dyDescent="0.55000000000000004">
      <c r="A32" s="16" t="s">
        <v>295</v>
      </c>
      <c r="C32" s="17">
        <v>-34060280</v>
      </c>
      <c r="E32" s="17">
        <v>0</v>
      </c>
      <c r="G32" s="17">
        <f t="shared" si="0"/>
        <v>-34060280</v>
      </c>
      <c r="I32" s="18">
        <v>-2.205746255112346E-4</v>
      </c>
      <c r="K32" s="17">
        <v>-34060280</v>
      </c>
      <c r="M32" s="17">
        <v>0</v>
      </c>
      <c r="O32" s="17">
        <f t="shared" si="1"/>
        <v>-34060280</v>
      </c>
      <c r="Q32" s="18">
        <v>-1.9789543659610884E-4</v>
      </c>
    </row>
    <row r="33" spans="1:17" ht="21" x14ac:dyDescent="0.55000000000000004">
      <c r="A33" s="16" t="s">
        <v>203</v>
      </c>
      <c r="C33" s="17">
        <v>0</v>
      </c>
      <c r="E33" s="17">
        <v>0</v>
      </c>
      <c r="G33" s="17">
        <f t="shared" si="0"/>
        <v>0</v>
      </c>
      <c r="I33" s="18">
        <v>0</v>
      </c>
      <c r="K33" s="17">
        <v>29992</v>
      </c>
      <c r="M33" s="17">
        <v>836739081</v>
      </c>
      <c r="O33" s="17">
        <f t="shared" si="1"/>
        <v>836769073</v>
      </c>
      <c r="Q33" s="18">
        <v>4.8617563047472388E-3</v>
      </c>
    </row>
    <row r="34" spans="1:17" ht="21" x14ac:dyDescent="0.55000000000000004">
      <c r="A34" s="16" t="s">
        <v>204</v>
      </c>
      <c r="C34" s="17">
        <v>0</v>
      </c>
      <c r="E34" s="17">
        <v>0</v>
      </c>
      <c r="G34" s="17">
        <f t="shared" si="0"/>
        <v>0</v>
      </c>
      <c r="I34" s="18">
        <v>0</v>
      </c>
      <c r="K34" s="17">
        <v>26803097</v>
      </c>
      <c r="M34" s="17">
        <v>798978106</v>
      </c>
      <c r="O34" s="17">
        <f t="shared" si="1"/>
        <v>825781203</v>
      </c>
      <c r="Q34" s="18">
        <v>4.7979150993633932E-3</v>
      </c>
    </row>
    <row r="35" spans="1:17" ht="21" x14ac:dyDescent="0.55000000000000004">
      <c r="A35" s="16" t="s">
        <v>205</v>
      </c>
      <c r="C35" s="17">
        <v>0</v>
      </c>
      <c r="E35" s="17">
        <v>0</v>
      </c>
      <c r="G35" s="17">
        <f t="shared" si="0"/>
        <v>0</v>
      </c>
      <c r="I35" s="18">
        <v>0</v>
      </c>
      <c r="K35" s="17">
        <v>25493434</v>
      </c>
      <c r="M35" s="17">
        <v>416670792</v>
      </c>
      <c r="O35" s="17">
        <f t="shared" si="1"/>
        <v>442164226</v>
      </c>
      <c r="Q35" s="18">
        <v>2.5690417856650194E-3</v>
      </c>
    </row>
    <row r="36" spans="1:17" ht="21" x14ac:dyDescent="0.55000000000000004">
      <c r="A36" s="16" t="s">
        <v>206</v>
      </c>
      <c r="C36" s="17">
        <v>0</v>
      </c>
      <c r="E36" s="17">
        <v>0</v>
      </c>
      <c r="G36" s="17">
        <f t="shared" si="0"/>
        <v>0</v>
      </c>
      <c r="I36" s="18">
        <v>0</v>
      </c>
      <c r="K36" s="17">
        <v>0</v>
      </c>
      <c r="M36" s="17">
        <v>190746694</v>
      </c>
      <c r="O36" s="17">
        <f t="shared" si="1"/>
        <v>190746694</v>
      </c>
      <c r="Q36" s="18">
        <v>1.1082674683941052E-3</v>
      </c>
    </row>
    <row r="37" spans="1:17" ht="21" x14ac:dyDescent="0.55000000000000004">
      <c r="A37" s="16" t="s">
        <v>207</v>
      </c>
      <c r="C37" s="17">
        <v>0</v>
      </c>
      <c r="E37" s="17">
        <v>0</v>
      </c>
      <c r="G37" s="17">
        <f t="shared" si="0"/>
        <v>0</v>
      </c>
      <c r="I37" s="18">
        <v>0</v>
      </c>
      <c r="K37" s="17">
        <v>22627552</v>
      </c>
      <c r="M37" s="17">
        <v>65085425</v>
      </c>
      <c r="O37" s="17">
        <f t="shared" si="1"/>
        <v>87712977</v>
      </c>
      <c r="Q37" s="18">
        <v>5.0962581278132335E-4</v>
      </c>
    </row>
    <row r="38" spans="1:17" ht="21" x14ac:dyDescent="0.55000000000000004">
      <c r="A38" s="16" t="s">
        <v>208</v>
      </c>
      <c r="C38" s="17">
        <v>0</v>
      </c>
      <c r="E38" s="17">
        <v>0</v>
      </c>
      <c r="G38" s="17">
        <f t="shared" si="0"/>
        <v>0</v>
      </c>
      <c r="I38" s="18">
        <v>0</v>
      </c>
      <c r="K38" s="17">
        <v>-22527198</v>
      </c>
      <c r="M38" s="17">
        <v>299720319</v>
      </c>
      <c r="O38" s="17">
        <f t="shared" si="1"/>
        <v>277193121</v>
      </c>
      <c r="Q38" s="18">
        <v>1.6105344319463325E-3</v>
      </c>
    </row>
    <row r="39" spans="1:17" ht="21" x14ac:dyDescent="0.55000000000000004">
      <c r="A39" s="16" t="s">
        <v>302</v>
      </c>
      <c r="C39" s="17">
        <v>-8772715</v>
      </c>
      <c r="E39" s="17">
        <v>0</v>
      </c>
      <c r="G39" s="17">
        <f t="shared" si="0"/>
        <v>-8772715</v>
      </c>
      <c r="I39" s="18">
        <v>-5.681216730578229E-5</v>
      </c>
      <c r="K39" s="17">
        <v>-8772715</v>
      </c>
      <c r="M39" s="17">
        <v>0</v>
      </c>
      <c r="O39" s="17">
        <f t="shared" si="1"/>
        <v>-8772715</v>
      </c>
      <c r="Q39" s="18">
        <v>-5.0970816007919867E-5</v>
      </c>
    </row>
    <row r="40" spans="1:17" ht="21" x14ac:dyDescent="0.55000000000000004">
      <c r="A40" s="16" t="s">
        <v>209</v>
      </c>
      <c r="C40" s="17">
        <v>0</v>
      </c>
      <c r="E40" s="17">
        <v>0</v>
      </c>
      <c r="G40" s="17">
        <f t="shared" si="0"/>
        <v>0</v>
      </c>
      <c r="I40" s="18">
        <v>0</v>
      </c>
      <c r="K40" s="17">
        <v>-79979</v>
      </c>
      <c r="M40" s="17">
        <v>2313123597</v>
      </c>
      <c r="O40" s="17">
        <f t="shared" si="1"/>
        <v>2313043618</v>
      </c>
      <c r="Q40" s="18">
        <v>1.3439137219363823E-2</v>
      </c>
    </row>
    <row r="41" spans="1:17" ht="21" x14ac:dyDescent="0.55000000000000004">
      <c r="A41" s="16" t="s">
        <v>210</v>
      </c>
      <c r="C41" s="17">
        <v>0</v>
      </c>
      <c r="E41" s="17">
        <v>0</v>
      </c>
      <c r="G41" s="17">
        <f t="shared" si="0"/>
        <v>0</v>
      </c>
      <c r="I41" s="18">
        <v>0</v>
      </c>
      <c r="K41" s="17">
        <v>0</v>
      </c>
      <c r="M41" s="17">
        <v>5000000</v>
      </c>
      <c r="O41" s="17">
        <f t="shared" si="1"/>
        <v>5000000</v>
      </c>
      <c r="Q41" s="18">
        <v>2.9050764790557925E-5</v>
      </c>
    </row>
    <row r="42" spans="1:17" ht="21" x14ac:dyDescent="0.55000000000000004">
      <c r="A42" s="16" t="s">
        <v>211</v>
      </c>
      <c r="C42" s="17">
        <v>0</v>
      </c>
      <c r="E42" s="17">
        <v>0</v>
      </c>
      <c r="G42" s="17">
        <f t="shared" si="0"/>
        <v>0</v>
      </c>
      <c r="I42" s="18">
        <v>0</v>
      </c>
      <c r="K42" s="17">
        <v>0</v>
      </c>
      <c r="M42" s="17">
        <v>34000000</v>
      </c>
      <c r="O42" s="17">
        <f t="shared" si="1"/>
        <v>34000000</v>
      </c>
      <c r="Q42" s="18">
        <v>1.9754520057579388E-4</v>
      </c>
    </row>
    <row r="43" spans="1:17" ht="21" x14ac:dyDescent="0.55000000000000004">
      <c r="A43" s="16" t="s">
        <v>212</v>
      </c>
      <c r="C43" s="17">
        <v>159953650</v>
      </c>
      <c r="E43" s="17">
        <v>20000000</v>
      </c>
      <c r="G43" s="17">
        <f t="shared" si="0"/>
        <v>179953650</v>
      </c>
      <c r="I43" s="18">
        <v>1.1653811700352958E-3</v>
      </c>
      <c r="K43" s="17">
        <v>164957513</v>
      </c>
      <c r="M43" s="17">
        <v>20000000</v>
      </c>
      <c r="O43" s="17">
        <f t="shared" si="1"/>
        <v>184957513</v>
      </c>
      <c r="Q43" s="18">
        <v>1.0746314412819118E-3</v>
      </c>
    </row>
    <row r="44" spans="1:17" ht="21" x14ac:dyDescent="0.55000000000000004">
      <c r="A44" s="16" t="s">
        <v>213</v>
      </c>
      <c r="C44" s="17">
        <v>0</v>
      </c>
      <c r="E44" s="17">
        <v>0</v>
      </c>
      <c r="G44" s="17">
        <f t="shared" si="0"/>
        <v>0</v>
      </c>
      <c r="I44" s="18">
        <v>0</v>
      </c>
      <c r="K44" s="17">
        <v>322177018</v>
      </c>
      <c r="M44" s="17">
        <v>2539867414</v>
      </c>
      <c r="O44" s="17">
        <f t="shared" si="1"/>
        <v>2862044432</v>
      </c>
      <c r="Q44" s="18">
        <v>1.662891592283159E-2</v>
      </c>
    </row>
    <row r="45" spans="1:17" ht="21" x14ac:dyDescent="0.55000000000000004">
      <c r="A45" s="16" t="s">
        <v>214</v>
      </c>
      <c r="C45" s="17">
        <v>0</v>
      </c>
      <c r="E45" s="17">
        <v>0</v>
      </c>
      <c r="G45" s="17">
        <f t="shared" si="0"/>
        <v>0</v>
      </c>
      <c r="I45" s="18">
        <v>0</v>
      </c>
      <c r="K45" s="17">
        <v>1811533</v>
      </c>
      <c r="M45" s="17">
        <v>-1633923532</v>
      </c>
      <c r="O45" s="17">
        <f t="shared" si="1"/>
        <v>-1632111999</v>
      </c>
      <c r="Q45" s="18">
        <v>-9.4828203589592611E-3</v>
      </c>
    </row>
    <row r="46" spans="1:17" ht="21" x14ac:dyDescent="0.55000000000000004">
      <c r="A46" s="16" t="s">
        <v>215</v>
      </c>
      <c r="C46" s="17">
        <v>0</v>
      </c>
      <c r="E46" s="17">
        <v>0</v>
      </c>
      <c r="G46" s="17">
        <f t="shared" si="0"/>
        <v>0</v>
      </c>
      <c r="I46" s="18">
        <v>0</v>
      </c>
      <c r="K46" s="17">
        <v>3927988</v>
      </c>
      <c r="M46" s="17">
        <v>37996928</v>
      </c>
      <c r="O46" s="17">
        <f t="shared" si="1"/>
        <v>41924916</v>
      </c>
      <c r="Q46" s="18">
        <v>2.4359017471597971E-4</v>
      </c>
    </row>
    <row r="47" spans="1:17" ht="21" x14ac:dyDescent="0.55000000000000004">
      <c r="A47" s="16" t="s">
        <v>297</v>
      </c>
      <c r="C47" s="17">
        <v>70631808</v>
      </c>
      <c r="E47" s="17">
        <v>64743265</v>
      </c>
      <c r="G47" s="17">
        <f t="shared" si="0"/>
        <v>135375073</v>
      </c>
      <c r="I47" s="18">
        <v>8.7668997525948249E-4</v>
      </c>
      <c r="K47" s="17">
        <v>70631808</v>
      </c>
      <c r="M47" s="17">
        <v>64743265</v>
      </c>
      <c r="O47" s="17">
        <f t="shared" si="1"/>
        <v>135375073</v>
      </c>
      <c r="Q47" s="18">
        <v>7.8654988084552173E-4</v>
      </c>
    </row>
    <row r="48" spans="1:17" ht="21" x14ac:dyDescent="0.55000000000000004">
      <c r="A48" s="16" t="s">
        <v>216</v>
      </c>
      <c r="C48" s="17">
        <v>0</v>
      </c>
      <c r="E48" s="17">
        <v>0</v>
      </c>
      <c r="G48" s="17">
        <f t="shared" si="0"/>
        <v>0</v>
      </c>
      <c r="I48" s="18">
        <v>0</v>
      </c>
      <c r="K48" s="17">
        <v>136568824</v>
      </c>
      <c r="M48" s="17">
        <v>288880900</v>
      </c>
      <c r="O48" s="17">
        <f t="shared" si="1"/>
        <v>425449724</v>
      </c>
      <c r="Q48" s="18">
        <v>2.4719279724263574E-3</v>
      </c>
    </row>
    <row r="49" spans="1:17" ht="21" x14ac:dyDescent="0.55000000000000004">
      <c r="A49" s="16" t="s">
        <v>217</v>
      </c>
      <c r="C49" s="17">
        <v>0</v>
      </c>
      <c r="E49" s="17">
        <v>0</v>
      </c>
      <c r="G49" s="17">
        <f t="shared" si="0"/>
        <v>0</v>
      </c>
      <c r="I49" s="18">
        <v>0</v>
      </c>
      <c r="K49" s="17">
        <v>-59984550</v>
      </c>
      <c r="M49" s="17">
        <v>64568918</v>
      </c>
      <c r="O49" s="17">
        <f t="shared" si="1"/>
        <v>4584368</v>
      </c>
      <c r="Q49" s="18">
        <v>2.663587929627209E-5</v>
      </c>
    </row>
    <row r="50" spans="1:17" ht="21" x14ac:dyDescent="0.55000000000000004">
      <c r="A50" s="16" t="s">
        <v>218</v>
      </c>
      <c r="C50" s="17">
        <v>0</v>
      </c>
      <c r="E50" s="17">
        <v>0</v>
      </c>
      <c r="G50" s="17">
        <f t="shared" si="0"/>
        <v>0</v>
      </c>
      <c r="I50" s="18">
        <v>0</v>
      </c>
      <c r="K50" s="17">
        <v>8135905</v>
      </c>
      <c r="M50" s="17">
        <v>76234671</v>
      </c>
      <c r="O50" s="17">
        <f t="shared" si="1"/>
        <v>84370576</v>
      </c>
      <c r="Q50" s="18">
        <v>4.9020595172397823E-4</v>
      </c>
    </row>
    <row r="51" spans="1:17" ht="21" x14ac:dyDescent="0.55000000000000004">
      <c r="A51" s="16" t="s">
        <v>219</v>
      </c>
      <c r="C51" s="17">
        <v>0</v>
      </c>
      <c r="E51" s="17">
        <v>0</v>
      </c>
      <c r="G51" s="17">
        <f t="shared" si="0"/>
        <v>0</v>
      </c>
      <c r="I51" s="18">
        <v>0</v>
      </c>
      <c r="K51" s="17">
        <v>3998970</v>
      </c>
      <c r="M51" s="17">
        <v>27996932</v>
      </c>
      <c r="O51" s="17">
        <f t="shared" si="1"/>
        <v>31995902</v>
      </c>
      <c r="Q51" s="18">
        <v>1.8590108465274836E-4</v>
      </c>
    </row>
    <row r="52" spans="1:17" ht="21" x14ac:dyDescent="0.55000000000000004">
      <c r="A52" s="16" t="s">
        <v>296</v>
      </c>
      <c r="C52" s="17">
        <v>20442024</v>
      </c>
      <c r="E52" s="17">
        <v>0</v>
      </c>
      <c r="G52" s="17">
        <f t="shared" si="0"/>
        <v>20442024</v>
      </c>
      <c r="I52" s="18">
        <v>1.3238269880610701E-4</v>
      </c>
      <c r="K52" s="17">
        <v>20442024</v>
      </c>
      <c r="M52" s="17">
        <v>0</v>
      </c>
      <c r="O52" s="17">
        <f t="shared" si="1"/>
        <v>20442024</v>
      </c>
      <c r="Q52" s="18">
        <v>1.1877128621338801E-4</v>
      </c>
    </row>
    <row r="53" spans="1:17" ht="21" x14ac:dyDescent="0.55000000000000004">
      <c r="A53" s="16" t="s">
        <v>220</v>
      </c>
      <c r="C53" s="17">
        <v>0</v>
      </c>
      <c r="E53" s="17">
        <v>0</v>
      </c>
      <c r="G53" s="17">
        <f t="shared" si="0"/>
        <v>0</v>
      </c>
      <c r="I53" s="18">
        <v>0</v>
      </c>
      <c r="K53" s="17">
        <v>-11996910</v>
      </c>
      <c r="M53" s="17">
        <v>818500907</v>
      </c>
      <c r="O53" s="17">
        <f t="shared" si="1"/>
        <v>806503997</v>
      </c>
      <c r="Q53" s="18">
        <v>4.6859115838983664E-3</v>
      </c>
    </row>
    <row r="54" spans="1:17" ht="21" x14ac:dyDescent="0.55000000000000004">
      <c r="A54" s="16" t="s">
        <v>221</v>
      </c>
      <c r="C54" s="17">
        <v>0</v>
      </c>
      <c r="E54" s="17">
        <v>0</v>
      </c>
      <c r="G54" s="17">
        <f t="shared" si="0"/>
        <v>0</v>
      </c>
      <c r="I54" s="18">
        <v>0</v>
      </c>
      <c r="K54" s="17">
        <v>114210583</v>
      </c>
      <c r="M54" s="17">
        <v>379994939</v>
      </c>
      <c r="O54" s="17">
        <f t="shared" si="1"/>
        <v>494205522</v>
      </c>
      <c r="Q54" s="18">
        <v>2.8714096755633797E-3</v>
      </c>
    </row>
    <row r="55" spans="1:17" ht="21" x14ac:dyDescent="0.55000000000000004">
      <c r="A55" s="16" t="s">
        <v>305</v>
      </c>
      <c r="C55" s="17">
        <v>32014420</v>
      </c>
      <c r="E55" s="17">
        <v>0</v>
      </c>
      <c r="G55" s="17">
        <f t="shared" si="0"/>
        <v>32014420</v>
      </c>
      <c r="I55" s="18">
        <v>2.0732562100074867E-4</v>
      </c>
      <c r="K55" s="17">
        <v>32014420</v>
      </c>
      <c r="M55" s="17">
        <v>0</v>
      </c>
      <c r="O55" s="17">
        <f t="shared" si="1"/>
        <v>32014420</v>
      </c>
      <c r="Q55" s="18">
        <v>1.8600867706522668E-4</v>
      </c>
    </row>
    <row r="56" spans="1:17" ht="21" x14ac:dyDescent="0.55000000000000004">
      <c r="A56" s="16" t="s">
        <v>222</v>
      </c>
      <c r="C56" s="17">
        <v>0</v>
      </c>
      <c r="E56" s="17">
        <v>0</v>
      </c>
      <c r="G56" s="17">
        <f t="shared" si="0"/>
        <v>0</v>
      </c>
      <c r="I56" s="18">
        <v>0</v>
      </c>
      <c r="K56" s="17">
        <v>-1999485</v>
      </c>
      <c r="M56" s="17">
        <v>103932028</v>
      </c>
      <c r="O56" s="17">
        <f t="shared" si="1"/>
        <v>101932543</v>
      </c>
      <c r="Q56" s="18">
        <v>5.9224366623928629E-4</v>
      </c>
    </row>
    <row r="57" spans="1:17" ht="21" x14ac:dyDescent="0.55000000000000004">
      <c r="A57" s="16" t="s">
        <v>223</v>
      </c>
      <c r="C57" s="17">
        <v>0</v>
      </c>
      <c r="E57" s="17">
        <v>0</v>
      </c>
      <c r="G57" s="17">
        <f t="shared" si="0"/>
        <v>0</v>
      </c>
      <c r="I57" s="18">
        <v>0</v>
      </c>
      <c r="K57" s="17">
        <v>-9760486</v>
      </c>
      <c r="M57" s="17">
        <v>853398759</v>
      </c>
      <c r="O57" s="17">
        <f t="shared" si="1"/>
        <v>843638273</v>
      </c>
      <c r="Q57" s="18">
        <v>4.9016674074470988E-3</v>
      </c>
    </row>
    <row r="58" spans="1:17" ht="21" x14ac:dyDescent="0.55000000000000004">
      <c r="A58" s="16" t="s">
        <v>224</v>
      </c>
      <c r="C58" s="17">
        <v>0</v>
      </c>
      <c r="E58" s="17">
        <v>0</v>
      </c>
      <c r="G58" s="17">
        <f t="shared" si="0"/>
        <v>0</v>
      </c>
      <c r="I58" s="18">
        <v>0</v>
      </c>
      <c r="K58" s="17">
        <v>10997168</v>
      </c>
      <c r="M58" s="17">
        <v>130771169</v>
      </c>
      <c r="O58" s="17">
        <f t="shared" si="1"/>
        <v>141768337</v>
      </c>
      <c r="Q58" s="18">
        <v>8.2369572258710999E-4</v>
      </c>
    </row>
    <row r="59" spans="1:17" ht="21" x14ac:dyDescent="0.55000000000000004">
      <c r="A59" s="16" t="s">
        <v>225</v>
      </c>
      <c r="C59" s="17">
        <v>0</v>
      </c>
      <c r="E59" s="17">
        <v>0</v>
      </c>
      <c r="G59" s="17">
        <f t="shared" si="0"/>
        <v>0</v>
      </c>
      <c r="I59" s="18">
        <v>0</v>
      </c>
      <c r="J59" s="15"/>
      <c r="K59" s="17">
        <v>12003090</v>
      </c>
      <c r="M59" s="17">
        <v>15997940</v>
      </c>
      <c r="O59" s="17">
        <f t="shared" si="1"/>
        <v>28001030</v>
      </c>
      <c r="Q59" s="18">
        <v>1.6269026728467123E-4</v>
      </c>
    </row>
    <row r="60" spans="1:17" ht="21" x14ac:dyDescent="0.55000000000000004">
      <c r="A60" s="16" t="s">
        <v>226</v>
      </c>
      <c r="C60" s="17">
        <v>0</v>
      </c>
      <c r="E60" s="17">
        <v>0</v>
      </c>
      <c r="G60" s="17">
        <f t="shared" si="0"/>
        <v>0</v>
      </c>
      <c r="I60" s="18">
        <v>0</v>
      </c>
      <c r="J60" s="15"/>
      <c r="K60" s="17">
        <v>0</v>
      </c>
      <c r="M60" s="17">
        <v>41960571</v>
      </c>
      <c r="O60" s="17">
        <f t="shared" si="1"/>
        <v>41960571</v>
      </c>
      <c r="Q60" s="18">
        <v>2.4379733571970117E-4</v>
      </c>
    </row>
    <row r="61" spans="1:17" ht="21" x14ac:dyDescent="0.55000000000000004">
      <c r="A61" s="16" t="s">
        <v>299</v>
      </c>
      <c r="C61" s="17">
        <v>133965</v>
      </c>
      <c r="E61" s="17">
        <v>10265873</v>
      </c>
      <c r="G61" s="17">
        <f t="shared" si="0"/>
        <v>10399838</v>
      </c>
      <c r="I61" s="18">
        <v>6.7349427903338056E-5</v>
      </c>
      <c r="J61" s="15"/>
      <c r="K61" s="17">
        <v>133965</v>
      </c>
      <c r="M61" s="17">
        <v>10265873</v>
      </c>
      <c r="O61" s="17">
        <f t="shared" si="1"/>
        <v>10399838</v>
      </c>
      <c r="Q61" s="18">
        <v>6.0424649519581263E-5</v>
      </c>
    </row>
    <row r="62" spans="1:17" ht="21" x14ac:dyDescent="0.55000000000000004">
      <c r="A62" s="16" t="s">
        <v>227</v>
      </c>
      <c r="C62" s="17">
        <v>0</v>
      </c>
      <c r="E62" s="17">
        <v>0</v>
      </c>
      <c r="G62" s="17">
        <f t="shared" si="0"/>
        <v>0</v>
      </c>
      <c r="I62" s="18">
        <v>0</v>
      </c>
      <c r="J62" s="15"/>
      <c r="K62" s="17">
        <v>-15082116</v>
      </c>
      <c r="M62" s="17">
        <v>478416987</v>
      </c>
      <c r="O62" s="17">
        <f t="shared" si="1"/>
        <v>463334871</v>
      </c>
      <c r="Q62" s="18">
        <v>2.6920464713368997E-3</v>
      </c>
    </row>
    <row r="63" spans="1:17" ht="21" x14ac:dyDescent="0.55000000000000004">
      <c r="A63" s="16" t="s">
        <v>300</v>
      </c>
      <c r="C63" s="17">
        <v>567853</v>
      </c>
      <c r="E63" s="17">
        <v>1135782</v>
      </c>
      <c r="G63" s="17">
        <f t="shared" si="0"/>
        <v>1703635</v>
      </c>
      <c r="I63" s="18">
        <v>1.1032752876160505E-5</v>
      </c>
      <c r="J63" s="15"/>
      <c r="K63" s="17">
        <v>567853</v>
      </c>
      <c r="M63" s="17">
        <v>1135782</v>
      </c>
      <c r="O63" s="17">
        <f t="shared" si="1"/>
        <v>1703635</v>
      </c>
      <c r="Q63" s="18">
        <v>9.8983799347924292E-6</v>
      </c>
    </row>
    <row r="64" spans="1:17" ht="21" x14ac:dyDescent="0.55000000000000004">
      <c r="A64" s="16" t="s">
        <v>228</v>
      </c>
      <c r="C64" s="17">
        <v>0</v>
      </c>
      <c r="E64" s="17">
        <v>0</v>
      </c>
      <c r="G64" s="17">
        <f t="shared" si="0"/>
        <v>0</v>
      </c>
      <c r="I64" s="18">
        <v>0</v>
      </c>
      <c r="J64" s="15"/>
      <c r="K64" s="17">
        <v>0</v>
      </c>
      <c r="M64" s="17">
        <v>1377570353</v>
      </c>
      <c r="O64" s="17">
        <f t="shared" si="1"/>
        <v>1377570353</v>
      </c>
      <c r="Q64" s="18">
        <v>8.0038944614897693E-3</v>
      </c>
    </row>
    <row r="65" spans="1:17" ht="21" x14ac:dyDescent="0.55000000000000004">
      <c r="A65" s="16" t="s">
        <v>229</v>
      </c>
      <c r="C65" s="17">
        <v>0</v>
      </c>
      <c r="E65" s="17">
        <v>0</v>
      </c>
      <c r="G65" s="17">
        <f t="shared" si="0"/>
        <v>0</v>
      </c>
      <c r="I65" s="18">
        <v>0</v>
      </c>
      <c r="J65" s="15"/>
      <c r="K65" s="17">
        <v>-15336050</v>
      </c>
      <c r="M65" s="17">
        <v>429981911</v>
      </c>
      <c r="O65" s="17">
        <f t="shared" si="1"/>
        <v>414645861</v>
      </c>
      <c r="Q65" s="18">
        <v>2.409155875857875E-3</v>
      </c>
    </row>
    <row r="66" spans="1:17" ht="21" x14ac:dyDescent="0.55000000000000004">
      <c r="A66" s="16" t="s">
        <v>230</v>
      </c>
      <c r="C66" s="17">
        <v>0</v>
      </c>
      <c r="E66" s="17">
        <v>0</v>
      </c>
      <c r="G66" s="17">
        <f t="shared" si="0"/>
        <v>0</v>
      </c>
      <c r="I66" s="18">
        <v>0</v>
      </c>
      <c r="J66" s="15"/>
      <c r="K66" s="17">
        <v>0</v>
      </c>
      <c r="M66" s="17">
        <v>37185668</v>
      </c>
      <c r="O66" s="17">
        <f t="shared" si="1"/>
        <v>37185668</v>
      </c>
      <c r="Q66" s="18">
        <v>2.160544189295553E-4</v>
      </c>
    </row>
    <row r="67" spans="1:17" ht="21" x14ac:dyDescent="0.55000000000000004">
      <c r="A67" s="16" t="s">
        <v>298</v>
      </c>
      <c r="C67" s="17">
        <v>-38805006</v>
      </c>
      <c r="E67" s="17">
        <v>418796114</v>
      </c>
      <c r="G67" s="17">
        <f t="shared" si="0"/>
        <v>379991108</v>
      </c>
      <c r="I67" s="18">
        <v>2.4608252294079525E-3</v>
      </c>
      <c r="J67" s="15"/>
      <c r="K67" s="17">
        <v>-38805006</v>
      </c>
      <c r="M67" s="17">
        <v>418796114</v>
      </c>
      <c r="O67" s="17">
        <f t="shared" si="1"/>
        <v>379991108</v>
      </c>
      <c r="Q67" s="18">
        <v>2.2078064602022987E-3</v>
      </c>
    </row>
    <row r="68" spans="1:17" ht="21" x14ac:dyDescent="0.55000000000000004">
      <c r="A68" s="16" t="s">
        <v>307</v>
      </c>
      <c r="C68" s="17">
        <v>-94716312</v>
      </c>
      <c r="E68" s="17">
        <v>0</v>
      </c>
      <c r="G68" s="17">
        <f t="shared" si="0"/>
        <v>-94716312</v>
      </c>
      <c r="I68" s="18">
        <v>-6.1338353792761706E-4</v>
      </c>
      <c r="J68" s="15"/>
      <c r="K68" s="17">
        <v>-94716312</v>
      </c>
      <c r="M68" s="17">
        <v>0</v>
      </c>
      <c r="O68" s="17">
        <f t="shared" si="1"/>
        <v>-94716312</v>
      </c>
      <c r="Q68" s="18">
        <v>-5.5031626034821978E-4</v>
      </c>
    </row>
    <row r="69" spans="1:17" ht="21" x14ac:dyDescent="0.55000000000000004">
      <c r="A69" s="16" t="s">
        <v>231</v>
      </c>
      <c r="C69" s="17">
        <v>0</v>
      </c>
      <c r="E69" s="17">
        <v>0</v>
      </c>
      <c r="G69" s="17">
        <f t="shared" si="0"/>
        <v>0</v>
      </c>
      <c r="I69" s="18">
        <v>0</v>
      </c>
      <c r="J69" s="15"/>
      <c r="K69" s="17">
        <v>12008907</v>
      </c>
      <c r="M69" s="17">
        <v>82079944</v>
      </c>
      <c r="O69" s="17">
        <f t="shared" si="1"/>
        <v>94088851</v>
      </c>
      <c r="Q69" s="18">
        <v>5.4667061596297016E-4</v>
      </c>
    </row>
    <row r="70" spans="1:17" ht="21" x14ac:dyDescent="0.55000000000000004">
      <c r="A70" s="16" t="s">
        <v>232</v>
      </c>
      <c r="C70" s="17">
        <v>0</v>
      </c>
      <c r="E70" s="17">
        <v>0</v>
      </c>
      <c r="G70" s="17">
        <f t="shared" si="0"/>
        <v>0</v>
      </c>
      <c r="I70" s="18">
        <v>0</v>
      </c>
      <c r="J70" s="15"/>
      <c r="K70" s="17">
        <v>402706</v>
      </c>
      <c r="M70" s="17">
        <v>407621359</v>
      </c>
      <c r="O70" s="17">
        <f t="shared" si="1"/>
        <v>408024065</v>
      </c>
      <c r="Q70" s="18">
        <v>2.3706822282404637E-3</v>
      </c>
    </row>
    <row r="71" spans="1:17" ht="21" x14ac:dyDescent="0.55000000000000004">
      <c r="A71" s="16" t="s">
        <v>233</v>
      </c>
      <c r="C71" s="17">
        <v>0</v>
      </c>
      <c r="E71" s="17">
        <v>0</v>
      </c>
      <c r="G71" s="17">
        <f t="shared" si="0"/>
        <v>0</v>
      </c>
      <c r="I71" s="18">
        <v>0</v>
      </c>
      <c r="J71" s="15"/>
      <c r="K71" s="17">
        <v>-15508006</v>
      </c>
      <c r="M71" s="17">
        <v>278569994</v>
      </c>
      <c r="O71" s="17">
        <f t="shared" si="1"/>
        <v>263061988</v>
      </c>
      <c r="Q71" s="18">
        <v>1.5284303877449142E-3</v>
      </c>
    </row>
    <row r="72" spans="1:17" ht="21" x14ac:dyDescent="0.55000000000000004">
      <c r="A72" s="16" t="s">
        <v>234</v>
      </c>
      <c r="C72" s="17">
        <v>0</v>
      </c>
      <c r="E72" s="17">
        <v>0</v>
      </c>
      <c r="G72" s="17">
        <f t="shared" si="0"/>
        <v>0</v>
      </c>
      <c r="I72" s="18">
        <v>0</v>
      </c>
      <c r="J72" s="15"/>
      <c r="K72" s="17">
        <v>0</v>
      </c>
      <c r="M72" s="17">
        <v>67514952</v>
      </c>
      <c r="O72" s="17">
        <f t="shared" si="1"/>
        <v>67514952</v>
      </c>
      <c r="Q72" s="18">
        <v>3.9227219807956164E-4</v>
      </c>
    </row>
    <row r="73" spans="1:17" ht="21" x14ac:dyDescent="0.55000000000000004">
      <c r="A73" s="16" t="s">
        <v>235</v>
      </c>
      <c r="C73" s="17">
        <v>0</v>
      </c>
      <c r="E73" s="17">
        <v>0</v>
      </c>
      <c r="G73" s="17">
        <f t="shared" si="0"/>
        <v>0</v>
      </c>
      <c r="I73" s="18">
        <v>0</v>
      </c>
      <c r="J73" s="15"/>
      <c r="K73" s="17">
        <v>1519609</v>
      </c>
      <c r="M73" s="17">
        <v>1596292</v>
      </c>
      <c r="O73" s="17">
        <f t="shared" si="1"/>
        <v>3115901</v>
      </c>
      <c r="Q73" s="18">
        <v>1.8103861412332845E-5</v>
      </c>
    </row>
    <row r="74" spans="1:17" ht="21" x14ac:dyDescent="0.55000000000000004">
      <c r="A74" s="16" t="s">
        <v>236</v>
      </c>
      <c r="C74" s="17">
        <v>0</v>
      </c>
      <c r="E74" s="17">
        <v>0</v>
      </c>
      <c r="G74" s="17">
        <f t="shared" ref="G74:G137" si="2">E74+C74</f>
        <v>0</v>
      </c>
      <c r="I74" s="18">
        <v>0</v>
      </c>
      <c r="J74" s="15"/>
      <c r="K74" s="17">
        <v>6238393</v>
      </c>
      <c r="M74" s="17">
        <v>718657381</v>
      </c>
      <c r="O74" s="17">
        <f t="shared" ref="O74:O137" si="3">M74+K74</f>
        <v>724895774</v>
      </c>
      <c r="Q74" s="18">
        <v>4.2117553256286865E-3</v>
      </c>
    </row>
    <row r="75" spans="1:17" ht="21" x14ac:dyDescent="0.55000000000000004">
      <c r="A75" s="16" t="s">
        <v>237</v>
      </c>
      <c r="C75" s="17">
        <v>0</v>
      </c>
      <c r="E75" s="17">
        <v>0</v>
      </c>
      <c r="G75" s="17">
        <f t="shared" si="2"/>
        <v>0</v>
      </c>
      <c r="I75" s="18">
        <v>0</v>
      </c>
      <c r="J75" s="15"/>
      <c r="K75" s="17">
        <v>-3551085</v>
      </c>
      <c r="M75" s="17">
        <v>1027103692</v>
      </c>
      <c r="O75" s="17">
        <f t="shared" si="3"/>
        <v>1023552607</v>
      </c>
      <c r="Q75" s="18">
        <v>5.9469972073438746E-3</v>
      </c>
    </row>
    <row r="76" spans="1:17" ht="21" x14ac:dyDescent="0.55000000000000004">
      <c r="A76" s="16" t="s">
        <v>238</v>
      </c>
      <c r="C76" s="17">
        <v>0</v>
      </c>
      <c r="E76" s="17">
        <v>0</v>
      </c>
      <c r="G76" s="17">
        <f t="shared" si="2"/>
        <v>0</v>
      </c>
      <c r="I76" s="18">
        <v>0</v>
      </c>
      <c r="J76" s="15"/>
      <c r="K76" s="17">
        <v>-2469364</v>
      </c>
      <c r="M76" s="17">
        <v>394213597</v>
      </c>
      <c r="O76" s="17">
        <f t="shared" si="3"/>
        <v>391744233</v>
      </c>
      <c r="Q76" s="18">
        <v>2.276093914188104E-3</v>
      </c>
    </row>
    <row r="77" spans="1:17" ht="21" x14ac:dyDescent="0.55000000000000004">
      <c r="A77" s="16" t="s">
        <v>239</v>
      </c>
      <c r="C77" s="17">
        <v>0</v>
      </c>
      <c r="E77" s="17">
        <v>0</v>
      </c>
      <c r="G77" s="17">
        <f t="shared" si="2"/>
        <v>0</v>
      </c>
      <c r="I77" s="18">
        <v>0</v>
      </c>
      <c r="J77" s="15"/>
      <c r="K77" s="17">
        <v>0</v>
      </c>
      <c r="M77" s="17">
        <v>27846437</v>
      </c>
      <c r="O77" s="17">
        <f t="shared" si="3"/>
        <v>27846437</v>
      </c>
      <c r="Q77" s="18">
        <v>1.6179205830841787E-4</v>
      </c>
    </row>
    <row r="78" spans="1:17" ht="21" x14ac:dyDescent="0.55000000000000004">
      <c r="A78" s="16" t="s">
        <v>240</v>
      </c>
      <c r="C78" s="17">
        <v>0</v>
      </c>
      <c r="E78" s="17">
        <v>0</v>
      </c>
      <c r="G78" s="17">
        <f t="shared" si="2"/>
        <v>0</v>
      </c>
      <c r="I78" s="18">
        <v>0</v>
      </c>
      <c r="J78" s="15"/>
      <c r="K78" s="17">
        <v>69981974</v>
      </c>
      <c r="M78" s="17">
        <v>-207613744</v>
      </c>
      <c r="O78" s="17">
        <f t="shared" si="3"/>
        <v>-137631770</v>
      </c>
      <c r="Q78" s="18">
        <v>-7.9966163559563321E-4</v>
      </c>
    </row>
    <row r="79" spans="1:17" ht="21" x14ac:dyDescent="0.55000000000000004">
      <c r="A79" s="16" t="s">
        <v>241</v>
      </c>
      <c r="C79" s="17">
        <v>0</v>
      </c>
      <c r="E79" s="17">
        <v>0</v>
      </c>
      <c r="G79" s="17">
        <f t="shared" si="2"/>
        <v>0</v>
      </c>
      <c r="I79" s="18">
        <v>0</v>
      </c>
      <c r="J79" s="15"/>
      <c r="K79" s="17">
        <v>-15995880</v>
      </c>
      <c r="M79" s="17">
        <v>542264460</v>
      </c>
      <c r="O79" s="17">
        <f t="shared" si="3"/>
        <v>526268580</v>
      </c>
      <c r="Q79" s="18">
        <v>3.0577009468481832E-3</v>
      </c>
    </row>
    <row r="80" spans="1:17" ht="21" x14ac:dyDescent="0.55000000000000004">
      <c r="A80" s="16" t="s">
        <v>242</v>
      </c>
      <c r="C80" s="17">
        <v>0</v>
      </c>
      <c r="E80" s="17">
        <v>0</v>
      </c>
      <c r="G80" s="17">
        <f t="shared" si="2"/>
        <v>0</v>
      </c>
      <c r="I80" s="18">
        <v>0</v>
      </c>
      <c r="J80" s="15"/>
      <c r="K80" s="17">
        <v>53986095</v>
      </c>
      <c r="M80" s="17">
        <v>762470285</v>
      </c>
      <c r="O80" s="17">
        <f t="shared" si="3"/>
        <v>816456380</v>
      </c>
      <c r="Q80" s="18">
        <v>4.7437364514260763E-3</v>
      </c>
    </row>
    <row r="81" spans="1:17" ht="21" x14ac:dyDescent="0.55000000000000004">
      <c r="A81" s="16" t="s">
        <v>243</v>
      </c>
      <c r="C81" s="17">
        <v>0</v>
      </c>
      <c r="E81" s="17">
        <v>0</v>
      </c>
      <c r="G81" s="17">
        <f t="shared" si="2"/>
        <v>0</v>
      </c>
      <c r="I81" s="18">
        <v>0</v>
      </c>
      <c r="J81" s="15"/>
      <c r="K81" s="17">
        <v>0</v>
      </c>
      <c r="M81" s="17">
        <v>134416530</v>
      </c>
      <c r="O81" s="17">
        <f t="shared" si="3"/>
        <v>134416530</v>
      </c>
      <c r="Q81" s="18">
        <v>7.8098059939859458E-4</v>
      </c>
    </row>
    <row r="82" spans="1:17" ht="21" x14ac:dyDescent="0.55000000000000004">
      <c r="A82" s="16" t="s">
        <v>244</v>
      </c>
      <c r="C82" s="17">
        <v>0</v>
      </c>
      <c r="E82" s="17">
        <v>0</v>
      </c>
      <c r="G82" s="17">
        <f t="shared" si="2"/>
        <v>0</v>
      </c>
      <c r="I82" s="18">
        <v>0</v>
      </c>
      <c r="J82" s="15"/>
      <c r="K82" s="17">
        <v>-24993562</v>
      </c>
      <c r="M82" s="17">
        <v>292147825</v>
      </c>
      <c r="O82" s="17">
        <f t="shared" si="3"/>
        <v>267154263</v>
      </c>
      <c r="Q82" s="18">
        <v>1.5522071314415702E-3</v>
      </c>
    </row>
    <row r="83" spans="1:17" ht="21" x14ac:dyDescent="0.55000000000000004">
      <c r="A83" s="16" t="s">
        <v>245</v>
      </c>
      <c r="C83" s="17">
        <v>0</v>
      </c>
      <c r="E83" s="17">
        <v>0</v>
      </c>
      <c r="G83" s="17">
        <f t="shared" si="2"/>
        <v>0</v>
      </c>
      <c r="I83" s="18">
        <v>0</v>
      </c>
      <c r="J83" s="15"/>
      <c r="K83" s="17">
        <v>29482407</v>
      </c>
      <c r="M83" s="17">
        <v>-49213200</v>
      </c>
      <c r="O83" s="17">
        <f t="shared" si="3"/>
        <v>-19730793</v>
      </c>
      <c r="Q83" s="18">
        <v>-1.1463892531483735E-4</v>
      </c>
    </row>
    <row r="84" spans="1:17" ht="21" x14ac:dyDescent="0.55000000000000004">
      <c r="A84" s="16" t="s">
        <v>246</v>
      </c>
      <c r="C84" s="17">
        <v>0</v>
      </c>
      <c r="E84" s="17">
        <v>0</v>
      </c>
      <c r="G84" s="17">
        <f t="shared" si="2"/>
        <v>0</v>
      </c>
      <c r="I84" s="18">
        <v>0</v>
      </c>
      <c r="J84" s="15"/>
      <c r="K84" s="17">
        <v>178859932</v>
      </c>
      <c r="M84" s="17">
        <v>70772500</v>
      </c>
      <c r="O84" s="17">
        <f t="shared" si="3"/>
        <v>249632432</v>
      </c>
      <c r="Q84" s="18">
        <v>1.450402613225389E-3</v>
      </c>
    </row>
    <row r="85" spans="1:17" ht="21" x14ac:dyDescent="0.55000000000000004">
      <c r="A85" s="16" t="s">
        <v>247</v>
      </c>
      <c r="C85" s="17">
        <v>-13787312</v>
      </c>
      <c r="E85" s="17">
        <v>112062000</v>
      </c>
      <c r="G85" s="17">
        <f t="shared" si="2"/>
        <v>98274688</v>
      </c>
      <c r="I85" s="18">
        <v>6.3642760725494388E-4</v>
      </c>
      <c r="J85" s="15"/>
      <c r="K85" s="17">
        <v>0</v>
      </c>
      <c r="M85" s="17">
        <v>112062000</v>
      </c>
      <c r="O85" s="17">
        <f t="shared" si="3"/>
        <v>112062000</v>
      </c>
      <c r="Q85" s="18">
        <v>6.5109736079190037E-4</v>
      </c>
    </row>
    <row r="86" spans="1:17" ht="21" x14ac:dyDescent="0.55000000000000004">
      <c r="A86" s="16" t="s">
        <v>310</v>
      </c>
      <c r="C86" s="17">
        <v>0</v>
      </c>
      <c r="E86" s="17">
        <v>5891941</v>
      </c>
      <c r="G86" s="17">
        <f t="shared" si="2"/>
        <v>5891941</v>
      </c>
      <c r="I86" s="18">
        <v>3.8156253548393881E-5</v>
      </c>
      <c r="J86" s="15"/>
      <c r="K86" s="17">
        <v>0</v>
      </c>
      <c r="M86" s="17">
        <v>5891941</v>
      </c>
      <c r="O86" s="17">
        <f t="shared" si="3"/>
        <v>5891941</v>
      </c>
      <c r="Q86" s="18">
        <v>3.4233078430168931E-5</v>
      </c>
    </row>
    <row r="87" spans="1:17" ht="21" x14ac:dyDescent="0.55000000000000004">
      <c r="A87" s="16" t="s">
        <v>311</v>
      </c>
      <c r="C87" s="17">
        <v>0</v>
      </c>
      <c r="E87" s="17">
        <v>17686915</v>
      </c>
      <c r="G87" s="17">
        <f t="shared" si="2"/>
        <v>17686915</v>
      </c>
      <c r="I87" s="18">
        <v>1.1454059251932275E-4</v>
      </c>
      <c r="J87" s="15"/>
      <c r="K87" s="17">
        <v>0</v>
      </c>
      <c r="M87" s="17">
        <v>17686915</v>
      </c>
      <c r="O87" s="17">
        <f t="shared" si="3"/>
        <v>17686915</v>
      </c>
      <c r="Q87" s="18">
        <v>1.0276368150711816E-4</v>
      </c>
    </row>
    <row r="88" spans="1:17" ht="21" x14ac:dyDescent="0.55000000000000004">
      <c r="A88" s="16" t="s">
        <v>306</v>
      </c>
      <c r="C88" s="17">
        <v>14754063</v>
      </c>
      <c r="E88" s="17">
        <v>0</v>
      </c>
      <c r="G88" s="17">
        <f t="shared" si="2"/>
        <v>14754063</v>
      </c>
      <c r="I88" s="18">
        <v>9.5547421248274014E-5</v>
      </c>
      <c r="J88" s="15"/>
      <c r="K88" s="17">
        <v>14754063</v>
      </c>
      <c r="M88" s="17">
        <v>0</v>
      </c>
      <c r="O88" s="17">
        <f t="shared" si="3"/>
        <v>14754063</v>
      </c>
      <c r="Q88" s="18">
        <v>8.5723362783614678E-5</v>
      </c>
    </row>
    <row r="89" spans="1:17" ht="21" x14ac:dyDescent="0.55000000000000004">
      <c r="A89" s="16" t="s">
        <v>303</v>
      </c>
      <c r="C89" s="17">
        <v>57768305</v>
      </c>
      <c r="E89" s="17">
        <v>102977737</v>
      </c>
      <c r="G89" s="17">
        <f t="shared" si="2"/>
        <v>160746042</v>
      </c>
      <c r="I89" s="18">
        <v>1.0409925583865778E-3</v>
      </c>
      <c r="J89" s="15"/>
      <c r="K89" s="17">
        <v>57768305</v>
      </c>
      <c r="M89" s="17">
        <v>102977737</v>
      </c>
      <c r="O89" s="17">
        <f t="shared" si="3"/>
        <v>160746042</v>
      </c>
      <c r="Q89" s="18">
        <v>9.3395909143102903E-4</v>
      </c>
    </row>
    <row r="90" spans="1:17" ht="21" x14ac:dyDescent="0.55000000000000004">
      <c r="A90" s="16" t="s">
        <v>248</v>
      </c>
      <c r="C90" s="17">
        <v>0</v>
      </c>
      <c r="E90" s="17">
        <v>0</v>
      </c>
      <c r="G90" s="17">
        <f t="shared" si="2"/>
        <v>0</v>
      </c>
      <c r="I90" s="18">
        <v>0</v>
      </c>
      <c r="J90" s="15"/>
      <c r="K90" s="17">
        <v>0</v>
      </c>
      <c r="M90" s="17">
        <v>174158979</v>
      </c>
      <c r="O90" s="17">
        <f t="shared" si="3"/>
        <v>174158979</v>
      </c>
      <c r="Q90" s="18">
        <v>1.0118903070185433E-3</v>
      </c>
    </row>
    <row r="91" spans="1:17" ht="21" x14ac:dyDescent="0.55000000000000004">
      <c r="A91" s="16" t="s">
        <v>249</v>
      </c>
      <c r="C91" s="17">
        <v>0</v>
      </c>
      <c r="E91" s="17">
        <v>0</v>
      </c>
      <c r="G91" s="17">
        <f t="shared" si="2"/>
        <v>0</v>
      </c>
      <c r="I91" s="18">
        <v>0</v>
      </c>
      <c r="J91" s="15"/>
      <c r="K91" s="17">
        <v>-6289548</v>
      </c>
      <c r="M91" s="17">
        <v>246240351</v>
      </c>
      <c r="O91" s="17">
        <f t="shared" si="3"/>
        <v>239950803</v>
      </c>
      <c r="Q91" s="18">
        <v>1.3941508678517E-3</v>
      </c>
    </row>
    <row r="92" spans="1:17" ht="21" x14ac:dyDescent="0.55000000000000004">
      <c r="A92" s="16" t="s">
        <v>250</v>
      </c>
      <c r="C92" s="17">
        <v>0</v>
      </c>
      <c r="E92" s="17">
        <v>0</v>
      </c>
      <c r="G92" s="17">
        <f t="shared" si="2"/>
        <v>0</v>
      </c>
      <c r="I92" s="18">
        <v>0</v>
      </c>
      <c r="J92" s="15"/>
      <c r="K92" s="17">
        <v>0</v>
      </c>
      <c r="M92" s="17">
        <v>171732364</v>
      </c>
      <c r="O92" s="17">
        <f t="shared" si="3"/>
        <v>171732364</v>
      </c>
      <c r="Q92" s="18">
        <v>9.9779130269809536E-4</v>
      </c>
    </row>
    <row r="93" spans="1:17" ht="21" x14ac:dyDescent="0.55000000000000004">
      <c r="A93" s="16" t="s">
        <v>251</v>
      </c>
      <c r="C93" s="17">
        <v>0</v>
      </c>
      <c r="E93" s="17">
        <v>0</v>
      </c>
      <c r="G93" s="17">
        <f t="shared" si="2"/>
        <v>0</v>
      </c>
      <c r="I93" s="18">
        <v>0</v>
      </c>
      <c r="J93" s="15"/>
      <c r="K93" s="17">
        <v>26575555</v>
      </c>
      <c r="M93" s="17">
        <v>903156644</v>
      </c>
      <c r="O93" s="17">
        <f t="shared" si="3"/>
        <v>929732199</v>
      </c>
      <c r="Q93" s="18">
        <v>5.4018862862714387E-3</v>
      </c>
    </row>
    <row r="94" spans="1:17" ht="21" x14ac:dyDescent="0.55000000000000004">
      <c r="A94" s="16" t="s">
        <v>252</v>
      </c>
      <c r="C94" s="17">
        <v>0</v>
      </c>
      <c r="E94" s="17">
        <v>0</v>
      </c>
      <c r="G94" s="17">
        <f t="shared" si="2"/>
        <v>0</v>
      </c>
      <c r="I94" s="18">
        <v>0</v>
      </c>
      <c r="J94" s="15"/>
      <c r="K94" s="17">
        <v>1769544</v>
      </c>
      <c r="M94" s="17">
        <v>1500319978</v>
      </c>
      <c r="O94" s="17">
        <f t="shared" si="3"/>
        <v>1502089522</v>
      </c>
      <c r="Q94" s="18">
        <v>8.7273698795967154E-3</v>
      </c>
    </row>
    <row r="95" spans="1:17" ht="21" x14ac:dyDescent="0.55000000000000004">
      <c r="A95" s="16" t="s">
        <v>253</v>
      </c>
      <c r="C95" s="17">
        <v>0</v>
      </c>
      <c r="E95" s="17">
        <v>0</v>
      </c>
      <c r="G95" s="17">
        <f t="shared" si="2"/>
        <v>0</v>
      </c>
      <c r="I95" s="18">
        <v>0</v>
      </c>
      <c r="J95" s="15"/>
      <c r="K95" s="17">
        <v>2603330</v>
      </c>
      <c r="M95" s="17">
        <v>50435522</v>
      </c>
      <c r="O95" s="17">
        <f t="shared" si="3"/>
        <v>53038852</v>
      </c>
      <c r="Q95" s="18">
        <v>3.0816384284264255E-4</v>
      </c>
    </row>
    <row r="96" spans="1:17" ht="21" x14ac:dyDescent="0.55000000000000004">
      <c r="A96" s="16" t="s">
        <v>254</v>
      </c>
      <c r="C96" s="17">
        <v>0</v>
      </c>
      <c r="E96" s="17">
        <v>0</v>
      </c>
      <c r="G96" s="17">
        <f t="shared" si="2"/>
        <v>0</v>
      </c>
      <c r="I96" s="18">
        <v>0</v>
      </c>
      <c r="J96" s="15"/>
      <c r="K96" s="17">
        <v>32176865</v>
      </c>
      <c r="M96" s="17">
        <v>365668940</v>
      </c>
      <c r="O96" s="17">
        <f t="shared" si="3"/>
        <v>397845805</v>
      </c>
      <c r="Q96" s="18">
        <v>2.3115449807930345E-3</v>
      </c>
    </row>
    <row r="97" spans="1:17" ht="21" x14ac:dyDescent="0.55000000000000004">
      <c r="A97" s="16" t="s">
        <v>255</v>
      </c>
      <c r="C97" s="17">
        <v>0</v>
      </c>
      <c r="E97" s="17">
        <v>0</v>
      </c>
      <c r="G97" s="17">
        <f t="shared" si="2"/>
        <v>0</v>
      </c>
      <c r="I97" s="18">
        <v>0</v>
      </c>
      <c r="J97" s="15"/>
      <c r="K97" s="17">
        <v>-85859485</v>
      </c>
      <c r="M97" s="17">
        <v>388881313</v>
      </c>
      <c r="O97" s="17">
        <f t="shared" si="3"/>
        <v>303021828</v>
      </c>
      <c r="Q97" s="18">
        <v>1.7606031703265798E-3</v>
      </c>
    </row>
    <row r="98" spans="1:17" ht="21" x14ac:dyDescent="0.55000000000000004">
      <c r="A98" s="16" t="s">
        <v>256</v>
      </c>
      <c r="C98" s="17">
        <v>0</v>
      </c>
      <c r="E98" s="17">
        <v>0</v>
      </c>
      <c r="G98" s="17">
        <f t="shared" si="2"/>
        <v>0</v>
      </c>
      <c r="I98" s="18">
        <v>0</v>
      </c>
      <c r="J98" s="15"/>
      <c r="K98" s="17">
        <v>0</v>
      </c>
      <c r="M98" s="17">
        <v>169892337</v>
      </c>
      <c r="O98" s="17">
        <f t="shared" si="3"/>
        <v>169892337</v>
      </c>
      <c r="Q98" s="18">
        <v>9.8710046438104022E-4</v>
      </c>
    </row>
    <row r="99" spans="1:17" ht="21" x14ac:dyDescent="0.55000000000000004">
      <c r="A99" s="16" t="s">
        <v>257</v>
      </c>
      <c r="C99" s="17">
        <v>0</v>
      </c>
      <c r="E99" s="17">
        <v>0</v>
      </c>
      <c r="G99" s="17">
        <f t="shared" si="2"/>
        <v>0</v>
      </c>
      <c r="I99" s="18">
        <v>0</v>
      </c>
      <c r="J99" s="15"/>
      <c r="K99" s="17">
        <v>-20820926</v>
      </c>
      <c r="M99" s="17">
        <v>-1836545797</v>
      </c>
      <c r="O99" s="17">
        <f t="shared" si="3"/>
        <v>-1857366723</v>
      </c>
      <c r="Q99" s="18">
        <v>-1.079158475993647E-2</v>
      </c>
    </row>
    <row r="100" spans="1:17" ht="21" x14ac:dyDescent="0.55000000000000004">
      <c r="A100" s="16" t="s">
        <v>258</v>
      </c>
      <c r="C100" s="17">
        <v>0</v>
      </c>
      <c r="E100" s="17">
        <v>0</v>
      </c>
      <c r="G100" s="17">
        <f t="shared" si="2"/>
        <v>0</v>
      </c>
      <c r="I100" s="18">
        <v>0</v>
      </c>
      <c r="J100" s="15"/>
      <c r="K100" s="17">
        <v>-2397382</v>
      </c>
      <c r="M100" s="17">
        <v>27528204</v>
      </c>
      <c r="O100" s="17">
        <f t="shared" si="3"/>
        <v>25130822</v>
      </c>
      <c r="Q100" s="18">
        <v>1.460139197830757E-4</v>
      </c>
    </row>
    <row r="101" spans="1:17" ht="21" x14ac:dyDescent="0.55000000000000004">
      <c r="A101" s="16" t="s">
        <v>259</v>
      </c>
      <c r="C101" s="17">
        <v>0</v>
      </c>
      <c r="E101" s="17">
        <v>0</v>
      </c>
      <c r="G101" s="17">
        <f t="shared" si="2"/>
        <v>0</v>
      </c>
      <c r="I101" s="18">
        <v>0</v>
      </c>
      <c r="J101" s="15"/>
      <c r="K101" s="17">
        <v>180993382</v>
      </c>
      <c r="M101" s="17">
        <v>294439966</v>
      </c>
      <c r="O101" s="17">
        <f t="shared" si="3"/>
        <v>475433348</v>
      </c>
      <c r="Q101" s="18">
        <v>2.7623404732670946E-3</v>
      </c>
    </row>
    <row r="102" spans="1:17" ht="21" x14ac:dyDescent="0.55000000000000004">
      <c r="A102" s="16" t="s">
        <v>260</v>
      </c>
      <c r="C102" s="17">
        <v>0</v>
      </c>
      <c r="E102" s="17">
        <v>0</v>
      </c>
      <c r="G102" s="17">
        <f t="shared" si="2"/>
        <v>0</v>
      </c>
      <c r="I102" s="18">
        <v>0</v>
      </c>
      <c r="J102" s="15"/>
      <c r="K102" s="17">
        <v>-2499356</v>
      </c>
      <c r="M102" s="17">
        <v>593579598</v>
      </c>
      <c r="O102" s="17">
        <f t="shared" si="3"/>
        <v>591080242</v>
      </c>
      <c r="Q102" s="18">
        <v>3.4342666165376114E-3</v>
      </c>
    </row>
    <row r="103" spans="1:17" ht="21" x14ac:dyDescent="0.55000000000000004">
      <c r="A103" s="16" t="s">
        <v>261</v>
      </c>
      <c r="C103" s="17">
        <v>0</v>
      </c>
      <c r="E103" s="17">
        <v>0</v>
      </c>
      <c r="G103" s="17">
        <f t="shared" si="2"/>
        <v>0</v>
      </c>
      <c r="I103" s="18">
        <v>0</v>
      </c>
      <c r="J103" s="15"/>
      <c r="K103" s="17">
        <v>0</v>
      </c>
      <c r="M103" s="17">
        <v>-4999124626</v>
      </c>
      <c r="O103" s="17">
        <f t="shared" si="3"/>
        <v>-4999124626</v>
      </c>
      <c r="Q103" s="18">
        <v>-2.9045678733722369E-2</v>
      </c>
    </row>
    <row r="104" spans="1:17" ht="21" x14ac:dyDescent="0.55000000000000004">
      <c r="A104" s="16" t="s">
        <v>262</v>
      </c>
      <c r="C104" s="17">
        <v>0</v>
      </c>
      <c r="E104" s="17">
        <v>0</v>
      </c>
      <c r="G104" s="17">
        <f t="shared" si="2"/>
        <v>0</v>
      </c>
      <c r="I104" s="18">
        <v>0</v>
      </c>
      <c r="J104" s="15"/>
      <c r="K104" s="17">
        <v>13496524</v>
      </c>
      <c r="M104" s="17">
        <v>161556937</v>
      </c>
      <c r="O104" s="17">
        <f t="shared" si="3"/>
        <v>175053461</v>
      </c>
      <c r="Q104" s="18">
        <v>1.0170873842568209E-3</v>
      </c>
    </row>
    <row r="105" spans="1:17" ht="21" x14ac:dyDescent="0.55000000000000004">
      <c r="A105" s="16" t="s">
        <v>263</v>
      </c>
      <c r="C105" s="17">
        <v>0</v>
      </c>
      <c r="E105" s="17">
        <v>0</v>
      </c>
      <c r="G105" s="17">
        <f t="shared" si="2"/>
        <v>0</v>
      </c>
      <c r="I105" s="18">
        <v>0</v>
      </c>
      <c r="J105" s="15"/>
      <c r="K105" s="17">
        <v>1</v>
      </c>
      <c r="M105" s="17">
        <v>139779875</v>
      </c>
      <c r="O105" s="17">
        <f t="shared" si="3"/>
        <v>139779876</v>
      </c>
      <c r="Q105" s="18">
        <v>8.1214246002587044E-4</v>
      </c>
    </row>
    <row r="106" spans="1:17" ht="21" x14ac:dyDescent="0.55000000000000004">
      <c r="A106" s="16" t="s">
        <v>264</v>
      </c>
      <c r="C106" s="17">
        <v>0</v>
      </c>
      <c r="E106" s="17">
        <v>0</v>
      </c>
      <c r="G106" s="17">
        <f t="shared" si="2"/>
        <v>0</v>
      </c>
      <c r="I106" s="18">
        <v>0</v>
      </c>
      <c r="J106" s="15"/>
      <c r="K106" s="17">
        <v>4998713</v>
      </c>
      <c r="M106" s="17">
        <v>24996190</v>
      </c>
      <c r="O106" s="17">
        <f t="shared" si="3"/>
        <v>29994903</v>
      </c>
      <c r="Q106" s="18">
        <v>1.7427497439372004E-4</v>
      </c>
    </row>
    <row r="107" spans="1:17" ht="21" x14ac:dyDescent="0.55000000000000004">
      <c r="A107" s="16" t="s">
        <v>265</v>
      </c>
      <c r="C107" s="17">
        <v>0</v>
      </c>
      <c r="E107" s="17">
        <v>0</v>
      </c>
      <c r="G107" s="17">
        <f t="shared" si="2"/>
        <v>0</v>
      </c>
      <c r="I107" s="18">
        <v>0</v>
      </c>
      <c r="J107" s="15"/>
      <c r="K107" s="17">
        <v>6839138</v>
      </c>
      <c r="M107" s="17">
        <v>314113740</v>
      </c>
      <c r="O107" s="17">
        <f t="shared" si="3"/>
        <v>320952878</v>
      </c>
      <c r="Q107" s="18">
        <v>1.8647853135261266E-3</v>
      </c>
    </row>
    <row r="108" spans="1:17" ht="21" x14ac:dyDescent="0.55000000000000004">
      <c r="A108" s="16" t="s">
        <v>266</v>
      </c>
      <c r="C108" s="17">
        <v>0</v>
      </c>
      <c r="E108" s="17">
        <v>0</v>
      </c>
      <c r="G108" s="17">
        <f t="shared" si="2"/>
        <v>0</v>
      </c>
      <c r="I108" s="18">
        <v>0</v>
      </c>
      <c r="J108" s="15"/>
      <c r="K108" s="17">
        <v>0</v>
      </c>
      <c r="M108" s="17">
        <v>7989736</v>
      </c>
      <c r="O108" s="17">
        <f t="shared" si="3"/>
        <v>7989736</v>
      </c>
      <c r="Q108" s="18">
        <v>4.6421588254930622E-5</v>
      </c>
    </row>
    <row r="109" spans="1:17" ht="21" x14ac:dyDescent="0.55000000000000004">
      <c r="A109" s="16" t="s">
        <v>267</v>
      </c>
      <c r="C109" s="17">
        <v>0</v>
      </c>
      <c r="E109" s="17">
        <v>0</v>
      </c>
      <c r="G109" s="17">
        <f t="shared" si="2"/>
        <v>0</v>
      </c>
      <c r="I109" s="18">
        <v>0</v>
      </c>
      <c r="J109" s="15"/>
      <c r="K109" s="17">
        <v>0</v>
      </c>
      <c r="M109" s="17">
        <v>-1001</v>
      </c>
      <c r="O109" s="17">
        <f t="shared" si="3"/>
        <v>-1001</v>
      </c>
      <c r="Q109" s="18">
        <v>-5.8159631110696962E-9</v>
      </c>
    </row>
    <row r="110" spans="1:17" ht="21" x14ac:dyDescent="0.55000000000000004">
      <c r="A110" s="16" t="s">
        <v>268</v>
      </c>
      <c r="C110" s="17">
        <v>0</v>
      </c>
      <c r="E110" s="17">
        <v>0</v>
      </c>
      <c r="G110" s="17">
        <f t="shared" si="2"/>
        <v>0</v>
      </c>
      <c r="I110" s="18">
        <v>0</v>
      </c>
      <c r="J110" s="15"/>
      <c r="K110" s="17">
        <v>-24993562</v>
      </c>
      <c r="M110" s="17">
        <v>2635614794</v>
      </c>
      <c r="O110" s="17">
        <f t="shared" si="3"/>
        <v>2610621232</v>
      </c>
      <c r="Q110" s="18">
        <v>1.516810867361371E-2</v>
      </c>
    </row>
    <row r="111" spans="1:17" ht="21" x14ac:dyDescent="0.55000000000000004">
      <c r="A111" s="16" t="s">
        <v>269</v>
      </c>
      <c r="C111" s="17">
        <v>0</v>
      </c>
      <c r="E111" s="17">
        <v>0</v>
      </c>
      <c r="G111" s="17">
        <f t="shared" si="2"/>
        <v>0</v>
      </c>
      <c r="I111" s="18">
        <v>0</v>
      </c>
      <c r="J111" s="15"/>
      <c r="K111" s="17">
        <v>51986610</v>
      </c>
      <c r="M111" s="17">
        <v>220595472</v>
      </c>
      <c r="O111" s="17">
        <f t="shared" si="3"/>
        <v>272582082</v>
      </c>
      <c r="Q111" s="18">
        <v>1.5837435900605144E-3</v>
      </c>
    </row>
    <row r="112" spans="1:17" ht="21" x14ac:dyDescent="0.55000000000000004">
      <c r="A112" s="16" t="s">
        <v>270</v>
      </c>
      <c r="C112" s="17">
        <v>0</v>
      </c>
      <c r="E112" s="17">
        <v>0</v>
      </c>
      <c r="G112" s="17">
        <f t="shared" si="2"/>
        <v>0</v>
      </c>
      <c r="I112" s="18">
        <v>0</v>
      </c>
      <c r="J112" s="15"/>
      <c r="K112" s="17">
        <v>-998</v>
      </c>
      <c r="M112" s="17">
        <v>769032514</v>
      </c>
      <c r="O112" s="17">
        <f t="shared" si="3"/>
        <v>769031516</v>
      </c>
      <c r="Q112" s="18">
        <v>4.4681907375684364E-3</v>
      </c>
    </row>
    <row r="113" spans="1:17" ht="21" x14ac:dyDescent="0.55000000000000004">
      <c r="A113" s="16" t="s">
        <v>271</v>
      </c>
      <c r="C113" s="17">
        <v>0</v>
      </c>
      <c r="E113" s="17">
        <v>0</v>
      </c>
      <c r="G113" s="17">
        <f t="shared" si="2"/>
        <v>0</v>
      </c>
      <c r="I113" s="18">
        <v>0</v>
      </c>
      <c r="J113" s="15"/>
      <c r="K113" s="17">
        <v>0</v>
      </c>
      <c r="M113" s="17">
        <v>2823802</v>
      </c>
      <c r="O113" s="17">
        <f t="shared" si="3"/>
        <v>2823802</v>
      </c>
      <c r="Q113" s="18">
        <v>1.6406721543421408E-5</v>
      </c>
    </row>
    <row r="114" spans="1:17" ht="21" x14ac:dyDescent="0.55000000000000004">
      <c r="A114" s="16" t="s">
        <v>272</v>
      </c>
      <c r="C114" s="17">
        <v>0</v>
      </c>
      <c r="E114" s="17">
        <v>0</v>
      </c>
      <c r="G114" s="17">
        <f t="shared" si="2"/>
        <v>0</v>
      </c>
      <c r="I114" s="18">
        <v>0</v>
      </c>
      <c r="J114" s="15"/>
      <c r="K114" s="17">
        <v>24667646</v>
      </c>
      <c r="M114" s="17">
        <v>137838676</v>
      </c>
      <c r="O114" s="17">
        <f t="shared" si="3"/>
        <v>162506322</v>
      </c>
      <c r="Q114" s="18">
        <v>9.4418658748013373E-4</v>
      </c>
    </row>
    <row r="115" spans="1:17" ht="21" x14ac:dyDescent="0.55000000000000004">
      <c r="A115" s="16" t="s">
        <v>273</v>
      </c>
      <c r="C115" s="17">
        <v>0</v>
      </c>
      <c r="E115" s="17">
        <v>0</v>
      </c>
      <c r="G115" s="17">
        <f t="shared" si="2"/>
        <v>0</v>
      </c>
      <c r="I115" s="18">
        <v>0</v>
      </c>
      <c r="J115" s="15"/>
      <c r="K115" s="17">
        <v>2000</v>
      </c>
      <c r="M115" s="17">
        <v>1604128594</v>
      </c>
      <c r="O115" s="17">
        <f t="shared" si="3"/>
        <v>1604130594</v>
      </c>
      <c r="Q115" s="18">
        <v>9.3202441159263936E-3</v>
      </c>
    </row>
    <row r="116" spans="1:17" ht="21" x14ac:dyDescent="0.55000000000000004">
      <c r="A116" s="16" t="s">
        <v>274</v>
      </c>
      <c r="C116" s="17">
        <v>0</v>
      </c>
      <c r="E116" s="17">
        <v>0</v>
      </c>
      <c r="G116" s="17">
        <f t="shared" si="2"/>
        <v>0</v>
      </c>
      <c r="I116" s="18">
        <v>0</v>
      </c>
      <c r="J116" s="15"/>
      <c r="K116" s="17">
        <v>50986</v>
      </c>
      <c r="M116" s="17">
        <v>1173724363</v>
      </c>
      <c r="O116" s="17">
        <f t="shared" si="3"/>
        <v>1173775349</v>
      </c>
      <c r="Q116" s="18">
        <v>6.8198143161508074E-3</v>
      </c>
    </row>
    <row r="117" spans="1:17" ht="21" x14ac:dyDescent="0.55000000000000004">
      <c r="A117" s="16" t="s">
        <v>308</v>
      </c>
      <c r="C117" s="17">
        <v>60015450</v>
      </c>
      <c r="E117" s="17">
        <v>0</v>
      </c>
      <c r="G117" s="17">
        <f t="shared" si="2"/>
        <v>60015450</v>
      </c>
      <c r="I117" s="18">
        <v>3.8866049864059321E-4</v>
      </c>
      <c r="J117" s="15"/>
      <c r="K117" s="17">
        <v>60015450</v>
      </c>
      <c r="M117" s="17">
        <v>0</v>
      </c>
      <c r="O117" s="17">
        <f t="shared" si="3"/>
        <v>60015450</v>
      </c>
      <c r="Q117" s="18">
        <v>3.4869894434989791E-4</v>
      </c>
    </row>
    <row r="118" spans="1:17" ht="21" x14ac:dyDescent="0.55000000000000004">
      <c r="A118" s="16" t="s">
        <v>275</v>
      </c>
      <c r="C118" s="17">
        <v>0</v>
      </c>
      <c r="E118" s="17">
        <v>0</v>
      </c>
      <c r="G118" s="17">
        <f t="shared" si="2"/>
        <v>0</v>
      </c>
      <c r="I118" s="18">
        <v>0</v>
      </c>
      <c r="J118" s="15"/>
      <c r="K118" s="17">
        <v>7210143</v>
      </c>
      <c r="M118" s="17">
        <v>15820222</v>
      </c>
      <c r="O118" s="17">
        <f t="shared" si="3"/>
        <v>23030365</v>
      </c>
      <c r="Q118" s="18">
        <v>1.338099433311395E-4</v>
      </c>
    </row>
    <row r="119" spans="1:17" ht="21" x14ac:dyDescent="0.55000000000000004">
      <c r="A119" s="16" t="s">
        <v>276</v>
      </c>
      <c r="C119" s="17">
        <v>0</v>
      </c>
      <c r="E119" s="17">
        <v>0</v>
      </c>
      <c r="G119" s="17">
        <f t="shared" si="2"/>
        <v>0</v>
      </c>
      <c r="I119" s="18">
        <v>0</v>
      </c>
      <c r="J119" s="15"/>
      <c r="K119" s="17">
        <v>0</v>
      </c>
      <c r="M119" s="17">
        <v>1217020000</v>
      </c>
      <c r="O119" s="17">
        <f t="shared" si="3"/>
        <v>1217020000</v>
      </c>
      <c r="Q119" s="18">
        <v>7.0710723530809606E-3</v>
      </c>
    </row>
    <row r="120" spans="1:17" ht="21" x14ac:dyDescent="0.55000000000000004">
      <c r="A120" s="16" t="s">
        <v>277</v>
      </c>
      <c r="C120" s="17">
        <v>0</v>
      </c>
      <c r="E120" s="17">
        <v>0</v>
      </c>
      <c r="G120" s="17">
        <f t="shared" si="2"/>
        <v>0</v>
      </c>
      <c r="I120" s="18">
        <v>0</v>
      </c>
      <c r="J120" s="15"/>
      <c r="K120" s="17">
        <v>662751298</v>
      </c>
      <c r="M120" s="17">
        <v>-890035553</v>
      </c>
      <c r="O120" s="17">
        <f t="shared" si="3"/>
        <v>-227284255</v>
      </c>
      <c r="Q120" s="18">
        <v>-1.3205562865204377E-3</v>
      </c>
    </row>
    <row r="121" spans="1:17" ht="21" x14ac:dyDescent="0.55000000000000004">
      <c r="A121" s="16" t="s">
        <v>278</v>
      </c>
      <c r="C121" s="17">
        <v>0</v>
      </c>
      <c r="E121" s="17">
        <v>0</v>
      </c>
      <c r="G121" s="17">
        <f t="shared" si="2"/>
        <v>0</v>
      </c>
      <c r="I121" s="18">
        <v>0</v>
      </c>
      <c r="J121" s="15"/>
      <c r="K121" s="17">
        <v>2413378</v>
      </c>
      <c r="M121" s="17">
        <v>-9841314</v>
      </c>
      <c r="O121" s="17">
        <f t="shared" si="3"/>
        <v>-7427936</v>
      </c>
      <c r="Q121" s="18">
        <v>-4.3157444323063531E-5</v>
      </c>
    </row>
    <row r="122" spans="1:17" ht="21" x14ac:dyDescent="0.55000000000000004">
      <c r="A122" s="16" t="s">
        <v>312</v>
      </c>
      <c r="C122" s="17">
        <v>0</v>
      </c>
      <c r="E122" s="17">
        <v>31000000</v>
      </c>
      <c r="G122" s="17">
        <f t="shared" si="2"/>
        <v>31000000</v>
      </c>
      <c r="I122" s="18">
        <v>2.0075622956852593E-4</v>
      </c>
      <c r="J122" s="15"/>
      <c r="K122" s="17">
        <v>0</v>
      </c>
      <c r="M122" s="17">
        <v>31000000</v>
      </c>
      <c r="O122" s="17">
        <f t="shared" si="3"/>
        <v>31000000</v>
      </c>
      <c r="Q122" s="18">
        <v>1.8011474170145911E-4</v>
      </c>
    </row>
    <row r="123" spans="1:17" ht="21" x14ac:dyDescent="0.55000000000000004">
      <c r="A123" s="16" t="s">
        <v>279</v>
      </c>
      <c r="C123" s="17">
        <v>0</v>
      </c>
      <c r="E123" s="17">
        <v>0</v>
      </c>
      <c r="G123" s="17">
        <f t="shared" si="2"/>
        <v>0</v>
      </c>
      <c r="I123" s="18">
        <v>0</v>
      </c>
      <c r="J123" s="15"/>
      <c r="K123" s="17">
        <v>-20994592</v>
      </c>
      <c r="M123" s="17">
        <v>97524246</v>
      </c>
      <c r="O123" s="17">
        <f t="shared" si="3"/>
        <v>76529654</v>
      </c>
      <c r="Q123" s="18">
        <v>4.4464899557135606E-4</v>
      </c>
    </row>
    <row r="124" spans="1:17" ht="21" x14ac:dyDescent="0.55000000000000004">
      <c r="A124" s="16" t="s">
        <v>280</v>
      </c>
      <c r="C124" s="17">
        <v>0</v>
      </c>
      <c r="E124" s="17">
        <v>0</v>
      </c>
      <c r="G124" s="17">
        <f t="shared" si="2"/>
        <v>0</v>
      </c>
      <c r="I124" s="18">
        <v>0</v>
      </c>
      <c r="J124" s="15"/>
      <c r="K124" s="17">
        <v>0</v>
      </c>
      <c r="M124" s="17">
        <v>228052331</v>
      </c>
      <c r="O124" s="17">
        <f t="shared" si="3"/>
        <v>228052331</v>
      </c>
      <c r="Q124" s="18">
        <v>1.3250189255638923E-3</v>
      </c>
    </row>
    <row r="125" spans="1:17" ht="21" x14ac:dyDescent="0.55000000000000004">
      <c r="A125" s="16" t="s">
        <v>281</v>
      </c>
      <c r="C125" s="17">
        <v>0</v>
      </c>
      <c r="E125" s="17">
        <v>0</v>
      </c>
      <c r="G125" s="17">
        <f t="shared" si="2"/>
        <v>0</v>
      </c>
      <c r="I125" s="18">
        <v>0</v>
      </c>
      <c r="J125" s="15"/>
      <c r="K125" s="17">
        <v>186951848</v>
      </c>
      <c r="M125" s="17">
        <v>1327034090</v>
      </c>
      <c r="O125" s="17">
        <f t="shared" si="3"/>
        <v>1513985938</v>
      </c>
      <c r="Q125" s="18">
        <v>8.7964898762100414E-3</v>
      </c>
    </row>
    <row r="126" spans="1:17" ht="21" x14ac:dyDescent="0.55000000000000004">
      <c r="A126" s="16" t="s">
        <v>282</v>
      </c>
      <c r="C126" s="17">
        <v>0</v>
      </c>
      <c r="E126" s="17">
        <v>0</v>
      </c>
      <c r="G126" s="17">
        <f t="shared" si="2"/>
        <v>0</v>
      </c>
      <c r="I126" s="18">
        <v>0</v>
      </c>
      <c r="J126" s="15"/>
      <c r="K126" s="17">
        <v>239938200</v>
      </c>
      <c r="M126" s="17">
        <v>315434648</v>
      </c>
      <c r="O126" s="17">
        <f t="shared" si="3"/>
        <v>555372848</v>
      </c>
      <c r="Q126" s="18">
        <v>3.2268011956620556E-3</v>
      </c>
    </row>
    <row r="127" spans="1:17" ht="21" x14ac:dyDescent="0.55000000000000004">
      <c r="A127" s="16" t="s">
        <v>283</v>
      </c>
      <c r="C127" s="17">
        <v>0</v>
      </c>
      <c r="E127" s="17">
        <v>0</v>
      </c>
      <c r="G127" s="17">
        <f t="shared" si="2"/>
        <v>0</v>
      </c>
      <c r="I127" s="18">
        <v>0</v>
      </c>
      <c r="J127" s="15"/>
      <c r="K127" s="17">
        <v>19187058</v>
      </c>
      <c r="M127" s="17">
        <v>292526296</v>
      </c>
      <c r="O127" s="17">
        <f t="shared" si="3"/>
        <v>311713354</v>
      </c>
      <c r="Q127" s="18">
        <v>1.8111022658259836E-3</v>
      </c>
    </row>
    <row r="128" spans="1:17" ht="21" x14ac:dyDescent="0.55000000000000004">
      <c r="A128" s="16" t="s">
        <v>284</v>
      </c>
      <c r="C128" s="17">
        <v>0</v>
      </c>
      <c r="E128" s="17">
        <v>0</v>
      </c>
      <c r="G128" s="17">
        <f t="shared" si="2"/>
        <v>0</v>
      </c>
      <c r="I128" s="18">
        <v>0</v>
      </c>
      <c r="J128" s="15"/>
      <c r="K128" s="17">
        <v>-99619341</v>
      </c>
      <c r="M128" s="17">
        <v>-1296705566</v>
      </c>
      <c r="O128" s="17">
        <f t="shared" si="3"/>
        <v>-1396324907</v>
      </c>
      <c r="Q128" s="18">
        <v>-8.1128612888909327E-3</v>
      </c>
    </row>
    <row r="129" spans="1:17" ht="21" x14ac:dyDescent="0.55000000000000004">
      <c r="A129" s="16" t="s">
        <v>285</v>
      </c>
      <c r="C129" s="17">
        <v>0</v>
      </c>
      <c r="E129" s="17">
        <v>0</v>
      </c>
      <c r="G129" s="17">
        <f t="shared" si="2"/>
        <v>0</v>
      </c>
      <c r="I129" s="18">
        <v>0</v>
      </c>
      <c r="J129" s="15"/>
      <c r="K129" s="17">
        <v>0</v>
      </c>
      <c r="M129" s="17">
        <v>39885150</v>
      </c>
      <c r="O129" s="17">
        <f t="shared" si="3"/>
        <v>39885150</v>
      </c>
      <c r="Q129" s="18">
        <v>2.3173882225722427E-4</v>
      </c>
    </row>
    <row r="130" spans="1:17" ht="21" x14ac:dyDescent="0.55000000000000004">
      <c r="A130" s="16" t="s">
        <v>286</v>
      </c>
      <c r="C130" s="17">
        <v>0</v>
      </c>
      <c r="E130" s="17">
        <v>0</v>
      </c>
      <c r="G130" s="17">
        <f t="shared" si="2"/>
        <v>0</v>
      </c>
      <c r="I130" s="18">
        <v>0</v>
      </c>
      <c r="J130" s="15"/>
      <c r="K130" s="17">
        <v>-17246938</v>
      </c>
      <c r="M130" s="17">
        <v>-5922</v>
      </c>
      <c r="O130" s="17">
        <f t="shared" si="3"/>
        <v>-17252860</v>
      </c>
      <c r="Q130" s="18">
        <v>-1.0024175556488504E-4</v>
      </c>
    </row>
    <row r="131" spans="1:17" ht="21" x14ac:dyDescent="0.55000000000000004">
      <c r="A131" s="16" t="s">
        <v>287</v>
      </c>
      <c r="C131" s="17">
        <v>0</v>
      </c>
      <c r="E131" s="17">
        <v>0</v>
      </c>
      <c r="G131" s="17">
        <f t="shared" si="2"/>
        <v>0</v>
      </c>
      <c r="I131" s="18">
        <v>0</v>
      </c>
      <c r="J131" s="15"/>
      <c r="K131" s="17">
        <v>-1058727</v>
      </c>
      <c r="M131" s="17">
        <v>2056806</v>
      </c>
      <c r="O131" s="17">
        <f t="shared" si="3"/>
        <v>998079</v>
      </c>
      <c r="Q131" s="18">
        <v>5.7989916542790519E-6</v>
      </c>
    </row>
    <row r="132" spans="1:17" ht="21" x14ac:dyDescent="0.55000000000000004">
      <c r="A132" s="16" t="s">
        <v>313</v>
      </c>
      <c r="C132" s="17">
        <v>0</v>
      </c>
      <c r="E132" s="17">
        <v>3932000</v>
      </c>
      <c r="G132" s="17">
        <f t="shared" si="2"/>
        <v>3932000</v>
      </c>
      <c r="I132" s="18">
        <v>2.5463661118175612E-5</v>
      </c>
      <c r="J132" s="15"/>
      <c r="K132" s="17">
        <v>0</v>
      </c>
      <c r="M132" s="17">
        <v>3932000</v>
      </c>
      <c r="O132" s="17">
        <f t="shared" si="3"/>
        <v>3932000</v>
      </c>
      <c r="Q132" s="18">
        <v>2.2845521431294751E-5</v>
      </c>
    </row>
    <row r="133" spans="1:17" ht="21" x14ac:dyDescent="0.55000000000000004">
      <c r="A133" s="16" t="s">
        <v>309</v>
      </c>
      <c r="C133" s="17">
        <v>5009270</v>
      </c>
      <c r="E133" s="17">
        <v>0</v>
      </c>
      <c r="G133" s="17">
        <f t="shared" si="2"/>
        <v>5009270</v>
      </c>
      <c r="I133" s="18">
        <v>3.2440069615829995E-5</v>
      </c>
      <c r="J133" s="15"/>
      <c r="K133" s="17">
        <v>5009270</v>
      </c>
      <c r="M133" s="17">
        <v>0</v>
      </c>
      <c r="O133" s="17">
        <f t="shared" si="3"/>
        <v>5009270</v>
      </c>
      <c r="Q133" s="18">
        <v>2.9104624908479619E-5</v>
      </c>
    </row>
    <row r="134" spans="1:17" ht="21" x14ac:dyDescent="0.55000000000000004">
      <c r="A134" s="16" t="s">
        <v>314</v>
      </c>
      <c r="C134" s="17">
        <v>0</v>
      </c>
      <c r="E134" s="17">
        <v>6392847</v>
      </c>
      <c r="G134" s="17">
        <f t="shared" si="2"/>
        <v>6392847</v>
      </c>
      <c r="I134" s="18">
        <v>4.1400124513821369E-5</v>
      </c>
      <c r="J134" s="15"/>
      <c r="K134" s="17">
        <v>0</v>
      </c>
      <c r="M134" s="17">
        <v>6392847</v>
      </c>
      <c r="O134" s="17">
        <f t="shared" si="3"/>
        <v>6392847</v>
      </c>
      <c r="Q134" s="18">
        <v>3.7143418907804766E-5</v>
      </c>
    </row>
    <row r="135" spans="1:17" ht="21" x14ac:dyDescent="0.55000000000000004">
      <c r="A135" s="16" t="s">
        <v>288</v>
      </c>
      <c r="C135" s="17">
        <v>0</v>
      </c>
      <c r="E135" s="17">
        <v>0</v>
      </c>
      <c r="G135" s="17">
        <f t="shared" si="2"/>
        <v>0</v>
      </c>
      <c r="I135" s="18">
        <v>0</v>
      </c>
      <c r="J135" s="15"/>
      <c r="K135" s="17">
        <v>17717036</v>
      </c>
      <c r="M135" s="17">
        <v>798792798</v>
      </c>
      <c r="O135" s="17">
        <f t="shared" si="3"/>
        <v>816509834</v>
      </c>
      <c r="Q135" s="18">
        <v>4.7440470273422989E-3</v>
      </c>
    </row>
    <row r="136" spans="1:17" ht="21" x14ac:dyDescent="0.55000000000000004">
      <c r="A136" s="16" t="s">
        <v>289</v>
      </c>
      <c r="C136" s="17">
        <v>0</v>
      </c>
      <c r="E136" s="17">
        <v>0</v>
      </c>
      <c r="G136" s="17">
        <f t="shared" si="2"/>
        <v>0</v>
      </c>
      <c r="I136" s="18">
        <v>0</v>
      </c>
      <c r="J136" s="15"/>
      <c r="K136" s="17">
        <v>57921</v>
      </c>
      <c r="M136" s="17">
        <v>1155071</v>
      </c>
      <c r="O136" s="17">
        <f t="shared" si="3"/>
        <v>1212992</v>
      </c>
      <c r="Q136" s="18">
        <v>7.0476690569656869E-6</v>
      </c>
    </row>
    <row r="137" spans="1:17" ht="21" x14ac:dyDescent="0.55000000000000004">
      <c r="A137" s="16" t="s">
        <v>290</v>
      </c>
      <c r="C137" s="17">
        <v>0</v>
      </c>
      <c r="E137" s="17">
        <v>0</v>
      </c>
      <c r="G137" s="17">
        <f t="shared" si="2"/>
        <v>0</v>
      </c>
      <c r="I137" s="18">
        <v>0</v>
      </c>
      <c r="J137" s="15"/>
      <c r="K137" s="17">
        <v>3478672</v>
      </c>
      <c r="M137" s="17">
        <v>140314108</v>
      </c>
      <c r="O137" s="17">
        <f t="shared" si="3"/>
        <v>143792780</v>
      </c>
      <c r="Q137" s="18">
        <v>8.3545804607208828E-4</v>
      </c>
    </row>
    <row r="138" spans="1:17" ht="21" x14ac:dyDescent="0.55000000000000004">
      <c r="A138" s="16" t="s">
        <v>291</v>
      </c>
      <c r="C138" s="17">
        <v>0</v>
      </c>
      <c r="E138" s="17">
        <v>0</v>
      </c>
      <c r="G138" s="17">
        <f t="shared" ref="G138:G141" si="4">E138+C138</f>
        <v>0</v>
      </c>
      <c r="I138" s="18">
        <v>0</v>
      </c>
      <c r="J138" s="15"/>
      <c r="K138" s="17">
        <v>851781</v>
      </c>
      <c r="M138" s="17">
        <v>603719549</v>
      </c>
      <c r="O138" s="17">
        <f t="shared" ref="O138:O141" si="5">M138+K138</f>
        <v>604571330</v>
      </c>
      <c r="Q138" s="18">
        <v>3.5126519013889551E-3</v>
      </c>
    </row>
    <row r="139" spans="1:17" ht="21" x14ac:dyDescent="0.55000000000000004">
      <c r="A139" s="16" t="s">
        <v>292</v>
      </c>
      <c r="C139" s="17">
        <v>0</v>
      </c>
      <c r="E139" s="17">
        <v>0</v>
      </c>
      <c r="G139" s="17">
        <f t="shared" si="4"/>
        <v>0</v>
      </c>
      <c r="I139" s="18">
        <v>0</v>
      </c>
      <c r="J139" s="15"/>
      <c r="K139" s="17">
        <v>2659259</v>
      </c>
      <c r="M139" s="17">
        <v>4658928</v>
      </c>
      <c r="O139" s="17">
        <f t="shared" si="5"/>
        <v>7318187</v>
      </c>
      <c r="Q139" s="18">
        <v>4.2519785846063743E-5</v>
      </c>
    </row>
    <row r="140" spans="1:17" ht="21" x14ac:dyDescent="0.55000000000000004">
      <c r="A140" s="16" t="s">
        <v>293</v>
      </c>
      <c r="C140" s="17">
        <v>0</v>
      </c>
      <c r="E140" s="17">
        <v>0</v>
      </c>
      <c r="G140" s="17">
        <f t="shared" si="4"/>
        <v>0</v>
      </c>
      <c r="I140" s="18">
        <v>0</v>
      </c>
      <c r="J140" s="15"/>
      <c r="K140" s="17">
        <v>-1887514</v>
      </c>
      <c r="M140" s="17">
        <v>250998754</v>
      </c>
      <c r="O140" s="17">
        <f t="shared" si="5"/>
        <v>249111240</v>
      </c>
      <c r="Q140" s="18">
        <v>1.4473744079848449E-3</v>
      </c>
    </row>
    <row r="141" spans="1:17" ht="21" x14ac:dyDescent="0.55000000000000004">
      <c r="A141" s="16" t="s">
        <v>294</v>
      </c>
      <c r="C141" s="17">
        <v>0</v>
      </c>
      <c r="E141" s="17">
        <v>0</v>
      </c>
      <c r="G141" s="17">
        <f t="shared" si="4"/>
        <v>0</v>
      </c>
      <c r="I141" s="18">
        <v>0</v>
      </c>
      <c r="J141" s="15"/>
      <c r="K141" s="17">
        <v>0</v>
      </c>
      <c r="M141" s="17">
        <v>-2697975</v>
      </c>
      <c r="O141" s="17">
        <f t="shared" si="5"/>
        <v>-2697975</v>
      </c>
      <c r="Q141" s="18">
        <v>-1.5675647427161102E-5</v>
      </c>
    </row>
    <row r="142" spans="1:17" ht="21.75" thickBot="1" x14ac:dyDescent="0.6">
      <c r="A142" s="19" t="s">
        <v>9</v>
      </c>
      <c r="C142" s="19">
        <f>SUM(C9:C141)</f>
        <v>125417510</v>
      </c>
      <c r="E142" s="19">
        <f>SUM(E9:E141)</f>
        <v>-316498568</v>
      </c>
      <c r="G142" s="19">
        <f>SUM(G9:G141)</f>
        <v>-191081058</v>
      </c>
      <c r="I142" s="24">
        <f>SUM(I9:I141)</f>
        <v>-1.2374423466466045E-3</v>
      </c>
      <c r="K142" s="19">
        <f>SUM(K9:K141)</f>
        <v>2627852855</v>
      </c>
      <c r="M142" s="19">
        <f>SUM(M9:M141)</f>
        <v>24030699736</v>
      </c>
      <c r="O142" s="19">
        <f>SUM(O9:O141)</f>
        <v>26658552591</v>
      </c>
      <c r="Q142" s="24">
        <f>SUM(Q9:Q141)</f>
        <v>0.15489026819557192</v>
      </c>
    </row>
    <row r="143" spans="1:17" ht="21.75" thickTop="1" x14ac:dyDescent="0.55000000000000004">
      <c r="C143" s="21"/>
      <c r="E143" s="21"/>
      <c r="G143" s="21"/>
      <c r="I143" s="21"/>
      <c r="K143" s="21"/>
      <c r="M143" s="21"/>
      <c r="O143" s="21"/>
      <c r="Q143" s="21"/>
    </row>
  </sheetData>
  <sortState xmlns:xlrd2="http://schemas.microsoft.com/office/spreadsheetml/2017/richdata2" ref="A9:Q141">
    <sortCondition ref="A9:A141"/>
  </sortState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E3A3-599B-4254-9661-8BA204FB43D8}">
  <sheetPr>
    <pageSetUpPr fitToPage="1"/>
  </sheetPr>
  <dimension ref="A1:K12"/>
  <sheetViews>
    <sheetView rightToLeft="1" view="pageBreakPreview" zoomScaleNormal="100" zoomScaleSheetLayoutView="100" workbookViewId="0">
      <selection activeCell="K9" sqref="K9:K10"/>
    </sheetView>
  </sheetViews>
  <sheetFormatPr defaultColWidth="8.85546875" defaultRowHeight="19.5" x14ac:dyDescent="0.55000000000000004"/>
  <cols>
    <col min="1" max="1" width="25.5703125" style="25" customWidth="1"/>
    <col min="2" max="2" width="1.42578125" style="25" customWidth="1"/>
    <col min="3" max="3" width="17" style="25" customWidth="1"/>
    <col min="4" max="4" width="1.42578125" style="25" customWidth="1"/>
    <col min="5" max="5" width="17" style="25" customWidth="1"/>
    <col min="6" max="6" width="1.42578125" style="25" customWidth="1"/>
    <col min="7" max="7" width="14.140625" style="25" customWidth="1"/>
    <col min="8" max="8" width="1.42578125" style="25" customWidth="1"/>
    <col min="9" max="9" width="17" style="25" customWidth="1"/>
    <col min="10" max="10" width="1.42578125" style="25" customWidth="1"/>
    <col min="11" max="11" width="14.140625" style="25" customWidth="1"/>
    <col min="12" max="16384" width="8.85546875" style="25"/>
  </cols>
  <sheetData>
    <row r="1" spans="1:11" ht="19.899999999999999" customHeight="1" x14ac:dyDescent="0.55000000000000004">
      <c r="A1" s="99" t="s">
        <v>106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19.899999999999999" customHeight="1" x14ac:dyDescent="0.55000000000000004">
      <c r="A2" s="99" t="s">
        <v>23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19.899999999999999" customHeight="1" x14ac:dyDescent="0.55000000000000004">
      <c r="A3" s="99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5" spans="1:11" ht="21" x14ac:dyDescent="0.55000000000000004">
      <c r="A5" s="101" t="s">
        <v>316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7" spans="1:11" ht="21" x14ac:dyDescent="0.55000000000000004">
      <c r="A7" s="102" t="s">
        <v>43</v>
      </c>
      <c r="B7" s="103"/>
      <c r="C7" s="103"/>
      <c r="E7" s="102" t="s">
        <v>58</v>
      </c>
      <c r="F7" s="103"/>
      <c r="G7" s="103"/>
      <c r="I7" s="102" t="s">
        <v>59</v>
      </c>
      <c r="J7" s="103"/>
      <c r="K7" s="103"/>
    </row>
    <row r="8" spans="1:11" ht="42" x14ac:dyDescent="0.55000000000000004">
      <c r="A8" s="26" t="s">
        <v>44</v>
      </c>
      <c r="C8" s="26" t="s">
        <v>14</v>
      </c>
      <c r="E8" s="26" t="s">
        <v>45</v>
      </c>
      <c r="G8" s="26" t="s">
        <v>315</v>
      </c>
      <c r="I8" s="26" t="s">
        <v>45</v>
      </c>
      <c r="K8" s="26" t="s">
        <v>315</v>
      </c>
    </row>
    <row r="9" spans="1:11" ht="21" x14ac:dyDescent="0.55000000000000004">
      <c r="A9" s="27" t="s">
        <v>46</v>
      </c>
      <c r="C9" s="28" t="s">
        <v>113</v>
      </c>
      <c r="E9" s="29">
        <v>3356376</v>
      </c>
      <c r="G9" s="30">
        <f>E9/$E$11</f>
        <v>2.8227439485112144E-3</v>
      </c>
      <c r="I9" s="29">
        <v>27546594</v>
      </c>
      <c r="K9" s="30">
        <f>I9/$I$11</f>
        <v>2.3902202070027359E-3</v>
      </c>
    </row>
    <row r="10" spans="1:11" ht="42" x14ac:dyDescent="0.55000000000000004">
      <c r="A10" s="27" t="s">
        <v>47</v>
      </c>
      <c r="C10" s="28" t="s">
        <v>108</v>
      </c>
      <c r="E10" s="29">
        <v>1185690899</v>
      </c>
      <c r="G10" s="30">
        <f>E10/$E$11</f>
        <v>0.99717725605148877</v>
      </c>
      <c r="I10" s="29">
        <v>11497163104</v>
      </c>
      <c r="K10" s="30">
        <f>I10/$I$11</f>
        <v>0.99760977979299725</v>
      </c>
    </row>
    <row r="11" spans="1:11" ht="21.75" thickBot="1" x14ac:dyDescent="0.6">
      <c r="A11" s="31" t="s">
        <v>9</v>
      </c>
      <c r="E11" s="31">
        <f>SUM(E9:$E$10)</f>
        <v>1189047275</v>
      </c>
      <c r="G11" s="33">
        <f>SUM(G9:$G$10)</f>
        <v>1</v>
      </c>
      <c r="I11" s="31">
        <f>SUM(I9:$I$10)</f>
        <v>11524709698</v>
      </c>
      <c r="K11" s="33">
        <f>SUM(K9:$K$10)</f>
        <v>1</v>
      </c>
    </row>
    <row r="12" spans="1:11" ht="21.75" thickTop="1" x14ac:dyDescent="0.55000000000000004">
      <c r="E12" s="32"/>
      <c r="G12" s="32"/>
      <c r="I12" s="32"/>
      <c r="K12" s="32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E782-50E1-4AD5-BA1A-9F60924269F8}">
  <sheetPr>
    <pageSetUpPr fitToPage="1"/>
  </sheetPr>
  <dimension ref="A1:E12"/>
  <sheetViews>
    <sheetView rightToLeft="1" view="pageBreakPreview" zoomScaleNormal="100" zoomScaleSheetLayoutView="100" workbookViewId="0">
      <selection activeCell="C10" sqref="C10"/>
    </sheetView>
  </sheetViews>
  <sheetFormatPr defaultColWidth="8.85546875" defaultRowHeight="19.5" x14ac:dyDescent="0.55000000000000004"/>
  <cols>
    <col min="1" max="1" width="33.140625" style="1" customWidth="1"/>
    <col min="2" max="2" width="1.42578125" style="1" customWidth="1"/>
    <col min="3" max="3" width="25.42578125" style="1" customWidth="1"/>
    <col min="4" max="4" width="1.42578125" style="1" customWidth="1"/>
    <col min="5" max="5" width="33.28515625" style="1" customWidth="1"/>
    <col min="6" max="16384" width="8.85546875" style="1"/>
  </cols>
  <sheetData>
    <row r="1" spans="1:5" ht="19.899999999999999" customHeight="1" x14ac:dyDescent="0.55000000000000004">
      <c r="A1" s="90" t="s">
        <v>106</v>
      </c>
      <c r="B1" s="80"/>
      <c r="C1" s="80"/>
      <c r="D1" s="80"/>
      <c r="E1" s="80"/>
    </row>
    <row r="2" spans="1:5" ht="19.899999999999999" customHeight="1" x14ac:dyDescent="0.55000000000000004">
      <c r="A2" s="90" t="s">
        <v>23</v>
      </c>
      <c r="B2" s="80"/>
      <c r="C2" s="80"/>
      <c r="D2" s="80"/>
      <c r="E2" s="80"/>
    </row>
    <row r="3" spans="1:5" ht="19.899999999999999" customHeight="1" x14ac:dyDescent="0.55000000000000004">
      <c r="A3" s="90" t="s">
        <v>1</v>
      </c>
      <c r="B3" s="80"/>
      <c r="C3" s="80"/>
      <c r="D3" s="80"/>
      <c r="E3" s="80"/>
    </row>
    <row r="5" spans="1:5" ht="21" x14ac:dyDescent="0.55000000000000004">
      <c r="A5" s="91" t="s">
        <v>317</v>
      </c>
      <c r="B5" s="80"/>
      <c r="C5" s="80"/>
      <c r="D5" s="80"/>
      <c r="E5" s="80"/>
    </row>
    <row r="7" spans="1:5" ht="21" x14ac:dyDescent="0.55000000000000004">
      <c r="C7" s="12" t="s">
        <v>58</v>
      </c>
      <c r="E7" s="12" t="s">
        <v>59</v>
      </c>
    </row>
    <row r="8" spans="1:5" ht="21" x14ac:dyDescent="0.55000000000000004">
      <c r="A8" s="13" t="s">
        <v>30</v>
      </c>
      <c r="C8" s="13" t="s">
        <v>17</v>
      </c>
      <c r="E8" s="13" t="s">
        <v>17</v>
      </c>
    </row>
    <row r="9" spans="1:5" ht="21" x14ac:dyDescent="0.55000000000000004">
      <c r="A9" s="16" t="s">
        <v>60</v>
      </c>
      <c r="C9" s="17">
        <v>11130268</v>
      </c>
      <c r="E9" s="17">
        <v>153233210</v>
      </c>
    </row>
    <row r="10" spans="1:5" ht="21" x14ac:dyDescent="0.55000000000000004">
      <c r="A10" s="16" t="s">
        <v>318</v>
      </c>
      <c r="C10" s="17">
        <v>0</v>
      </c>
      <c r="E10" s="17">
        <v>51908</v>
      </c>
    </row>
    <row r="11" spans="1:5" ht="21.75" thickBot="1" x14ac:dyDescent="0.6">
      <c r="A11" s="19" t="s">
        <v>9</v>
      </c>
      <c r="C11" s="19">
        <f>SUM(C9:C10)</f>
        <v>11130268</v>
      </c>
      <c r="E11" s="19">
        <f>SUM(E9:E10)</f>
        <v>153285118</v>
      </c>
    </row>
    <row r="12" spans="1:5" ht="21.75" thickTop="1" x14ac:dyDescent="0.55000000000000004">
      <c r="C12" s="21"/>
      <c r="E12" s="21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92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5425-8E60-4F90-990D-CE6AAB87085A}">
  <sheetPr>
    <pageSetUpPr fitToPage="1"/>
  </sheetPr>
  <dimension ref="A1:S52"/>
  <sheetViews>
    <sheetView rightToLeft="1" view="pageBreakPreview" zoomScale="60" zoomScaleNormal="100" workbookViewId="0">
      <selection sqref="A1:S1"/>
    </sheetView>
  </sheetViews>
  <sheetFormatPr defaultColWidth="8.85546875" defaultRowHeight="19.5" x14ac:dyDescent="0.55000000000000004"/>
  <cols>
    <col min="1" max="1" width="33.85546875" style="46" customWidth="1"/>
    <col min="2" max="2" width="1.42578125" style="46" customWidth="1"/>
    <col min="3" max="3" width="11.42578125" style="46" customWidth="1"/>
    <col min="4" max="4" width="1.42578125" style="46" customWidth="1"/>
    <col min="5" max="5" width="12.85546875" style="46" customWidth="1"/>
    <col min="6" max="6" width="1.42578125" style="46" customWidth="1"/>
    <col min="7" max="7" width="11.42578125" style="46" customWidth="1"/>
    <col min="8" max="8" width="1.42578125" style="46" customWidth="1"/>
    <col min="9" max="9" width="18.42578125" style="46" customWidth="1"/>
    <col min="10" max="10" width="1.42578125" style="46" customWidth="1"/>
    <col min="11" max="11" width="14.140625" style="46" customWidth="1"/>
    <col min="12" max="12" width="1.42578125" style="46" customWidth="1"/>
    <col min="13" max="13" width="18.42578125" style="46" customWidth="1"/>
    <col min="14" max="14" width="1.42578125" style="46" customWidth="1"/>
    <col min="15" max="15" width="18.42578125" style="46" customWidth="1"/>
    <col min="16" max="16" width="1.42578125" style="46" customWidth="1"/>
    <col min="17" max="17" width="14.140625" style="46" customWidth="1"/>
    <col min="18" max="18" width="1.42578125" style="46" customWidth="1"/>
    <col min="19" max="19" width="18.42578125" style="46" customWidth="1"/>
    <col min="20" max="16384" width="8.85546875" style="46"/>
  </cols>
  <sheetData>
    <row r="1" spans="1:19" ht="19.899999999999999" customHeight="1" x14ac:dyDescent="0.55000000000000004">
      <c r="A1" s="104" t="s">
        <v>106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9.899999999999999" customHeight="1" x14ac:dyDescent="0.55000000000000004">
      <c r="A2" s="104" t="s">
        <v>23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9.899999999999999" customHeight="1" x14ac:dyDescent="0.55000000000000004">
      <c r="A3" s="104" t="s">
        <v>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5" spans="1:19" ht="21" x14ac:dyDescent="0.55000000000000004">
      <c r="A5" s="106" t="s">
        <v>176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7" spans="1:19" ht="21" x14ac:dyDescent="0.55000000000000004">
      <c r="C7" s="107" t="s">
        <v>357</v>
      </c>
      <c r="D7" s="108"/>
      <c r="E7" s="108"/>
      <c r="F7" s="108"/>
      <c r="G7" s="108"/>
      <c r="I7" s="107" t="s">
        <v>58</v>
      </c>
      <c r="J7" s="108"/>
      <c r="K7" s="108"/>
      <c r="L7" s="108"/>
      <c r="M7" s="108"/>
      <c r="O7" s="107" t="s">
        <v>59</v>
      </c>
      <c r="P7" s="108"/>
      <c r="Q7" s="108"/>
      <c r="R7" s="108"/>
      <c r="S7" s="108"/>
    </row>
    <row r="8" spans="1:19" ht="63" x14ac:dyDescent="0.55000000000000004">
      <c r="A8" s="47" t="s">
        <v>356</v>
      </c>
      <c r="C8" s="48" t="s">
        <v>355</v>
      </c>
      <c r="E8" s="48" t="s">
        <v>354</v>
      </c>
      <c r="G8" s="48" t="s">
        <v>353</v>
      </c>
      <c r="I8" s="48" t="s">
        <v>352</v>
      </c>
      <c r="K8" s="48" t="s">
        <v>31</v>
      </c>
      <c r="M8" s="48" t="s">
        <v>351</v>
      </c>
      <c r="O8" s="48" t="s">
        <v>352</v>
      </c>
      <c r="Q8" s="48" t="s">
        <v>31</v>
      </c>
      <c r="S8" s="48" t="s">
        <v>351</v>
      </c>
    </row>
    <row r="9" spans="1:19" ht="21" x14ac:dyDescent="0.55000000000000004">
      <c r="A9" s="49" t="s">
        <v>350</v>
      </c>
      <c r="C9" s="50" t="s">
        <v>349</v>
      </c>
      <c r="E9" s="51">
        <v>1000000</v>
      </c>
      <c r="G9" s="51">
        <v>637</v>
      </c>
      <c r="I9" s="51">
        <v>0</v>
      </c>
      <c r="J9" s="51"/>
      <c r="K9" s="51">
        <v>0</v>
      </c>
      <c r="L9" s="51"/>
      <c r="M9" s="51">
        <v>0</v>
      </c>
      <c r="N9" s="50"/>
      <c r="O9" s="51">
        <v>637000000</v>
      </c>
      <c r="Q9" s="51">
        <v>0</v>
      </c>
      <c r="S9" s="51">
        <v>637000000</v>
      </c>
    </row>
    <row r="10" spans="1:19" ht="21" x14ac:dyDescent="0.55000000000000004">
      <c r="A10" s="49" t="s">
        <v>101</v>
      </c>
      <c r="C10" s="50" t="s">
        <v>348</v>
      </c>
      <c r="E10" s="51">
        <v>5242039</v>
      </c>
      <c r="G10" s="51">
        <v>240</v>
      </c>
      <c r="I10" s="51">
        <v>0</v>
      </c>
      <c r="J10" s="51"/>
      <c r="K10" s="51">
        <v>0</v>
      </c>
      <c r="L10" s="51"/>
      <c r="M10" s="51">
        <v>0</v>
      </c>
      <c r="N10" s="50"/>
      <c r="O10" s="51">
        <v>1258089360</v>
      </c>
      <c r="Q10" s="51">
        <v>0</v>
      </c>
      <c r="S10" s="51">
        <v>1258089360</v>
      </c>
    </row>
    <row r="11" spans="1:19" ht="21" x14ac:dyDescent="0.55000000000000004">
      <c r="A11" s="49" t="s">
        <v>153</v>
      </c>
      <c r="C11" s="50" t="s">
        <v>327</v>
      </c>
      <c r="E11" s="51">
        <v>26466235</v>
      </c>
      <c r="G11" s="51">
        <v>11</v>
      </c>
      <c r="I11" s="51">
        <v>0</v>
      </c>
      <c r="J11" s="51"/>
      <c r="K11" s="51">
        <v>0</v>
      </c>
      <c r="L11" s="51"/>
      <c r="M11" s="51">
        <v>0</v>
      </c>
      <c r="N11" s="50"/>
      <c r="O11" s="51">
        <v>291128585</v>
      </c>
      <c r="Q11" s="51">
        <v>0</v>
      </c>
      <c r="S11" s="51">
        <v>291128585</v>
      </c>
    </row>
    <row r="12" spans="1:19" ht="21" x14ac:dyDescent="0.55000000000000004">
      <c r="A12" s="49" t="s">
        <v>98</v>
      </c>
      <c r="C12" s="50" t="s">
        <v>327</v>
      </c>
      <c r="E12" s="51">
        <v>20000000</v>
      </c>
      <c r="G12" s="51">
        <v>90</v>
      </c>
      <c r="I12" s="51">
        <v>0</v>
      </c>
      <c r="J12" s="51"/>
      <c r="K12" s="51">
        <v>0</v>
      </c>
      <c r="L12" s="51"/>
      <c r="M12" s="51">
        <v>0</v>
      </c>
      <c r="N12" s="50"/>
      <c r="O12" s="51">
        <v>1800000000</v>
      </c>
      <c r="Q12" s="51">
        <v>0</v>
      </c>
      <c r="S12" s="51">
        <v>1800000000</v>
      </c>
    </row>
    <row r="13" spans="1:19" ht="21" x14ac:dyDescent="0.55000000000000004">
      <c r="A13" s="49" t="s">
        <v>151</v>
      </c>
      <c r="C13" s="50" t="s">
        <v>347</v>
      </c>
      <c r="E13" s="51">
        <v>1700000</v>
      </c>
      <c r="G13" s="51">
        <v>560</v>
      </c>
      <c r="I13" s="51">
        <v>0</v>
      </c>
      <c r="J13" s="51"/>
      <c r="K13" s="51">
        <v>0</v>
      </c>
      <c r="L13" s="51"/>
      <c r="M13" s="51">
        <v>0</v>
      </c>
      <c r="N13" s="50"/>
      <c r="O13" s="51">
        <v>952000000</v>
      </c>
      <c r="Q13" s="51">
        <v>0</v>
      </c>
      <c r="S13" s="51">
        <v>952000000</v>
      </c>
    </row>
    <row r="14" spans="1:19" ht="21" x14ac:dyDescent="0.55000000000000004">
      <c r="A14" s="49" t="s">
        <v>148</v>
      </c>
      <c r="C14" s="50" t="s">
        <v>346</v>
      </c>
      <c r="E14" s="51">
        <v>285750</v>
      </c>
      <c r="G14" s="51">
        <v>4400</v>
      </c>
      <c r="I14" s="51">
        <v>0</v>
      </c>
      <c r="J14" s="51"/>
      <c r="K14" s="51">
        <v>0</v>
      </c>
      <c r="L14" s="51"/>
      <c r="M14" s="51">
        <v>0</v>
      </c>
      <c r="N14" s="50"/>
      <c r="O14" s="51">
        <v>1257300000</v>
      </c>
      <c r="Q14" s="51">
        <v>0</v>
      </c>
      <c r="S14" s="51">
        <v>1257300000</v>
      </c>
    </row>
    <row r="15" spans="1:19" ht="21" x14ac:dyDescent="0.55000000000000004">
      <c r="A15" s="49" t="s">
        <v>96</v>
      </c>
      <c r="C15" s="50" t="s">
        <v>323</v>
      </c>
      <c r="E15" s="51">
        <v>3800000</v>
      </c>
      <c r="G15" s="51">
        <v>170</v>
      </c>
      <c r="I15" s="51">
        <v>0</v>
      </c>
      <c r="J15" s="51"/>
      <c r="K15" s="51">
        <v>0</v>
      </c>
      <c r="L15" s="51"/>
      <c r="M15" s="51">
        <v>0</v>
      </c>
      <c r="N15" s="50"/>
      <c r="O15" s="51">
        <v>646000000</v>
      </c>
      <c r="Q15" s="51">
        <v>-58727273</v>
      </c>
      <c r="S15" s="51">
        <v>587272727</v>
      </c>
    </row>
    <row r="16" spans="1:19" ht="21" x14ac:dyDescent="0.55000000000000004">
      <c r="A16" s="49" t="s">
        <v>147</v>
      </c>
      <c r="C16" s="50" t="s">
        <v>345</v>
      </c>
      <c r="E16" s="51">
        <v>900000</v>
      </c>
      <c r="G16" s="51">
        <v>325</v>
      </c>
      <c r="I16" s="51">
        <v>0</v>
      </c>
      <c r="J16" s="51"/>
      <c r="K16" s="51">
        <v>0</v>
      </c>
      <c r="L16" s="51"/>
      <c r="M16" s="51">
        <v>0</v>
      </c>
      <c r="N16" s="50"/>
      <c r="O16" s="51">
        <v>292500000</v>
      </c>
      <c r="Q16" s="51">
        <v>0</v>
      </c>
      <c r="S16" s="51">
        <v>292500000</v>
      </c>
    </row>
    <row r="17" spans="1:19" ht="21" x14ac:dyDescent="0.55000000000000004">
      <c r="A17" s="49" t="s">
        <v>93</v>
      </c>
      <c r="C17" s="50" t="s">
        <v>326</v>
      </c>
      <c r="E17" s="51">
        <v>350000</v>
      </c>
      <c r="G17" s="51">
        <v>3800</v>
      </c>
      <c r="I17" s="51">
        <v>0</v>
      </c>
      <c r="J17" s="51"/>
      <c r="K17" s="51">
        <v>0</v>
      </c>
      <c r="L17" s="51"/>
      <c r="M17" s="51">
        <v>0</v>
      </c>
      <c r="N17" s="50"/>
      <c r="O17" s="51">
        <v>1330000000</v>
      </c>
      <c r="Q17" s="51">
        <v>0</v>
      </c>
      <c r="S17" s="51">
        <v>1330000000</v>
      </c>
    </row>
    <row r="18" spans="1:19" ht="21" x14ac:dyDescent="0.55000000000000004">
      <c r="A18" s="49" t="s">
        <v>92</v>
      </c>
      <c r="C18" s="50" t="s">
        <v>344</v>
      </c>
      <c r="E18" s="51">
        <v>1550000</v>
      </c>
      <c r="G18" s="51">
        <v>1100</v>
      </c>
      <c r="I18" s="51">
        <v>0</v>
      </c>
      <c r="J18" s="51"/>
      <c r="K18" s="51">
        <v>0</v>
      </c>
      <c r="L18" s="51"/>
      <c r="M18" s="51">
        <v>0</v>
      </c>
      <c r="N18" s="50"/>
      <c r="O18" s="51">
        <v>1705000000</v>
      </c>
      <c r="Q18" s="51">
        <v>-85416396</v>
      </c>
      <c r="S18" s="51">
        <v>1619583604</v>
      </c>
    </row>
    <row r="19" spans="1:19" ht="21" x14ac:dyDescent="0.55000000000000004">
      <c r="A19" s="49" t="s">
        <v>91</v>
      </c>
      <c r="C19" s="50" t="s">
        <v>343</v>
      </c>
      <c r="E19" s="51">
        <v>4279048</v>
      </c>
      <c r="G19" s="51">
        <v>1170</v>
      </c>
      <c r="I19" s="51">
        <v>0</v>
      </c>
      <c r="J19" s="51"/>
      <c r="K19" s="51">
        <v>0</v>
      </c>
      <c r="L19" s="51"/>
      <c r="M19" s="51">
        <v>0</v>
      </c>
      <c r="N19" s="50"/>
      <c r="O19" s="51">
        <v>5006486160</v>
      </c>
      <c r="Q19" s="51">
        <v>0</v>
      </c>
      <c r="S19" s="51">
        <v>5006486160</v>
      </c>
    </row>
    <row r="20" spans="1:19" ht="21" x14ac:dyDescent="0.55000000000000004">
      <c r="A20" s="49" t="s">
        <v>141</v>
      </c>
      <c r="C20" s="50" t="s">
        <v>342</v>
      </c>
      <c r="E20" s="51">
        <v>1285714</v>
      </c>
      <c r="G20" s="51">
        <v>500</v>
      </c>
      <c r="I20" s="51">
        <v>0</v>
      </c>
      <c r="J20" s="51"/>
      <c r="K20" s="51">
        <v>0</v>
      </c>
      <c r="L20" s="51"/>
      <c r="M20" s="51">
        <v>0</v>
      </c>
      <c r="N20" s="50"/>
      <c r="O20" s="51">
        <v>642857000</v>
      </c>
      <c r="Q20" s="51">
        <v>0</v>
      </c>
      <c r="S20" s="51">
        <v>642857000</v>
      </c>
    </row>
    <row r="21" spans="1:19" ht="21" x14ac:dyDescent="0.55000000000000004">
      <c r="A21" s="49" t="s">
        <v>90</v>
      </c>
      <c r="C21" s="50" t="s">
        <v>330</v>
      </c>
      <c r="E21" s="51">
        <v>2000000</v>
      </c>
      <c r="G21" s="51">
        <v>1050</v>
      </c>
      <c r="I21" s="51">
        <v>0</v>
      </c>
      <c r="J21" s="51"/>
      <c r="K21" s="51">
        <v>0</v>
      </c>
      <c r="L21" s="51"/>
      <c r="M21" s="51">
        <v>0</v>
      </c>
      <c r="N21" s="50"/>
      <c r="O21" s="51">
        <v>2100000000</v>
      </c>
      <c r="Q21" s="51">
        <v>-21355932</v>
      </c>
      <c r="S21" s="51">
        <v>2078644068</v>
      </c>
    </row>
    <row r="22" spans="1:19" ht="21" x14ac:dyDescent="0.55000000000000004">
      <c r="A22" s="49" t="s">
        <v>135</v>
      </c>
      <c r="C22" s="50" t="s">
        <v>341</v>
      </c>
      <c r="E22" s="51">
        <v>2400000</v>
      </c>
      <c r="G22" s="51">
        <v>560</v>
      </c>
      <c r="I22" s="51">
        <v>0</v>
      </c>
      <c r="J22" s="51"/>
      <c r="K22" s="51">
        <v>0</v>
      </c>
      <c r="L22" s="51"/>
      <c r="M22" s="51">
        <v>0</v>
      </c>
      <c r="N22" s="50"/>
      <c r="O22" s="51">
        <v>1344000000</v>
      </c>
      <c r="Q22" s="51">
        <v>0</v>
      </c>
      <c r="S22" s="51">
        <v>1344000000</v>
      </c>
    </row>
    <row r="23" spans="1:19" ht="21" x14ac:dyDescent="0.55000000000000004">
      <c r="A23" s="49" t="s">
        <v>133</v>
      </c>
      <c r="C23" s="50" t="s">
        <v>340</v>
      </c>
      <c r="E23" s="51">
        <v>1500000</v>
      </c>
      <c r="G23" s="51">
        <v>150</v>
      </c>
      <c r="I23" s="51">
        <v>0</v>
      </c>
      <c r="J23" s="51"/>
      <c r="K23" s="51">
        <v>0</v>
      </c>
      <c r="L23" s="51"/>
      <c r="M23" s="51">
        <v>0</v>
      </c>
      <c r="N23" s="50"/>
      <c r="O23" s="51">
        <v>225000000</v>
      </c>
      <c r="Q23" s="51">
        <v>0</v>
      </c>
      <c r="S23" s="51">
        <v>225000000</v>
      </c>
    </row>
    <row r="24" spans="1:19" ht="21" x14ac:dyDescent="0.55000000000000004">
      <c r="A24" s="49" t="s">
        <v>88</v>
      </c>
      <c r="C24" s="50" t="s">
        <v>330</v>
      </c>
      <c r="E24" s="51">
        <v>1875000</v>
      </c>
      <c r="G24" s="51">
        <v>300</v>
      </c>
      <c r="I24" s="51">
        <v>0</v>
      </c>
      <c r="J24" s="51"/>
      <c r="K24" s="51">
        <v>0</v>
      </c>
      <c r="L24" s="51"/>
      <c r="M24" s="51">
        <v>0</v>
      </c>
      <c r="N24" s="50"/>
      <c r="O24" s="51">
        <v>562500000</v>
      </c>
      <c r="Q24" s="51">
        <v>0</v>
      </c>
      <c r="S24" s="51">
        <v>562500000</v>
      </c>
    </row>
    <row r="25" spans="1:19" ht="21" x14ac:dyDescent="0.55000000000000004">
      <c r="A25" s="49" t="s">
        <v>86</v>
      </c>
      <c r="C25" s="50" t="s">
        <v>333</v>
      </c>
      <c r="E25" s="51">
        <v>650000</v>
      </c>
      <c r="G25" s="51">
        <v>2390</v>
      </c>
      <c r="I25" s="51">
        <v>0</v>
      </c>
      <c r="J25" s="51"/>
      <c r="K25" s="51">
        <v>0</v>
      </c>
      <c r="L25" s="51"/>
      <c r="M25" s="51">
        <v>0</v>
      </c>
      <c r="N25" s="50"/>
      <c r="O25" s="51">
        <v>1553500000</v>
      </c>
      <c r="Q25" s="51">
        <v>0</v>
      </c>
      <c r="S25" s="51">
        <v>1553500000</v>
      </c>
    </row>
    <row r="26" spans="1:19" ht="21" x14ac:dyDescent="0.55000000000000004">
      <c r="A26" s="49" t="s">
        <v>85</v>
      </c>
      <c r="C26" s="50" t="s">
        <v>339</v>
      </c>
      <c r="E26" s="51">
        <v>17000000</v>
      </c>
      <c r="G26" s="51">
        <v>280</v>
      </c>
      <c r="I26" s="51">
        <v>0</v>
      </c>
      <c r="J26" s="51"/>
      <c r="K26" s="51">
        <v>0</v>
      </c>
      <c r="L26" s="51"/>
      <c r="M26" s="51">
        <v>0</v>
      </c>
      <c r="N26" s="50"/>
      <c r="O26" s="51">
        <v>4760000000</v>
      </c>
      <c r="Q26" s="51">
        <v>0</v>
      </c>
      <c r="S26" s="51">
        <v>4760000000</v>
      </c>
    </row>
    <row r="27" spans="1:19" ht="21" x14ac:dyDescent="0.55000000000000004">
      <c r="A27" s="49" t="s">
        <v>127</v>
      </c>
      <c r="C27" s="50" t="s">
        <v>338</v>
      </c>
      <c r="E27" s="51">
        <v>200000</v>
      </c>
      <c r="G27" s="51">
        <v>1480</v>
      </c>
      <c r="I27" s="51">
        <v>0</v>
      </c>
      <c r="J27" s="51"/>
      <c r="K27" s="51">
        <v>0</v>
      </c>
      <c r="L27" s="51"/>
      <c r="M27" s="51">
        <v>0</v>
      </c>
      <c r="N27" s="50"/>
      <c r="O27" s="51">
        <v>296000000</v>
      </c>
      <c r="Q27" s="51">
        <v>0</v>
      </c>
      <c r="S27" s="51">
        <v>296000000</v>
      </c>
    </row>
    <row r="28" spans="1:19" ht="21" x14ac:dyDescent="0.55000000000000004">
      <c r="A28" s="49" t="s">
        <v>337</v>
      </c>
      <c r="C28" s="50" t="s">
        <v>336</v>
      </c>
      <c r="E28" s="51">
        <v>29010652</v>
      </c>
      <c r="G28" s="51">
        <v>40</v>
      </c>
      <c r="I28" s="51">
        <v>0</v>
      </c>
      <c r="J28" s="51"/>
      <c r="K28" s="51">
        <v>0</v>
      </c>
      <c r="L28" s="51"/>
      <c r="M28" s="51">
        <v>0</v>
      </c>
      <c r="N28" s="50"/>
      <c r="O28" s="51">
        <v>1160426080</v>
      </c>
      <c r="Q28" s="51">
        <v>-8677557</v>
      </c>
      <c r="S28" s="51">
        <v>1151748523</v>
      </c>
    </row>
    <row r="29" spans="1:19" ht="21" x14ac:dyDescent="0.55000000000000004">
      <c r="A29" s="49" t="s">
        <v>124</v>
      </c>
      <c r="C29" s="50" t="s">
        <v>328</v>
      </c>
      <c r="E29" s="51">
        <v>175000</v>
      </c>
      <c r="G29" s="51">
        <v>1500</v>
      </c>
      <c r="I29" s="51">
        <v>0</v>
      </c>
      <c r="J29" s="51"/>
      <c r="K29" s="51">
        <v>0</v>
      </c>
      <c r="L29" s="51"/>
      <c r="M29" s="51">
        <v>0</v>
      </c>
      <c r="N29" s="50"/>
      <c r="O29" s="51">
        <v>262500000</v>
      </c>
      <c r="Q29" s="51">
        <v>0</v>
      </c>
      <c r="S29" s="51">
        <v>262500000</v>
      </c>
    </row>
    <row r="30" spans="1:19" ht="21" x14ac:dyDescent="0.55000000000000004">
      <c r="A30" s="49" t="s">
        <v>83</v>
      </c>
      <c r="C30" s="50" t="s">
        <v>327</v>
      </c>
      <c r="E30" s="51">
        <v>12000000</v>
      </c>
      <c r="G30" s="51">
        <v>370</v>
      </c>
      <c r="I30" s="51">
        <v>0</v>
      </c>
      <c r="J30" s="51"/>
      <c r="K30" s="51">
        <v>0</v>
      </c>
      <c r="L30" s="51"/>
      <c r="M30" s="51">
        <v>0</v>
      </c>
      <c r="N30" s="50"/>
      <c r="O30" s="51">
        <v>4440000000</v>
      </c>
      <c r="Q30" s="51">
        <v>0</v>
      </c>
      <c r="S30" s="51">
        <v>4440000000</v>
      </c>
    </row>
    <row r="31" spans="1:19" ht="21" x14ac:dyDescent="0.55000000000000004">
      <c r="A31" s="49" t="s">
        <v>82</v>
      </c>
      <c r="C31" s="50" t="s">
        <v>335</v>
      </c>
      <c r="E31" s="51">
        <v>700000</v>
      </c>
      <c r="G31" s="51">
        <v>620</v>
      </c>
      <c r="I31" s="51">
        <v>434000000</v>
      </c>
      <c r="K31" s="51">
        <v>-30407643</v>
      </c>
      <c r="M31" s="51">
        <v>403592357</v>
      </c>
      <c r="O31" s="51">
        <v>434000000</v>
      </c>
      <c r="Q31" s="51">
        <v>-151889</v>
      </c>
      <c r="S31" s="51">
        <v>433848111</v>
      </c>
    </row>
    <row r="32" spans="1:19" ht="21" x14ac:dyDescent="0.55000000000000004">
      <c r="A32" s="49" t="s">
        <v>81</v>
      </c>
      <c r="C32" s="50" t="s">
        <v>334</v>
      </c>
      <c r="E32" s="51">
        <v>9250000</v>
      </c>
      <c r="G32" s="51">
        <v>360</v>
      </c>
      <c r="I32" s="51">
        <v>0</v>
      </c>
      <c r="J32" s="51"/>
      <c r="K32" s="51">
        <v>0</v>
      </c>
      <c r="L32" s="51"/>
      <c r="M32" s="51">
        <v>0</v>
      </c>
      <c r="N32" s="50"/>
      <c r="O32" s="51">
        <v>3330000000</v>
      </c>
      <c r="Q32" s="51">
        <v>0</v>
      </c>
      <c r="S32" s="51">
        <v>3330000000</v>
      </c>
    </row>
    <row r="33" spans="1:19" ht="21" x14ac:dyDescent="0.55000000000000004">
      <c r="A33" s="49" t="s">
        <v>80</v>
      </c>
      <c r="C33" s="50" t="s">
        <v>328</v>
      </c>
      <c r="E33" s="51">
        <v>1400000</v>
      </c>
      <c r="G33" s="51">
        <v>936</v>
      </c>
      <c r="I33" s="51">
        <v>0</v>
      </c>
      <c r="J33" s="51"/>
      <c r="K33" s="51">
        <v>0</v>
      </c>
      <c r="L33" s="51"/>
      <c r="M33" s="51">
        <v>0</v>
      </c>
      <c r="N33" s="50"/>
      <c r="O33" s="51">
        <v>1310400000</v>
      </c>
      <c r="Q33" s="51">
        <v>-27245070</v>
      </c>
      <c r="S33" s="51">
        <v>1283154930</v>
      </c>
    </row>
    <row r="34" spans="1:19" ht="21" x14ac:dyDescent="0.55000000000000004">
      <c r="A34" s="49" t="s">
        <v>122</v>
      </c>
      <c r="C34" s="50" t="s">
        <v>334</v>
      </c>
      <c r="E34" s="51">
        <v>400000</v>
      </c>
      <c r="G34" s="51">
        <v>1050</v>
      </c>
      <c r="I34" s="51">
        <v>0</v>
      </c>
      <c r="J34" s="51"/>
      <c r="K34" s="51">
        <v>0</v>
      </c>
      <c r="L34" s="51"/>
      <c r="M34" s="51">
        <v>0</v>
      </c>
      <c r="N34" s="50"/>
      <c r="O34" s="51">
        <v>420000000</v>
      </c>
      <c r="Q34" s="51">
        <v>0</v>
      </c>
      <c r="S34" s="51">
        <v>420000000</v>
      </c>
    </row>
    <row r="35" spans="1:19" ht="21" x14ac:dyDescent="0.55000000000000004">
      <c r="A35" s="49" t="s">
        <v>79</v>
      </c>
      <c r="C35" s="50" t="s">
        <v>330</v>
      </c>
      <c r="E35" s="51">
        <v>650000</v>
      </c>
      <c r="G35" s="51">
        <v>1997</v>
      </c>
      <c r="I35" s="51">
        <v>0</v>
      </c>
      <c r="J35" s="51"/>
      <c r="K35" s="51">
        <v>0</v>
      </c>
      <c r="L35" s="51"/>
      <c r="M35" s="51">
        <v>0</v>
      </c>
      <c r="N35" s="50"/>
      <c r="O35" s="51">
        <v>1298050000</v>
      </c>
      <c r="Q35" s="51">
        <v>-8830272</v>
      </c>
      <c r="S35" s="51">
        <v>1289219728</v>
      </c>
    </row>
    <row r="36" spans="1:19" ht="21" x14ac:dyDescent="0.55000000000000004">
      <c r="A36" s="49" t="s">
        <v>78</v>
      </c>
      <c r="C36" s="50" t="s">
        <v>333</v>
      </c>
      <c r="E36" s="51">
        <v>5685981</v>
      </c>
      <c r="G36" s="51">
        <v>190</v>
      </c>
      <c r="I36" s="51">
        <v>0</v>
      </c>
      <c r="J36" s="51"/>
      <c r="K36" s="51">
        <v>0</v>
      </c>
      <c r="L36" s="51"/>
      <c r="M36" s="51">
        <v>0</v>
      </c>
      <c r="N36" s="50"/>
      <c r="O36" s="51">
        <v>1080336390</v>
      </c>
      <c r="Q36" s="51">
        <v>0</v>
      </c>
      <c r="S36" s="51">
        <v>1080336390</v>
      </c>
    </row>
    <row r="37" spans="1:19" ht="21" x14ac:dyDescent="0.55000000000000004">
      <c r="A37" s="49" t="s">
        <v>77</v>
      </c>
      <c r="C37" s="50" t="s">
        <v>332</v>
      </c>
      <c r="E37" s="51">
        <v>607000</v>
      </c>
      <c r="G37" s="51">
        <v>7240</v>
      </c>
      <c r="I37" s="51">
        <v>0</v>
      </c>
      <c r="J37" s="51"/>
      <c r="K37" s="51">
        <v>0</v>
      </c>
      <c r="L37" s="51"/>
      <c r="M37" s="51">
        <v>0</v>
      </c>
      <c r="N37" s="50"/>
      <c r="O37" s="51">
        <v>4394680000</v>
      </c>
      <c r="Q37" s="51">
        <v>0</v>
      </c>
      <c r="S37" s="51">
        <v>4394680000</v>
      </c>
    </row>
    <row r="38" spans="1:19" ht="21" x14ac:dyDescent="0.55000000000000004">
      <c r="A38" s="49" t="s">
        <v>76</v>
      </c>
      <c r="C38" s="50" t="s">
        <v>331</v>
      </c>
      <c r="E38" s="51">
        <v>4850000</v>
      </c>
      <c r="G38" s="51">
        <v>390</v>
      </c>
      <c r="I38" s="51">
        <v>0</v>
      </c>
      <c r="J38" s="51"/>
      <c r="K38" s="51">
        <v>0</v>
      </c>
      <c r="L38" s="51"/>
      <c r="M38" s="51">
        <v>0</v>
      </c>
      <c r="N38" s="50"/>
      <c r="O38" s="51">
        <v>1891500000</v>
      </c>
      <c r="Q38" s="51">
        <v>0</v>
      </c>
      <c r="S38" s="51">
        <v>1891500000</v>
      </c>
    </row>
    <row r="39" spans="1:19" ht="21" x14ac:dyDescent="0.55000000000000004">
      <c r="A39" s="49" t="s">
        <v>121</v>
      </c>
      <c r="C39" s="50" t="s">
        <v>323</v>
      </c>
      <c r="E39" s="51">
        <v>219974</v>
      </c>
      <c r="G39" s="51">
        <v>8363</v>
      </c>
      <c r="I39" s="51">
        <v>0</v>
      </c>
      <c r="J39" s="51"/>
      <c r="K39" s="51">
        <v>0</v>
      </c>
      <c r="L39" s="51"/>
      <c r="M39" s="51">
        <v>0</v>
      </c>
      <c r="N39" s="50"/>
      <c r="O39" s="51">
        <v>1839860000</v>
      </c>
      <c r="Q39" s="51">
        <v>0</v>
      </c>
      <c r="S39" s="51">
        <v>1839860000</v>
      </c>
    </row>
    <row r="40" spans="1:19" ht="21" x14ac:dyDescent="0.55000000000000004">
      <c r="A40" s="49" t="s">
        <v>75</v>
      </c>
      <c r="C40" s="50" t="s">
        <v>330</v>
      </c>
      <c r="E40" s="51">
        <v>227029</v>
      </c>
      <c r="G40" s="51">
        <v>4200</v>
      </c>
      <c r="I40" s="51">
        <v>0</v>
      </c>
      <c r="J40" s="51"/>
      <c r="K40" s="51">
        <v>0</v>
      </c>
      <c r="L40" s="51"/>
      <c r="M40" s="51">
        <v>0</v>
      </c>
      <c r="N40" s="50"/>
      <c r="O40" s="51">
        <v>953521800</v>
      </c>
      <c r="Q40" s="51">
        <v>0</v>
      </c>
      <c r="S40" s="51">
        <v>953521800</v>
      </c>
    </row>
    <row r="41" spans="1:19" ht="21" x14ac:dyDescent="0.55000000000000004">
      <c r="A41" s="49" t="s">
        <v>74</v>
      </c>
      <c r="C41" s="50" t="s">
        <v>329</v>
      </c>
      <c r="E41" s="51">
        <v>500000</v>
      </c>
      <c r="G41" s="51">
        <v>4984</v>
      </c>
      <c r="I41" s="51">
        <v>0</v>
      </c>
      <c r="J41" s="51"/>
      <c r="K41" s="51">
        <v>0</v>
      </c>
      <c r="L41" s="51"/>
      <c r="M41" s="51">
        <v>0</v>
      </c>
      <c r="N41" s="50"/>
      <c r="O41" s="51">
        <v>2492000000</v>
      </c>
      <c r="Q41" s="51">
        <v>-23668928</v>
      </c>
      <c r="S41" s="51">
        <v>2468331072</v>
      </c>
    </row>
    <row r="42" spans="1:19" ht="21" x14ac:dyDescent="0.55000000000000004">
      <c r="A42" s="49" t="s">
        <v>73</v>
      </c>
      <c r="C42" s="50" t="s">
        <v>328</v>
      </c>
      <c r="E42" s="51">
        <v>700001</v>
      </c>
      <c r="G42" s="51">
        <v>3400</v>
      </c>
      <c r="I42" s="51">
        <v>0</v>
      </c>
      <c r="J42" s="51"/>
      <c r="K42" s="51">
        <v>0</v>
      </c>
      <c r="L42" s="51"/>
      <c r="M42" s="51">
        <v>0</v>
      </c>
      <c r="N42" s="50"/>
      <c r="O42" s="51">
        <v>2380003400</v>
      </c>
      <c r="Q42" s="51">
        <v>0</v>
      </c>
      <c r="S42" s="51">
        <v>2380003400</v>
      </c>
    </row>
    <row r="43" spans="1:19" ht="21" x14ac:dyDescent="0.55000000000000004">
      <c r="A43" s="49" t="s">
        <v>72</v>
      </c>
      <c r="C43" s="50" t="s">
        <v>327</v>
      </c>
      <c r="E43" s="51">
        <v>5400000</v>
      </c>
      <c r="G43" s="51">
        <v>160</v>
      </c>
      <c r="I43" s="51">
        <v>0</v>
      </c>
      <c r="J43" s="51"/>
      <c r="K43" s="51">
        <v>0</v>
      </c>
      <c r="L43" s="51"/>
      <c r="M43" s="51">
        <v>0</v>
      </c>
      <c r="N43" s="50"/>
      <c r="O43" s="51">
        <v>864000000</v>
      </c>
      <c r="Q43" s="51">
        <v>0</v>
      </c>
      <c r="S43" s="51">
        <v>864000000</v>
      </c>
    </row>
    <row r="44" spans="1:19" ht="21" x14ac:dyDescent="0.55000000000000004">
      <c r="A44" s="49" t="s">
        <v>71</v>
      </c>
      <c r="C44" s="50" t="s">
        <v>326</v>
      </c>
      <c r="E44" s="51">
        <v>120000</v>
      </c>
      <c r="G44" s="51">
        <v>38000</v>
      </c>
      <c r="I44" s="51">
        <v>0</v>
      </c>
      <c r="J44" s="51"/>
      <c r="K44" s="51">
        <v>0</v>
      </c>
      <c r="L44" s="51"/>
      <c r="M44" s="51">
        <v>0</v>
      </c>
      <c r="N44" s="50"/>
      <c r="O44" s="51">
        <v>4560000000</v>
      </c>
      <c r="Q44" s="51">
        <v>-219973924</v>
      </c>
      <c r="S44" s="51">
        <v>4340026076</v>
      </c>
    </row>
    <row r="45" spans="1:19" ht="21" x14ac:dyDescent="0.55000000000000004">
      <c r="A45" s="49" t="s">
        <v>70</v>
      </c>
      <c r="C45" s="50" t="s">
        <v>325</v>
      </c>
      <c r="E45" s="51">
        <v>1100000</v>
      </c>
      <c r="G45" s="51">
        <v>2000</v>
      </c>
      <c r="I45" s="51">
        <v>0</v>
      </c>
      <c r="J45" s="51"/>
      <c r="K45" s="51">
        <v>0</v>
      </c>
      <c r="L45" s="51"/>
      <c r="M45" s="51">
        <v>0</v>
      </c>
      <c r="N45" s="50"/>
      <c r="O45" s="51">
        <v>2200000000</v>
      </c>
      <c r="Q45" s="51">
        <v>0</v>
      </c>
      <c r="S45" s="51">
        <v>2200000000</v>
      </c>
    </row>
    <row r="46" spans="1:19" ht="21" x14ac:dyDescent="0.55000000000000004">
      <c r="A46" s="49" t="s">
        <v>120</v>
      </c>
      <c r="C46" s="50" t="s">
        <v>324</v>
      </c>
      <c r="E46" s="51">
        <v>350000</v>
      </c>
      <c r="G46" s="51">
        <v>5330</v>
      </c>
      <c r="I46" s="51">
        <v>0</v>
      </c>
      <c r="J46" s="51"/>
      <c r="K46" s="51">
        <v>0</v>
      </c>
      <c r="L46" s="51"/>
      <c r="M46" s="51">
        <v>0</v>
      </c>
      <c r="N46" s="50"/>
      <c r="O46" s="51">
        <v>1865500000</v>
      </c>
      <c r="Q46" s="51">
        <v>-73638158</v>
      </c>
      <c r="S46" s="51">
        <v>1791861842</v>
      </c>
    </row>
    <row r="47" spans="1:19" ht="21" x14ac:dyDescent="0.55000000000000004">
      <c r="A47" s="49" t="s">
        <v>69</v>
      </c>
      <c r="C47" s="50" t="s">
        <v>323</v>
      </c>
      <c r="E47" s="51">
        <v>2000000</v>
      </c>
      <c r="G47" s="51">
        <v>1624</v>
      </c>
      <c r="I47" s="51">
        <v>0</v>
      </c>
      <c r="J47" s="51"/>
      <c r="K47" s="51">
        <v>0</v>
      </c>
      <c r="L47" s="51"/>
      <c r="M47" s="51">
        <v>0</v>
      </c>
      <c r="N47" s="50"/>
      <c r="O47" s="51">
        <v>3248000000</v>
      </c>
      <c r="Q47" s="51">
        <v>0</v>
      </c>
      <c r="S47" s="51">
        <v>3248000000</v>
      </c>
    </row>
    <row r="48" spans="1:19" ht="21" x14ac:dyDescent="0.55000000000000004">
      <c r="A48" s="49" t="s">
        <v>68</v>
      </c>
      <c r="C48" s="50" t="s">
        <v>322</v>
      </c>
      <c r="E48" s="51">
        <v>100000</v>
      </c>
      <c r="G48" s="51">
        <v>2350</v>
      </c>
      <c r="I48" s="51">
        <v>0</v>
      </c>
      <c r="J48" s="51"/>
      <c r="K48" s="51">
        <v>0</v>
      </c>
      <c r="L48" s="51"/>
      <c r="M48" s="51">
        <v>0</v>
      </c>
      <c r="N48" s="50"/>
      <c r="O48" s="51">
        <v>235000000</v>
      </c>
      <c r="Q48" s="51">
        <v>0</v>
      </c>
      <c r="S48" s="51">
        <v>235000000</v>
      </c>
    </row>
    <row r="49" spans="1:19" ht="21" x14ac:dyDescent="0.55000000000000004">
      <c r="A49" s="49" t="s">
        <v>66</v>
      </c>
      <c r="C49" s="50" t="s">
        <v>321</v>
      </c>
      <c r="E49" s="51">
        <v>5200000</v>
      </c>
      <c r="G49" s="51">
        <v>380</v>
      </c>
      <c r="I49" s="51">
        <v>0</v>
      </c>
      <c r="J49" s="51"/>
      <c r="K49" s="51">
        <v>0</v>
      </c>
      <c r="L49" s="51"/>
      <c r="M49" s="51">
        <v>0</v>
      </c>
      <c r="N49" s="50"/>
      <c r="O49" s="51">
        <v>1976000000</v>
      </c>
      <c r="Q49" s="51">
        <v>-13442177</v>
      </c>
      <c r="S49" s="51">
        <v>1962557823</v>
      </c>
    </row>
    <row r="50" spans="1:19" ht="21" x14ac:dyDescent="0.55000000000000004">
      <c r="A50" s="49" t="s">
        <v>65</v>
      </c>
      <c r="C50" s="50" t="s">
        <v>321</v>
      </c>
      <c r="E50" s="51">
        <v>5200000</v>
      </c>
      <c r="G50" s="51">
        <v>310</v>
      </c>
      <c r="I50" s="51">
        <v>0</v>
      </c>
      <c r="J50" s="51"/>
      <c r="K50" s="51">
        <v>0</v>
      </c>
      <c r="L50" s="51"/>
      <c r="M50" s="51">
        <v>0</v>
      </c>
      <c r="N50" s="50"/>
      <c r="O50" s="51">
        <v>1612000000</v>
      </c>
      <c r="Q50" s="51">
        <v>0</v>
      </c>
      <c r="S50" s="51">
        <v>1612000000</v>
      </c>
    </row>
    <row r="51" spans="1:19" ht="21.75" thickBot="1" x14ac:dyDescent="0.6">
      <c r="A51" s="52" t="s">
        <v>9</v>
      </c>
      <c r="I51" s="52">
        <f>SUM(I9:$I$50)</f>
        <v>434000000</v>
      </c>
      <c r="K51" s="52">
        <f>SUM(K9:$K$50)</f>
        <v>-30407643</v>
      </c>
      <c r="M51" s="52">
        <f>SUM(M9:$M$50)</f>
        <v>403592357</v>
      </c>
      <c r="O51" s="52">
        <f>SUM(O9:$O$50)</f>
        <v>70907138775</v>
      </c>
      <c r="Q51" s="52">
        <f>SUM(Q9:$Q$50)</f>
        <v>-541127576</v>
      </c>
      <c r="S51" s="52">
        <f>SUM(S9:$S$50)</f>
        <v>70366011199</v>
      </c>
    </row>
    <row r="52" spans="1:19" ht="21.75" thickTop="1" x14ac:dyDescent="0.55000000000000004">
      <c r="I52" s="53"/>
      <c r="K52" s="53"/>
      <c r="M52" s="53"/>
      <c r="O52" s="53"/>
      <c r="Q52" s="53"/>
      <c r="S52" s="53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1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81A8-E405-4750-8A79-447E360B1AA7}">
  <sheetPr>
    <pageSetUpPr fitToPage="1"/>
  </sheetPr>
  <dimension ref="A1:Q12"/>
  <sheetViews>
    <sheetView rightToLeft="1" view="pageBreakPreview" zoomScaleNormal="100" zoomScaleSheetLayoutView="100" workbookViewId="0">
      <selection sqref="A1:Q1"/>
    </sheetView>
  </sheetViews>
  <sheetFormatPr defaultColWidth="8.85546875" defaultRowHeight="19.5" x14ac:dyDescent="0.55000000000000004"/>
  <cols>
    <col min="1" max="1" width="33.42578125" style="54" customWidth="1"/>
    <col min="2" max="2" width="1.42578125" style="54" customWidth="1"/>
    <col min="3" max="3" width="11.42578125" style="54" customWidth="1"/>
    <col min="4" max="4" width="1.42578125" style="54" customWidth="1"/>
    <col min="5" max="5" width="11.42578125" style="54" customWidth="1"/>
    <col min="6" max="6" width="1.42578125" style="54" customWidth="1"/>
    <col min="7" max="7" width="18.42578125" style="54" customWidth="1"/>
    <col min="8" max="8" width="1.42578125" style="54" customWidth="1"/>
    <col min="9" max="9" width="14.140625" style="54" customWidth="1"/>
    <col min="10" max="10" width="1.42578125" style="54" customWidth="1"/>
    <col min="11" max="11" width="18.42578125" style="54" customWidth="1"/>
    <col min="12" max="12" width="1.42578125" style="54" customWidth="1"/>
    <col min="13" max="13" width="18.42578125" style="54" customWidth="1"/>
    <col min="14" max="14" width="1.42578125" style="54" customWidth="1"/>
    <col min="15" max="15" width="14.140625" style="54" customWidth="1"/>
    <col min="16" max="16" width="1.42578125" style="54" customWidth="1"/>
    <col min="17" max="17" width="18.42578125" style="54" customWidth="1"/>
    <col min="18" max="16384" width="8.85546875" style="54"/>
  </cols>
  <sheetData>
    <row r="1" spans="1:17" ht="19.899999999999999" customHeight="1" x14ac:dyDescent="0.55000000000000004">
      <c r="A1" s="109" t="s">
        <v>106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17" ht="19.899999999999999" customHeight="1" x14ac:dyDescent="0.55000000000000004">
      <c r="A2" s="109" t="s">
        <v>23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spans="1:17" ht="19.899999999999999" customHeight="1" x14ac:dyDescent="0.55000000000000004">
      <c r="A3" s="109" t="s">
        <v>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5" spans="1:17" ht="21" x14ac:dyDescent="0.55000000000000004">
      <c r="A5" s="111" t="s">
        <v>63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7" spans="1:17" ht="21" x14ac:dyDescent="0.55000000000000004">
      <c r="G7" s="112" t="s">
        <v>58</v>
      </c>
      <c r="H7" s="113"/>
      <c r="I7" s="113"/>
      <c r="J7" s="113"/>
      <c r="K7" s="113"/>
      <c r="M7" s="112" t="s">
        <v>59</v>
      </c>
      <c r="N7" s="113"/>
      <c r="O7" s="113"/>
      <c r="P7" s="113"/>
      <c r="Q7" s="113"/>
    </row>
    <row r="8" spans="1:17" ht="42" x14ac:dyDescent="0.55000000000000004">
      <c r="A8" s="61" t="s">
        <v>25</v>
      </c>
      <c r="C8" s="55" t="s">
        <v>32</v>
      </c>
      <c r="E8" s="55" t="s">
        <v>10</v>
      </c>
      <c r="G8" s="55" t="s">
        <v>33</v>
      </c>
      <c r="I8" s="55" t="s">
        <v>31</v>
      </c>
      <c r="K8" s="55" t="s">
        <v>34</v>
      </c>
      <c r="M8" s="55" t="s">
        <v>33</v>
      </c>
      <c r="O8" s="55" t="s">
        <v>31</v>
      </c>
      <c r="Q8" s="55" t="s">
        <v>34</v>
      </c>
    </row>
    <row r="9" spans="1:17" ht="42" x14ac:dyDescent="0.55000000000000004">
      <c r="A9" s="56" t="s">
        <v>360</v>
      </c>
      <c r="C9" s="57" t="s">
        <v>359</v>
      </c>
      <c r="E9" s="57" t="s">
        <v>11</v>
      </c>
      <c r="G9" s="58">
        <v>1185690899</v>
      </c>
      <c r="I9" s="58">
        <v>-28144660</v>
      </c>
      <c r="K9" s="58">
        <v>1157546239</v>
      </c>
      <c r="M9" s="58">
        <v>11497163104</v>
      </c>
      <c r="O9" s="58">
        <v>0</v>
      </c>
      <c r="Q9" s="58">
        <v>11497163104</v>
      </c>
    </row>
    <row r="10" spans="1:17" ht="42" x14ac:dyDescent="0.55000000000000004">
      <c r="A10" s="56" t="s">
        <v>358</v>
      </c>
      <c r="C10" s="57" t="s">
        <v>35</v>
      </c>
      <c r="E10" s="57" t="s">
        <v>11</v>
      </c>
      <c r="G10" s="58">
        <v>3356376</v>
      </c>
      <c r="I10" s="58">
        <v>0</v>
      </c>
      <c r="K10" s="58">
        <v>3356376</v>
      </c>
      <c r="M10" s="58">
        <v>27546594</v>
      </c>
      <c r="O10" s="58">
        <v>0</v>
      </c>
      <c r="Q10" s="58">
        <v>27546594</v>
      </c>
    </row>
    <row r="11" spans="1:17" ht="21.75" thickBot="1" x14ac:dyDescent="0.6">
      <c r="A11" s="59" t="s">
        <v>9</v>
      </c>
      <c r="G11" s="59">
        <f>SUM(G9:$G$10)</f>
        <v>1189047275</v>
      </c>
      <c r="I11" s="59">
        <f>SUM(I9:$I$10)</f>
        <v>-28144660</v>
      </c>
      <c r="K11" s="59">
        <f>SUM(K9:$K$10)</f>
        <v>1160902615</v>
      </c>
      <c r="M11" s="59">
        <f>SUM(M9:$M$10)</f>
        <v>11524709698</v>
      </c>
      <c r="O11" s="59">
        <f>SUM(O9:$O$10)</f>
        <v>0</v>
      </c>
      <c r="Q11" s="59">
        <f>SUM(Q9:$Q$10)</f>
        <v>11524709698</v>
      </c>
    </row>
    <row r="12" spans="1:17" ht="21.75" thickTop="1" x14ac:dyDescent="0.55000000000000004">
      <c r="G12" s="60"/>
      <c r="I12" s="60"/>
      <c r="K12" s="60"/>
      <c r="M12" s="60"/>
      <c r="O12" s="60"/>
      <c r="Q12" s="60"/>
    </row>
  </sheetData>
  <mergeCells count="6">
    <mergeCell ref="A1:Q1"/>
    <mergeCell ref="A2:Q2"/>
    <mergeCell ref="A3:Q3"/>
    <mergeCell ref="A5:Q5"/>
    <mergeCell ref="G7:K7"/>
    <mergeCell ref="M7:Q7"/>
  </mergeCells>
  <pageMargins left="0.7" right="0.7" top="0.75" bottom="0.75" header="0.3" footer="0.3"/>
  <pageSetup paperSize="9" scale="7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1DBC-0D02-4E04-B2CB-BE518F36A25F}">
  <sheetPr>
    <pageSetUpPr fitToPage="1"/>
  </sheetPr>
  <dimension ref="A1:Q88"/>
  <sheetViews>
    <sheetView rightToLeft="1" view="pageBreakPreview" zoomScale="60" zoomScaleNormal="100" workbookViewId="0">
      <selection sqref="A1:Q1"/>
    </sheetView>
  </sheetViews>
  <sheetFormatPr defaultColWidth="8.85546875" defaultRowHeight="19.5" x14ac:dyDescent="0.55000000000000004"/>
  <cols>
    <col min="1" max="1" width="33.140625" style="62" customWidth="1"/>
    <col min="2" max="2" width="1.42578125" style="62" customWidth="1"/>
    <col min="3" max="3" width="12.85546875" style="62" customWidth="1"/>
    <col min="4" max="4" width="1.42578125" style="62" customWidth="1"/>
    <col min="5" max="5" width="17" style="62" customWidth="1"/>
    <col min="6" max="6" width="1.42578125" style="62" customWidth="1"/>
    <col min="7" max="7" width="17" style="62" customWidth="1"/>
    <col min="8" max="8" width="1.42578125" style="62" customWidth="1"/>
    <col min="9" max="9" width="17" style="62" customWidth="1"/>
    <col min="10" max="10" width="1.42578125" style="62" customWidth="1"/>
    <col min="11" max="11" width="12.85546875" style="62" customWidth="1"/>
    <col min="12" max="12" width="1.42578125" style="62" customWidth="1"/>
    <col min="13" max="13" width="17" style="62" customWidth="1"/>
    <col min="14" max="14" width="1.42578125" style="62" customWidth="1"/>
    <col min="15" max="15" width="17" style="62" customWidth="1"/>
    <col min="16" max="16" width="1.42578125" style="62" customWidth="1"/>
    <col min="17" max="17" width="17" style="62" customWidth="1"/>
    <col min="18" max="16384" width="8.85546875" style="62"/>
  </cols>
  <sheetData>
    <row r="1" spans="1:17" ht="19.899999999999999" customHeight="1" x14ac:dyDescent="0.55000000000000004">
      <c r="A1" s="114" t="s">
        <v>106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</row>
    <row r="2" spans="1:17" ht="19.899999999999999" customHeight="1" x14ac:dyDescent="0.55000000000000004">
      <c r="A2" s="114" t="s">
        <v>23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</row>
    <row r="3" spans="1:17" ht="19.899999999999999" customHeight="1" x14ac:dyDescent="0.55000000000000004">
      <c r="A3" s="114" t="s">
        <v>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</row>
    <row r="5" spans="1:17" ht="21" x14ac:dyDescent="0.55000000000000004">
      <c r="A5" s="116" t="s">
        <v>36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7" spans="1:17" ht="21" x14ac:dyDescent="0.55000000000000004">
      <c r="C7" s="117" t="s">
        <v>58</v>
      </c>
      <c r="D7" s="118"/>
      <c r="E7" s="118"/>
      <c r="F7" s="118"/>
      <c r="G7" s="118"/>
      <c r="H7" s="118"/>
      <c r="I7" s="118"/>
      <c r="K7" s="117" t="s">
        <v>59</v>
      </c>
      <c r="L7" s="118"/>
      <c r="M7" s="118"/>
      <c r="N7" s="118"/>
      <c r="O7" s="118"/>
      <c r="P7" s="118"/>
      <c r="Q7" s="118"/>
    </row>
    <row r="8" spans="1:17" ht="42" x14ac:dyDescent="0.55000000000000004">
      <c r="A8" s="69" t="s">
        <v>25</v>
      </c>
      <c r="C8" s="63" t="s">
        <v>4</v>
      </c>
      <c r="E8" s="63" t="s">
        <v>6</v>
      </c>
      <c r="G8" s="63" t="s">
        <v>37</v>
      </c>
      <c r="I8" s="63" t="s">
        <v>38</v>
      </c>
      <c r="K8" s="63" t="s">
        <v>4</v>
      </c>
      <c r="M8" s="63" t="s">
        <v>6</v>
      </c>
      <c r="O8" s="63" t="s">
        <v>37</v>
      </c>
      <c r="Q8" s="63" t="s">
        <v>38</v>
      </c>
    </row>
    <row r="9" spans="1:17" ht="21" x14ac:dyDescent="0.55000000000000004">
      <c r="A9" s="64" t="s">
        <v>156</v>
      </c>
      <c r="C9" s="66">
        <v>0</v>
      </c>
      <c r="D9" s="66"/>
      <c r="E9" s="66">
        <v>0</v>
      </c>
      <c r="F9" s="66"/>
      <c r="G9" s="66">
        <v>0</v>
      </c>
      <c r="H9" s="66"/>
      <c r="I9" s="66">
        <v>0</v>
      </c>
      <c r="J9" s="65"/>
      <c r="K9" s="66">
        <v>579887</v>
      </c>
      <c r="M9" s="66">
        <v>3249801158</v>
      </c>
      <c r="O9" s="66">
        <v>2839489099</v>
      </c>
      <c r="Q9" s="66">
        <v>410312059</v>
      </c>
    </row>
    <row r="10" spans="1:17" ht="21" x14ac:dyDescent="0.55000000000000004">
      <c r="A10" s="64" t="s">
        <v>370</v>
      </c>
      <c r="C10" s="66"/>
      <c r="D10" s="66"/>
      <c r="E10" s="66"/>
      <c r="F10" s="66"/>
      <c r="G10" s="66"/>
      <c r="H10" s="66"/>
      <c r="I10" s="66">
        <v>-357823415</v>
      </c>
      <c r="J10" s="65"/>
      <c r="K10" s="66"/>
      <c r="M10" s="66"/>
      <c r="O10" s="66"/>
      <c r="Q10" s="66">
        <f>30109984210-16147172868</f>
        <v>13962811342</v>
      </c>
    </row>
    <row r="11" spans="1:17" ht="21" x14ac:dyDescent="0.55000000000000004">
      <c r="A11" s="64" t="s">
        <v>371</v>
      </c>
      <c r="C11" s="66"/>
      <c r="D11" s="66"/>
      <c r="E11" s="66"/>
      <c r="F11" s="66"/>
      <c r="G11" s="66"/>
      <c r="H11" s="66"/>
      <c r="I11" s="66">
        <v>41324847</v>
      </c>
      <c r="J11" s="65"/>
      <c r="K11" s="66"/>
      <c r="M11" s="66"/>
      <c r="O11" s="66"/>
      <c r="Q11" s="66">
        <f>12814321059-2822223665+75791000</f>
        <v>10067888394</v>
      </c>
    </row>
    <row r="12" spans="1:17" ht="21" x14ac:dyDescent="0.55000000000000004">
      <c r="A12" s="64" t="s">
        <v>155</v>
      </c>
      <c r="C12" s="66">
        <v>0</v>
      </c>
      <c r="D12" s="66"/>
      <c r="E12" s="66">
        <v>0</v>
      </c>
      <c r="F12" s="66"/>
      <c r="G12" s="66">
        <v>0</v>
      </c>
      <c r="H12" s="66"/>
      <c r="I12" s="66">
        <v>0</v>
      </c>
      <c r="J12" s="65"/>
      <c r="K12" s="66">
        <v>150000</v>
      </c>
      <c r="M12" s="66">
        <v>1234610146</v>
      </c>
      <c r="O12" s="66">
        <v>1043584546</v>
      </c>
      <c r="Q12" s="66">
        <v>191025600</v>
      </c>
    </row>
    <row r="13" spans="1:17" ht="21" x14ac:dyDescent="0.55000000000000004">
      <c r="A13" s="64" t="s">
        <v>350</v>
      </c>
      <c r="C13" s="66">
        <v>0</v>
      </c>
      <c r="D13" s="66"/>
      <c r="E13" s="66">
        <v>0</v>
      </c>
      <c r="F13" s="66"/>
      <c r="G13" s="66">
        <v>0</v>
      </c>
      <c r="H13" s="66"/>
      <c r="I13" s="66">
        <v>0</v>
      </c>
      <c r="J13" s="65"/>
      <c r="K13" s="66">
        <v>2000000</v>
      </c>
      <c r="M13" s="66">
        <v>8317069944</v>
      </c>
      <c r="O13" s="66">
        <v>9031858190</v>
      </c>
      <c r="Q13" s="66">
        <v>-714788246</v>
      </c>
    </row>
    <row r="14" spans="1:17" ht="21" x14ac:dyDescent="0.55000000000000004">
      <c r="A14" s="64" t="s">
        <v>101</v>
      </c>
      <c r="C14" s="66">
        <v>0</v>
      </c>
      <c r="D14" s="66"/>
      <c r="E14" s="66">
        <v>0</v>
      </c>
      <c r="F14" s="66"/>
      <c r="G14" s="66">
        <v>0</v>
      </c>
      <c r="H14" s="66"/>
      <c r="I14" s="66">
        <v>0</v>
      </c>
      <c r="J14" s="65"/>
      <c r="K14" s="66">
        <v>2042039</v>
      </c>
      <c r="M14" s="66">
        <v>7407057219</v>
      </c>
      <c r="O14" s="66">
        <v>6068103471</v>
      </c>
      <c r="Q14" s="66">
        <v>1338953748</v>
      </c>
    </row>
    <row r="15" spans="1:17" ht="21" x14ac:dyDescent="0.55000000000000004">
      <c r="A15" s="64" t="s">
        <v>154</v>
      </c>
      <c r="C15" s="66">
        <v>0</v>
      </c>
      <c r="D15" s="66"/>
      <c r="E15" s="66">
        <v>0</v>
      </c>
      <c r="F15" s="66"/>
      <c r="G15" s="66">
        <v>0</v>
      </c>
      <c r="H15" s="66"/>
      <c r="I15" s="66">
        <v>0</v>
      </c>
      <c r="J15" s="65"/>
      <c r="K15" s="66">
        <v>2700000</v>
      </c>
      <c r="M15" s="66">
        <v>10139193638</v>
      </c>
      <c r="O15" s="66">
        <v>11615719631</v>
      </c>
      <c r="Q15" s="66">
        <v>-1476525993</v>
      </c>
    </row>
    <row r="16" spans="1:17" ht="21" x14ac:dyDescent="0.55000000000000004">
      <c r="A16" s="64" t="s">
        <v>100</v>
      </c>
      <c r="C16" s="66">
        <v>800000</v>
      </c>
      <c r="E16" s="66">
        <v>2886406684</v>
      </c>
      <c r="G16" s="66">
        <v>2631578954</v>
      </c>
      <c r="I16" s="66">
        <v>254827730</v>
      </c>
      <c r="K16" s="66">
        <v>800000</v>
      </c>
      <c r="M16" s="66">
        <v>2886406684</v>
      </c>
      <c r="O16" s="66">
        <v>2631578954</v>
      </c>
      <c r="Q16" s="66">
        <v>254827730</v>
      </c>
    </row>
    <row r="17" spans="1:17" ht="21" x14ac:dyDescent="0.55000000000000004">
      <c r="A17" s="64" t="s">
        <v>99</v>
      </c>
      <c r="C17" s="66">
        <v>1991000</v>
      </c>
      <c r="E17" s="66">
        <v>995911884</v>
      </c>
      <c r="G17" s="66">
        <v>875727670</v>
      </c>
      <c r="I17" s="66">
        <v>120184214</v>
      </c>
      <c r="K17" s="66">
        <v>23659591</v>
      </c>
      <c r="M17" s="66">
        <v>9587048342</v>
      </c>
      <c r="O17" s="66">
        <v>10419963747</v>
      </c>
      <c r="Q17" s="66">
        <v>-832915405</v>
      </c>
    </row>
    <row r="18" spans="1:17" ht="21" x14ac:dyDescent="0.55000000000000004">
      <c r="A18" s="64" t="s">
        <v>153</v>
      </c>
      <c r="C18" s="66">
        <v>0</v>
      </c>
      <c r="D18" s="66"/>
      <c r="E18" s="66">
        <v>0</v>
      </c>
      <c r="F18" s="66"/>
      <c r="G18" s="66">
        <v>0</v>
      </c>
      <c r="H18" s="66"/>
      <c r="I18" s="66">
        <v>0</v>
      </c>
      <c r="J18" s="65"/>
      <c r="K18" s="66">
        <v>44066235</v>
      </c>
      <c r="M18" s="66">
        <v>19886782173</v>
      </c>
      <c r="O18" s="66">
        <v>19066131063</v>
      </c>
      <c r="Q18" s="66">
        <v>820651110</v>
      </c>
    </row>
    <row r="19" spans="1:17" ht="21" x14ac:dyDescent="0.55000000000000004">
      <c r="A19" s="64" t="s">
        <v>369</v>
      </c>
      <c r="C19" s="66">
        <v>0</v>
      </c>
      <c r="D19" s="66"/>
      <c r="E19" s="66">
        <v>0</v>
      </c>
      <c r="F19" s="66"/>
      <c r="G19" s="66">
        <v>0</v>
      </c>
      <c r="H19" s="66"/>
      <c r="I19" s="66">
        <v>0</v>
      </c>
      <c r="J19" s="65"/>
      <c r="K19" s="66">
        <v>53560926</v>
      </c>
      <c r="M19" s="66">
        <v>31923712893</v>
      </c>
      <c r="O19" s="66">
        <v>34765638255</v>
      </c>
      <c r="Q19" s="66">
        <v>-2841925362</v>
      </c>
    </row>
    <row r="20" spans="1:17" ht="21" x14ac:dyDescent="0.55000000000000004">
      <c r="A20" s="64" t="s">
        <v>98</v>
      </c>
      <c r="C20" s="66">
        <v>8000000</v>
      </c>
      <c r="E20" s="66">
        <v>9037370829</v>
      </c>
      <c r="G20" s="66">
        <v>7767128366</v>
      </c>
      <c r="I20" s="66">
        <v>1270242463</v>
      </c>
      <c r="K20" s="66">
        <v>13392957</v>
      </c>
      <c r="M20" s="66">
        <v>21443346978</v>
      </c>
      <c r="O20" s="66">
        <v>17891016144</v>
      </c>
      <c r="Q20" s="66">
        <v>3552330834</v>
      </c>
    </row>
    <row r="21" spans="1:17" ht="21" x14ac:dyDescent="0.55000000000000004">
      <c r="A21" s="64" t="s">
        <v>151</v>
      </c>
      <c r="C21" s="66">
        <v>0</v>
      </c>
      <c r="D21" s="66"/>
      <c r="E21" s="66">
        <v>0</v>
      </c>
      <c r="F21" s="66"/>
      <c r="G21" s="66">
        <v>0</v>
      </c>
      <c r="H21" s="66"/>
      <c r="I21" s="66">
        <v>0</v>
      </c>
      <c r="J21" s="65"/>
      <c r="K21" s="66">
        <v>1700000</v>
      </c>
      <c r="M21" s="66">
        <v>6531405579</v>
      </c>
      <c r="O21" s="66">
        <v>8984891479</v>
      </c>
      <c r="Q21" s="66">
        <v>-2453485900</v>
      </c>
    </row>
    <row r="22" spans="1:17" ht="21" x14ac:dyDescent="0.55000000000000004">
      <c r="A22" s="64" t="s">
        <v>97</v>
      </c>
      <c r="C22" s="66">
        <v>0</v>
      </c>
      <c r="D22" s="66"/>
      <c r="E22" s="66">
        <v>0</v>
      </c>
      <c r="F22" s="66"/>
      <c r="G22" s="66">
        <v>0</v>
      </c>
      <c r="H22" s="66"/>
      <c r="I22" s="66">
        <v>0</v>
      </c>
      <c r="J22" s="65"/>
      <c r="K22" s="66">
        <v>491813</v>
      </c>
      <c r="M22" s="66">
        <v>2682696973</v>
      </c>
      <c r="O22" s="66">
        <v>2819485476</v>
      </c>
      <c r="Q22" s="66">
        <v>-136788503</v>
      </c>
    </row>
    <row r="23" spans="1:17" ht="21" x14ac:dyDescent="0.55000000000000004">
      <c r="A23" s="64" t="s">
        <v>148</v>
      </c>
      <c r="C23" s="66">
        <v>0</v>
      </c>
      <c r="D23" s="66"/>
      <c r="E23" s="66">
        <v>0</v>
      </c>
      <c r="F23" s="66"/>
      <c r="G23" s="66">
        <v>0</v>
      </c>
      <c r="H23" s="66"/>
      <c r="I23" s="66">
        <v>0</v>
      </c>
      <c r="J23" s="65"/>
      <c r="K23" s="66">
        <v>571500</v>
      </c>
      <c r="M23" s="66">
        <v>28686183282</v>
      </c>
      <c r="O23" s="66">
        <v>25855157130</v>
      </c>
      <c r="Q23" s="66">
        <v>2831026152</v>
      </c>
    </row>
    <row r="24" spans="1:17" ht="21" x14ac:dyDescent="0.55000000000000004">
      <c r="A24" s="64" t="s">
        <v>96</v>
      </c>
      <c r="C24" s="66">
        <v>0</v>
      </c>
      <c r="D24" s="66"/>
      <c r="E24" s="66">
        <v>0</v>
      </c>
      <c r="F24" s="66"/>
      <c r="G24" s="66">
        <v>0</v>
      </c>
      <c r="H24" s="66"/>
      <c r="I24" s="66">
        <v>0</v>
      </c>
      <c r="J24" s="65"/>
      <c r="K24" s="66">
        <v>7153333</v>
      </c>
      <c r="M24" s="66">
        <v>13179826386</v>
      </c>
      <c r="O24" s="66">
        <v>20026688699</v>
      </c>
      <c r="Q24" s="66">
        <v>-6846862313</v>
      </c>
    </row>
    <row r="25" spans="1:17" ht="21" x14ac:dyDescent="0.55000000000000004">
      <c r="A25" s="64" t="s">
        <v>147</v>
      </c>
      <c r="C25" s="66">
        <v>0</v>
      </c>
      <c r="D25" s="66"/>
      <c r="E25" s="66">
        <v>0</v>
      </c>
      <c r="F25" s="66"/>
      <c r="G25" s="66">
        <v>0</v>
      </c>
      <c r="H25" s="66"/>
      <c r="I25" s="66">
        <v>0</v>
      </c>
      <c r="J25" s="65"/>
      <c r="K25" s="66">
        <v>1800000</v>
      </c>
      <c r="M25" s="66">
        <v>6943185870</v>
      </c>
      <c r="O25" s="66">
        <v>5823878975</v>
      </c>
      <c r="Q25" s="66">
        <v>1119306895</v>
      </c>
    </row>
    <row r="26" spans="1:17" ht="21" x14ac:dyDescent="0.55000000000000004">
      <c r="A26" s="64" t="s">
        <v>145</v>
      </c>
      <c r="C26" s="66">
        <v>0</v>
      </c>
      <c r="D26" s="66"/>
      <c r="E26" s="66">
        <v>0</v>
      </c>
      <c r="F26" s="66"/>
      <c r="G26" s="66">
        <v>0</v>
      </c>
      <c r="H26" s="66"/>
      <c r="I26" s="66">
        <v>0</v>
      </c>
      <c r="J26" s="65"/>
      <c r="K26" s="66">
        <v>1600000</v>
      </c>
      <c r="M26" s="66">
        <v>11093598204</v>
      </c>
      <c r="O26" s="66">
        <v>10398956604</v>
      </c>
      <c r="Q26" s="66">
        <v>694641600</v>
      </c>
    </row>
    <row r="27" spans="1:17" ht="21" x14ac:dyDescent="0.55000000000000004">
      <c r="A27" s="64" t="s">
        <v>368</v>
      </c>
      <c r="C27" s="66">
        <v>0</v>
      </c>
      <c r="D27" s="66"/>
      <c r="E27" s="66">
        <v>0</v>
      </c>
      <c r="F27" s="66"/>
      <c r="G27" s="66">
        <v>0</v>
      </c>
      <c r="H27" s="66"/>
      <c r="I27" s="66">
        <v>0</v>
      </c>
      <c r="J27" s="65"/>
      <c r="K27" s="66">
        <v>200000</v>
      </c>
      <c r="M27" s="66">
        <v>1455289206</v>
      </c>
      <c r="O27" s="66">
        <v>1656800112</v>
      </c>
      <c r="Q27" s="66">
        <v>-201510906</v>
      </c>
    </row>
    <row r="28" spans="1:17" ht="21" x14ac:dyDescent="0.55000000000000004">
      <c r="A28" s="64" t="s">
        <v>144</v>
      </c>
      <c r="C28" s="66">
        <v>0</v>
      </c>
      <c r="D28" s="66"/>
      <c r="E28" s="66">
        <v>0</v>
      </c>
      <c r="F28" s="66"/>
      <c r="G28" s="66">
        <v>0</v>
      </c>
      <c r="H28" s="66"/>
      <c r="I28" s="66">
        <v>0</v>
      </c>
      <c r="J28" s="65"/>
      <c r="K28" s="66">
        <v>595000</v>
      </c>
      <c r="M28" s="66">
        <v>17461482461</v>
      </c>
      <c r="O28" s="66">
        <v>11150692921</v>
      </c>
      <c r="Q28" s="66">
        <v>6310789540</v>
      </c>
    </row>
    <row r="29" spans="1:17" ht="21" x14ac:dyDescent="0.55000000000000004">
      <c r="A29" s="64" t="s">
        <v>95</v>
      </c>
      <c r="C29" s="66">
        <v>44000</v>
      </c>
      <c r="E29" s="66">
        <v>15833231</v>
      </c>
      <c r="G29" s="66">
        <v>13910211</v>
      </c>
      <c r="I29" s="66">
        <v>1923020</v>
      </c>
      <c r="K29" s="66">
        <v>24550000</v>
      </c>
      <c r="M29" s="66">
        <v>10454155037</v>
      </c>
      <c r="O29" s="66">
        <v>12909789487</v>
      </c>
      <c r="Q29" s="66">
        <v>-2455634450</v>
      </c>
    </row>
    <row r="30" spans="1:17" ht="21" x14ac:dyDescent="0.55000000000000004">
      <c r="A30" s="64" t="s">
        <v>143</v>
      </c>
      <c r="C30" s="66">
        <v>0</v>
      </c>
      <c r="D30" s="66"/>
      <c r="E30" s="66">
        <v>0</v>
      </c>
      <c r="F30" s="66"/>
      <c r="G30" s="66">
        <v>0</v>
      </c>
      <c r="H30" s="66"/>
      <c r="I30" s="66">
        <v>0</v>
      </c>
      <c r="J30" s="65"/>
      <c r="K30" s="66">
        <v>28192301</v>
      </c>
      <c r="M30" s="66">
        <v>11377970441</v>
      </c>
      <c r="O30" s="66">
        <v>9641682117</v>
      </c>
      <c r="Q30" s="66">
        <v>1736288324</v>
      </c>
    </row>
    <row r="31" spans="1:17" ht="21" x14ac:dyDescent="0.55000000000000004">
      <c r="A31" s="64" t="s">
        <v>367</v>
      </c>
      <c r="C31" s="66">
        <v>0</v>
      </c>
      <c r="D31" s="66"/>
      <c r="E31" s="66">
        <v>0</v>
      </c>
      <c r="F31" s="66"/>
      <c r="G31" s="66">
        <v>0</v>
      </c>
      <c r="H31" s="66"/>
      <c r="I31" s="66">
        <v>0</v>
      </c>
      <c r="J31" s="65"/>
      <c r="K31" s="66">
        <v>700000</v>
      </c>
      <c r="M31" s="66">
        <v>13113781594</v>
      </c>
      <c r="O31" s="66">
        <v>11995700499</v>
      </c>
      <c r="Q31" s="66">
        <v>1118081095</v>
      </c>
    </row>
    <row r="32" spans="1:17" ht="21" x14ac:dyDescent="0.55000000000000004">
      <c r="A32" s="64" t="s">
        <v>94</v>
      </c>
      <c r="C32" s="66">
        <v>3851000</v>
      </c>
      <c r="E32" s="66">
        <v>4978765350</v>
      </c>
      <c r="G32" s="66">
        <v>5504180916</v>
      </c>
      <c r="I32" s="66">
        <v>-525415566</v>
      </c>
      <c r="K32" s="66">
        <v>35065000</v>
      </c>
      <c r="M32" s="66">
        <v>44207425683</v>
      </c>
      <c r="O32" s="66">
        <v>50664088529</v>
      </c>
      <c r="Q32" s="66">
        <v>-6456662846</v>
      </c>
    </row>
    <row r="33" spans="1:17" ht="21" x14ac:dyDescent="0.55000000000000004">
      <c r="A33" s="64" t="s">
        <v>142</v>
      </c>
      <c r="C33" s="66">
        <v>0</v>
      </c>
      <c r="D33" s="66"/>
      <c r="E33" s="66">
        <v>0</v>
      </c>
      <c r="F33" s="66"/>
      <c r="G33" s="66">
        <v>0</v>
      </c>
      <c r="H33" s="66"/>
      <c r="I33" s="66">
        <v>0</v>
      </c>
      <c r="J33" s="65"/>
      <c r="K33" s="66">
        <v>24869520</v>
      </c>
      <c r="M33" s="66">
        <v>29276157072</v>
      </c>
      <c r="O33" s="66">
        <v>29713114579</v>
      </c>
      <c r="Q33" s="66">
        <v>-436957507</v>
      </c>
    </row>
    <row r="34" spans="1:17" ht="21" x14ac:dyDescent="0.55000000000000004">
      <c r="A34" s="64" t="s">
        <v>93</v>
      </c>
      <c r="C34" s="66">
        <v>10000</v>
      </c>
      <c r="E34" s="66">
        <v>262429200</v>
      </c>
      <c r="G34" s="66">
        <v>252490912</v>
      </c>
      <c r="I34" s="66">
        <v>9938288</v>
      </c>
      <c r="K34" s="66">
        <v>560000</v>
      </c>
      <c r="M34" s="66">
        <v>16009370856</v>
      </c>
      <c r="O34" s="66">
        <v>14705873430</v>
      </c>
      <c r="Q34" s="66">
        <v>1303497426</v>
      </c>
    </row>
    <row r="35" spans="1:17" ht="21" x14ac:dyDescent="0.55000000000000004">
      <c r="A35" s="64" t="s">
        <v>92</v>
      </c>
      <c r="C35" s="66">
        <v>350000</v>
      </c>
      <c r="E35" s="66">
        <v>3740111563</v>
      </c>
      <c r="G35" s="66">
        <v>3817043463</v>
      </c>
      <c r="I35" s="66">
        <v>-76931900</v>
      </c>
      <c r="K35" s="66">
        <v>350000</v>
      </c>
      <c r="M35" s="66">
        <v>3740111563</v>
      </c>
      <c r="O35" s="66">
        <v>3817043463</v>
      </c>
      <c r="Q35" s="66">
        <v>-76931900</v>
      </c>
    </row>
    <row r="36" spans="1:17" ht="21" x14ac:dyDescent="0.55000000000000004">
      <c r="A36" s="64" t="s">
        <v>91</v>
      </c>
      <c r="C36" s="66">
        <v>600000</v>
      </c>
      <c r="E36" s="66">
        <v>6008038276</v>
      </c>
      <c r="G36" s="66">
        <v>6112390039</v>
      </c>
      <c r="I36" s="66">
        <v>-104351763</v>
      </c>
      <c r="K36" s="66">
        <v>3079048</v>
      </c>
      <c r="M36" s="66">
        <v>28161393128</v>
      </c>
      <c r="O36" s="66">
        <v>32486030403</v>
      </c>
      <c r="Q36" s="66">
        <v>-4324637275</v>
      </c>
    </row>
    <row r="37" spans="1:17" ht="21" x14ac:dyDescent="0.55000000000000004">
      <c r="A37" s="64" t="s">
        <v>141</v>
      </c>
      <c r="C37" s="66">
        <v>0</v>
      </c>
      <c r="D37" s="66"/>
      <c r="E37" s="66">
        <v>0</v>
      </c>
      <c r="F37" s="66"/>
      <c r="G37" s="66">
        <v>0</v>
      </c>
      <c r="H37" s="66"/>
      <c r="I37" s="66">
        <v>0</v>
      </c>
      <c r="J37" s="65"/>
      <c r="K37" s="66">
        <v>2785714</v>
      </c>
      <c r="M37" s="66">
        <v>14503087056</v>
      </c>
      <c r="O37" s="66">
        <v>13601258776</v>
      </c>
      <c r="Q37" s="66">
        <v>901828280</v>
      </c>
    </row>
    <row r="38" spans="1:17" ht="21" x14ac:dyDescent="0.55000000000000004">
      <c r="A38" s="64" t="s">
        <v>140</v>
      </c>
      <c r="C38" s="66">
        <v>0</v>
      </c>
      <c r="D38" s="66"/>
      <c r="E38" s="66">
        <v>0</v>
      </c>
      <c r="F38" s="66"/>
      <c r="G38" s="66">
        <v>0</v>
      </c>
      <c r="H38" s="66"/>
      <c r="I38" s="66">
        <v>0</v>
      </c>
      <c r="J38" s="65"/>
      <c r="K38" s="66">
        <v>1500000</v>
      </c>
      <c r="M38" s="66">
        <v>5027159397</v>
      </c>
      <c r="O38" s="66">
        <v>4624224597</v>
      </c>
      <c r="Q38" s="66">
        <v>402934800</v>
      </c>
    </row>
    <row r="39" spans="1:17" ht="21" x14ac:dyDescent="0.55000000000000004">
      <c r="A39" s="64" t="s">
        <v>139</v>
      </c>
      <c r="C39" s="66">
        <v>0</v>
      </c>
      <c r="D39" s="66"/>
      <c r="E39" s="66">
        <v>0</v>
      </c>
      <c r="F39" s="66"/>
      <c r="G39" s="66">
        <v>0</v>
      </c>
      <c r="H39" s="66"/>
      <c r="I39" s="66">
        <v>0</v>
      </c>
      <c r="J39" s="65"/>
      <c r="K39" s="66">
        <v>6500000</v>
      </c>
      <c r="M39" s="66">
        <v>7988466469</v>
      </c>
      <c r="O39" s="66">
        <v>7759422823</v>
      </c>
      <c r="Q39" s="66">
        <v>229043646</v>
      </c>
    </row>
    <row r="40" spans="1:17" ht="21" x14ac:dyDescent="0.55000000000000004">
      <c r="A40" s="64" t="s">
        <v>90</v>
      </c>
      <c r="C40" s="66">
        <v>0</v>
      </c>
      <c r="D40" s="66"/>
      <c r="E40" s="66">
        <v>0</v>
      </c>
      <c r="F40" s="66"/>
      <c r="G40" s="66">
        <v>0</v>
      </c>
      <c r="H40" s="66"/>
      <c r="I40" s="66">
        <v>0</v>
      </c>
      <c r="J40" s="65"/>
      <c r="K40" s="66">
        <v>1000000</v>
      </c>
      <c r="M40" s="66">
        <v>10453071423</v>
      </c>
      <c r="O40" s="66">
        <v>9455060521</v>
      </c>
      <c r="Q40" s="66">
        <v>998010902</v>
      </c>
    </row>
    <row r="41" spans="1:17" ht="21" x14ac:dyDescent="0.55000000000000004">
      <c r="A41" s="64" t="s">
        <v>138</v>
      </c>
      <c r="C41" s="66">
        <v>0</v>
      </c>
      <c r="D41" s="66"/>
      <c r="E41" s="66">
        <v>0</v>
      </c>
      <c r="F41" s="66"/>
      <c r="G41" s="66">
        <v>0</v>
      </c>
      <c r="H41" s="66"/>
      <c r="I41" s="66">
        <v>0</v>
      </c>
      <c r="J41" s="65"/>
      <c r="K41" s="66">
        <v>1383146</v>
      </c>
      <c r="M41" s="66">
        <v>16041014404</v>
      </c>
      <c r="O41" s="66">
        <v>13226976376</v>
      </c>
      <c r="Q41" s="66">
        <v>2814038028</v>
      </c>
    </row>
    <row r="42" spans="1:17" ht="21" x14ac:dyDescent="0.55000000000000004">
      <c r="A42" s="64" t="s">
        <v>89</v>
      </c>
      <c r="C42" s="66">
        <v>220501</v>
      </c>
      <c r="E42" s="66">
        <v>3715512713</v>
      </c>
      <c r="G42" s="66">
        <v>3508947776</v>
      </c>
      <c r="I42" s="66">
        <v>206564937</v>
      </c>
      <c r="K42" s="66">
        <v>220501</v>
      </c>
      <c r="M42" s="66">
        <v>3715512713</v>
      </c>
      <c r="O42" s="66">
        <v>3508947776</v>
      </c>
      <c r="Q42" s="66">
        <v>206564937</v>
      </c>
    </row>
    <row r="43" spans="1:17" ht="21" x14ac:dyDescent="0.55000000000000004">
      <c r="A43" s="64" t="s">
        <v>135</v>
      </c>
      <c r="C43" s="66">
        <v>0</v>
      </c>
      <c r="D43" s="66"/>
      <c r="E43" s="66">
        <v>0</v>
      </c>
      <c r="F43" s="66"/>
      <c r="G43" s="66">
        <v>0</v>
      </c>
      <c r="H43" s="66"/>
      <c r="I43" s="66">
        <v>0</v>
      </c>
      <c r="J43" s="65"/>
      <c r="K43" s="66">
        <v>2400000</v>
      </c>
      <c r="M43" s="66">
        <v>7129862097</v>
      </c>
      <c r="O43" s="66">
        <v>11764251845</v>
      </c>
      <c r="Q43" s="66">
        <v>-4634389748</v>
      </c>
    </row>
    <row r="44" spans="1:17" ht="21" x14ac:dyDescent="0.55000000000000004">
      <c r="A44" s="64" t="s">
        <v>134</v>
      </c>
      <c r="C44" s="66">
        <v>0</v>
      </c>
      <c r="D44" s="66"/>
      <c r="E44" s="66">
        <v>0</v>
      </c>
      <c r="F44" s="66"/>
      <c r="G44" s="66">
        <v>0</v>
      </c>
      <c r="H44" s="66"/>
      <c r="I44" s="66">
        <v>0</v>
      </c>
      <c r="J44" s="65"/>
      <c r="K44" s="66">
        <v>750000</v>
      </c>
      <c r="M44" s="66">
        <v>6006550068</v>
      </c>
      <c r="O44" s="66">
        <v>5409054971</v>
      </c>
      <c r="Q44" s="66">
        <v>597495097</v>
      </c>
    </row>
    <row r="45" spans="1:17" ht="21" x14ac:dyDescent="0.55000000000000004">
      <c r="A45" s="64" t="s">
        <v>133</v>
      </c>
      <c r="C45" s="66">
        <v>0</v>
      </c>
      <c r="D45" s="66"/>
      <c r="E45" s="66">
        <v>0</v>
      </c>
      <c r="F45" s="66"/>
      <c r="G45" s="66">
        <v>0</v>
      </c>
      <c r="H45" s="66"/>
      <c r="I45" s="66">
        <v>0</v>
      </c>
      <c r="J45" s="65"/>
      <c r="K45" s="66">
        <v>3000000</v>
      </c>
      <c r="M45" s="66">
        <v>11374254037</v>
      </c>
      <c r="O45" s="66">
        <v>9240548720</v>
      </c>
      <c r="Q45" s="66">
        <v>2133705317</v>
      </c>
    </row>
    <row r="46" spans="1:17" ht="21" x14ac:dyDescent="0.55000000000000004">
      <c r="A46" s="64" t="s">
        <v>132</v>
      </c>
      <c r="C46" s="66">
        <v>0</v>
      </c>
      <c r="D46" s="66"/>
      <c r="E46" s="66">
        <v>0</v>
      </c>
      <c r="F46" s="66"/>
      <c r="G46" s="66">
        <v>0</v>
      </c>
      <c r="H46" s="66"/>
      <c r="I46" s="66">
        <v>0</v>
      </c>
      <c r="J46" s="65"/>
      <c r="K46" s="66">
        <v>9506493</v>
      </c>
      <c r="M46" s="66">
        <v>25599861319</v>
      </c>
      <c r="O46" s="66">
        <v>24151987937</v>
      </c>
      <c r="Q46" s="66">
        <v>1447873382</v>
      </c>
    </row>
    <row r="47" spans="1:17" ht="21" x14ac:dyDescent="0.55000000000000004">
      <c r="A47" s="64" t="s">
        <v>88</v>
      </c>
      <c r="C47" s="66">
        <v>0</v>
      </c>
      <c r="D47" s="66"/>
      <c r="E47" s="66">
        <v>0</v>
      </c>
      <c r="F47" s="66"/>
      <c r="G47" s="66">
        <v>0</v>
      </c>
      <c r="H47" s="66"/>
      <c r="I47" s="66">
        <v>0</v>
      </c>
      <c r="J47" s="65"/>
      <c r="K47" s="66">
        <v>1875000</v>
      </c>
      <c r="M47" s="66">
        <v>6657539463</v>
      </c>
      <c r="O47" s="66">
        <v>6059096579</v>
      </c>
      <c r="Q47" s="66">
        <v>598442884</v>
      </c>
    </row>
    <row r="48" spans="1:17" ht="21" x14ac:dyDescent="0.55000000000000004">
      <c r="A48" s="64" t="s">
        <v>87</v>
      </c>
      <c r="C48" s="66">
        <v>0</v>
      </c>
      <c r="D48" s="66"/>
      <c r="E48" s="66">
        <v>0</v>
      </c>
      <c r="F48" s="66"/>
      <c r="G48" s="66">
        <v>0</v>
      </c>
      <c r="H48" s="66"/>
      <c r="I48" s="66">
        <v>0</v>
      </c>
      <c r="J48" s="65"/>
      <c r="K48" s="66">
        <v>6065870</v>
      </c>
      <c r="M48" s="66">
        <v>50481232214</v>
      </c>
      <c r="O48" s="66">
        <v>45596585145</v>
      </c>
      <c r="Q48" s="66">
        <v>4884647069</v>
      </c>
    </row>
    <row r="49" spans="1:17" ht="21" x14ac:dyDescent="0.55000000000000004">
      <c r="A49" s="64" t="s">
        <v>86</v>
      </c>
      <c r="C49" s="66">
        <v>0</v>
      </c>
      <c r="D49" s="66"/>
      <c r="E49" s="66">
        <v>0</v>
      </c>
      <c r="F49" s="66"/>
      <c r="G49" s="66">
        <v>0</v>
      </c>
      <c r="H49" s="66"/>
      <c r="I49" s="66">
        <v>0</v>
      </c>
      <c r="J49" s="65"/>
      <c r="K49" s="66">
        <v>642665</v>
      </c>
      <c r="M49" s="66">
        <v>13393084960</v>
      </c>
      <c r="O49" s="66">
        <v>14574850186</v>
      </c>
      <c r="Q49" s="66">
        <v>-1181765226</v>
      </c>
    </row>
    <row r="50" spans="1:17" ht="21" x14ac:dyDescent="0.55000000000000004">
      <c r="A50" s="64" t="s">
        <v>366</v>
      </c>
      <c r="C50" s="66">
        <v>0</v>
      </c>
      <c r="D50" s="66"/>
      <c r="E50" s="66">
        <v>0</v>
      </c>
      <c r="F50" s="66"/>
      <c r="G50" s="66">
        <v>0</v>
      </c>
      <c r="H50" s="66"/>
      <c r="I50" s="66">
        <v>0</v>
      </c>
      <c r="J50" s="65"/>
      <c r="K50" s="66">
        <v>3800000</v>
      </c>
      <c r="M50" s="66">
        <v>23683463035</v>
      </c>
      <c r="O50" s="66">
        <v>25997778915</v>
      </c>
      <c r="Q50" s="66">
        <v>-2314315880</v>
      </c>
    </row>
    <row r="51" spans="1:17" ht="21" x14ac:dyDescent="0.55000000000000004">
      <c r="A51" s="64" t="s">
        <v>130</v>
      </c>
      <c r="C51" s="66">
        <v>0</v>
      </c>
      <c r="D51" s="66"/>
      <c r="E51" s="66">
        <v>0</v>
      </c>
      <c r="F51" s="66"/>
      <c r="G51" s="66">
        <v>0</v>
      </c>
      <c r="H51" s="66"/>
      <c r="I51" s="66">
        <v>0</v>
      </c>
      <c r="J51" s="65"/>
      <c r="K51" s="66">
        <v>265</v>
      </c>
      <c r="M51" s="66">
        <v>5023485</v>
      </c>
      <c r="O51" s="66">
        <v>4865758</v>
      </c>
      <c r="Q51" s="66">
        <v>157727</v>
      </c>
    </row>
    <row r="52" spans="1:17" ht="21" x14ac:dyDescent="0.55000000000000004">
      <c r="A52" s="64" t="s">
        <v>365</v>
      </c>
      <c r="C52" s="66">
        <v>0</v>
      </c>
      <c r="D52" s="66"/>
      <c r="E52" s="66">
        <v>0</v>
      </c>
      <c r="F52" s="66"/>
      <c r="G52" s="66">
        <v>0</v>
      </c>
      <c r="H52" s="66"/>
      <c r="I52" s="66">
        <v>0</v>
      </c>
      <c r="J52" s="65"/>
      <c r="K52" s="66">
        <v>800000</v>
      </c>
      <c r="M52" s="66">
        <v>2926501004</v>
      </c>
      <c r="O52" s="66">
        <v>3290681565</v>
      </c>
      <c r="Q52" s="66">
        <v>-364180561</v>
      </c>
    </row>
    <row r="53" spans="1:17" ht="21" x14ac:dyDescent="0.55000000000000004">
      <c r="A53" s="64" t="s">
        <v>128</v>
      </c>
      <c r="C53" s="66">
        <v>0</v>
      </c>
      <c r="D53" s="66"/>
      <c r="E53" s="66">
        <v>0</v>
      </c>
      <c r="F53" s="66"/>
      <c r="G53" s="66">
        <v>0</v>
      </c>
      <c r="H53" s="66"/>
      <c r="I53" s="66">
        <v>0</v>
      </c>
      <c r="J53" s="65"/>
      <c r="K53" s="66">
        <v>16214566</v>
      </c>
      <c r="M53" s="66">
        <v>32438711144</v>
      </c>
      <c r="O53" s="66">
        <v>39973740709</v>
      </c>
      <c r="Q53" s="66">
        <v>-7535029565</v>
      </c>
    </row>
    <row r="54" spans="1:17" ht="21" x14ac:dyDescent="0.55000000000000004">
      <c r="A54" s="64" t="s">
        <v>85</v>
      </c>
      <c r="C54" s="66">
        <v>5300000</v>
      </c>
      <c r="E54" s="66">
        <v>14658523818</v>
      </c>
      <c r="G54" s="66">
        <v>19887511742</v>
      </c>
      <c r="I54" s="66">
        <v>-5228987924</v>
      </c>
      <c r="K54" s="66">
        <v>11666211</v>
      </c>
      <c r="M54" s="66">
        <v>32987478001</v>
      </c>
      <c r="O54" s="66">
        <v>46362737316</v>
      </c>
      <c r="Q54" s="66">
        <v>-13375259315</v>
      </c>
    </row>
    <row r="55" spans="1:17" ht="21" x14ac:dyDescent="0.55000000000000004">
      <c r="A55" s="64" t="s">
        <v>364</v>
      </c>
      <c r="C55" s="66">
        <v>0</v>
      </c>
      <c r="D55" s="66"/>
      <c r="E55" s="66">
        <v>0</v>
      </c>
      <c r="F55" s="66"/>
      <c r="G55" s="66">
        <v>0</v>
      </c>
      <c r="H55" s="66"/>
      <c r="I55" s="66">
        <v>0</v>
      </c>
      <c r="J55" s="65"/>
      <c r="K55" s="66">
        <v>1900000</v>
      </c>
      <c r="M55" s="66">
        <v>6041239517</v>
      </c>
      <c r="O55" s="66">
        <v>8261460708</v>
      </c>
      <c r="Q55" s="66">
        <v>-2220221191</v>
      </c>
    </row>
    <row r="56" spans="1:17" ht="21" x14ac:dyDescent="0.55000000000000004">
      <c r="A56" s="64" t="s">
        <v>127</v>
      </c>
      <c r="C56" s="66">
        <v>0</v>
      </c>
      <c r="D56" s="66"/>
      <c r="E56" s="66">
        <v>0</v>
      </c>
      <c r="F56" s="66"/>
      <c r="G56" s="66">
        <v>0</v>
      </c>
      <c r="H56" s="66"/>
      <c r="I56" s="66">
        <v>0</v>
      </c>
      <c r="J56" s="65"/>
      <c r="K56" s="66">
        <v>200000</v>
      </c>
      <c r="M56" s="66">
        <v>2200826700</v>
      </c>
      <c r="O56" s="66">
        <v>3619085400</v>
      </c>
      <c r="Q56" s="66">
        <v>-1418258700</v>
      </c>
    </row>
    <row r="57" spans="1:17" ht="21" x14ac:dyDescent="0.55000000000000004">
      <c r="A57" s="64" t="s">
        <v>363</v>
      </c>
      <c r="C57" s="66">
        <v>0</v>
      </c>
      <c r="D57" s="66"/>
      <c r="E57" s="66">
        <v>0</v>
      </c>
      <c r="F57" s="66"/>
      <c r="G57" s="66">
        <v>0</v>
      </c>
      <c r="H57" s="66"/>
      <c r="I57" s="66">
        <v>0</v>
      </c>
      <c r="J57" s="65"/>
      <c r="K57" s="66">
        <v>2308532</v>
      </c>
      <c r="M57" s="66">
        <v>16092601741</v>
      </c>
      <c r="O57" s="66">
        <v>18567404004</v>
      </c>
      <c r="Q57" s="66">
        <v>-2474802263</v>
      </c>
    </row>
    <row r="58" spans="1:17" ht="21" x14ac:dyDescent="0.55000000000000004">
      <c r="A58" s="64" t="s">
        <v>84</v>
      </c>
      <c r="C58" s="66">
        <v>0</v>
      </c>
      <c r="D58" s="66"/>
      <c r="E58" s="66">
        <v>0</v>
      </c>
      <c r="F58" s="66"/>
      <c r="G58" s="66">
        <v>0</v>
      </c>
      <c r="H58" s="66"/>
      <c r="I58" s="66">
        <v>0</v>
      </c>
      <c r="J58" s="65"/>
      <c r="K58" s="66">
        <v>200000</v>
      </c>
      <c r="M58" s="66">
        <v>2425482010</v>
      </c>
      <c r="O58" s="66">
        <v>2325651668</v>
      </c>
      <c r="Q58" s="66">
        <v>99830342</v>
      </c>
    </row>
    <row r="59" spans="1:17" ht="21" x14ac:dyDescent="0.55000000000000004">
      <c r="A59" s="64" t="s">
        <v>337</v>
      </c>
      <c r="C59" s="66">
        <v>0</v>
      </c>
      <c r="D59" s="66"/>
      <c r="E59" s="66">
        <v>0</v>
      </c>
      <c r="F59" s="66"/>
      <c r="G59" s="66">
        <v>0</v>
      </c>
      <c r="H59" s="66"/>
      <c r="I59" s="66">
        <v>0</v>
      </c>
      <c r="J59" s="65"/>
      <c r="K59" s="66">
        <v>29010652</v>
      </c>
      <c r="M59" s="66">
        <v>14989091885</v>
      </c>
      <c r="O59" s="66">
        <v>17788300976</v>
      </c>
      <c r="Q59" s="66">
        <v>-2799209091</v>
      </c>
    </row>
    <row r="60" spans="1:17" ht="21" x14ac:dyDescent="0.55000000000000004">
      <c r="A60" s="64" t="s">
        <v>125</v>
      </c>
      <c r="C60" s="66">
        <v>0</v>
      </c>
      <c r="D60" s="66"/>
      <c r="E60" s="66">
        <v>0</v>
      </c>
      <c r="F60" s="66"/>
      <c r="G60" s="66">
        <v>0</v>
      </c>
      <c r="H60" s="66"/>
      <c r="I60" s="66">
        <v>0</v>
      </c>
      <c r="J60" s="65"/>
      <c r="K60" s="66">
        <v>1800000</v>
      </c>
      <c r="M60" s="66">
        <v>30209179739</v>
      </c>
      <c r="O60" s="66">
        <v>29106262207</v>
      </c>
      <c r="Q60" s="66">
        <v>1102917532</v>
      </c>
    </row>
    <row r="61" spans="1:17" ht="21" x14ac:dyDescent="0.55000000000000004">
      <c r="A61" s="64" t="s">
        <v>362</v>
      </c>
      <c r="C61" s="66">
        <v>0</v>
      </c>
      <c r="D61" s="66"/>
      <c r="E61" s="66">
        <v>0</v>
      </c>
      <c r="F61" s="66"/>
      <c r="G61" s="66">
        <v>0</v>
      </c>
      <c r="H61" s="66"/>
      <c r="I61" s="66">
        <v>0</v>
      </c>
      <c r="J61" s="65"/>
      <c r="K61" s="66">
        <v>2421626</v>
      </c>
      <c r="M61" s="66">
        <v>13863899230</v>
      </c>
      <c r="O61" s="66">
        <v>14571250792</v>
      </c>
      <c r="Q61" s="66">
        <v>-707351562</v>
      </c>
    </row>
    <row r="62" spans="1:17" ht="21" x14ac:dyDescent="0.55000000000000004">
      <c r="A62" s="64" t="s">
        <v>124</v>
      </c>
      <c r="C62" s="66">
        <v>0</v>
      </c>
      <c r="D62" s="66"/>
      <c r="E62" s="66">
        <v>0</v>
      </c>
      <c r="F62" s="66"/>
      <c r="G62" s="66">
        <v>0</v>
      </c>
      <c r="H62" s="66"/>
      <c r="I62" s="66">
        <v>0</v>
      </c>
      <c r="J62" s="65"/>
      <c r="K62" s="66">
        <v>350000</v>
      </c>
      <c r="M62" s="66">
        <v>15081074811</v>
      </c>
      <c r="O62" s="66">
        <v>14272760561</v>
      </c>
      <c r="Q62" s="66">
        <v>808314250</v>
      </c>
    </row>
    <row r="63" spans="1:17" ht="21" x14ac:dyDescent="0.55000000000000004">
      <c r="A63" s="64" t="s">
        <v>83</v>
      </c>
      <c r="C63" s="66">
        <v>0</v>
      </c>
      <c r="D63" s="66"/>
      <c r="E63" s="66">
        <v>0</v>
      </c>
      <c r="F63" s="66"/>
      <c r="G63" s="66">
        <v>0</v>
      </c>
      <c r="H63" s="66"/>
      <c r="I63" s="66">
        <v>0</v>
      </c>
      <c r="J63" s="65"/>
      <c r="K63" s="66">
        <v>5238461</v>
      </c>
      <c r="M63" s="66">
        <v>34717716562</v>
      </c>
      <c r="O63" s="66">
        <v>32329663239</v>
      </c>
      <c r="Q63" s="66">
        <v>2388053323</v>
      </c>
    </row>
    <row r="64" spans="1:17" ht="21" x14ac:dyDescent="0.55000000000000004">
      <c r="A64" s="64" t="s">
        <v>82</v>
      </c>
      <c r="C64" s="66">
        <v>0</v>
      </c>
      <c r="D64" s="66"/>
      <c r="E64" s="66">
        <v>0</v>
      </c>
      <c r="F64" s="66"/>
      <c r="G64" s="66">
        <v>0</v>
      </c>
      <c r="H64" s="66"/>
      <c r="I64" s="66">
        <v>0</v>
      </c>
      <c r="J64" s="65"/>
      <c r="K64" s="66">
        <v>800000</v>
      </c>
      <c r="M64" s="66">
        <v>10662800069</v>
      </c>
      <c r="O64" s="66">
        <v>10816752314</v>
      </c>
      <c r="Q64" s="66">
        <v>-153952245</v>
      </c>
    </row>
    <row r="65" spans="1:17" ht="21" x14ac:dyDescent="0.55000000000000004">
      <c r="A65" s="64" t="s">
        <v>123</v>
      </c>
      <c r="C65" s="66">
        <v>0</v>
      </c>
      <c r="D65" s="66"/>
      <c r="E65" s="66">
        <v>0</v>
      </c>
      <c r="F65" s="66"/>
      <c r="G65" s="66">
        <v>0</v>
      </c>
      <c r="H65" s="66"/>
      <c r="I65" s="66">
        <v>0</v>
      </c>
      <c r="J65" s="65"/>
      <c r="K65" s="66">
        <v>450000</v>
      </c>
      <c r="M65" s="66">
        <v>5159086050</v>
      </c>
      <c r="O65" s="66">
        <v>2461380650</v>
      </c>
      <c r="Q65" s="66">
        <v>2697705400</v>
      </c>
    </row>
    <row r="66" spans="1:17" ht="21" x14ac:dyDescent="0.55000000000000004">
      <c r="A66" s="64" t="s">
        <v>81</v>
      </c>
      <c r="C66" s="66">
        <v>0</v>
      </c>
      <c r="D66" s="66"/>
      <c r="E66" s="66">
        <v>0</v>
      </c>
      <c r="F66" s="66"/>
      <c r="G66" s="66">
        <v>0</v>
      </c>
      <c r="H66" s="66"/>
      <c r="I66" s="66">
        <v>0</v>
      </c>
      <c r="J66" s="65"/>
      <c r="K66" s="66">
        <v>6350000</v>
      </c>
      <c r="M66" s="66">
        <v>22645405314</v>
      </c>
      <c r="O66" s="66">
        <v>21259314721</v>
      </c>
      <c r="Q66" s="66">
        <v>1386090593</v>
      </c>
    </row>
    <row r="67" spans="1:17" ht="21" x14ac:dyDescent="0.55000000000000004">
      <c r="A67" s="64" t="s">
        <v>80</v>
      </c>
      <c r="C67" s="66">
        <v>0</v>
      </c>
      <c r="D67" s="66"/>
      <c r="E67" s="66">
        <v>0</v>
      </c>
      <c r="F67" s="66"/>
      <c r="G67" s="66">
        <v>0</v>
      </c>
      <c r="H67" s="66"/>
      <c r="I67" s="66">
        <v>0</v>
      </c>
      <c r="J67" s="65"/>
      <c r="K67" s="66">
        <v>100000</v>
      </c>
      <c r="M67" s="66">
        <v>1065621606</v>
      </c>
      <c r="O67" s="66">
        <v>1021148013</v>
      </c>
      <c r="Q67" s="66">
        <v>44473593</v>
      </c>
    </row>
    <row r="68" spans="1:17" ht="21" x14ac:dyDescent="0.55000000000000004">
      <c r="A68" s="64" t="s">
        <v>122</v>
      </c>
      <c r="C68" s="66">
        <v>0</v>
      </c>
      <c r="D68" s="66"/>
      <c r="E68" s="66">
        <v>0</v>
      </c>
      <c r="F68" s="66"/>
      <c r="G68" s="66">
        <v>0</v>
      </c>
      <c r="H68" s="66"/>
      <c r="I68" s="66">
        <v>0</v>
      </c>
      <c r="J68" s="65"/>
      <c r="K68" s="66">
        <v>600000</v>
      </c>
      <c r="M68" s="66">
        <v>7733463755</v>
      </c>
      <c r="O68" s="66">
        <v>9716827406</v>
      </c>
      <c r="Q68" s="66">
        <v>-1983363651</v>
      </c>
    </row>
    <row r="69" spans="1:17" ht="21" x14ac:dyDescent="0.55000000000000004">
      <c r="A69" s="64" t="s">
        <v>79</v>
      </c>
      <c r="C69" s="66">
        <v>0</v>
      </c>
      <c r="D69" s="66"/>
      <c r="E69" s="66">
        <v>0</v>
      </c>
      <c r="F69" s="66"/>
      <c r="G69" s="66">
        <v>0</v>
      </c>
      <c r="H69" s="66"/>
      <c r="I69" s="66">
        <v>0</v>
      </c>
      <c r="J69" s="65"/>
      <c r="K69" s="66">
        <v>50000</v>
      </c>
      <c r="M69" s="66">
        <v>832086211</v>
      </c>
      <c r="O69" s="66">
        <v>826483756</v>
      </c>
      <c r="Q69" s="66">
        <v>5602455</v>
      </c>
    </row>
    <row r="70" spans="1:17" ht="21" x14ac:dyDescent="0.55000000000000004">
      <c r="A70" s="64" t="s">
        <v>78</v>
      </c>
      <c r="C70" s="66">
        <v>800000</v>
      </c>
      <c r="E70" s="66">
        <v>2114221447</v>
      </c>
      <c r="G70" s="66">
        <v>1724257964</v>
      </c>
      <c r="I70" s="66">
        <v>389963483</v>
      </c>
      <c r="K70" s="66">
        <v>2185981</v>
      </c>
      <c r="M70" s="66">
        <v>5186646380</v>
      </c>
      <c r="O70" s="66">
        <v>4642931841</v>
      </c>
      <c r="Q70" s="66">
        <v>543714539</v>
      </c>
    </row>
    <row r="71" spans="1:17" ht="21" x14ac:dyDescent="0.55000000000000004">
      <c r="A71" s="64" t="s">
        <v>77</v>
      </c>
      <c r="C71" s="66">
        <v>0</v>
      </c>
      <c r="D71" s="66"/>
      <c r="E71" s="66">
        <v>0</v>
      </c>
      <c r="F71" s="66"/>
      <c r="G71" s="66">
        <v>0</v>
      </c>
      <c r="H71" s="66"/>
      <c r="I71" s="66">
        <v>0</v>
      </c>
      <c r="J71" s="65"/>
      <c r="K71" s="66">
        <v>257000</v>
      </c>
      <c r="M71" s="66">
        <v>14029800109</v>
      </c>
      <c r="O71" s="66">
        <v>15338798354</v>
      </c>
      <c r="Q71" s="66">
        <v>-1308998245</v>
      </c>
    </row>
    <row r="72" spans="1:17" ht="21" x14ac:dyDescent="0.55000000000000004">
      <c r="A72" s="64" t="s">
        <v>76</v>
      </c>
      <c r="C72" s="66">
        <v>1350000</v>
      </c>
      <c r="E72" s="66">
        <v>6369173458</v>
      </c>
      <c r="G72" s="66">
        <v>6002630676</v>
      </c>
      <c r="I72" s="66">
        <v>366542782</v>
      </c>
      <c r="K72" s="66">
        <v>3100000</v>
      </c>
      <c r="M72" s="66">
        <v>14638869332</v>
      </c>
      <c r="O72" s="66">
        <v>13783738530</v>
      </c>
      <c r="Q72" s="66">
        <v>855130802</v>
      </c>
    </row>
    <row r="73" spans="1:17" ht="21" x14ac:dyDescent="0.55000000000000004">
      <c r="A73" s="64" t="s">
        <v>121</v>
      </c>
      <c r="C73" s="66">
        <v>0</v>
      </c>
      <c r="D73" s="66"/>
      <c r="E73" s="66">
        <v>0</v>
      </c>
      <c r="F73" s="66"/>
      <c r="G73" s="66">
        <v>0</v>
      </c>
      <c r="H73" s="66"/>
      <c r="I73" s="66">
        <v>0</v>
      </c>
      <c r="J73" s="65"/>
      <c r="K73" s="66">
        <v>300000</v>
      </c>
      <c r="M73" s="66">
        <v>17148228183</v>
      </c>
      <c r="O73" s="66">
        <v>19238834411</v>
      </c>
      <c r="Q73" s="66">
        <v>-2090606228</v>
      </c>
    </row>
    <row r="74" spans="1:17" ht="21" x14ac:dyDescent="0.55000000000000004">
      <c r="A74" s="64" t="s">
        <v>75</v>
      </c>
      <c r="C74" s="66">
        <v>0</v>
      </c>
      <c r="D74" s="66"/>
      <c r="E74" s="66">
        <v>0</v>
      </c>
      <c r="F74" s="66"/>
      <c r="G74" s="66">
        <v>0</v>
      </c>
      <c r="H74" s="66"/>
      <c r="I74" s="66">
        <v>0</v>
      </c>
      <c r="J74" s="65"/>
      <c r="K74" s="66">
        <v>85000</v>
      </c>
      <c r="M74" s="66">
        <v>4870275581</v>
      </c>
      <c r="O74" s="66">
        <v>4305403546</v>
      </c>
      <c r="Q74" s="66">
        <v>564872035</v>
      </c>
    </row>
    <row r="75" spans="1:17" ht="21" x14ac:dyDescent="0.55000000000000004">
      <c r="A75" s="64" t="s">
        <v>73</v>
      </c>
      <c r="C75" s="66">
        <v>0</v>
      </c>
      <c r="D75" s="66"/>
      <c r="E75" s="66">
        <v>0</v>
      </c>
      <c r="F75" s="66"/>
      <c r="G75" s="66">
        <v>0</v>
      </c>
      <c r="H75" s="66"/>
      <c r="I75" s="66">
        <v>0</v>
      </c>
      <c r="J75" s="65"/>
      <c r="K75" s="66">
        <v>274900</v>
      </c>
      <c r="M75" s="66">
        <v>11878590310</v>
      </c>
      <c r="O75" s="66">
        <v>9088167333</v>
      </c>
      <c r="Q75" s="66">
        <v>2790422977</v>
      </c>
    </row>
    <row r="76" spans="1:17" ht="21" x14ac:dyDescent="0.55000000000000004">
      <c r="A76" s="64" t="s">
        <v>72</v>
      </c>
      <c r="C76" s="66">
        <v>0</v>
      </c>
      <c r="D76" s="66"/>
      <c r="E76" s="66">
        <v>0</v>
      </c>
      <c r="F76" s="66"/>
      <c r="G76" s="66">
        <v>0</v>
      </c>
      <c r="H76" s="66"/>
      <c r="I76" s="66">
        <v>0</v>
      </c>
      <c r="J76" s="65"/>
      <c r="K76" s="66">
        <v>2400000</v>
      </c>
      <c r="M76" s="66">
        <v>7208005595</v>
      </c>
      <c r="O76" s="66">
        <v>7470331903</v>
      </c>
      <c r="Q76" s="66">
        <v>-262326308</v>
      </c>
    </row>
    <row r="77" spans="1:17" ht="21" x14ac:dyDescent="0.55000000000000004">
      <c r="A77" s="64" t="s">
        <v>71</v>
      </c>
      <c r="C77" s="66">
        <v>0</v>
      </c>
      <c r="D77" s="66"/>
      <c r="E77" s="66">
        <v>0</v>
      </c>
      <c r="F77" s="66"/>
      <c r="G77" s="66">
        <v>0</v>
      </c>
      <c r="H77" s="66"/>
      <c r="I77" s="66">
        <v>0</v>
      </c>
      <c r="J77" s="65"/>
      <c r="K77" s="66">
        <v>20000</v>
      </c>
      <c r="M77" s="66">
        <v>4904535772</v>
      </c>
      <c r="O77" s="66">
        <v>4125772382</v>
      </c>
      <c r="Q77" s="66">
        <v>778763390</v>
      </c>
    </row>
    <row r="78" spans="1:17" ht="21" x14ac:dyDescent="0.55000000000000004">
      <c r="A78" s="64" t="s">
        <v>70</v>
      </c>
      <c r="C78" s="66">
        <v>0</v>
      </c>
      <c r="D78" s="66"/>
      <c r="E78" s="66">
        <v>0</v>
      </c>
      <c r="F78" s="66"/>
      <c r="G78" s="66">
        <v>0</v>
      </c>
      <c r="H78" s="66"/>
      <c r="I78" s="66">
        <v>0</v>
      </c>
      <c r="J78" s="65"/>
      <c r="K78" s="66">
        <v>918099</v>
      </c>
      <c r="M78" s="66">
        <v>14773201574</v>
      </c>
      <c r="O78" s="66">
        <v>17860441670</v>
      </c>
      <c r="Q78" s="66">
        <v>-3087240096</v>
      </c>
    </row>
    <row r="79" spans="1:17" ht="21" x14ac:dyDescent="0.55000000000000004">
      <c r="A79" s="64" t="s">
        <v>120</v>
      </c>
      <c r="C79" s="66">
        <v>0</v>
      </c>
      <c r="D79" s="66"/>
      <c r="E79" s="66">
        <v>0</v>
      </c>
      <c r="F79" s="66"/>
      <c r="G79" s="66">
        <v>0</v>
      </c>
      <c r="H79" s="66"/>
      <c r="I79" s="66">
        <v>0</v>
      </c>
      <c r="J79" s="65"/>
      <c r="K79" s="66">
        <v>4827187</v>
      </c>
      <c r="M79" s="66">
        <v>20951547550</v>
      </c>
      <c r="O79" s="66">
        <v>20518046622</v>
      </c>
      <c r="Q79" s="66">
        <v>433500928</v>
      </c>
    </row>
    <row r="80" spans="1:17" ht="21" x14ac:dyDescent="0.55000000000000004">
      <c r="A80" s="64" t="s">
        <v>69</v>
      </c>
      <c r="C80" s="66">
        <v>0</v>
      </c>
      <c r="D80" s="66"/>
      <c r="E80" s="66">
        <v>0</v>
      </c>
      <c r="F80" s="66"/>
      <c r="G80" s="66">
        <v>0</v>
      </c>
      <c r="H80" s="66"/>
      <c r="I80" s="66">
        <v>0</v>
      </c>
      <c r="J80" s="65"/>
      <c r="K80" s="66">
        <v>1600000</v>
      </c>
      <c r="M80" s="66">
        <v>11515075234</v>
      </c>
      <c r="O80" s="66">
        <v>8281095234</v>
      </c>
      <c r="Q80" s="66">
        <v>3233980000</v>
      </c>
    </row>
    <row r="81" spans="1:17" ht="21" x14ac:dyDescent="0.55000000000000004">
      <c r="A81" s="64" t="s">
        <v>68</v>
      </c>
      <c r="C81" s="66">
        <v>0</v>
      </c>
      <c r="D81" s="66"/>
      <c r="E81" s="66">
        <v>0</v>
      </c>
      <c r="F81" s="66"/>
      <c r="G81" s="66">
        <v>0</v>
      </c>
      <c r="H81" s="66"/>
      <c r="I81" s="66">
        <v>0</v>
      </c>
      <c r="J81" s="65"/>
      <c r="K81" s="66">
        <v>100000</v>
      </c>
      <c r="M81" s="66">
        <v>3094180615</v>
      </c>
      <c r="O81" s="66">
        <v>2533845915</v>
      </c>
      <c r="Q81" s="66">
        <v>560334700</v>
      </c>
    </row>
    <row r="82" spans="1:17" ht="21" x14ac:dyDescent="0.55000000000000004">
      <c r="A82" s="64" t="s">
        <v>67</v>
      </c>
      <c r="C82" s="66">
        <v>100000</v>
      </c>
      <c r="E82" s="66">
        <v>7910152982</v>
      </c>
      <c r="G82" s="66">
        <v>4703576906</v>
      </c>
      <c r="I82" s="66">
        <v>3206576076</v>
      </c>
      <c r="K82" s="66">
        <v>685000</v>
      </c>
      <c r="M82" s="66">
        <v>41109580631</v>
      </c>
      <c r="O82" s="66">
        <v>31233330480</v>
      </c>
      <c r="Q82" s="66">
        <v>9876250151</v>
      </c>
    </row>
    <row r="83" spans="1:17" ht="21" x14ac:dyDescent="0.55000000000000004">
      <c r="A83" s="64" t="s">
        <v>66</v>
      </c>
      <c r="C83" s="66">
        <v>0</v>
      </c>
      <c r="D83" s="66"/>
      <c r="E83" s="66">
        <v>0</v>
      </c>
      <c r="F83" s="66"/>
      <c r="G83" s="66">
        <v>0</v>
      </c>
      <c r="H83" s="66"/>
      <c r="I83" s="66">
        <v>0</v>
      </c>
      <c r="J83" s="65"/>
      <c r="K83" s="66">
        <v>904441</v>
      </c>
      <c r="M83" s="66">
        <v>1483381171</v>
      </c>
      <c r="O83" s="66">
        <v>3110157143</v>
      </c>
      <c r="Q83" s="66">
        <v>-1626775972</v>
      </c>
    </row>
    <row r="84" spans="1:17" ht="21" x14ac:dyDescent="0.55000000000000004">
      <c r="A84" s="64" t="s">
        <v>119</v>
      </c>
      <c r="C84" s="66">
        <v>0</v>
      </c>
      <c r="D84" s="66"/>
      <c r="E84" s="66">
        <v>0</v>
      </c>
      <c r="F84" s="66"/>
      <c r="G84" s="66">
        <v>0</v>
      </c>
      <c r="H84" s="66"/>
      <c r="I84" s="66">
        <v>0</v>
      </c>
      <c r="J84" s="65"/>
      <c r="K84" s="66">
        <v>3550000</v>
      </c>
      <c r="M84" s="66">
        <v>12949938069</v>
      </c>
      <c r="O84" s="66">
        <v>15446070222</v>
      </c>
      <c r="Q84" s="66">
        <v>-2496132153</v>
      </c>
    </row>
    <row r="85" spans="1:17" ht="21" x14ac:dyDescent="0.55000000000000004">
      <c r="A85" s="64" t="s">
        <v>361</v>
      </c>
      <c r="C85" s="66">
        <v>0</v>
      </c>
      <c r="D85" s="66"/>
      <c r="E85" s="66">
        <v>0</v>
      </c>
      <c r="F85" s="66"/>
      <c r="G85" s="66">
        <v>0</v>
      </c>
      <c r="H85" s="66"/>
      <c r="I85" s="66">
        <v>0</v>
      </c>
      <c r="J85" s="65"/>
      <c r="K85" s="66">
        <v>4400000</v>
      </c>
      <c r="M85" s="66">
        <v>22370101322</v>
      </c>
      <c r="O85" s="66">
        <v>23887172128</v>
      </c>
      <c r="Q85" s="66">
        <v>-1517070806</v>
      </c>
    </row>
    <row r="86" spans="1:17" ht="21" x14ac:dyDescent="0.55000000000000004">
      <c r="A86" s="64" t="s">
        <v>65</v>
      </c>
      <c r="C86" s="66">
        <v>0</v>
      </c>
      <c r="D86" s="66"/>
      <c r="E86" s="66">
        <v>0</v>
      </c>
      <c r="F86" s="66"/>
      <c r="G86" s="66">
        <v>0</v>
      </c>
      <c r="H86" s="66"/>
      <c r="I86" s="66">
        <v>0</v>
      </c>
      <c r="J86" s="65"/>
      <c r="K86" s="66">
        <v>1403444</v>
      </c>
      <c r="M86" s="66">
        <v>1452292363</v>
      </c>
      <c r="O86" s="66">
        <v>8451423500</v>
      </c>
      <c r="Q86" s="66">
        <v>-6999131137</v>
      </c>
    </row>
    <row r="87" spans="1:17" ht="21.75" thickBot="1" x14ac:dyDescent="0.6">
      <c r="A87" s="67" t="s">
        <v>9</v>
      </c>
      <c r="C87" s="70"/>
      <c r="E87" s="67">
        <f>SUM(E9:$E$86)</f>
        <v>62692451435</v>
      </c>
      <c r="G87" s="67">
        <f>SUM(G9:$G$86)</f>
        <v>62801375595</v>
      </c>
      <c r="I87" s="67">
        <f>SUM(I9:$I$86)</f>
        <v>-425422728</v>
      </c>
      <c r="K87" s="70"/>
      <c r="M87" s="67">
        <f>SUM(M9:$M$86)</f>
        <v>1024144759790</v>
      </c>
      <c r="O87" s="67">
        <f>SUM(O9:$O$86)</f>
        <v>1048884335147</v>
      </c>
      <c r="Q87" s="67">
        <f>SUM(Q9:$Q$86)</f>
        <v>-708875621</v>
      </c>
    </row>
    <row r="88" spans="1:17" ht="21.75" thickTop="1" x14ac:dyDescent="0.55000000000000004">
      <c r="C88" s="70"/>
      <c r="E88" s="68"/>
      <c r="G88" s="68"/>
      <c r="I88" s="68"/>
      <c r="K88" s="70"/>
      <c r="M88" s="68"/>
      <c r="O88" s="68"/>
      <c r="Q88" s="68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C7D6-0609-47C0-AFBF-E497DCCD0C06}">
  <sheetPr>
    <pageSetUpPr fitToPage="1"/>
  </sheetPr>
  <dimension ref="A1:Q48"/>
  <sheetViews>
    <sheetView rightToLeft="1" view="pageBreakPreview" zoomScale="60" zoomScaleNormal="70" workbookViewId="0">
      <selection activeCell="T12" sqref="T12"/>
    </sheetView>
  </sheetViews>
  <sheetFormatPr defaultColWidth="8.85546875" defaultRowHeight="19.5" x14ac:dyDescent="0.55000000000000004"/>
  <cols>
    <col min="1" max="1" width="30.28515625" style="71" customWidth="1"/>
    <col min="2" max="2" width="1.42578125" style="71" customWidth="1"/>
    <col min="3" max="3" width="14.140625" style="71" customWidth="1"/>
    <col min="4" max="4" width="1.42578125" style="71" customWidth="1"/>
    <col min="5" max="5" width="17" style="71" customWidth="1"/>
    <col min="6" max="6" width="1.42578125" style="71" customWidth="1"/>
    <col min="7" max="7" width="17" style="71" customWidth="1"/>
    <col min="8" max="8" width="1.42578125" style="71" customWidth="1"/>
    <col min="9" max="9" width="17" style="71" customWidth="1"/>
    <col min="10" max="10" width="1.42578125" style="71" customWidth="1"/>
    <col min="11" max="11" width="14.140625" style="71" customWidth="1"/>
    <col min="12" max="12" width="1.42578125" style="71" customWidth="1"/>
    <col min="13" max="13" width="17" style="71" customWidth="1"/>
    <col min="14" max="14" width="1.42578125" style="71" customWidth="1"/>
    <col min="15" max="15" width="17" style="71" customWidth="1"/>
    <col min="16" max="16" width="1.42578125" style="71" customWidth="1"/>
    <col min="17" max="17" width="17" style="71" customWidth="1"/>
    <col min="18" max="16384" width="8.85546875" style="71"/>
  </cols>
  <sheetData>
    <row r="1" spans="1:17" ht="19.899999999999999" customHeight="1" x14ac:dyDescent="0.55000000000000004">
      <c r="A1" s="119" t="s">
        <v>106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</row>
    <row r="2" spans="1:17" ht="19.899999999999999" customHeight="1" x14ac:dyDescent="0.55000000000000004">
      <c r="A2" s="119" t="s">
        <v>23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</row>
    <row r="3" spans="1:17" ht="19.899999999999999" customHeight="1" x14ac:dyDescent="0.55000000000000004">
      <c r="A3" s="119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</row>
    <row r="5" spans="1:17" ht="21" x14ac:dyDescent="0.55000000000000004">
      <c r="A5" s="121" t="s">
        <v>39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7" spans="1:17" ht="21" x14ac:dyDescent="0.55000000000000004">
      <c r="C7" s="122" t="s">
        <v>58</v>
      </c>
      <c r="D7" s="123"/>
      <c r="E7" s="123"/>
      <c r="F7" s="123"/>
      <c r="G7" s="123"/>
      <c r="H7" s="123"/>
      <c r="I7" s="123"/>
      <c r="K7" s="122" t="s">
        <v>59</v>
      </c>
      <c r="L7" s="123"/>
      <c r="M7" s="123"/>
      <c r="N7" s="123"/>
      <c r="O7" s="123"/>
      <c r="P7" s="123"/>
      <c r="Q7" s="123"/>
    </row>
    <row r="8" spans="1:17" ht="42" x14ac:dyDescent="0.55000000000000004">
      <c r="A8" s="77" t="s">
        <v>25</v>
      </c>
      <c r="C8" s="72" t="s">
        <v>4</v>
      </c>
      <c r="E8" s="72" t="s">
        <v>6</v>
      </c>
      <c r="G8" s="72" t="s">
        <v>37</v>
      </c>
      <c r="I8" s="72" t="s">
        <v>40</v>
      </c>
      <c r="K8" s="72" t="s">
        <v>4</v>
      </c>
      <c r="M8" s="72" t="s">
        <v>6</v>
      </c>
      <c r="O8" s="72" t="s">
        <v>37</v>
      </c>
      <c r="Q8" s="72" t="s">
        <v>40</v>
      </c>
    </row>
    <row r="9" spans="1:17" ht="21" x14ac:dyDescent="0.55000000000000004">
      <c r="A9" s="73" t="s">
        <v>370</v>
      </c>
      <c r="C9" s="74"/>
      <c r="E9" s="74"/>
      <c r="G9" s="74"/>
      <c r="I9" s="74">
        <v>60392790</v>
      </c>
      <c r="K9" s="74"/>
      <c r="M9" s="74"/>
      <c r="O9" s="74"/>
      <c r="Q9" s="74">
        <v>1496868120</v>
      </c>
    </row>
    <row r="10" spans="1:17" ht="21" x14ac:dyDescent="0.55000000000000004">
      <c r="A10" s="73" t="s">
        <v>371</v>
      </c>
      <c r="C10" s="74"/>
      <c r="E10" s="74"/>
      <c r="G10" s="74"/>
      <c r="I10" s="74">
        <v>65024720</v>
      </c>
      <c r="K10" s="74"/>
      <c r="M10" s="74"/>
      <c r="O10" s="74"/>
      <c r="Q10" s="74">
        <v>1130984735</v>
      </c>
    </row>
    <row r="11" spans="1:17" ht="21" x14ac:dyDescent="0.55000000000000004">
      <c r="A11" s="73" t="s">
        <v>101</v>
      </c>
      <c r="C11" s="74">
        <v>4200000</v>
      </c>
      <c r="E11" s="74">
        <v>17668642320</v>
      </c>
      <c r="G11" s="74">
        <v>14871385620</v>
      </c>
      <c r="I11" s="74">
        <v>2797256700</v>
      </c>
      <c r="K11" s="74">
        <v>4200000</v>
      </c>
      <c r="M11" s="74">
        <v>17668642320</v>
      </c>
      <c r="O11" s="74">
        <v>14099676972</v>
      </c>
      <c r="Q11" s="74">
        <v>3568965348</v>
      </c>
    </row>
    <row r="12" spans="1:17" ht="21" x14ac:dyDescent="0.55000000000000004">
      <c r="A12" s="73" t="s">
        <v>99</v>
      </c>
      <c r="C12" s="74">
        <v>56000000</v>
      </c>
      <c r="E12" s="74">
        <v>29614737600</v>
      </c>
      <c r="G12" s="74">
        <v>22291984541</v>
      </c>
      <c r="I12" s="74">
        <v>7322753059</v>
      </c>
      <c r="K12" s="74">
        <v>56000000</v>
      </c>
      <c r="M12" s="74">
        <v>29614737600</v>
      </c>
      <c r="O12" s="74">
        <v>24798880996</v>
      </c>
      <c r="Q12" s="74">
        <v>4815856604</v>
      </c>
    </row>
    <row r="13" spans="1:17" ht="21" x14ac:dyDescent="0.55000000000000004">
      <c r="A13" s="73" t="s">
        <v>98</v>
      </c>
      <c r="C13" s="74">
        <v>35313066</v>
      </c>
      <c r="E13" s="74">
        <v>42966014787</v>
      </c>
      <c r="G13" s="74">
        <v>36023773018</v>
      </c>
      <c r="I13" s="74">
        <v>6942241769</v>
      </c>
      <c r="K13" s="74">
        <v>35313066</v>
      </c>
      <c r="M13" s="74">
        <v>42966014787</v>
      </c>
      <c r="O13" s="74">
        <v>34515504521</v>
      </c>
      <c r="Q13" s="74">
        <v>8450510266</v>
      </c>
    </row>
    <row r="14" spans="1:17" ht="21" x14ac:dyDescent="0.55000000000000004">
      <c r="A14" s="73" t="s">
        <v>97</v>
      </c>
      <c r="C14" s="74">
        <v>2400000</v>
      </c>
      <c r="E14" s="74">
        <v>10241895960</v>
      </c>
      <c r="G14" s="74">
        <v>10830040925</v>
      </c>
      <c r="I14" s="74">
        <v>-588144965</v>
      </c>
      <c r="K14" s="74">
        <v>2400000</v>
      </c>
      <c r="M14" s="74">
        <v>10241895960</v>
      </c>
      <c r="O14" s="74">
        <v>10830040925</v>
      </c>
      <c r="Q14" s="74">
        <v>-588144965</v>
      </c>
    </row>
    <row r="15" spans="1:17" ht="21" x14ac:dyDescent="0.55000000000000004">
      <c r="A15" s="73" t="s">
        <v>96</v>
      </c>
      <c r="C15" s="74">
        <v>1450000</v>
      </c>
      <c r="E15" s="74">
        <v>2928868920</v>
      </c>
      <c r="G15" s="74">
        <v>2337906195</v>
      </c>
      <c r="I15" s="74">
        <v>590962725</v>
      </c>
      <c r="K15" s="74">
        <v>1450000</v>
      </c>
      <c r="M15" s="74">
        <v>2928868920</v>
      </c>
      <c r="O15" s="74">
        <v>3997032301</v>
      </c>
      <c r="Q15" s="74">
        <v>-1068163381</v>
      </c>
    </row>
    <row r="16" spans="1:17" ht="21" x14ac:dyDescent="0.55000000000000004">
      <c r="A16" s="73" t="s">
        <v>372</v>
      </c>
      <c r="C16" s="74"/>
      <c r="E16" s="74"/>
      <c r="G16" s="74"/>
      <c r="I16" s="74">
        <v>796044</v>
      </c>
      <c r="K16" s="74">
        <v>0</v>
      </c>
      <c r="M16" s="74">
        <v>0</v>
      </c>
      <c r="O16" s="74">
        <v>0</v>
      </c>
      <c r="Q16" s="74">
        <v>0</v>
      </c>
    </row>
    <row r="17" spans="1:17" ht="21" x14ac:dyDescent="0.55000000000000004">
      <c r="A17" s="73" t="s">
        <v>94</v>
      </c>
      <c r="C17" s="74">
        <v>21935000</v>
      </c>
      <c r="E17" s="74">
        <v>31245829513</v>
      </c>
      <c r="G17" s="74">
        <v>26617310535</v>
      </c>
      <c r="I17" s="74">
        <v>4628518978</v>
      </c>
      <c r="K17" s="74">
        <v>21935000</v>
      </c>
      <c r="M17" s="74">
        <v>31245829513</v>
      </c>
      <c r="O17" s="74">
        <v>31472671816</v>
      </c>
      <c r="Q17" s="74">
        <v>-226842303</v>
      </c>
    </row>
    <row r="18" spans="1:17" ht="21" x14ac:dyDescent="0.55000000000000004">
      <c r="A18" s="73" t="s">
        <v>93</v>
      </c>
      <c r="C18" s="74">
        <v>500000</v>
      </c>
      <c r="E18" s="74">
        <v>13051876500</v>
      </c>
      <c r="G18" s="74">
        <v>11035353918</v>
      </c>
      <c r="I18" s="74">
        <v>2016522582</v>
      </c>
      <c r="K18" s="74">
        <v>500000</v>
      </c>
      <c r="M18" s="74">
        <v>13051876500</v>
      </c>
      <c r="O18" s="74">
        <v>12703085580</v>
      </c>
      <c r="Q18" s="74">
        <v>348790920</v>
      </c>
    </row>
    <row r="19" spans="1:17" ht="21" x14ac:dyDescent="0.55000000000000004">
      <c r="A19" s="73" t="s">
        <v>92</v>
      </c>
      <c r="C19" s="74">
        <v>2250000</v>
      </c>
      <c r="E19" s="74">
        <v>24826398750</v>
      </c>
      <c r="G19" s="74">
        <v>20406153000</v>
      </c>
      <c r="I19" s="74">
        <v>4420245750</v>
      </c>
      <c r="K19" s="74">
        <v>2250000</v>
      </c>
      <c r="M19" s="74">
        <v>24826398750</v>
      </c>
      <c r="O19" s="74">
        <v>24682051805</v>
      </c>
      <c r="Q19" s="74">
        <v>144346945</v>
      </c>
    </row>
    <row r="20" spans="1:17" ht="21" x14ac:dyDescent="0.55000000000000004">
      <c r="A20" s="73" t="s">
        <v>91</v>
      </c>
      <c r="C20" s="74">
        <v>3600000</v>
      </c>
      <c r="E20" s="74">
        <v>36072086400</v>
      </c>
      <c r="G20" s="74">
        <v>29581082093</v>
      </c>
      <c r="I20" s="74">
        <v>6491004307</v>
      </c>
      <c r="K20" s="74">
        <v>3600000</v>
      </c>
      <c r="M20" s="74">
        <v>36072086400</v>
      </c>
      <c r="O20" s="74">
        <v>36890110576</v>
      </c>
      <c r="Q20" s="74">
        <v>-818024176</v>
      </c>
    </row>
    <row r="21" spans="1:17" ht="21" x14ac:dyDescent="0.55000000000000004">
      <c r="A21" s="73" t="s">
        <v>90</v>
      </c>
      <c r="C21" s="74">
        <v>2000000</v>
      </c>
      <c r="E21" s="74">
        <v>16441587000</v>
      </c>
      <c r="G21" s="74">
        <v>15387894000</v>
      </c>
      <c r="I21" s="74">
        <v>1053693000</v>
      </c>
      <c r="K21" s="74">
        <v>2000000</v>
      </c>
      <c r="M21" s="74">
        <v>16441587000</v>
      </c>
      <c r="O21" s="74">
        <v>18537283220</v>
      </c>
      <c r="Q21" s="74">
        <v>-2095696220</v>
      </c>
    </row>
    <row r="22" spans="1:17" ht="21" x14ac:dyDescent="0.55000000000000004">
      <c r="A22" s="73" t="s">
        <v>89</v>
      </c>
      <c r="C22" s="74">
        <v>500000</v>
      </c>
      <c r="E22" s="74">
        <v>8449425000</v>
      </c>
      <c r="G22" s="74">
        <v>8097217708</v>
      </c>
      <c r="I22" s="74">
        <v>352207292</v>
      </c>
      <c r="K22" s="74">
        <v>500000</v>
      </c>
      <c r="M22" s="74">
        <v>8449425000</v>
      </c>
      <c r="O22" s="74">
        <v>8097217708</v>
      </c>
      <c r="Q22" s="74">
        <v>352207292</v>
      </c>
    </row>
    <row r="23" spans="1:17" ht="21" x14ac:dyDescent="0.55000000000000004">
      <c r="A23" s="73" t="s">
        <v>88</v>
      </c>
      <c r="C23" s="74">
        <v>1875000</v>
      </c>
      <c r="E23" s="74">
        <v>6018351469</v>
      </c>
      <c r="G23" s="74">
        <v>5682859594</v>
      </c>
      <c r="I23" s="74">
        <v>335491875</v>
      </c>
      <c r="K23" s="74">
        <v>1875000</v>
      </c>
      <c r="M23" s="74">
        <v>6018351469</v>
      </c>
      <c r="O23" s="74">
        <v>6098945898</v>
      </c>
      <c r="Q23" s="74">
        <v>-80594429</v>
      </c>
    </row>
    <row r="24" spans="1:17" ht="21" x14ac:dyDescent="0.55000000000000004">
      <c r="A24" s="73" t="s">
        <v>87</v>
      </c>
      <c r="C24" s="74">
        <v>9100000</v>
      </c>
      <c r="E24" s="74">
        <v>79332148350</v>
      </c>
      <c r="G24" s="74">
        <v>62778233700</v>
      </c>
      <c r="I24" s="74">
        <v>16553914650</v>
      </c>
      <c r="K24" s="74">
        <v>9100000</v>
      </c>
      <c r="M24" s="74">
        <v>79332148350</v>
      </c>
      <c r="O24" s="74">
        <v>62515757379</v>
      </c>
      <c r="Q24" s="74">
        <v>16816390971</v>
      </c>
    </row>
    <row r="25" spans="1:17" ht="21" x14ac:dyDescent="0.55000000000000004">
      <c r="A25" s="73" t="s">
        <v>86</v>
      </c>
      <c r="C25" s="74">
        <v>986500</v>
      </c>
      <c r="E25" s="74">
        <v>15003643972</v>
      </c>
      <c r="G25" s="74">
        <v>13751946769</v>
      </c>
      <c r="I25" s="74">
        <v>1251697203</v>
      </c>
      <c r="K25" s="74">
        <v>986500</v>
      </c>
      <c r="M25" s="74">
        <v>15003643972</v>
      </c>
      <c r="O25" s="74">
        <v>18201639668</v>
      </c>
      <c r="Q25" s="74">
        <v>-3197995696</v>
      </c>
    </row>
    <row r="26" spans="1:17" ht="21" x14ac:dyDescent="0.55000000000000004">
      <c r="A26" s="73" t="s">
        <v>85</v>
      </c>
      <c r="C26" s="74">
        <v>14100000</v>
      </c>
      <c r="E26" s="74">
        <v>38852643060</v>
      </c>
      <c r="G26" s="74">
        <v>24929059461</v>
      </c>
      <c r="I26" s="74">
        <v>13923583599</v>
      </c>
      <c r="K26" s="74">
        <v>14100000</v>
      </c>
      <c r="M26" s="74">
        <v>38852643060</v>
      </c>
      <c r="O26" s="74">
        <v>53141707743</v>
      </c>
      <c r="Q26" s="74">
        <v>-14289064683</v>
      </c>
    </row>
    <row r="27" spans="1:17" ht="21" x14ac:dyDescent="0.55000000000000004">
      <c r="A27" s="73" t="s">
        <v>84</v>
      </c>
      <c r="C27" s="74">
        <v>500000</v>
      </c>
      <c r="E27" s="74">
        <v>6396711750</v>
      </c>
      <c r="G27" s="74">
        <v>6325570798</v>
      </c>
      <c r="I27" s="74">
        <v>71140952</v>
      </c>
      <c r="K27" s="74">
        <v>500000</v>
      </c>
      <c r="M27" s="74">
        <v>6396711750</v>
      </c>
      <c r="O27" s="74">
        <v>6325570798</v>
      </c>
      <c r="Q27" s="74">
        <v>71140952</v>
      </c>
    </row>
    <row r="28" spans="1:17" ht="21" x14ac:dyDescent="0.55000000000000004">
      <c r="A28" s="73" t="s">
        <v>83</v>
      </c>
      <c r="C28" s="74">
        <v>11000000</v>
      </c>
      <c r="E28" s="74">
        <v>86710981500</v>
      </c>
      <c r="G28" s="74">
        <v>64185808500</v>
      </c>
      <c r="I28" s="74">
        <v>22525173000</v>
      </c>
      <c r="K28" s="74">
        <v>11000000</v>
      </c>
      <c r="M28" s="74">
        <v>86710981500</v>
      </c>
      <c r="O28" s="74">
        <v>64088961893</v>
      </c>
      <c r="Q28" s="74">
        <v>22622019607</v>
      </c>
    </row>
    <row r="29" spans="1:17" ht="21" x14ac:dyDescent="0.55000000000000004">
      <c r="A29" s="73" t="s">
        <v>82</v>
      </c>
      <c r="C29" s="74">
        <v>700000</v>
      </c>
      <c r="E29" s="74">
        <v>9449439300</v>
      </c>
      <c r="G29" s="74">
        <v>8148227850</v>
      </c>
      <c r="I29" s="74">
        <v>1301211450</v>
      </c>
      <c r="K29" s="74">
        <v>700000</v>
      </c>
      <c r="M29" s="74">
        <v>9449439300</v>
      </c>
      <c r="O29" s="74">
        <v>9935597718</v>
      </c>
      <c r="Q29" s="74">
        <v>-486158418</v>
      </c>
    </row>
    <row r="30" spans="1:17" ht="21" x14ac:dyDescent="0.55000000000000004">
      <c r="A30" s="73" t="s">
        <v>81</v>
      </c>
      <c r="C30" s="74">
        <v>8650000</v>
      </c>
      <c r="E30" s="74">
        <v>42132809250</v>
      </c>
      <c r="G30" s="74">
        <v>30480156116</v>
      </c>
      <c r="I30" s="74">
        <v>11652653134</v>
      </c>
      <c r="K30" s="74">
        <v>8650000</v>
      </c>
      <c r="M30" s="74">
        <v>42132809250</v>
      </c>
      <c r="O30" s="74">
        <v>29804676739</v>
      </c>
      <c r="Q30" s="74">
        <v>12328132511</v>
      </c>
    </row>
    <row r="31" spans="1:17" ht="21" x14ac:dyDescent="0.55000000000000004">
      <c r="A31" s="73" t="s">
        <v>80</v>
      </c>
      <c r="C31" s="74">
        <v>1500000</v>
      </c>
      <c r="E31" s="74">
        <v>18787545000</v>
      </c>
      <c r="G31" s="74">
        <v>15347102122</v>
      </c>
      <c r="I31" s="74">
        <v>3440442878</v>
      </c>
      <c r="K31" s="74">
        <v>1500000</v>
      </c>
      <c r="M31" s="74">
        <v>18787545000</v>
      </c>
      <c r="O31" s="74">
        <v>15537437821</v>
      </c>
      <c r="Q31" s="74">
        <v>3250107179</v>
      </c>
    </row>
    <row r="32" spans="1:17" ht="21" x14ac:dyDescent="0.55000000000000004">
      <c r="A32" s="73" t="s">
        <v>79</v>
      </c>
      <c r="C32" s="74">
        <v>800000</v>
      </c>
      <c r="E32" s="74">
        <v>18902854800</v>
      </c>
      <c r="G32" s="74">
        <v>14398785332</v>
      </c>
      <c r="I32" s="74">
        <v>4504069468</v>
      </c>
      <c r="K32" s="74">
        <v>800000</v>
      </c>
      <c r="M32" s="74">
        <v>18902854800</v>
      </c>
      <c r="O32" s="74">
        <v>13879188874</v>
      </c>
      <c r="Q32" s="74">
        <v>5023665926</v>
      </c>
    </row>
    <row r="33" spans="1:17" ht="21" x14ac:dyDescent="0.55000000000000004">
      <c r="A33" s="73" t="s">
        <v>78</v>
      </c>
      <c r="C33" s="74">
        <v>5500000</v>
      </c>
      <c r="E33" s="74">
        <v>15948041175</v>
      </c>
      <c r="G33" s="74">
        <v>12119691015</v>
      </c>
      <c r="I33" s="74">
        <v>3828350160</v>
      </c>
      <c r="K33" s="74">
        <v>5500000</v>
      </c>
      <c r="M33" s="74">
        <v>15948041175</v>
      </c>
      <c r="O33" s="74">
        <v>11941275891</v>
      </c>
      <c r="Q33" s="74">
        <v>4006765284</v>
      </c>
    </row>
    <row r="34" spans="1:17" ht="21" x14ac:dyDescent="0.55000000000000004">
      <c r="A34" s="73" t="s">
        <v>77</v>
      </c>
      <c r="C34" s="74">
        <v>450000</v>
      </c>
      <c r="E34" s="74">
        <v>30136116825</v>
      </c>
      <c r="G34" s="74">
        <v>25094792250</v>
      </c>
      <c r="I34" s="74">
        <v>5041324575</v>
      </c>
      <c r="K34" s="74">
        <v>450000</v>
      </c>
      <c r="M34" s="74">
        <v>30136116825</v>
      </c>
      <c r="O34" s="74">
        <v>26681043084</v>
      </c>
      <c r="Q34" s="74">
        <v>3455073741</v>
      </c>
    </row>
    <row r="35" spans="1:17" ht="21" x14ac:dyDescent="0.55000000000000004">
      <c r="A35" s="73" t="s">
        <v>76</v>
      </c>
      <c r="C35" s="74">
        <v>2550000</v>
      </c>
      <c r="E35" s="74">
        <v>13690603327</v>
      </c>
      <c r="G35" s="74">
        <v>9660265824</v>
      </c>
      <c r="I35" s="74">
        <v>4030337503</v>
      </c>
      <c r="K35" s="74">
        <v>2550000</v>
      </c>
      <c r="M35" s="74">
        <v>13690603327</v>
      </c>
      <c r="O35" s="74">
        <v>11410312972</v>
      </c>
      <c r="Q35" s="74">
        <v>2280290355</v>
      </c>
    </row>
    <row r="36" spans="1:17" ht="21" x14ac:dyDescent="0.55000000000000004">
      <c r="A36" s="73" t="s">
        <v>75</v>
      </c>
      <c r="C36" s="74">
        <v>200000</v>
      </c>
      <c r="E36" s="74">
        <v>8588592000</v>
      </c>
      <c r="G36" s="74">
        <v>7037874000</v>
      </c>
      <c r="I36" s="74">
        <v>1550718000</v>
      </c>
      <c r="K36" s="74">
        <v>200000</v>
      </c>
      <c r="M36" s="74">
        <v>8588592000</v>
      </c>
      <c r="O36" s="74">
        <v>10198953000</v>
      </c>
      <c r="Q36" s="74">
        <v>-1610361000</v>
      </c>
    </row>
    <row r="37" spans="1:17" ht="21" x14ac:dyDescent="0.55000000000000004">
      <c r="A37" s="73" t="s">
        <v>74</v>
      </c>
      <c r="C37" s="74">
        <v>600000</v>
      </c>
      <c r="E37" s="74">
        <v>21483408600</v>
      </c>
      <c r="G37" s="74">
        <v>18698080500</v>
      </c>
      <c r="I37" s="74">
        <v>2785328100</v>
      </c>
      <c r="K37" s="74">
        <v>600000</v>
      </c>
      <c r="M37" s="74">
        <v>21483408600</v>
      </c>
      <c r="O37" s="74">
        <v>20490964280</v>
      </c>
      <c r="Q37" s="74">
        <v>992444320</v>
      </c>
    </row>
    <row r="38" spans="1:17" ht="21" x14ac:dyDescent="0.55000000000000004">
      <c r="A38" s="73" t="s">
        <v>73</v>
      </c>
      <c r="C38" s="74">
        <v>650000</v>
      </c>
      <c r="E38" s="74">
        <v>28940274675</v>
      </c>
      <c r="G38" s="74">
        <v>22459565700</v>
      </c>
      <c r="I38" s="74">
        <v>6480708975</v>
      </c>
      <c r="K38" s="74">
        <v>650000</v>
      </c>
      <c r="M38" s="74">
        <v>28940274675</v>
      </c>
      <c r="O38" s="74">
        <v>21657053879</v>
      </c>
      <c r="Q38" s="74">
        <v>7283220796</v>
      </c>
    </row>
    <row r="39" spans="1:17" ht="21" x14ac:dyDescent="0.55000000000000004">
      <c r="A39" s="73" t="s">
        <v>72</v>
      </c>
      <c r="C39" s="74">
        <v>3000000</v>
      </c>
      <c r="E39" s="74">
        <v>8373877200</v>
      </c>
      <c r="G39" s="74">
        <v>7157160000</v>
      </c>
      <c r="I39" s="74">
        <v>1216717200</v>
      </c>
      <c r="K39" s="74">
        <v>3000000</v>
      </c>
      <c r="M39" s="74">
        <v>8373877200</v>
      </c>
      <c r="O39" s="74">
        <v>9391845064</v>
      </c>
      <c r="Q39" s="74">
        <v>-1017967864</v>
      </c>
    </row>
    <row r="40" spans="1:17" ht="21" x14ac:dyDescent="0.55000000000000004">
      <c r="A40" s="73" t="s">
        <v>71</v>
      </c>
      <c r="C40" s="74">
        <v>120000</v>
      </c>
      <c r="E40" s="74">
        <v>33984581400</v>
      </c>
      <c r="G40" s="74">
        <v>30083929200</v>
      </c>
      <c r="I40" s="74">
        <v>3900652200</v>
      </c>
      <c r="K40" s="74">
        <v>120000</v>
      </c>
      <c r="M40" s="74">
        <v>33984581400</v>
      </c>
      <c r="O40" s="74">
        <v>25691355258</v>
      </c>
      <c r="Q40" s="74">
        <v>8293226142</v>
      </c>
    </row>
    <row r="41" spans="1:17" ht="21" x14ac:dyDescent="0.55000000000000004">
      <c r="A41" s="73" t="s">
        <v>70</v>
      </c>
      <c r="C41" s="74">
        <v>1100000</v>
      </c>
      <c r="E41" s="74">
        <v>19507237200</v>
      </c>
      <c r="G41" s="74">
        <v>15986312100</v>
      </c>
      <c r="I41" s="74">
        <v>3520925100</v>
      </c>
      <c r="K41" s="74">
        <v>1100000</v>
      </c>
      <c r="M41" s="74">
        <v>19507237200</v>
      </c>
      <c r="O41" s="74">
        <v>21578642442</v>
      </c>
      <c r="Q41" s="74">
        <v>-2071405242</v>
      </c>
    </row>
    <row r="42" spans="1:17" ht="21" x14ac:dyDescent="0.55000000000000004">
      <c r="A42" s="73" t="s">
        <v>69</v>
      </c>
      <c r="C42" s="74">
        <v>2000000</v>
      </c>
      <c r="E42" s="74">
        <v>14552892000</v>
      </c>
      <c r="G42" s="74">
        <v>11411694000</v>
      </c>
      <c r="I42" s="74">
        <v>3141198000</v>
      </c>
      <c r="K42" s="74">
        <v>2000000</v>
      </c>
      <c r="M42" s="74">
        <v>14552892000</v>
      </c>
      <c r="O42" s="74">
        <v>10437525000</v>
      </c>
      <c r="Q42" s="74">
        <v>4115367000</v>
      </c>
    </row>
    <row r="43" spans="1:17" ht="21" x14ac:dyDescent="0.55000000000000004">
      <c r="A43" s="73" t="s">
        <v>68</v>
      </c>
      <c r="C43" s="74">
        <v>100000</v>
      </c>
      <c r="E43" s="74">
        <v>3002031000</v>
      </c>
      <c r="G43" s="74">
        <v>2862864000</v>
      </c>
      <c r="I43" s="74">
        <v>139167000</v>
      </c>
      <c r="K43" s="74">
        <v>100000</v>
      </c>
      <c r="M43" s="74">
        <v>3002031000</v>
      </c>
      <c r="O43" s="74">
        <v>2552366400</v>
      </c>
      <c r="Q43" s="74">
        <v>449664600</v>
      </c>
    </row>
    <row r="44" spans="1:17" ht="21" x14ac:dyDescent="0.55000000000000004">
      <c r="A44" s="73" t="s">
        <v>67</v>
      </c>
      <c r="C44" s="74">
        <v>400000</v>
      </c>
      <c r="E44" s="74">
        <v>30855312000</v>
      </c>
      <c r="G44" s="74">
        <v>29842016076</v>
      </c>
      <c r="I44" s="74">
        <v>1013295924</v>
      </c>
      <c r="K44" s="74">
        <v>400000</v>
      </c>
      <c r="M44" s="74">
        <v>30855312000</v>
      </c>
      <c r="O44" s="74">
        <v>19003695696</v>
      </c>
      <c r="Q44" s="74">
        <v>11851616304</v>
      </c>
    </row>
    <row r="45" spans="1:17" ht="21" x14ac:dyDescent="0.55000000000000004">
      <c r="A45" s="73" t="s">
        <v>66</v>
      </c>
      <c r="C45" s="74">
        <v>5802960</v>
      </c>
      <c r="E45" s="74">
        <v>14992155776</v>
      </c>
      <c r="G45" s="74">
        <v>10815810727</v>
      </c>
      <c r="I45" s="74">
        <v>4176345049</v>
      </c>
      <c r="K45" s="74">
        <v>5802960</v>
      </c>
      <c r="M45" s="74">
        <v>14992155776</v>
      </c>
      <c r="O45" s="74">
        <v>18106932355</v>
      </c>
      <c r="Q45" s="74">
        <v>-3114776579</v>
      </c>
    </row>
    <row r="46" spans="1:17" ht="21" x14ac:dyDescent="0.55000000000000004">
      <c r="A46" s="73" t="s">
        <v>65</v>
      </c>
      <c r="C46" s="74">
        <v>1800000</v>
      </c>
      <c r="E46" s="74">
        <v>3634047990</v>
      </c>
      <c r="G46" s="74">
        <v>2963064240</v>
      </c>
      <c r="I46" s="74">
        <v>670983750</v>
      </c>
      <c r="K46" s="74">
        <v>1800000</v>
      </c>
      <c r="M46" s="74">
        <v>3634047990</v>
      </c>
      <c r="O46" s="74">
        <v>5880258489</v>
      </c>
      <c r="Q46" s="74">
        <v>-2246210499</v>
      </c>
    </row>
    <row r="47" spans="1:17" ht="21.75" thickBot="1" x14ac:dyDescent="0.6">
      <c r="A47" s="75" t="s">
        <v>9</v>
      </c>
      <c r="C47" s="75">
        <f>SUM(C9:$C$46)</f>
        <v>203632526</v>
      </c>
      <c r="E47" s="75">
        <f>SUM(E9:$E$46)</f>
        <v>802783662369</v>
      </c>
      <c r="G47" s="75">
        <f>SUM(G9:$G$46)</f>
        <v>649700971427</v>
      </c>
      <c r="I47" s="75">
        <f>SUM(I9:$I$46)</f>
        <v>153208904496</v>
      </c>
      <c r="K47" s="75">
        <f>SUM(K9:$K$46)</f>
        <v>203632526</v>
      </c>
      <c r="M47" s="75">
        <f>SUM(M9:$M$46)</f>
        <v>802783662369</v>
      </c>
      <c r="O47" s="75">
        <f>SUM(O9:$O$46)</f>
        <v>715175264761</v>
      </c>
      <c r="Q47" s="75">
        <f>SUM(Q9:$Q$46)</f>
        <v>90236250463</v>
      </c>
    </row>
    <row r="48" spans="1:17" ht="21.75" thickTop="1" x14ac:dyDescent="0.55000000000000004">
      <c r="C48" s="76"/>
      <c r="E48" s="76"/>
      <c r="G48" s="76"/>
      <c r="I48" s="76"/>
      <c r="K48" s="76"/>
      <c r="M48" s="76"/>
      <c r="O48" s="76"/>
      <c r="Q48" s="76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  <vt:lpstr>'1'!Print_Area</vt:lpstr>
      <vt:lpstr>'11'!Print_Area</vt:lpstr>
      <vt:lpstr>'2'!Print_Area</vt:lpstr>
      <vt:lpstr>'3'!Print_Area</vt:lpstr>
      <vt:lpstr>'4'!Print_Area</vt:lpstr>
      <vt:lpstr>'5'!Print_Area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Ghazal Nezakati</cp:lastModifiedBy>
  <dcterms:created xsi:type="dcterms:W3CDTF">2025-10-31T15:07:33Z</dcterms:created>
  <dcterms:modified xsi:type="dcterms:W3CDTF">2025-11-01T14:24:03Z</dcterms:modified>
</cp:coreProperties>
</file>