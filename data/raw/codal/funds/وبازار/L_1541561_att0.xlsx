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gh.nezakati\Desktop\"/>
    </mc:Choice>
  </mc:AlternateContent>
  <xr:revisionPtr revIDLastSave="0" documentId="8_{F38D1164-F7CA-4568-AC0C-240C8C058311}" xr6:coauthVersionLast="47" xr6:coauthVersionMax="47" xr10:uidLastSave="{00000000-0000-0000-0000-000000000000}"/>
  <bookViews>
    <workbookView xWindow="3810" yWindow="3810" windowWidth="16200" windowHeight="11295" tabRatio="897" xr2:uid="{00000000-000D-0000-FFFF-FFFF00000000}"/>
  </bookViews>
  <sheets>
    <sheet name="سربرگ" sheetId="31" r:id="rId1"/>
    <sheet name=" سهام" sheetId="32" r:id="rId2"/>
    <sheet name="اوراق مشتقه" sheetId="33" r:id="rId3"/>
    <sheet name="تعدیل قیمت" sheetId="34" r:id="rId4"/>
    <sheet name="سپرده" sheetId="35" r:id="rId5"/>
    <sheet name="درآمدها" sheetId="36" r:id="rId6"/>
    <sheet name="درآمد سرمایه گذاری در سهام " sheetId="37" r:id="rId7"/>
    <sheet name="درآمد سپرده بانکی" sheetId="38" r:id="rId8"/>
    <sheet name="درآمد سرمایه گذاری مشتقه " sheetId="39" r:id="rId9"/>
    <sheet name="سایر درآمدها" sheetId="40" r:id="rId10"/>
    <sheet name="درآمد سود سهام" sheetId="41" r:id="rId11"/>
    <sheet name="سود  سپرده بانکی" sheetId="42" r:id="rId12"/>
    <sheet name="درآمد ناشی ازفروش" sheetId="43" r:id="rId13"/>
    <sheet name="درآمد ناشی از تغییر قیمت اوراق " sheetId="44" r:id="rId14"/>
  </sheets>
  <definedNames>
    <definedName name="_xlnm.Print_Area" localSheetId="1">' سهام'!$A$1:$N$48</definedName>
    <definedName name="_xlnm.Print_Area" localSheetId="2">'اوراق مشتقه'!$A$1:$M$21</definedName>
    <definedName name="_xlnm.Print_Area" localSheetId="3">'تعدیل قیمت'!$A$1:$J$22</definedName>
    <definedName name="_xlnm.Print_Area" localSheetId="7">'درآمد سپرده بانکی'!$A$1:$E$12</definedName>
    <definedName name="_xlnm.Print_Area" localSheetId="6">'درآمد سرمایه گذاری در سهام '!$A$1:$K$56</definedName>
    <definedName name="_xlnm.Print_Area" localSheetId="8">'درآمد سرمایه گذاری مشتقه '!$A$1:$I$52</definedName>
    <definedName name="_xlnm.Print_Area" localSheetId="10">'درآمد سود سهام'!$A$1:$J$12</definedName>
    <definedName name="_xlnm.Print_Area" localSheetId="13">'درآمد ناشی از تغییر قیمت اوراق '!$A$1:$I$76</definedName>
    <definedName name="_xlnm.Print_Area" localSheetId="12">'درآمد ناشی ازفروش'!$A$1:$I$79</definedName>
    <definedName name="_xlnm.Print_Area" localSheetId="5">درآمدها!$A$1:$E$14</definedName>
    <definedName name="_xlnm.Print_Area" localSheetId="9">'سایر درآمدها'!$A$1:$C$12</definedName>
    <definedName name="_xlnm.Print_Area" localSheetId="4">سپرده!$A$1:$F$13</definedName>
    <definedName name="_xlnm.Print_Area" localSheetId="0">سربرگ!$A$1:$J$29</definedName>
    <definedName name="_xlnm.Print_Area" localSheetId="11">'سود  سپرده بانکی'!$A$1:$G$11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36" l="1"/>
  <c r="C11" i="36"/>
  <c r="C10" i="36"/>
  <c r="C9" i="36"/>
  <c r="C11" i="40"/>
  <c r="B11" i="40"/>
  <c r="G47" i="32"/>
  <c r="C75" i="44"/>
  <c r="D75" i="44"/>
  <c r="E75" i="44"/>
  <c r="G75" i="44"/>
  <c r="H75" i="44"/>
  <c r="I75" i="44"/>
  <c r="C78" i="43"/>
  <c r="D78" i="43"/>
  <c r="E78" i="43"/>
  <c r="G78" i="43"/>
  <c r="H78" i="43"/>
  <c r="I78" i="43"/>
  <c r="B10" i="42"/>
  <c r="C10" i="42"/>
  <c r="D10" i="42"/>
  <c r="E10" i="42"/>
  <c r="F10" i="42"/>
  <c r="G10" i="42"/>
  <c r="E11" i="41"/>
  <c r="F11" i="41"/>
  <c r="G11" i="41"/>
  <c r="H11" i="41"/>
  <c r="I11" i="41"/>
  <c r="J11" i="41"/>
  <c r="B51" i="39"/>
  <c r="C51" i="39"/>
  <c r="D51" i="39"/>
  <c r="E51" i="39"/>
  <c r="F51" i="39"/>
  <c r="G51" i="39"/>
  <c r="H51" i="39"/>
  <c r="I51" i="39"/>
  <c r="B11" i="38"/>
  <c r="C9" i="38" s="1"/>
  <c r="D11" i="38"/>
  <c r="E9" i="38" s="1"/>
  <c r="B55" i="37"/>
  <c r="C55" i="37"/>
  <c r="D55" i="37"/>
  <c r="E55" i="37"/>
  <c r="F55" i="37"/>
  <c r="G55" i="37"/>
  <c r="H55" i="37"/>
  <c r="I55" i="37"/>
  <c r="J55" i="37"/>
  <c r="K55" i="37"/>
  <c r="D9" i="36"/>
  <c r="E9" i="36"/>
  <c r="D10" i="36"/>
  <c r="E10" i="36"/>
  <c r="D11" i="36"/>
  <c r="E11" i="36"/>
  <c r="D12" i="36"/>
  <c r="E12" i="36"/>
  <c r="C13" i="36"/>
  <c r="B12" i="35"/>
  <c r="C12" i="35"/>
  <c r="D12" i="35"/>
  <c r="E12" i="35"/>
  <c r="F12" i="35"/>
  <c r="F21" i="34"/>
  <c r="C47" i="32"/>
  <c r="D47" i="32"/>
  <c r="I47" i="32"/>
  <c r="L47" i="32"/>
  <c r="M47" i="32"/>
  <c r="N47" i="32"/>
  <c r="D13" i="36" l="1"/>
  <c r="E13" i="36"/>
  <c r="E10" i="38"/>
  <c r="E11" i="38" s="1"/>
  <c r="C10" i="38"/>
  <c r="C11" i="38" s="1"/>
</calcChain>
</file>

<file path=xl/sharedStrings.xml><?xml version="1.0" encoding="utf-8"?>
<sst xmlns="http://schemas.openxmlformats.org/spreadsheetml/2006/main" count="592" uniqueCount="230">
  <si>
    <t>بهای تمام شده</t>
  </si>
  <si>
    <t>شرکت</t>
  </si>
  <si>
    <t>جمع</t>
  </si>
  <si>
    <t>تعداد</t>
  </si>
  <si>
    <t>مبلغ</t>
  </si>
  <si>
    <t>دلیل تعدیل</t>
  </si>
  <si>
    <t>نام اوراق بهادار</t>
  </si>
  <si>
    <t>درآمد تغییر ارزش</t>
  </si>
  <si>
    <t>درآمد فروش</t>
  </si>
  <si>
    <t>سود سپرده بانکی و گواهی سپرده</t>
  </si>
  <si>
    <t>درصد از کل درآمدها</t>
  </si>
  <si>
    <t>خالص ارزش فروش</t>
  </si>
  <si>
    <t>درصد به کل دارایی‌ها</t>
  </si>
  <si>
    <t>2- درآمد حاصل از سرمایه گذاری ها</t>
  </si>
  <si>
    <t>سایر درآمدها</t>
  </si>
  <si>
    <t>(بر اساس دستورالعمل نحوه تعیین قیمت خرید و فروش اوراق بهادار در صندوق های سرمایه گذاری)</t>
  </si>
  <si>
    <t>اوراق بهاداری که ارزش آنها در تاریخ گزارش تعدیل شده</t>
  </si>
  <si>
    <t>درصد تعدیل</t>
  </si>
  <si>
    <t>خالص ارزش فروش تعدیل شده</t>
  </si>
  <si>
    <t xml:space="preserve">قیمت تعدیل شده </t>
  </si>
  <si>
    <t xml:space="preserve">قیمت پایانی  </t>
  </si>
  <si>
    <t>افزایش</t>
  </si>
  <si>
    <t>شرح</t>
  </si>
  <si>
    <t>یادداشت</t>
  </si>
  <si>
    <t>هزینه تنزیل</t>
  </si>
  <si>
    <t>خالص درآمد</t>
  </si>
  <si>
    <t>درآمد ناشی از تغییر قیمت اوراق بهادار</t>
  </si>
  <si>
    <t>ارزش دفتری</t>
  </si>
  <si>
    <t>سود و زیان ناشی از تغییر قیمت</t>
  </si>
  <si>
    <t>سود و زیان ناشی از فروش</t>
  </si>
  <si>
    <t>درآمد حاصل از سرمایه گذاری در سپرده بانکی و گواهی سپرده</t>
  </si>
  <si>
    <t>سود(زیان) حاصل از فروش اوراق بهادار</t>
  </si>
  <si>
    <t>مبلغ فروش</t>
  </si>
  <si>
    <t xml:space="preserve">صورت وضعیت پرتفوی </t>
  </si>
  <si>
    <t>2-2</t>
  </si>
  <si>
    <t xml:space="preserve">صورت وضعیت درآمدها </t>
  </si>
  <si>
    <t>از ابتدای سال مالی تا پایان اردیبهشت ماه</t>
  </si>
  <si>
    <t xml:space="preserve">درآمد سود </t>
  </si>
  <si>
    <t>درصد از کل دارایی ها</t>
  </si>
  <si>
    <t>تعداد اوراق</t>
  </si>
  <si>
    <t>مدیر صندوق</t>
  </si>
  <si>
    <t>سود سپرده بانکی</t>
  </si>
  <si>
    <t>‫صورت وضعیت پورتفوی</t>
  </si>
  <si>
    <t>کاهش</t>
  </si>
  <si>
    <t>برای ماه منتهی به 1405/02/31</t>
  </si>
  <si>
    <t>1405/02/31</t>
  </si>
  <si>
    <t>1405/01/31</t>
  </si>
  <si>
    <t>گردشگري</t>
  </si>
  <si>
    <t>پاسارگاد</t>
  </si>
  <si>
    <t>1404/10/23</t>
  </si>
  <si>
    <t>1404/11/28</t>
  </si>
  <si>
    <t>رکن صندوق</t>
  </si>
  <si>
    <t>نماینده</t>
  </si>
  <si>
    <t xml:space="preserve">امضا </t>
  </si>
  <si>
    <t>مهدی فرحی</t>
  </si>
  <si>
    <t>‫برای ماه منتهی به 1405/02/31</t>
  </si>
  <si>
    <t>شرکت سبدگردان آشنا</t>
  </si>
  <si>
    <t>تغییرات طی اردیبهشت ماه</t>
  </si>
  <si>
    <t>خرید طی اردیبهشت ماه</t>
  </si>
  <si>
    <t>فروش طی اردیبهشت ماه</t>
  </si>
  <si>
    <t>تصمیم مدیران سرمایه گذاری صندوق</t>
  </si>
  <si>
    <t>1-2- سرمایه‌گذاری در سپرده‌ بانکی</t>
  </si>
  <si>
    <t>نام بانک</t>
  </si>
  <si>
    <t>طی اردیبهشت ماه</t>
  </si>
  <si>
    <t>2-2-درآمد حاصل از سرمایه­گذاری در سپرده بانکی و گواهی سپرده:</t>
  </si>
  <si>
    <t>درصد سود به کل سود سپرده</t>
  </si>
  <si>
    <t>تعدیل کارمزد کارگزاری</t>
  </si>
  <si>
    <t>2-1</t>
  </si>
  <si>
    <t>2-3</t>
  </si>
  <si>
    <t>صندوق ‫سرمایه گذاری قابل معامله شاخصی بازار آشنا</t>
  </si>
  <si>
    <t>چادرملو</t>
  </si>
  <si>
    <t>پويا زركان آق دره</t>
  </si>
  <si>
    <t>پتروشیمی تامین</t>
  </si>
  <si>
    <t>پتروشيمی پردیس</t>
  </si>
  <si>
    <t>پتروشيمي پارس</t>
  </si>
  <si>
    <t>پتروشيمي نوري</t>
  </si>
  <si>
    <t>پتروشيمي شيراز</t>
  </si>
  <si>
    <t>پتروشيمي جم</t>
  </si>
  <si>
    <t>پتروشيمي اروند</t>
  </si>
  <si>
    <t>نگين طبس</t>
  </si>
  <si>
    <t>نفت و گاز پارسیان</t>
  </si>
  <si>
    <t>نفت تهران</t>
  </si>
  <si>
    <t>نفت تبريز</t>
  </si>
  <si>
    <t>نفت بندر عباس</t>
  </si>
  <si>
    <t>نفت اصفهان</t>
  </si>
  <si>
    <t>ملي مس</t>
  </si>
  <si>
    <t>مس شهيد باهنر</t>
  </si>
  <si>
    <t>مجتمع كاشي و سنگ پرسپوليس يزد</t>
  </si>
  <si>
    <t>مبين انرژي خليج فارس</t>
  </si>
  <si>
    <t>كيميا كالاي رازي</t>
  </si>
  <si>
    <t>فولاد مباركه</t>
  </si>
  <si>
    <t>صندوق بازنشستگي</t>
  </si>
  <si>
    <t>صنايع پتروشيمي خليج فارس</t>
  </si>
  <si>
    <t>سيمان فارس و خوزستان</t>
  </si>
  <si>
    <t>سرمايه گذاري غدير</t>
  </si>
  <si>
    <t>سرمايه گذاري صدرتامين (تقدم)</t>
  </si>
  <si>
    <t>سرمايه گذاري صدرتامين</t>
  </si>
  <si>
    <t>سرمايه گذاري دارويي تامين</t>
  </si>
  <si>
    <t>سرمايه گذاري تامين اجتماعي</t>
  </si>
  <si>
    <t>توسعه‌معادن‌وفلزات‌ (تقدم)</t>
  </si>
  <si>
    <t>توسعه‌معادن‌وفلزات‌</t>
  </si>
  <si>
    <t>بانك ملت</t>
  </si>
  <si>
    <t>ايران خودرو</t>
  </si>
  <si>
    <t>اقتصاد نوين</t>
  </si>
  <si>
    <t>آلياژ گستر هامون</t>
  </si>
  <si>
    <t>آلومينيوم ايران</t>
  </si>
  <si>
    <t xml:space="preserve">افزایش سرمایه </t>
  </si>
  <si>
    <t>درصد به کل  دارایی‌ها</t>
  </si>
  <si>
    <t>قیمت بازار هر سهم</t>
  </si>
  <si>
    <t>1-1-سرمایه‌گذاری در سهام و حق تقدم سهام</t>
  </si>
  <si>
    <t>1- سرمایه گذاری ها</t>
  </si>
  <si>
    <t>سرمایه گذاری قابل معامله شاخصی بازار آشنا</t>
  </si>
  <si>
    <t>تاریخ اعمال</t>
  </si>
  <si>
    <t xml:space="preserve">قیمت اعمال </t>
  </si>
  <si>
    <t>نوع موقعیت</t>
  </si>
  <si>
    <t>نام سهام</t>
  </si>
  <si>
    <t/>
  </si>
  <si>
    <t>1405/02/30</t>
  </si>
  <si>
    <t>موقعیت فروش</t>
  </si>
  <si>
    <t>اختيار معامله فروش</t>
  </si>
  <si>
    <t>اختيارف شستا-1510-1404/12/13</t>
  </si>
  <si>
    <t>اختيار معامله خرید</t>
  </si>
  <si>
    <t>اختيارخ وبملت-985-1405/02/30</t>
  </si>
  <si>
    <t>1405/03/20</t>
  </si>
  <si>
    <t>اختيارخ وبملت-914-1405/03/20</t>
  </si>
  <si>
    <t>اختيارخ وبملت-1055-1405/03/20</t>
  </si>
  <si>
    <t>موقعیت خرید</t>
  </si>
  <si>
    <t>اختيارخ فزر-90750-14041210</t>
  </si>
  <si>
    <t>اختيارخ شستا-1710-1404/12/13</t>
  </si>
  <si>
    <t>استراتژی ماخوذه</t>
  </si>
  <si>
    <t>نوع اختیار</t>
  </si>
  <si>
    <t>اطلاعات آماری مرتبط با موقعیت های اخذ شده در اوراق اختیار معامله توسط صندوق سرمایه گذاری:</t>
  </si>
  <si>
    <t>1405/10/01</t>
  </si>
  <si>
    <t>اختيارف ت اروند-50625-05/10/01</t>
  </si>
  <si>
    <t xml:space="preserve">نرخ سود مؤثر </t>
  </si>
  <si>
    <t>تعداد اوراق تبعی</t>
  </si>
  <si>
    <t>اطلاعات آماری مرتبط با اوراق اختیار فروش تبعی خریداری شده توسط صندوق سرمایه گذاری:</t>
  </si>
  <si>
    <t>-</t>
  </si>
  <si>
    <t xml:space="preserve"> </t>
  </si>
  <si>
    <t>درآمد حاصل از سرمایه گذاری در اوراق مشتقه</t>
  </si>
  <si>
    <t>درآمد حاصل از سرمایه گذاری در سهام و حق تقدم سهام</t>
  </si>
  <si>
    <t>گروه صنعتي درپاد تبريز</t>
  </si>
  <si>
    <t>صنايع غذايي رضوي</t>
  </si>
  <si>
    <t>ذوب آهن اصفهان</t>
  </si>
  <si>
    <t>گروه مپنا</t>
  </si>
  <si>
    <t>پست بانك ايران</t>
  </si>
  <si>
    <t>گروه مالي نماد غدير(سهامي عام)</t>
  </si>
  <si>
    <t>بانك تجارت</t>
  </si>
  <si>
    <t>س. و توسعه صنايع لاستيك</t>
  </si>
  <si>
    <t>پارس مينو</t>
  </si>
  <si>
    <t>سيمان شاهرود</t>
  </si>
  <si>
    <t>شركت پالايش نفت بندر عباس</t>
  </si>
  <si>
    <t>پتروشيمي پرديس</t>
  </si>
  <si>
    <t>سرمايه گذاري صندوق بازنشستگي كشوري (هلدينگ)</t>
  </si>
  <si>
    <t>پالايش نفت تهران</t>
  </si>
  <si>
    <t>بانك اقتصاد نوين</t>
  </si>
  <si>
    <t>سرمايه گذاري توسعه معادن و فلزات (هلدينگ)</t>
  </si>
  <si>
    <t>شركت گسترش نفت و گاز پارسيان</t>
  </si>
  <si>
    <t>س. نفت و گاز و پتروشيمي تامين</t>
  </si>
  <si>
    <t>سرمايه گذاري غدير (هلدينگ)</t>
  </si>
  <si>
    <t>معدني و صنعتي چادر ملو</t>
  </si>
  <si>
    <t>پالايش نفت اصفهان</t>
  </si>
  <si>
    <t>پالايش نفت تبريز</t>
  </si>
  <si>
    <t>ملي صنايع مس ايران</t>
  </si>
  <si>
    <t>فولاد مباركه اصفهان</t>
  </si>
  <si>
    <t>ذغال سنگ نگين طبس</t>
  </si>
  <si>
    <t>درصد از کل درآمد ها</t>
  </si>
  <si>
    <t>یادداشت ...</t>
  </si>
  <si>
    <t>درآمد سود سهام</t>
  </si>
  <si>
    <t>سهام</t>
  </si>
  <si>
    <t>اختيارخ وبملت-1600-1404/12/19</t>
  </si>
  <si>
    <t>اختيارخ شستا-2010-1404/12/13</t>
  </si>
  <si>
    <t>اختيارخ وبملت-1300-1404/11/21</t>
  </si>
  <si>
    <t>اختيارف وبملت-900-1404/12/19</t>
  </si>
  <si>
    <t>اختيارخ فزر-130000-14041210</t>
  </si>
  <si>
    <t>اختيارخ وبملت-1400-1404/11/21</t>
  </si>
  <si>
    <t>اختيارف وبملت-1100-1404/11/21</t>
  </si>
  <si>
    <t>اختيارف شستا-1210-1404/12/13</t>
  </si>
  <si>
    <t>اختيارخ وبملت-1500-1404/11/21</t>
  </si>
  <si>
    <t>اختيارخ فزر-110000-14041112</t>
  </si>
  <si>
    <t>اختيارخ وبملت-1700-1404/11/21</t>
  </si>
  <si>
    <t>اختيارخ وبملت-1800-1404/11/21</t>
  </si>
  <si>
    <t>اختيارخ شستا-2010-1404/11/08</t>
  </si>
  <si>
    <t>اختيارف اهرم-42000-1404/11/29</t>
  </si>
  <si>
    <t>اختيارخ فزر-120000-14041112</t>
  </si>
  <si>
    <t>اختيارخ خودرو-700-1404/12/06</t>
  </si>
  <si>
    <t>اختيارخ وبملت-1900-1404/11/21</t>
  </si>
  <si>
    <t>اختيارخ شپنا-8000-1404/12/19</t>
  </si>
  <si>
    <t>اختيارخ خودرو-650-1404/11/01</t>
  </si>
  <si>
    <t>اختيارخ وبملت-1600-1404/11/21</t>
  </si>
  <si>
    <t>اختيارخ شستا-1610-1404/11/08</t>
  </si>
  <si>
    <t>اختيارخ فولاد-4000-1404/11/08</t>
  </si>
  <si>
    <t>اختيارخ ذوب-500-1404/11/21</t>
  </si>
  <si>
    <t>اختيارخ ذوب-450-1404/11/21</t>
  </si>
  <si>
    <t>اختيارخ خودرو-600-1404/11/01</t>
  </si>
  <si>
    <t>اختيارف شستا-1710-1404/10/10</t>
  </si>
  <si>
    <t>اختيارف شستا-1610-1404/10/10</t>
  </si>
  <si>
    <t>اختيارخ شستا-1810-1404/10/10</t>
  </si>
  <si>
    <t>اختيارخ خودرو-700-1404/11/01</t>
  </si>
  <si>
    <t>اختيارف خودرو-550-1404/11/01</t>
  </si>
  <si>
    <t>اختيارف خودرو-600-1404/11/01</t>
  </si>
  <si>
    <t>اختيارخ خودرو-750-1404/11/01</t>
  </si>
  <si>
    <t>اختيارخ وبملت-1100-1404/10/17</t>
  </si>
  <si>
    <t>اختيارخ وبملت-1300-1404/10/17</t>
  </si>
  <si>
    <t>اختيارخ وبملت-1500-1405/03/20</t>
  </si>
  <si>
    <t>اختيارخ وبملت-1300-1405/03/20</t>
  </si>
  <si>
    <t>اختيارخ وبملت-1400-1404/12/19</t>
  </si>
  <si>
    <t>اختيارخ فزر-100000-14041210</t>
  </si>
  <si>
    <t>اوراق مشتقه</t>
  </si>
  <si>
    <t>1404/12/10</t>
  </si>
  <si>
    <t>خالص درآمد سود سهام</t>
  </si>
  <si>
    <t>جمع درآمد سود سهام</t>
  </si>
  <si>
    <t>سود متعلق به هر سهم</t>
  </si>
  <si>
    <t>تعداد سهام متعلقه در زمان مجمع</t>
  </si>
  <si>
    <t>تاریخ تشکیل مجمع</t>
  </si>
  <si>
    <t>اطلاعات مجمع</t>
  </si>
  <si>
    <t>اختيارخ وبملت-1125-1405/02/30</t>
  </si>
  <si>
    <t>اختيارخ فزر-120750-14041210</t>
  </si>
  <si>
    <t>اختيارف وبملت-633-1405/02/30</t>
  </si>
  <si>
    <t>ذوب آهن  اصفهان</t>
  </si>
  <si>
    <t>مپنا</t>
  </si>
  <si>
    <t>اختيارخ شپنا-6719-1405/02/30</t>
  </si>
  <si>
    <t>اختيارخ شستا-1310-1404/10/10</t>
  </si>
  <si>
    <t>اختيارخ خودرو-600-1404/10/03</t>
  </si>
  <si>
    <t>نام اختیار معامله</t>
  </si>
  <si>
    <t>2-1-درآمد حاصل از سرمایه­گذاری در سهام و حق تقدم سهام:</t>
  </si>
  <si>
    <t>2-3-درآمد حاصل از سرمایه­گذاری در اوراق مشتقه:</t>
  </si>
  <si>
    <t>صورت وضعیت درآمدها</t>
  </si>
  <si>
    <t>2-4-سایر درآمدها:</t>
  </si>
  <si>
    <t>2-4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</si>
</sst>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;[Red]\(#,##0\);0"/>
    <numFmt numFmtId="165" formatCode="0.00%;[Red]\(0.00%\);0%"/>
    <numFmt numFmtId="166" formatCode="_ * #,##0_-_ ;_ * #,##0\-_ ;_ * &quot;-&quot;??_-_ ;_ @_ "/>
  </numFmts>
  <fonts count="18" x14ac:knownFonts="1">
    <font>
      <sz val="11"/>
      <color theme="1"/>
      <name val="Calibri"/>
      <family val="2"/>
      <charset val="178"/>
      <scheme val="minor"/>
    </font>
    <font>
      <sz val="11"/>
      <color theme="1"/>
      <name val="B Zar"/>
      <charset val="178"/>
    </font>
    <font>
      <b/>
      <sz val="11"/>
      <color theme="1"/>
      <name val="B Zar"/>
      <charset val="178"/>
    </font>
    <font>
      <b/>
      <sz val="12"/>
      <color theme="1"/>
      <name val="B Zar"/>
      <charset val="178"/>
    </font>
    <font>
      <b/>
      <sz val="10"/>
      <color rgb="FF000000"/>
      <name val="B Zar"/>
      <charset val="178"/>
    </font>
    <font>
      <sz val="11"/>
      <color indexed="8"/>
      <name val="Calibri"/>
      <family val="2"/>
      <scheme val="minor"/>
    </font>
    <font>
      <b/>
      <u/>
      <sz val="18"/>
      <name val="B Zar"/>
      <charset val="178"/>
    </font>
    <font>
      <sz val="11"/>
      <color indexed="8"/>
      <name val="B Zar"/>
      <charset val="178"/>
    </font>
    <font>
      <b/>
      <sz val="13"/>
      <color rgb="FFFFFFFF"/>
      <name val="B Zar"/>
      <charset val="178"/>
    </font>
    <font>
      <b/>
      <sz val="13"/>
      <color theme="1"/>
      <name val="B Zar"/>
      <charset val="178"/>
    </font>
    <font>
      <b/>
      <sz val="10"/>
      <color theme="1"/>
      <name val="B Zar"/>
      <charset val="178"/>
    </font>
    <font>
      <b/>
      <sz val="12"/>
      <color rgb="FF0062AC"/>
      <name val="B Zar"/>
      <charset val="178"/>
    </font>
    <font>
      <sz val="10"/>
      <color indexed="8"/>
      <name val="B Zar"/>
      <charset val="178"/>
    </font>
    <font>
      <sz val="10"/>
      <color theme="1"/>
      <name val="B Zar"/>
      <charset val="178"/>
    </font>
    <font>
      <b/>
      <sz val="10"/>
      <color rgb="FF0062AC"/>
      <name val="B Zar"/>
      <charset val="178"/>
    </font>
    <font>
      <sz val="11"/>
      <color theme="1"/>
      <name val="Calibri"/>
      <family val="2"/>
      <charset val="178"/>
      <scheme val="minor"/>
    </font>
    <font>
      <sz val="7"/>
      <color rgb="FF000000"/>
      <name val="Yekan"/>
    </font>
    <font>
      <b/>
      <sz val="10"/>
      <color indexed="8"/>
      <name val="B Zar"/>
      <charset val="178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5" fillId="0" borderId="0"/>
    <xf numFmtId="9" fontId="5" fillId="0" borderId="0" applyFont="0" applyFill="0" applyBorder="0" applyAlignment="0" applyProtection="0"/>
    <xf numFmtId="43" fontId="15" fillId="0" borderId="0" applyFont="0" applyFill="0" applyBorder="0" applyAlignment="0" applyProtection="0"/>
  </cellStyleXfs>
  <cellXfs count="8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 readingOrder="2"/>
    </xf>
    <xf numFmtId="0" fontId="7" fillId="0" borderId="0" xfId="1" applyFont="1"/>
    <xf numFmtId="0" fontId="10" fillId="0" borderId="0" xfId="0" applyFont="1" applyAlignment="1">
      <alignment horizontal="center" vertical="center"/>
    </xf>
    <xf numFmtId="164" fontId="12" fillId="0" borderId="0" xfId="0" applyNumberFormat="1" applyFont="1" applyAlignment="1">
      <alignment vertical="center"/>
    </xf>
    <xf numFmtId="165" fontId="12" fillId="0" borderId="0" xfId="0" applyNumberFormat="1" applyFont="1" applyAlignment="1">
      <alignment horizontal="center" vertical="center"/>
    </xf>
    <xf numFmtId="164" fontId="12" fillId="0" borderId="4" xfId="0" applyNumberFormat="1" applyFont="1" applyBorder="1" applyAlignment="1">
      <alignment horizontal="center" vertical="center"/>
    </xf>
    <xf numFmtId="165" fontId="12" fillId="0" borderId="4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readingOrder="2"/>
    </xf>
    <xf numFmtId="0" fontId="13" fillId="0" borderId="1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 wrapText="1" readingOrder="2"/>
    </xf>
    <xf numFmtId="0" fontId="10" fillId="0" borderId="1" xfId="0" applyFont="1" applyBorder="1" applyAlignment="1">
      <alignment horizontal="center" vertical="center" wrapText="1" readingOrder="2"/>
    </xf>
    <xf numFmtId="0" fontId="13" fillId="0" borderId="0" xfId="0" applyFont="1" applyBorder="1" applyAlignment="1">
      <alignment vertical="center"/>
    </xf>
    <xf numFmtId="0" fontId="4" fillId="0" borderId="3" xfId="0" applyFont="1" applyBorder="1" applyAlignment="1">
      <alignment horizontal="center" vertical="center" wrapText="1" readingOrder="2"/>
    </xf>
    <xf numFmtId="0" fontId="1" fillId="0" borderId="0" xfId="0" applyFont="1" applyAlignment="1">
      <alignment vertical="center"/>
    </xf>
    <xf numFmtId="0" fontId="11" fillId="0" borderId="0" xfId="0" applyFont="1" applyAlignment="1">
      <alignment horizontal="right" vertical="center" readingOrder="2"/>
    </xf>
    <xf numFmtId="0" fontId="4" fillId="0" borderId="0" xfId="0" applyFont="1" applyAlignment="1">
      <alignment vertical="center" wrapText="1" readingOrder="2"/>
    </xf>
    <xf numFmtId="0" fontId="13" fillId="0" borderId="0" xfId="0" applyFont="1" applyAlignment="1">
      <alignment vertical="center" wrapText="1"/>
    </xf>
    <xf numFmtId="0" fontId="4" fillId="0" borderId="0" xfId="0" applyFont="1" applyBorder="1" applyAlignment="1">
      <alignment horizontal="center" vertical="center" wrapText="1" readingOrder="2"/>
    </xf>
    <xf numFmtId="0" fontId="4" fillId="0" borderId="0" xfId="0" applyFont="1" applyBorder="1" applyAlignment="1">
      <alignment horizontal="right" vertical="center" wrapText="1" readingOrder="2"/>
    </xf>
    <xf numFmtId="0" fontId="11" fillId="0" borderId="0" xfId="0" applyFont="1" applyAlignment="1">
      <alignment vertical="center" readingOrder="2"/>
    </xf>
    <xf numFmtId="0" fontId="2" fillId="0" borderId="0" xfId="0" applyFont="1" applyAlignment="1">
      <alignment horizontal="right" vertical="center" readingOrder="2"/>
    </xf>
    <xf numFmtId="49" fontId="1" fillId="0" borderId="0" xfId="0" applyNumberFormat="1" applyFont="1" applyAlignment="1">
      <alignment horizontal="center" vertical="center" readingOrder="2"/>
    </xf>
    <xf numFmtId="0" fontId="1" fillId="0" borderId="0" xfId="0" applyFont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3" fillId="0" borderId="0" xfId="0" applyNumberFormat="1" applyFont="1" applyAlignment="1">
      <alignment vertical="center"/>
    </xf>
    <xf numFmtId="0" fontId="11" fillId="0" borderId="0" xfId="0" applyFont="1" applyBorder="1" applyAlignment="1">
      <alignment vertical="center" readingOrder="2"/>
    </xf>
    <xf numFmtId="0" fontId="13" fillId="0" borderId="0" xfId="0" applyFont="1" applyAlignment="1">
      <alignment vertical="center" wrapText="1" readingOrder="2"/>
    </xf>
    <xf numFmtId="0" fontId="3" fillId="0" borderId="0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3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3" fontId="16" fillId="0" borderId="0" xfId="0" applyNumberFormat="1" applyFont="1"/>
    <xf numFmtId="3" fontId="13" fillId="0" borderId="0" xfId="0" applyNumberFormat="1" applyFont="1" applyAlignment="1">
      <alignment vertical="center"/>
    </xf>
    <xf numFmtId="0" fontId="13" fillId="0" borderId="1" xfId="0" applyFont="1" applyBorder="1" applyAlignment="1">
      <alignment vertical="center"/>
    </xf>
    <xf numFmtId="166" fontId="1" fillId="0" borderId="0" xfId="3" applyNumberFormat="1" applyFont="1" applyAlignment="1">
      <alignment vertical="center"/>
    </xf>
    <xf numFmtId="164" fontId="17" fillId="0" borderId="0" xfId="0" applyNumberFormat="1" applyFont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 wrapText="1" readingOrder="2"/>
    </xf>
    <xf numFmtId="0" fontId="9" fillId="0" borderId="0" xfId="1" applyFont="1" applyAlignment="1">
      <alignment horizontal="center" vertical="center" wrapText="1" readingOrder="2"/>
    </xf>
    <xf numFmtId="37" fontId="6" fillId="0" borderId="0" xfId="1" applyNumberFormat="1" applyFont="1" applyAlignment="1">
      <alignment horizontal="center" vertical="center"/>
    </xf>
    <xf numFmtId="0" fontId="7" fillId="0" borderId="0" xfId="1" applyFont="1"/>
    <xf numFmtId="0" fontId="13" fillId="0" borderId="2" xfId="0" applyFont="1" applyBorder="1" applyAlignment="1">
      <alignment horizontal="center" vertical="center" wrapText="1" readingOrder="2"/>
    </xf>
    <xf numFmtId="0" fontId="13" fillId="0" borderId="1" xfId="0" applyFont="1" applyBorder="1" applyAlignment="1">
      <alignment horizontal="center" vertical="center" wrapText="1" readingOrder="2"/>
    </xf>
    <xf numFmtId="0" fontId="13" fillId="0" borderId="2" xfId="0" applyFont="1" applyBorder="1" applyAlignment="1">
      <alignment horizontal="center" vertical="center" readingOrder="2"/>
    </xf>
    <xf numFmtId="0" fontId="13" fillId="0" borderId="1" xfId="0" applyFont="1" applyBorder="1" applyAlignment="1">
      <alignment horizontal="center" vertical="center" readingOrder="2"/>
    </xf>
    <xf numFmtId="0" fontId="1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 readingOrder="2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 readingOrder="2"/>
    </xf>
    <xf numFmtId="0" fontId="13" fillId="0" borderId="0" xfId="0" applyFont="1" applyAlignment="1">
      <alignment horizontal="center" vertical="center" wrapText="1" readingOrder="2"/>
    </xf>
    <xf numFmtId="0" fontId="13" fillId="0" borderId="0" xfId="0" applyFont="1" applyAlignment="1">
      <alignment horizontal="center" vertical="center" readingOrder="2"/>
    </xf>
    <xf numFmtId="0" fontId="10" fillId="0" borderId="0" xfId="0" applyFont="1" applyBorder="1" applyAlignment="1">
      <alignment horizontal="center" vertical="center" readingOrder="2"/>
    </xf>
    <xf numFmtId="164" fontId="12" fillId="0" borderId="0" xfId="0" applyNumberFormat="1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right" vertical="center" readingOrder="2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 readingOrder="2"/>
    </xf>
    <xf numFmtId="0" fontId="10" fillId="0" borderId="2" xfId="0" applyFont="1" applyBorder="1" applyAlignment="1">
      <alignment horizontal="center" vertical="center" readingOrder="2"/>
    </xf>
    <xf numFmtId="0" fontId="10" fillId="0" borderId="1" xfId="0" applyFont="1" applyBorder="1" applyAlignment="1">
      <alignment horizontal="center" vertical="center" readingOrder="2"/>
    </xf>
    <xf numFmtId="0" fontId="10" fillId="0" borderId="0" xfId="0" applyFont="1" applyAlignment="1">
      <alignment horizontal="center" vertical="center" wrapText="1" readingOrder="2"/>
    </xf>
    <xf numFmtId="0" fontId="10" fillId="0" borderId="0" xfId="0" applyFont="1" applyAlignment="1">
      <alignment horizontal="center" vertical="center" readingOrder="2"/>
    </xf>
    <xf numFmtId="0" fontId="11" fillId="0" borderId="1" xfId="0" applyFont="1" applyBorder="1" applyAlignment="1">
      <alignment horizontal="center" vertical="center" readingOrder="2"/>
    </xf>
    <xf numFmtId="0" fontId="4" fillId="0" borderId="2" xfId="0" applyFont="1" applyBorder="1" applyAlignment="1">
      <alignment horizontal="center" vertical="center" wrapText="1" readingOrder="2"/>
    </xf>
    <xf numFmtId="0" fontId="4" fillId="0" borderId="0" xfId="0" applyFont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 wrapText="1" readingOrder="2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66" fontId="4" fillId="0" borderId="2" xfId="3" applyNumberFormat="1" applyFont="1" applyBorder="1" applyAlignment="1">
      <alignment horizontal="center" vertical="center" wrapText="1" readingOrder="2"/>
    </xf>
    <xf numFmtId="166" fontId="4" fillId="0" borderId="0" xfId="3" applyNumberFormat="1" applyFont="1" applyBorder="1" applyAlignment="1">
      <alignment horizontal="center" vertical="center" wrapText="1" readingOrder="2"/>
    </xf>
    <xf numFmtId="166" fontId="4" fillId="0" borderId="1" xfId="3" applyNumberFormat="1" applyFont="1" applyBorder="1" applyAlignment="1">
      <alignment horizontal="center" vertical="center" wrapText="1" readingOrder="2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4">
    <cellStyle name="Comma" xfId="3" builtinId="3"/>
    <cellStyle name="Normal" xfId="0" builtinId="0"/>
    <cellStyle name="Normal 2" xfId="1" xr:uid="{B9A52161-4D97-4413-81BA-0C38BE553634}"/>
    <cellStyle name="Percent 2" xfId="2" xr:uid="{60072046-0601-4C50-8750-6DC456CF4A7D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324760</xdr:colOff>
      <xdr:row>6</xdr:row>
      <xdr:rowOff>76200</xdr:rowOff>
    </xdr:from>
    <xdr:ext cx="1993056" cy="1755775"/>
    <xdr:pic>
      <xdr:nvPicPr>
        <xdr:cNvPr id="2" name="Picture 1">
          <a:extLst>
            <a:ext uri="{FF2B5EF4-FFF2-40B4-BE49-F238E27FC236}">
              <a16:creationId xmlns:a16="http://schemas.microsoft.com/office/drawing/2014/main" id="{0C764A35-09D8-4C62-8D3B-BAED62C48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53540184" y="1513114"/>
          <a:ext cx="1993056" cy="17557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1</xdr:rowOff>
    </xdr:from>
    <xdr:ext cx="1023257" cy="901434"/>
    <xdr:pic>
      <xdr:nvPicPr>
        <xdr:cNvPr id="2" name="Picture 1">
          <a:extLst>
            <a:ext uri="{FF2B5EF4-FFF2-40B4-BE49-F238E27FC236}">
              <a16:creationId xmlns:a16="http://schemas.microsoft.com/office/drawing/2014/main" id="{315473A8-E8B5-435C-9AFF-48C0E3699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1955456" y="1"/>
          <a:ext cx="1023257" cy="90143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23257" cy="901434"/>
    <xdr:pic>
      <xdr:nvPicPr>
        <xdr:cNvPr id="2" name="Picture 1">
          <a:extLst>
            <a:ext uri="{FF2B5EF4-FFF2-40B4-BE49-F238E27FC236}">
              <a16:creationId xmlns:a16="http://schemas.microsoft.com/office/drawing/2014/main" id="{0CCF596F-E406-4C14-8F20-E5BCB7DAC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0736257" y="0"/>
          <a:ext cx="1023257" cy="901434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23257" cy="901434"/>
    <xdr:pic>
      <xdr:nvPicPr>
        <xdr:cNvPr id="2" name="Picture 1">
          <a:extLst>
            <a:ext uri="{FF2B5EF4-FFF2-40B4-BE49-F238E27FC236}">
              <a16:creationId xmlns:a16="http://schemas.microsoft.com/office/drawing/2014/main" id="{A2641574-188B-445C-8FDD-6D5614722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6958914" y="0"/>
          <a:ext cx="1023257" cy="901434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23257" cy="901434"/>
    <xdr:pic>
      <xdr:nvPicPr>
        <xdr:cNvPr id="2" name="Picture 1">
          <a:extLst>
            <a:ext uri="{FF2B5EF4-FFF2-40B4-BE49-F238E27FC236}">
              <a16:creationId xmlns:a16="http://schemas.microsoft.com/office/drawing/2014/main" id="{B74C95A4-59A2-43CE-8798-78A1DCDD3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19332000" y="0"/>
          <a:ext cx="1023257" cy="901434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23257" cy="901434"/>
    <xdr:pic>
      <xdr:nvPicPr>
        <xdr:cNvPr id="2" name="Picture 1">
          <a:extLst>
            <a:ext uri="{FF2B5EF4-FFF2-40B4-BE49-F238E27FC236}">
              <a16:creationId xmlns:a16="http://schemas.microsoft.com/office/drawing/2014/main" id="{E0A990E6-9C25-4246-BF8F-3E82EA1CF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8841386" y="0"/>
          <a:ext cx="1023257" cy="901434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23257" cy="901434"/>
    <xdr:pic>
      <xdr:nvPicPr>
        <xdr:cNvPr id="2" name="Picture 1">
          <a:extLst>
            <a:ext uri="{FF2B5EF4-FFF2-40B4-BE49-F238E27FC236}">
              <a16:creationId xmlns:a16="http://schemas.microsoft.com/office/drawing/2014/main" id="{1666D32B-9B31-4515-B716-1C4E3686B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21378514" y="0"/>
          <a:ext cx="1023257" cy="901434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23257" cy="901434"/>
    <xdr:pic>
      <xdr:nvPicPr>
        <xdr:cNvPr id="2" name="Picture 1">
          <a:extLst>
            <a:ext uri="{FF2B5EF4-FFF2-40B4-BE49-F238E27FC236}">
              <a16:creationId xmlns:a16="http://schemas.microsoft.com/office/drawing/2014/main" id="{0052A50B-2325-4623-8F4E-F06FF47A5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481063" y="0"/>
          <a:ext cx="1023257" cy="901434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23257" cy="901434"/>
    <xdr:pic>
      <xdr:nvPicPr>
        <xdr:cNvPr id="2" name="Picture 1">
          <a:extLst>
            <a:ext uri="{FF2B5EF4-FFF2-40B4-BE49-F238E27FC236}">
              <a16:creationId xmlns:a16="http://schemas.microsoft.com/office/drawing/2014/main" id="{3695FBED-C5D7-4BD5-A674-3A09ED7C0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64533914" y="0"/>
          <a:ext cx="1023257" cy="901434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86077" cy="868680"/>
    <xdr:pic>
      <xdr:nvPicPr>
        <xdr:cNvPr id="2" name="Picture 1">
          <a:extLst>
            <a:ext uri="{FF2B5EF4-FFF2-40B4-BE49-F238E27FC236}">
              <a16:creationId xmlns:a16="http://schemas.microsoft.com/office/drawing/2014/main" id="{40C80855-E7E5-433F-9533-BD5C9FA83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0040963" y="0"/>
          <a:ext cx="986077" cy="868680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86077" cy="868680"/>
    <xdr:pic>
      <xdr:nvPicPr>
        <xdr:cNvPr id="2" name="Picture 1">
          <a:extLst>
            <a:ext uri="{FF2B5EF4-FFF2-40B4-BE49-F238E27FC236}">
              <a16:creationId xmlns:a16="http://schemas.microsoft.com/office/drawing/2014/main" id="{3D23A12E-371C-4B75-8587-942C29393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7192863" y="0"/>
          <a:ext cx="986077" cy="868680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86077" cy="868680"/>
    <xdr:pic>
      <xdr:nvPicPr>
        <xdr:cNvPr id="2" name="Picture 1">
          <a:extLst>
            <a:ext uri="{FF2B5EF4-FFF2-40B4-BE49-F238E27FC236}">
              <a16:creationId xmlns:a16="http://schemas.microsoft.com/office/drawing/2014/main" id="{10C6DAAF-E388-47A7-8A1B-A20A345C9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504003" y="0"/>
          <a:ext cx="986077" cy="868680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86077" cy="868680"/>
    <xdr:pic>
      <xdr:nvPicPr>
        <xdr:cNvPr id="2" name="Picture 1">
          <a:extLst>
            <a:ext uri="{FF2B5EF4-FFF2-40B4-BE49-F238E27FC236}">
              <a16:creationId xmlns:a16="http://schemas.microsoft.com/office/drawing/2014/main" id="{CB5FA653-8957-48FC-B4C0-92818FA78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3904303" y="0"/>
          <a:ext cx="986077" cy="868680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86077" cy="868680"/>
    <xdr:pic>
      <xdr:nvPicPr>
        <xdr:cNvPr id="2" name="Picture 1">
          <a:extLst>
            <a:ext uri="{FF2B5EF4-FFF2-40B4-BE49-F238E27FC236}">
              <a16:creationId xmlns:a16="http://schemas.microsoft.com/office/drawing/2014/main" id="{E3EF97DD-19DA-444B-9E89-990B29EDD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5961703" y="0"/>
          <a:ext cx="986077" cy="86868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51667-5A25-45D7-9C5B-020DB1C7231A}">
  <sheetPr>
    <pageSetUpPr fitToPage="1"/>
  </sheetPr>
  <dimension ref="A18:J25"/>
  <sheetViews>
    <sheetView rightToLeft="1" tabSelected="1" view="pageBreakPreview" zoomScale="70" zoomScaleNormal="100" zoomScaleSheetLayoutView="70" workbookViewId="0">
      <selection activeCell="D25" sqref="D25:E25"/>
    </sheetView>
  </sheetViews>
  <sheetFormatPr defaultColWidth="8.85546875" defaultRowHeight="19.5" x14ac:dyDescent="0.55000000000000004"/>
  <cols>
    <col min="1" max="4" width="8.85546875" style="5"/>
    <col min="5" max="5" width="10" style="5" customWidth="1"/>
    <col min="6" max="16384" width="8.85546875" style="5"/>
  </cols>
  <sheetData>
    <row r="18" spans="1:10" ht="40.15" customHeight="1" x14ac:dyDescent="0.55000000000000004">
      <c r="A18" s="52" t="s">
        <v>69</v>
      </c>
      <c r="B18" s="53"/>
      <c r="C18" s="53"/>
      <c r="D18" s="53"/>
      <c r="E18" s="53"/>
      <c r="F18" s="53"/>
      <c r="G18" s="53"/>
      <c r="H18" s="53"/>
      <c r="I18" s="53"/>
      <c r="J18" s="53"/>
    </row>
    <row r="19" spans="1:10" ht="40.15" customHeight="1" x14ac:dyDescent="0.55000000000000004">
      <c r="A19" s="52" t="s">
        <v>42</v>
      </c>
      <c r="B19" s="53"/>
      <c r="C19" s="53"/>
      <c r="D19" s="53"/>
      <c r="E19" s="53"/>
      <c r="F19" s="53"/>
      <c r="G19" s="53"/>
      <c r="H19" s="53"/>
      <c r="I19" s="53"/>
      <c r="J19" s="53"/>
    </row>
    <row r="20" spans="1:10" ht="40.15" customHeight="1" x14ac:dyDescent="0.55000000000000004">
      <c r="A20" s="52" t="s">
        <v>55</v>
      </c>
      <c r="B20" s="53"/>
      <c r="C20" s="53"/>
      <c r="D20" s="53"/>
      <c r="E20" s="53"/>
      <c r="F20" s="53"/>
      <c r="G20" s="53"/>
      <c r="H20" s="53"/>
      <c r="I20" s="53"/>
      <c r="J20" s="53"/>
    </row>
    <row r="24" spans="1:10" ht="43.5" customHeight="1" x14ac:dyDescent="0.55000000000000004">
      <c r="B24" s="50" t="s">
        <v>51</v>
      </c>
      <c r="C24" s="50"/>
      <c r="D24" s="50" t="s">
        <v>1</v>
      </c>
      <c r="E24" s="50"/>
      <c r="F24" s="50" t="s">
        <v>52</v>
      </c>
      <c r="G24" s="50"/>
      <c r="H24" s="50" t="s">
        <v>53</v>
      </c>
      <c r="I24" s="50"/>
    </row>
    <row r="25" spans="1:10" ht="39.75" customHeight="1" x14ac:dyDescent="0.55000000000000004">
      <c r="B25" s="51" t="s">
        <v>40</v>
      </c>
      <c r="C25" s="51"/>
      <c r="D25" s="51" t="s">
        <v>56</v>
      </c>
      <c r="E25" s="51"/>
      <c r="F25" s="51" t="s">
        <v>54</v>
      </c>
      <c r="G25" s="51"/>
      <c r="H25" s="51"/>
      <c r="I25" s="51"/>
    </row>
  </sheetData>
  <mergeCells count="11">
    <mergeCell ref="A18:J18"/>
    <mergeCell ref="A19:J19"/>
    <mergeCell ref="A20:J20"/>
    <mergeCell ref="B24:C24"/>
    <mergeCell ref="D24:E24"/>
    <mergeCell ref="F24:G24"/>
    <mergeCell ref="H24:I24"/>
    <mergeCell ref="B25:C25"/>
    <mergeCell ref="D25:E25"/>
    <mergeCell ref="F25:G25"/>
    <mergeCell ref="H25:I25"/>
  </mergeCells>
  <pageMargins left="0.7" right="0.7" top="0.75" bottom="0.75" header="0.3" footer="0.3"/>
  <pageSetup paperSize="9" scale="97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DEE22-35F2-4853-94EB-966C515E89DE}">
  <dimension ref="A1:N53"/>
  <sheetViews>
    <sheetView rightToLeft="1" view="pageBreakPreview" zoomScale="55" zoomScaleNormal="70" zoomScaleSheetLayoutView="55" workbookViewId="0">
      <selection activeCell="C20" sqref="C20"/>
    </sheetView>
  </sheetViews>
  <sheetFormatPr defaultColWidth="9.140625" defaultRowHeight="17.25" x14ac:dyDescent="0.25"/>
  <cols>
    <col min="1" max="1" width="30.5703125" style="13" customWidth="1"/>
    <col min="2" max="2" width="15" style="13" customWidth="1"/>
    <col min="3" max="4" width="19.85546875" style="13" customWidth="1"/>
    <col min="5" max="5" width="14.28515625" style="13" customWidth="1"/>
    <col min="6" max="6" width="13.85546875" style="13" customWidth="1"/>
    <col min="7" max="7" width="18.140625" style="13" customWidth="1"/>
    <col min="8" max="8" width="13.85546875" style="13" customWidth="1"/>
    <col min="9" max="9" width="16" style="13" customWidth="1"/>
    <col min="10" max="10" width="15.28515625" style="13" customWidth="1"/>
    <col min="11" max="11" width="14" style="13" customWidth="1"/>
    <col min="12" max="12" width="19.28515625" style="13" customWidth="1"/>
    <col min="13" max="13" width="18.85546875" style="13" customWidth="1"/>
    <col min="14" max="14" width="10.42578125" style="13" customWidth="1"/>
    <col min="15" max="16384" width="9.140625" style="13"/>
  </cols>
  <sheetData>
    <row r="1" spans="1:14" ht="21" x14ac:dyDescent="0.25">
      <c r="A1" s="59" t="s">
        <v>111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</row>
    <row r="2" spans="1:14" ht="21" x14ac:dyDescent="0.25">
      <c r="A2" s="59" t="s">
        <v>33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</row>
    <row r="3" spans="1:14" ht="21" x14ac:dyDescent="0.25">
      <c r="A3" s="59" t="s">
        <v>44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</row>
    <row r="4" spans="1:14" ht="2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ht="21" x14ac:dyDescent="0.25">
      <c r="A5" s="60" t="s">
        <v>110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</row>
    <row r="6" spans="1:14" ht="21" x14ac:dyDescent="0.25">
      <c r="A6" s="60" t="s">
        <v>109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</row>
    <row r="8" spans="1:14" ht="18.75" customHeight="1" thickBot="1" x14ac:dyDescent="0.3">
      <c r="A8" s="16"/>
      <c r="B8" s="62" t="s">
        <v>46</v>
      </c>
      <c r="C8" s="62"/>
      <c r="D8" s="62"/>
      <c r="E8" s="61" t="s">
        <v>57</v>
      </c>
      <c r="F8" s="61"/>
      <c r="G8" s="61"/>
      <c r="H8" s="61"/>
      <c r="I8" s="61"/>
      <c r="J8" s="62" t="s">
        <v>45</v>
      </c>
      <c r="K8" s="62"/>
      <c r="L8" s="62"/>
      <c r="M8" s="62"/>
      <c r="N8" s="62"/>
    </row>
    <row r="9" spans="1:14" ht="17.25" customHeight="1" x14ac:dyDescent="0.25">
      <c r="A9" s="63" t="s">
        <v>1</v>
      </c>
      <c r="B9" s="64" t="s">
        <v>3</v>
      </c>
      <c r="C9" s="64" t="s">
        <v>0</v>
      </c>
      <c r="D9" s="54" t="s">
        <v>11</v>
      </c>
      <c r="E9" s="58" t="s">
        <v>58</v>
      </c>
      <c r="F9" s="58"/>
      <c r="G9" s="58"/>
      <c r="H9" s="58" t="s">
        <v>59</v>
      </c>
      <c r="I9" s="58"/>
      <c r="J9" s="56" t="s">
        <v>3</v>
      </c>
      <c r="K9" s="54" t="s">
        <v>108</v>
      </c>
      <c r="L9" s="56" t="s">
        <v>0</v>
      </c>
      <c r="M9" s="54" t="s">
        <v>11</v>
      </c>
      <c r="N9" s="54" t="s">
        <v>107</v>
      </c>
    </row>
    <row r="10" spans="1:14" ht="20.25" customHeight="1" thickBot="1" x14ac:dyDescent="0.3">
      <c r="A10" s="55"/>
      <c r="B10" s="57"/>
      <c r="C10" s="57"/>
      <c r="D10" s="55"/>
      <c r="E10" s="11" t="s">
        <v>106</v>
      </c>
      <c r="F10" s="12" t="s">
        <v>3</v>
      </c>
      <c r="G10" s="12" t="s">
        <v>0</v>
      </c>
      <c r="H10" s="12" t="s">
        <v>3</v>
      </c>
      <c r="I10" s="12" t="s">
        <v>32</v>
      </c>
      <c r="J10" s="57"/>
      <c r="K10" s="55"/>
      <c r="L10" s="57"/>
      <c r="M10" s="55"/>
      <c r="N10" s="55"/>
    </row>
    <row r="11" spans="1:14" x14ac:dyDescent="0.25">
      <c r="A11" s="7" t="s">
        <v>105</v>
      </c>
      <c r="B11" s="15">
        <v>1600000</v>
      </c>
      <c r="C11" s="15">
        <v>10423704772</v>
      </c>
      <c r="D11" s="15">
        <v>7515849888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1600000</v>
      </c>
      <c r="K11" s="15">
        <v>5900</v>
      </c>
      <c r="L11" s="15">
        <v>10423704772</v>
      </c>
      <c r="M11" s="15">
        <v>9367028800</v>
      </c>
      <c r="N11" s="8">
        <v>9.0941375374165821E-3</v>
      </c>
    </row>
    <row r="12" spans="1:14" x14ac:dyDescent="0.25">
      <c r="A12" s="7" t="s">
        <v>104</v>
      </c>
      <c r="B12" s="15">
        <v>837500</v>
      </c>
      <c r="C12" s="15">
        <v>3625046848</v>
      </c>
      <c r="D12" s="15">
        <v>2933522221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837500</v>
      </c>
      <c r="K12" s="15">
        <v>4120</v>
      </c>
      <c r="L12" s="15">
        <v>3625046848</v>
      </c>
      <c r="M12" s="15">
        <v>3423827635</v>
      </c>
      <c r="N12" s="8">
        <v>3.3240806750906692E-3</v>
      </c>
    </row>
    <row r="13" spans="1:14" x14ac:dyDescent="0.25">
      <c r="A13" s="7" t="s">
        <v>103</v>
      </c>
      <c r="B13" s="15">
        <v>9890291</v>
      </c>
      <c r="C13" s="15">
        <v>14099676972</v>
      </c>
      <c r="D13" s="15">
        <v>16879803167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9890291</v>
      </c>
      <c r="K13" s="15">
        <v>2146</v>
      </c>
      <c r="L13" s="15">
        <v>14099676972</v>
      </c>
      <c r="M13" s="15">
        <v>21060498603</v>
      </c>
      <c r="N13" s="8">
        <v>2.0446939471591225E-2</v>
      </c>
    </row>
    <row r="14" spans="1:14" x14ac:dyDescent="0.25">
      <c r="A14" s="7" t="s">
        <v>102</v>
      </c>
      <c r="B14" s="15">
        <v>43438000</v>
      </c>
      <c r="C14" s="15">
        <v>14441147939</v>
      </c>
      <c r="D14" s="15">
        <v>17370196377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43438000</v>
      </c>
      <c r="K14" s="15">
        <v>461</v>
      </c>
      <c r="L14" s="15">
        <v>14441147939</v>
      </c>
      <c r="M14" s="15">
        <v>19870125384</v>
      </c>
      <c r="N14" s="8">
        <v>1.9291245600505515E-2</v>
      </c>
    </row>
    <row r="15" spans="1:14" x14ac:dyDescent="0.25">
      <c r="A15" s="7" t="s">
        <v>101</v>
      </c>
      <c r="B15" s="15">
        <v>57844523</v>
      </c>
      <c r="C15" s="15">
        <v>37157771050</v>
      </c>
      <c r="D15" s="15">
        <v>42588859549</v>
      </c>
      <c r="E15" s="15">
        <v>0</v>
      </c>
      <c r="F15" s="15">
        <v>0</v>
      </c>
      <c r="G15" s="15">
        <v>0</v>
      </c>
      <c r="H15" s="15">
        <v>9954</v>
      </c>
      <c r="I15" s="15">
        <v>9858615</v>
      </c>
      <c r="J15" s="15">
        <v>57834569</v>
      </c>
      <c r="K15" s="15">
        <v>941</v>
      </c>
      <c r="L15" s="15">
        <v>37151376867</v>
      </c>
      <c r="M15" s="15">
        <v>54001644823</v>
      </c>
      <c r="N15" s="8">
        <v>5.2428405607878786E-2</v>
      </c>
    </row>
    <row r="16" spans="1:14" x14ac:dyDescent="0.25">
      <c r="A16" s="7" t="s">
        <v>100</v>
      </c>
      <c r="B16" s="15">
        <v>5850000</v>
      </c>
      <c r="C16" s="15">
        <v>13285816292</v>
      </c>
      <c r="D16" s="15">
        <v>10106121109</v>
      </c>
      <c r="E16" s="15">
        <v>1248876</v>
      </c>
      <c r="F16" s="15">
        <v>0</v>
      </c>
      <c r="G16" s="15">
        <v>0</v>
      </c>
      <c r="H16" s="15">
        <v>0</v>
      </c>
      <c r="I16" s="15">
        <v>0</v>
      </c>
      <c r="J16" s="15">
        <v>7098876</v>
      </c>
      <c r="K16" s="15">
        <v>1809</v>
      </c>
      <c r="L16" s="15">
        <v>12960187856</v>
      </c>
      <c r="M16" s="15">
        <v>12742599055</v>
      </c>
      <c r="N16" s="8">
        <v>1.2371366723066397E-2</v>
      </c>
    </row>
    <row r="17" spans="1:14" x14ac:dyDescent="0.25">
      <c r="A17" s="7" t="s">
        <v>99</v>
      </c>
      <c r="B17" s="15">
        <v>0</v>
      </c>
      <c r="C17" s="15">
        <v>0</v>
      </c>
      <c r="D17" s="15">
        <v>0</v>
      </c>
      <c r="E17" s="15">
        <v>394382</v>
      </c>
      <c r="F17" s="15">
        <v>0</v>
      </c>
      <c r="G17" s="15">
        <v>0</v>
      </c>
      <c r="H17" s="15">
        <v>0</v>
      </c>
      <c r="I17" s="15">
        <v>0</v>
      </c>
      <c r="J17" s="15">
        <v>394382</v>
      </c>
      <c r="K17" s="15">
        <v>809</v>
      </c>
      <c r="L17" s="15">
        <v>325628436</v>
      </c>
      <c r="M17" s="15">
        <v>316588743</v>
      </c>
      <c r="N17" s="8">
        <v>3.0736550864878638E-4</v>
      </c>
    </row>
    <row r="18" spans="1:14" x14ac:dyDescent="0.25">
      <c r="A18" s="7" t="s">
        <v>98</v>
      </c>
      <c r="B18" s="15">
        <v>20000000</v>
      </c>
      <c r="C18" s="15">
        <v>29341158640</v>
      </c>
      <c r="D18" s="15">
        <v>27644642200</v>
      </c>
      <c r="E18" s="15">
        <v>0</v>
      </c>
      <c r="F18" s="15">
        <v>0</v>
      </c>
      <c r="G18" s="15">
        <v>0</v>
      </c>
      <c r="H18" s="15">
        <v>1000</v>
      </c>
      <c r="I18" s="15">
        <v>1719405</v>
      </c>
      <c r="J18" s="15">
        <v>19999000</v>
      </c>
      <c r="K18" s="15">
        <v>1600</v>
      </c>
      <c r="L18" s="15">
        <v>29339691582</v>
      </c>
      <c r="M18" s="15">
        <v>31751052368</v>
      </c>
      <c r="N18" s="8">
        <v>3.0826043493354952E-2</v>
      </c>
    </row>
    <row r="19" spans="1:14" x14ac:dyDescent="0.25">
      <c r="A19" s="7" t="s">
        <v>97</v>
      </c>
      <c r="B19" s="15">
        <v>350000</v>
      </c>
      <c r="C19" s="15">
        <v>8636181592</v>
      </c>
      <c r="D19" s="15">
        <v>10332011375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350000</v>
      </c>
      <c r="K19" s="15">
        <v>35460</v>
      </c>
      <c r="L19" s="15">
        <v>8636181592</v>
      </c>
      <c r="M19" s="15">
        <v>12315062970</v>
      </c>
      <c r="N19" s="8">
        <v>1.1956286120431906E-2</v>
      </c>
    </row>
    <row r="20" spans="1:14" x14ac:dyDescent="0.25">
      <c r="A20" s="7" t="s">
        <v>96</v>
      </c>
      <c r="B20" s="15">
        <v>2383333</v>
      </c>
      <c r="C20" s="15">
        <v>17921506195</v>
      </c>
      <c r="D20" s="15">
        <v>19952744286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2383333</v>
      </c>
      <c r="K20" s="15">
        <v>10000</v>
      </c>
      <c r="L20" s="15">
        <v>17921506195</v>
      </c>
      <c r="M20" s="15">
        <v>23649098359</v>
      </c>
      <c r="N20" s="8">
        <v>2.2960125105266974E-2</v>
      </c>
    </row>
    <row r="21" spans="1:14" x14ac:dyDescent="0.25">
      <c r="A21" s="7" t="s">
        <v>95</v>
      </c>
      <c r="B21" s="15">
        <v>800000</v>
      </c>
      <c r="C21" s="15">
        <v>5215611313</v>
      </c>
      <c r="D21" s="15">
        <v>7086395432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800000</v>
      </c>
      <c r="K21" s="15">
        <v>9000</v>
      </c>
      <c r="L21" s="15">
        <v>5215611313</v>
      </c>
      <c r="M21" s="15">
        <v>7144344000</v>
      </c>
      <c r="N21" s="8">
        <v>6.9362065963346807E-3</v>
      </c>
    </row>
    <row r="22" spans="1:14" x14ac:dyDescent="0.25">
      <c r="A22" s="7" t="s">
        <v>94</v>
      </c>
      <c r="B22" s="15">
        <v>3299000</v>
      </c>
      <c r="C22" s="15">
        <v>28070767641</v>
      </c>
      <c r="D22" s="15">
        <v>37785995840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3299000</v>
      </c>
      <c r="K22" s="15">
        <v>10864</v>
      </c>
      <c r="L22" s="15">
        <v>28070767641</v>
      </c>
      <c r="M22" s="15">
        <v>35563290203</v>
      </c>
      <c r="N22" s="8">
        <v>3.452721874722342E-2</v>
      </c>
    </row>
    <row r="23" spans="1:14" x14ac:dyDescent="0.25">
      <c r="A23" s="7" t="s">
        <v>93</v>
      </c>
      <c r="B23" s="15">
        <v>1100000</v>
      </c>
      <c r="C23" s="15">
        <v>18985514881</v>
      </c>
      <c r="D23" s="15">
        <v>14566027465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1100000</v>
      </c>
      <c r="K23" s="15">
        <v>16650</v>
      </c>
      <c r="L23" s="15">
        <v>18985514881</v>
      </c>
      <c r="M23" s="15">
        <v>18173425050</v>
      </c>
      <c r="N23" s="8">
        <v>1.7643975529426346E-2</v>
      </c>
    </row>
    <row r="24" spans="1:14" x14ac:dyDescent="0.25">
      <c r="A24" s="7" t="s">
        <v>92</v>
      </c>
      <c r="B24" s="15">
        <v>9200000</v>
      </c>
      <c r="C24" s="15">
        <v>49378139966</v>
      </c>
      <c r="D24" s="15">
        <v>81475289700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9200000</v>
      </c>
      <c r="K24" s="15">
        <v>8400</v>
      </c>
      <c r="L24" s="15">
        <v>49378139966</v>
      </c>
      <c r="M24" s="15">
        <v>76682625600</v>
      </c>
      <c r="N24" s="8">
        <v>7.4448617467325576E-2</v>
      </c>
    </row>
    <row r="25" spans="1:14" x14ac:dyDescent="0.25">
      <c r="A25" s="7" t="s">
        <v>91</v>
      </c>
      <c r="B25" s="15">
        <v>600000</v>
      </c>
      <c r="C25" s="15">
        <v>10079181611</v>
      </c>
      <c r="D25" s="15">
        <v>8597622642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600000</v>
      </c>
      <c r="K25" s="15">
        <v>15940</v>
      </c>
      <c r="L25" s="15">
        <v>10079181611</v>
      </c>
      <c r="M25" s="15">
        <v>9490070280</v>
      </c>
      <c r="N25" s="8">
        <v>9.213594428797902E-3</v>
      </c>
    </row>
    <row r="26" spans="1:14" x14ac:dyDescent="0.25">
      <c r="A26" s="7" t="s">
        <v>90</v>
      </c>
      <c r="B26" s="15">
        <v>22820100</v>
      </c>
      <c r="C26" s="15">
        <v>59176089105</v>
      </c>
      <c r="D26" s="15">
        <v>50223727991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22820100</v>
      </c>
      <c r="K26" s="15">
        <v>1827</v>
      </c>
      <c r="L26" s="15">
        <v>59176089105</v>
      </c>
      <c r="M26" s="15">
        <v>41370041046</v>
      </c>
      <c r="N26" s="8">
        <v>4.0164800518270358E-2</v>
      </c>
    </row>
    <row r="27" spans="1:14" x14ac:dyDescent="0.25">
      <c r="A27" s="7" t="s">
        <v>89</v>
      </c>
      <c r="B27" s="15">
        <v>401250</v>
      </c>
      <c r="C27" s="15">
        <v>3835363961</v>
      </c>
      <c r="D27" s="15">
        <v>4269742771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401250</v>
      </c>
      <c r="K27" s="15">
        <v>12617</v>
      </c>
      <c r="L27" s="15">
        <v>3835363961</v>
      </c>
      <c r="M27" s="15">
        <v>5023437574</v>
      </c>
      <c r="N27" s="8">
        <v>4.8770889023616844E-3</v>
      </c>
    </row>
    <row r="28" spans="1:14" x14ac:dyDescent="0.25">
      <c r="A28" s="7" t="s">
        <v>88</v>
      </c>
      <c r="B28" s="15">
        <v>800000</v>
      </c>
      <c r="C28" s="15">
        <v>11513575776</v>
      </c>
      <c r="D28" s="15">
        <v>10026689896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800000</v>
      </c>
      <c r="K28" s="15">
        <v>11888</v>
      </c>
      <c r="L28" s="15">
        <v>11513575776</v>
      </c>
      <c r="M28" s="15">
        <v>9436884608</v>
      </c>
      <c r="N28" s="8">
        <v>9.1619582241362994E-3</v>
      </c>
    </row>
    <row r="29" spans="1:14" x14ac:dyDescent="0.25">
      <c r="A29" s="7" t="s">
        <v>87</v>
      </c>
      <c r="B29" s="15">
        <v>1256499</v>
      </c>
      <c r="C29" s="15">
        <v>7948211844</v>
      </c>
      <c r="D29" s="15">
        <v>6485782139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1256499</v>
      </c>
      <c r="K29" s="15">
        <v>6150</v>
      </c>
      <c r="L29" s="15">
        <v>7948211844</v>
      </c>
      <c r="M29" s="15">
        <v>7667735516</v>
      </c>
      <c r="N29" s="8">
        <v>7.4443500571961417E-3</v>
      </c>
    </row>
    <row r="30" spans="1:14" x14ac:dyDescent="0.25">
      <c r="A30" s="7" t="s">
        <v>86</v>
      </c>
      <c r="B30" s="15">
        <v>1200000</v>
      </c>
      <c r="C30" s="15">
        <v>10450623609</v>
      </c>
      <c r="D30" s="15">
        <v>7550380884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1200000</v>
      </c>
      <c r="K30" s="15">
        <v>7770</v>
      </c>
      <c r="L30" s="15">
        <v>10450623609</v>
      </c>
      <c r="M30" s="15">
        <v>9251925480</v>
      </c>
      <c r="N30" s="8">
        <v>8.982387542253412E-3</v>
      </c>
    </row>
    <row r="31" spans="1:14" x14ac:dyDescent="0.25">
      <c r="A31" s="7" t="s">
        <v>85</v>
      </c>
      <c r="B31" s="15">
        <v>10200000</v>
      </c>
      <c r="C31" s="15">
        <v>43613294290</v>
      </c>
      <c r="D31" s="15">
        <v>117860838330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10200000</v>
      </c>
      <c r="K31" s="15">
        <v>14230</v>
      </c>
      <c r="L31" s="15">
        <v>43613294290</v>
      </c>
      <c r="M31" s="15">
        <v>144024021420</v>
      </c>
      <c r="N31" s="8">
        <v>0.13982814480994354</v>
      </c>
    </row>
    <row r="32" spans="1:14" x14ac:dyDescent="0.25">
      <c r="A32" s="7" t="s">
        <v>84</v>
      </c>
      <c r="B32" s="15">
        <v>11650000</v>
      </c>
      <c r="C32" s="15">
        <v>46975684774</v>
      </c>
      <c r="D32" s="15">
        <v>60423835128</v>
      </c>
      <c r="E32" s="15">
        <v>2220541</v>
      </c>
      <c r="F32" s="15">
        <v>0</v>
      </c>
      <c r="G32" s="15">
        <v>0</v>
      </c>
      <c r="H32" s="15">
        <v>0</v>
      </c>
      <c r="I32" s="15">
        <v>0</v>
      </c>
      <c r="J32" s="15">
        <v>13870541</v>
      </c>
      <c r="K32" s="15">
        <v>5180</v>
      </c>
      <c r="L32" s="15">
        <v>46975684774</v>
      </c>
      <c r="M32" s="15">
        <v>71294006500</v>
      </c>
      <c r="N32" s="8">
        <v>6.9216985935227585E-2</v>
      </c>
    </row>
    <row r="33" spans="1:14" x14ac:dyDescent="0.25">
      <c r="A33" s="7" t="s">
        <v>83</v>
      </c>
      <c r="B33" s="15">
        <v>5175000</v>
      </c>
      <c r="C33" s="15">
        <v>20373014627</v>
      </c>
      <c r="D33" s="15">
        <v>30291348778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5175000</v>
      </c>
      <c r="K33" s="15">
        <v>6940</v>
      </c>
      <c r="L33" s="15">
        <v>20373014627</v>
      </c>
      <c r="M33" s="15">
        <v>35636880915</v>
      </c>
      <c r="N33" s="8">
        <v>3.4598665528341933E-2</v>
      </c>
    </row>
    <row r="34" spans="1:14" x14ac:dyDescent="0.25">
      <c r="A34" s="7" t="s">
        <v>82</v>
      </c>
      <c r="B34" s="15">
        <v>200000</v>
      </c>
      <c r="C34" s="15">
        <v>3358420121</v>
      </c>
      <c r="D34" s="15">
        <v>4368964810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200000</v>
      </c>
      <c r="K34" s="15">
        <v>25890</v>
      </c>
      <c r="L34" s="15">
        <v>3358420121</v>
      </c>
      <c r="M34" s="15">
        <v>5137974060</v>
      </c>
      <c r="N34" s="8">
        <v>4.9882885771973581E-3</v>
      </c>
    </row>
    <row r="35" spans="1:14" x14ac:dyDescent="0.25">
      <c r="A35" s="7" t="s">
        <v>81</v>
      </c>
      <c r="B35" s="15">
        <v>5684430</v>
      </c>
      <c r="C35" s="15">
        <v>9384679990</v>
      </c>
      <c r="D35" s="15">
        <v>14823206028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5684430</v>
      </c>
      <c r="K35" s="15">
        <v>3092</v>
      </c>
      <c r="L35" s="15">
        <v>9384679990</v>
      </c>
      <c r="M35" s="15">
        <v>17440393089</v>
      </c>
      <c r="N35" s="8">
        <v>1.6932299114739098E-2</v>
      </c>
    </row>
    <row r="36" spans="1:14" x14ac:dyDescent="0.25">
      <c r="A36" s="7" t="s">
        <v>80</v>
      </c>
      <c r="B36" s="15">
        <v>1450000</v>
      </c>
      <c r="C36" s="15">
        <v>23576293653</v>
      </c>
      <c r="D36" s="15">
        <v>33031775257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1450000</v>
      </c>
      <c r="K36" s="15">
        <v>21608</v>
      </c>
      <c r="L36" s="15">
        <v>23576293653</v>
      </c>
      <c r="M36" s="15">
        <v>31089406732</v>
      </c>
      <c r="N36" s="8">
        <v>3.018367369357218E-2</v>
      </c>
    </row>
    <row r="37" spans="1:14" x14ac:dyDescent="0.25">
      <c r="A37" s="7" t="s">
        <v>79</v>
      </c>
      <c r="B37" s="15">
        <v>2000000</v>
      </c>
      <c r="C37" s="15">
        <v>18890189691</v>
      </c>
      <c r="D37" s="15">
        <v>13899718160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2000000</v>
      </c>
      <c r="K37" s="15">
        <v>8240</v>
      </c>
      <c r="L37" s="15">
        <v>18890189691</v>
      </c>
      <c r="M37" s="15">
        <v>16352609600</v>
      </c>
      <c r="N37" s="8">
        <v>1.5876206209388271E-2</v>
      </c>
    </row>
    <row r="38" spans="1:14" x14ac:dyDescent="0.25">
      <c r="A38" s="7" t="s">
        <v>78</v>
      </c>
      <c r="B38" s="15">
        <v>454</v>
      </c>
      <c r="C38" s="15">
        <v>19762080</v>
      </c>
      <c r="D38" s="15">
        <v>23740854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454</v>
      </c>
      <c r="K38" s="15">
        <v>52700</v>
      </c>
      <c r="L38" s="15">
        <v>19762080</v>
      </c>
      <c r="M38" s="15">
        <v>23740854</v>
      </c>
      <c r="N38" s="8">
        <v>2.3049207613381801E-5</v>
      </c>
    </row>
    <row r="39" spans="1:14" x14ac:dyDescent="0.25">
      <c r="A39" s="7" t="s">
        <v>77</v>
      </c>
      <c r="B39" s="15">
        <v>200000</v>
      </c>
      <c r="C39" s="15">
        <v>8564224465</v>
      </c>
      <c r="D39" s="15">
        <v>7388442420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200000</v>
      </c>
      <c r="K39" s="15">
        <v>35040</v>
      </c>
      <c r="L39" s="15">
        <v>8564224465</v>
      </c>
      <c r="M39" s="15">
        <v>6953828160</v>
      </c>
      <c r="N39" s="8">
        <v>6.7512410870990899E-3</v>
      </c>
    </row>
    <row r="40" spans="1:14" x14ac:dyDescent="0.25">
      <c r="A40" s="7" t="s">
        <v>76</v>
      </c>
      <c r="B40" s="15">
        <v>750000</v>
      </c>
      <c r="C40" s="15">
        <v>28756148835</v>
      </c>
      <c r="D40" s="15">
        <v>38415733050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750000</v>
      </c>
      <c r="K40" s="15">
        <v>48584</v>
      </c>
      <c r="L40" s="15">
        <v>28756148835</v>
      </c>
      <c r="M40" s="15">
        <v>36156334260</v>
      </c>
      <c r="N40" s="8">
        <v>3.5102985549617098E-2</v>
      </c>
    </row>
    <row r="41" spans="1:14" x14ac:dyDescent="0.25">
      <c r="A41" s="7" t="s">
        <v>75</v>
      </c>
      <c r="B41" s="15">
        <v>450000</v>
      </c>
      <c r="C41" s="15">
        <v>11771082508</v>
      </c>
      <c r="D41" s="15">
        <v>17307173340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450000</v>
      </c>
      <c r="K41" s="15">
        <v>36480</v>
      </c>
      <c r="L41" s="15">
        <v>11771082508</v>
      </c>
      <c r="M41" s="15">
        <v>16289104320</v>
      </c>
      <c r="N41" s="8">
        <v>1.5814551039643073E-2</v>
      </c>
    </row>
    <row r="42" spans="1:14" x14ac:dyDescent="0.25">
      <c r="A42" s="7" t="s">
        <v>74</v>
      </c>
      <c r="B42" s="15">
        <v>3000000</v>
      </c>
      <c r="C42" s="15">
        <v>8292444580</v>
      </c>
      <c r="D42" s="15">
        <v>6932990490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3000000</v>
      </c>
      <c r="K42" s="15">
        <v>2192</v>
      </c>
      <c r="L42" s="15">
        <v>8292444580</v>
      </c>
      <c r="M42" s="15">
        <v>6525167520</v>
      </c>
      <c r="N42" s="8">
        <v>6.3350686913190091E-3</v>
      </c>
    </row>
    <row r="43" spans="1:14" x14ac:dyDescent="0.25">
      <c r="A43" s="7" t="s">
        <v>73</v>
      </c>
      <c r="B43" s="15">
        <v>4671455</v>
      </c>
      <c r="C43" s="15">
        <v>18239142954</v>
      </c>
      <c r="D43" s="15">
        <v>51345712720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4671455</v>
      </c>
      <c r="K43" s="15">
        <v>10426</v>
      </c>
      <c r="L43" s="15">
        <v>18239142954</v>
      </c>
      <c r="M43" s="15">
        <v>48328103351</v>
      </c>
      <c r="N43" s="8">
        <v>4.6920152396294247E-2</v>
      </c>
    </row>
    <row r="44" spans="1:14" x14ac:dyDescent="0.25">
      <c r="A44" s="7" t="s">
        <v>72</v>
      </c>
      <c r="B44" s="15">
        <v>1200000</v>
      </c>
      <c r="C44" s="15">
        <v>20469168747</v>
      </c>
      <c r="D44" s="15">
        <v>19199233776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1200000</v>
      </c>
      <c r="K44" s="15">
        <v>15176</v>
      </c>
      <c r="L44" s="15">
        <v>20469168747</v>
      </c>
      <c r="M44" s="15">
        <v>18070427424</v>
      </c>
      <c r="N44" s="8">
        <v>1.7543978550995855E-2</v>
      </c>
    </row>
    <row r="45" spans="1:14" x14ac:dyDescent="0.25">
      <c r="A45" s="7" t="s">
        <v>71</v>
      </c>
      <c r="B45" s="15">
        <v>350000</v>
      </c>
      <c r="C45" s="15">
        <v>16628233734</v>
      </c>
      <c r="D45" s="15">
        <v>31114114255</v>
      </c>
      <c r="E45" s="15">
        <v>0</v>
      </c>
      <c r="F45" s="15">
        <v>50000</v>
      </c>
      <c r="G45" s="15">
        <v>4539768750</v>
      </c>
      <c r="H45" s="15">
        <v>0</v>
      </c>
      <c r="I45" s="15">
        <v>0</v>
      </c>
      <c r="J45" s="15">
        <v>400000</v>
      </c>
      <c r="K45" s="15">
        <v>106600</v>
      </c>
      <c r="L45" s="15">
        <v>21168002484</v>
      </c>
      <c r="M45" s="15">
        <v>42310392800</v>
      </c>
      <c r="N45" s="8">
        <v>4.1077756842737609E-2</v>
      </c>
    </row>
    <row r="46" spans="1:14" x14ac:dyDescent="0.25">
      <c r="A46" s="7" t="s">
        <v>70</v>
      </c>
      <c r="B46" s="15">
        <v>5802960</v>
      </c>
      <c r="C46" s="15">
        <v>17199552966</v>
      </c>
      <c r="D46" s="15">
        <v>12161113788</v>
      </c>
      <c r="E46" s="15">
        <v>535373</v>
      </c>
      <c r="F46" s="15">
        <v>0</v>
      </c>
      <c r="G46" s="15">
        <v>0</v>
      </c>
      <c r="H46" s="15">
        <v>0</v>
      </c>
      <c r="I46" s="15">
        <v>0</v>
      </c>
      <c r="J46" s="15">
        <v>6338333</v>
      </c>
      <c r="K46" s="15">
        <v>2275</v>
      </c>
      <c r="L46" s="15">
        <v>17199552966</v>
      </c>
      <c r="M46" s="15">
        <v>14308243235</v>
      </c>
      <c r="N46" s="8">
        <v>1.3891398721641635E-2</v>
      </c>
    </row>
    <row r="47" spans="1:14" ht="18" thickBot="1" x14ac:dyDescent="0.3">
      <c r="A47" s="7" t="s">
        <v>2</v>
      </c>
      <c r="B47" s="15"/>
      <c r="C47" s="9">
        <f>SUM(C11:C46)</f>
        <v>649696428022</v>
      </c>
      <c r="D47" s="9">
        <f>SUM(D11:D46)</f>
        <v>841979346116</v>
      </c>
      <c r="E47" s="15"/>
      <c r="F47" s="15"/>
      <c r="G47" s="9">
        <f>SUM(G11:G46)</f>
        <v>4539768750</v>
      </c>
      <c r="H47" s="15"/>
      <c r="I47" s="9">
        <f>SUM(I11:I46)</f>
        <v>11578020</v>
      </c>
      <c r="J47" s="15"/>
      <c r="K47" s="14"/>
      <c r="L47" s="9">
        <f>SUM(L11:L46)</f>
        <v>654228335531</v>
      </c>
      <c r="M47" s="9">
        <f>SUM(M11:M46)</f>
        <v>918241940337</v>
      </c>
      <c r="N47" s="10">
        <f>SUM(N11:N46)</f>
        <v>0.89149063981194865</v>
      </c>
    </row>
    <row r="48" spans="1:14" ht="18" thickTop="1" x14ac:dyDescent="0.25"/>
    <row r="52" spans="4:13" x14ac:dyDescent="0.25">
      <c r="M52" s="36"/>
    </row>
    <row r="53" spans="4:13" x14ac:dyDescent="0.25">
      <c r="D53" s="36"/>
    </row>
  </sheetData>
  <mergeCells count="19">
    <mergeCell ref="N9:N10"/>
    <mergeCell ref="H9:I9"/>
    <mergeCell ref="J9:J10"/>
    <mergeCell ref="K9:K10"/>
    <mergeCell ref="L9:L10"/>
    <mergeCell ref="E9:G9"/>
    <mergeCell ref="D9:D10"/>
    <mergeCell ref="A1:N1"/>
    <mergeCell ref="A2:N2"/>
    <mergeCell ref="A3:N3"/>
    <mergeCell ref="A5:N5"/>
    <mergeCell ref="A6:N6"/>
    <mergeCell ref="E8:I8"/>
    <mergeCell ref="B8:D8"/>
    <mergeCell ref="J8:N8"/>
    <mergeCell ref="A9:A10"/>
    <mergeCell ref="B9:B10"/>
    <mergeCell ref="C9:C10"/>
    <mergeCell ref="M9:M10"/>
  </mergeCells>
  <pageMargins left="0.7" right="0.7" top="0.75" bottom="0.75" header="0.3" footer="0.3"/>
  <pageSetup scale="4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6E725-9B53-43FD-83C1-9D5239F21D7B}">
  <dimension ref="A1:M39"/>
  <sheetViews>
    <sheetView rightToLeft="1" view="pageBreakPreview" zoomScale="85" zoomScaleNormal="70" zoomScaleSheetLayoutView="85" workbookViewId="0">
      <selection activeCell="F15" sqref="F15"/>
    </sheetView>
  </sheetViews>
  <sheetFormatPr defaultColWidth="9.140625" defaultRowHeight="17.25" x14ac:dyDescent="0.25"/>
  <cols>
    <col min="1" max="1" width="42.140625" style="13" customWidth="1"/>
    <col min="2" max="2" width="18.42578125" style="13" customWidth="1"/>
    <col min="3" max="3" width="13.42578125" style="13" customWidth="1"/>
    <col min="4" max="5" width="13.7109375" style="13" customWidth="1"/>
    <col min="6" max="6" width="12.5703125" style="13" customWidth="1"/>
    <col min="7" max="7" width="14" style="13" customWidth="1"/>
    <col min="8" max="8" width="16.42578125" style="13" customWidth="1"/>
    <col min="9" max="9" width="12.5703125" style="13" customWidth="1"/>
    <col min="10" max="10" width="14.140625" style="13" customWidth="1"/>
    <col min="11" max="11" width="11.7109375" style="13" customWidth="1"/>
    <col min="12" max="12" width="15.140625" style="13" customWidth="1"/>
    <col min="13" max="13" width="15.85546875" style="13" customWidth="1"/>
    <col min="14" max="16384" width="9.140625" style="13"/>
  </cols>
  <sheetData>
    <row r="1" spans="1:13" ht="21" x14ac:dyDescent="0.25">
      <c r="A1" s="59" t="s">
        <v>111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</row>
    <row r="2" spans="1:13" ht="21" x14ac:dyDescent="0.25">
      <c r="A2" s="59" t="s">
        <v>33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</row>
    <row r="3" spans="1:13" ht="21" x14ac:dyDescent="0.25">
      <c r="A3" s="59" t="s">
        <v>44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</row>
    <row r="4" spans="1:13" ht="21" x14ac:dyDescent="0.25">
      <c r="A4" s="39"/>
      <c r="B4" s="39"/>
      <c r="C4" s="39"/>
      <c r="D4" s="39"/>
      <c r="E4" s="39"/>
      <c r="F4" s="39"/>
      <c r="G4" s="39"/>
      <c r="H4" s="39"/>
      <c r="I4" s="39"/>
    </row>
    <row r="5" spans="1:13" ht="21" x14ac:dyDescent="0.25">
      <c r="A5" s="37" t="s">
        <v>136</v>
      </c>
      <c r="B5" s="37"/>
      <c r="C5" s="37"/>
      <c r="D5" s="37"/>
      <c r="E5" s="37"/>
      <c r="F5" s="37"/>
      <c r="G5" s="37"/>
      <c r="H5" s="37"/>
      <c r="I5" s="37"/>
    </row>
    <row r="6" spans="1:13" x14ac:dyDescent="0.25">
      <c r="A6" s="40"/>
      <c r="B6" s="42"/>
      <c r="C6" s="42"/>
      <c r="D6" s="42"/>
      <c r="E6" s="42"/>
      <c r="F6" s="18"/>
      <c r="G6" s="18"/>
      <c r="H6" s="18"/>
      <c r="I6" s="18"/>
    </row>
    <row r="7" spans="1:13" ht="18" thickBot="1" x14ac:dyDescent="0.3">
      <c r="A7" s="6"/>
      <c r="B7" s="65" t="s">
        <v>46</v>
      </c>
      <c r="C7" s="65"/>
      <c r="D7" s="65"/>
      <c r="E7" s="65"/>
      <c r="F7" s="65" t="s">
        <v>45</v>
      </c>
      <c r="G7" s="65"/>
      <c r="H7" s="65"/>
      <c r="I7" s="65"/>
    </row>
    <row r="8" spans="1:13" ht="18" thickBot="1" x14ac:dyDescent="0.3">
      <c r="A8" s="41" t="s">
        <v>224</v>
      </c>
      <c r="B8" s="41" t="s">
        <v>135</v>
      </c>
      <c r="C8" s="41" t="s">
        <v>113</v>
      </c>
      <c r="D8" s="41" t="s">
        <v>112</v>
      </c>
      <c r="E8" s="41" t="s">
        <v>134</v>
      </c>
      <c r="F8" s="41" t="s">
        <v>135</v>
      </c>
      <c r="G8" s="41" t="s">
        <v>113</v>
      </c>
      <c r="H8" s="41" t="s">
        <v>112</v>
      </c>
      <c r="I8" s="41" t="s">
        <v>134</v>
      </c>
    </row>
    <row r="9" spans="1:13" x14ac:dyDescent="0.25">
      <c r="A9" s="15" t="s">
        <v>133</v>
      </c>
      <c r="B9" s="15">
        <v>454</v>
      </c>
      <c r="C9" s="15">
        <v>50625</v>
      </c>
      <c r="D9" s="15" t="s">
        <v>132</v>
      </c>
      <c r="E9" s="8">
        <v>0.36163587513117978</v>
      </c>
      <c r="F9" s="15">
        <v>454</v>
      </c>
      <c r="G9" s="15">
        <v>50625</v>
      </c>
      <c r="H9" s="15" t="s">
        <v>132</v>
      </c>
      <c r="I9" s="8">
        <v>0.36163587513117978</v>
      </c>
    </row>
    <row r="10" spans="1:13" ht="21" x14ac:dyDescent="0.25">
      <c r="A10" s="3"/>
      <c r="B10" s="3"/>
      <c r="C10" s="3"/>
      <c r="D10" s="3"/>
      <c r="E10" s="3"/>
      <c r="F10" s="3"/>
      <c r="G10" s="3"/>
      <c r="H10" s="3"/>
      <c r="I10" s="3"/>
    </row>
    <row r="11" spans="1:13" ht="21" x14ac:dyDescent="0.25">
      <c r="A11" s="26" t="s">
        <v>131</v>
      </c>
      <c r="B11" s="26"/>
      <c r="C11" s="26"/>
      <c r="D11" s="26"/>
      <c r="E11" s="26"/>
      <c r="F11" s="26"/>
      <c r="G11" s="26"/>
      <c r="H11" s="26"/>
      <c r="I11" s="26"/>
    </row>
    <row r="12" spans="1:13" x14ac:dyDescent="0.25">
      <c r="A12" s="40"/>
      <c r="B12" s="42"/>
      <c r="C12" s="42"/>
      <c r="D12" s="42"/>
      <c r="E12" s="42"/>
      <c r="F12" s="42"/>
      <c r="G12" s="42"/>
      <c r="H12" s="42"/>
      <c r="I12" s="18"/>
      <c r="J12" s="18"/>
      <c r="K12" s="18"/>
      <c r="L12" s="18"/>
      <c r="M12" s="18"/>
    </row>
    <row r="13" spans="1:13" ht="18.600000000000001" customHeight="1" thickBot="1" x14ac:dyDescent="0.3">
      <c r="A13" s="6"/>
      <c r="B13" s="65" t="s">
        <v>46</v>
      </c>
      <c r="C13" s="65"/>
      <c r="D13" s="65"/>
      <c r="E13" s="65"/>
      <c r="F13" s="65"/>
      <c r="G13" s="65"/>
      <c r="H13" s="65" t="s">
        <v>45</v>
      </c>
      <c r="I13" s="65"/>
      <c r="J13" s="65"/>
      <c r="K13" s="65"/>
      <c r="L13" s="65"/>
      <c r="M13" s="65"/>
    </row>
    <row r="14" spans="1:13" ht="18" thickBot="1" x14ac:dyDescent="0.3">
      <c r="A14" s="41" t="s">
        <v>224</v>
      </c>
      <c r="B14" s="41" t="s">
        <v>130</v>
      </c>
      <c r="C14" s="41" t="s">
        <v>114</v>
      </c>
      <c r="D14" s="41" t="s">
        <v>129</v>
      </c>
      <c r="E14" s="41" t="s">
        <v>39</v>
      </c>
      <c r="F14" s="41" t="s">
        <v>113</v>
      </c>
      <c r="G14" s="41" t="s">
        <v>112</v>
      </c>
      <c r="H14" s="41" t="s">
        <v>130</v>
      </c>
      <c r="I14" s="41" t="s">
        <v>114</v>
      </c>
      <c r="J14" s="41" t="s">
        <v>129</v>
      </c>
      <c r="K14" s="41" t="s">
        <v>39</v>
      </c>
      <c r="L14" s="41" t="s">
        <v>113</v>
      </c>
      <c r="M14" s="41" t="s">
        <v>112</v>
      </c>
    </row>
    <row r="15" spans="1:13" x14ac:dyDescent="0.25">
      <c r="A15" s="15" t="s">
        <v>128</v>
      </c>
      <c r="B15" s="15" t="s">
        <v>121</v>
      </c>
      <c r="C15" s="15" t="s">
        <v>118</v>
      </c>
      <c r="D15" s="15" t="s">
        <v>137</v>
      </c>
      <c r="E15" s="15">
        <v>5000000</v>
      </c>
      <c r="F15" s="15">
        <v>1710</v>
      </c>
      <c r="G15" s="15" t="s">
        <v>117</v>
      </c>
      <c r="H15" s="15" t="s">
        <v>137</v>
      </c>
      <c r="I15" s="15" t="s">
        <v>137</v>
      </c>
      <c r="J15" s="15" t="s">
        <v>137</v>
      </c>
      <c r="K15" s="15">
        <v>0</v>
      </c>
      <c r="L15" s="15">
        <v>0</v>
      </c>
      <c r="M15" s="15" t="s">
        <v>137</v>
      </c>
    </row>
    <row r="16" spans="1:13" x14ac:dyDescent="0.25">
      <c r="A16" s="15" t="s">
        <v>127</v>
      </c>
      <c r="B16" s="15" t="s">
        <v>121</v>
      </c>
      <c r="C16" s="15" t="s">
        <v>126</v>
      </c>
      <c r="D16" s="15" t="s">
        <v>137</v>
      </c>
      <c r="E16" s="15">
        <v>50000</v>
      </c>
      <c r="F16" s="15">
        <v>90750</v>
      </c>
      <c r="G16" s="15" t="s">
        <v>117</v>
      </c>
      <c r="H16" s="15" t="s">
        <v>137</v>
      </c>
      <c r="I16" s="15" t="s">
        <v>137</v>
      </c>
      <c r="J16" s="15" t="s">
        <v>137</v>
      </c>
      <c r="K16" s="15">
        <v>0</v>
      </c>
      <c r="L16" s="15">
        <v>0</v>
      </c>
      <c r="M16" s="15" t="s">
        <v>137</v>
      </c>
    </row>
    <row r="17" spans="1:13" x14ac:dyDescent="0.25">
      <c r="A17" s="15" t="s">
        <v>125</v>
      </c>
      <c r="B17" s="15" t="s">
        <v>137</v>
      </c>
      <c r="C17" s="15" t="s">
        <v>137</v>
      </c>
      <c r="D17" s="15" t="s">
        <v>137</v>
      </c>
      <c r="E17" s="15">
        <v>0</v>
      </c>
      <c r="F17" s="15">
        <v>0</v>
      </c>
      <c r="G17" s="15" t="s">
        <v>137</v>
      </c>
      <c r="H17" s="15" t="s">
        <v>121</v>
      </c>
      <c r="I17" s="15" t="s">
        <v>118</v>
      </c>
      <c r="J17" s="15" t="s">
        <v>116</v>
      </c>
      <c r="K17" s="15">
        <v>13238820</v>
      </c>
      <c r="L17" s="15">
        <v>1055</v>
      </c>
      <c r="M17" s="15" t="s">
        <v>123</v>
      </c>
    </row>
    <row r="18" spans="1:13" x14ac:dyDescent="0.25">
      <c r="A18" s="15" t="s">
        <v>124</v>
      </c>
      <c r="B18" s="15" t="s">
        <v>137</v>
      </c>
      <c r="C18" s="15" t="s">
        <v>137</v>
      </c>
      <c r="D18" s="15" t="s">
        <v>137</v>
      </c>
      <c r="E18" s="15">
        <v>0</v>
      </c>
      <c r="F18" s="15">
        <v>0</v>
      </c>
      <c r="G18" s="15" t="s">
        <v>137</v>
      </c>
      <c r="H18" s="15" t="s">
        <v>121</v>
      </c>
      <c r="I18" s="15" t="s">
        <v>118</v>
      </c>
      <c r="J18" s="15" t="s">
        <v>116</v>
      </c>
      <c r="K18" s="15">
        <v>4502052</v>
      </c>
      <c r="L18" s="15">
        <v>914</v>
      </c>
      <c r="M18" s="15" t="s">
        <v>123</v>
      </c>
    </row>
    <row r="19" spans="1:13" x14ac:dyDescent="0.25">
      <c r="A19" s="15" t="s">
        <v>122</v>
      </c>
      <c r="B19" s="15" t="s">
        <v>121</v>
      </c>
      <c r="C19" s="15" t="s">
        <v>118</v>
      </c>
      <c r="D19" s="15" t="s">
        <v>137</v>
      </c>
      <c r="E19" s="15">
        <v>5000000</v>
      </c>
      <c r="F19" s="15">
        <v>985</v>
      </c>
      <c r="G19" s="15" t="s">
        <v>117</v>
      </c>
      <c r="H19" s="15" t="s">
        <v>137</v>
      </c>
      <c r="I19" s="15" t="s">
        <v>137</v>
      </c>
      <c r="J19" s="15" t="s">
        <v>137</v>
      </c>
      <c r="K19" s="15">
        <v>0</v>
      </c>
      <c r="L19" s="15">
        <v>0</v>
      </c>
      <c r="M19" s="15" t="s">
        <v>137</v>
      </c>
    </row>
    <row r="20" spans="1:13" x14ac:dyDescent="0.25">
      <c r="A20" s="15" t="s">
        <v>120</v>
      </c>
      <c r="B20" s="15" t="s">
        <v>119</v>
      </c>
      <c r="C20" s="15" t="s">
        <v>118</v>
      </c>
      <c r="D20" s="15" t="s">
        <v>137</v>
      </c>
      <c r="E20" s="15">
        <v>5000000</v>
      </c>
      <c r="F20" s="15">
        <v>1510</v>
      </c>
      <c r="G20" s="15" t="s">
        <v>117</v>
      </c>
      <c r="H20" s="15" t="s">
        <v>137</v>
      </c>
      <c r="I20" s="15" t="s">
        <v>137</v>
      </c>
      <c r="J20" s="15" t="s">
        <v>137</v>
      </c>
      <c r="K20" s="15">
        <v>0</v>
      </c>
      <c r="L20" s="15">
        <v>0</v>
      </c>
      <c r="M20" s="15" t="s">
        <v>137</v>
      </c>
    </row>
    <row r="21" spans="1:13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3" spans="1:13" x14ac:dyDescent="0.25">
      <c r="A23" s="38"/>
      <c r="B23" s="38"/>
      <c r="C23" s="38"/>
      <c r="D23" s="38"/>
      <c r="E23" s="38"/>
      <c r="F23" s="38"/>
      <c r="G23" s="38"/>
      <c r="H23" s="38"/>
      <c r="I23" s="38"/>
    </row>
    <row r="24" spans="1:13" x14ac:dyDescent="0.25">
      <c r="A24" s="38"/>
      <c r="B24" s="38"/>
      <c r="C24" s="38"/>
      <c r="D24" s="38"/>
      <c r="E24" s="38"/>
      <c r="F24" s="38"/>
      <c r="G24" s="38"/>
      <c r="H24" s="38"/>
      <c r="I24" s="38"/>
    </row>
    <row r="25" spans="1:13" x14ac:dyDescent="0.25">
      <c r="A25" s="38"/>
      <c r="B25" s="38"/>
      <c r="C25" s="38"/>
      <c r="D25" s="38"/>
      <c r="E25" s="38"/>
      <c r="F25" s="38"/>
      <c r="G25" s="38"/>
      <c r="H25" s="38"/>
      <c r="I25" s="38"/>
    </row>
    <row r="26" spans="1:13" x14ac:dyDescent="0.25">
      <c r="A26" s="38"/>
      <c r="B26" s="38"/>
      <c r="C26" s="38"/>
      <c r="D26" s="38"/>
      <c r="E26" s="38"/>
      <c r="F26" s="38"/>
      <c r="G26" s="38"/>
      <c r="H26" s="38"/>
      <c r="I26" s="38"/>
    </row>
    <row r="27" spans="1:13" x14ac:dyDescent="0.25">
      <c r="A27" s="38"/>
      <c r="B27" s="38"/>
      <c r="C27" s="38"/>
      <c r="D27" s="38"/>
      <c r="E27" s="38"/>
      <c r="F27" s="38"/>
      <c r="G27" s="38"/>
      <c r="H27" s="38"/>
      <c r="I27" s="38"/>
    </row>
    <row r="28" spans="1:13" x14ac:dyDescent="0.25">
      <c r="A28" s="38"/>
      <c r="B28" s="38"/>
      <c r="C28" s="38"/>
      <c r="D28" s="38"/>
      <c r="E28" s="38"/>
      <c r="F28" s="38"/>
      <c r="G28" s="38"/>
      <c r="H28" s="38"/>
      <c r="I28" s="38"/>
    </row>
    <row r="29" spans="1:13" x14ac:dyDescent="0.25">
      <c r="A29" s="38"/>
      <c r="B29" s="38"/>
      <c r="C29" s="38"/>
      <c r="D29" s="38"/>
      <c r="E29" s="38"/>
      <c r="F29" s="38"/>
      <c r="G29" s="38"/>
      <c r="H29" s="38"/>
      <c r="I29" s="38"/>
    </row>
    <row r="30" spans="1:13" x14ac:dyDescent="0.25">
      <c r="A30" s="38"/>
      <c r="B30" s="38"/>
      <c r="C30" s="38"/>
      <c r="D30" s="38"/>
      <c r="E30" s="38"/>
      <c r="F30" s="38"/>
      <c r="G30" s="38"/>
      <c r="H30" s="38"/>
      <c r="I30" s="38"/>
    </row>
    <row r="31" spans="1:13" x14ac:dyDescent="0.25">
      <c r="A31" s="38"/>
      <c r="B31" s="38"/>
      <c r="C31" s="38"/>
      <c r="D31" s="38"/>
      <c r="E31" s="38"/>
      <c r="F31" s="38"/>
      <c r="G31" s="38"/>
      <c r="H31" s="38"/>
      <c r="I31" s="38"/>
    </row>
    <row r="32" spans="1:13" x14ac:dyDescent="0.25">
      <c r="A32" s="38"/>
      <c r="B32" s="38"/>
      <c r="C32" s="38"/>
      <c r="D32" s="38"/>
      <c r="E32" s="38"/>
      <c r="F32" s="38"/>
      <c r="G32" s="38"/>
      <c r="H32" s="38"/>
      <c r="I32" s="38"/>
    </row>
    <row r="33" spans="1:9" x14ac:dyDescent="0.25">
      <c r="A33" s="38"/>
      <c r="B33" s="38"/>
      <c r="C33" s="38"/>
      <c r="D33" s="38"/>
      <c r="E33" s="38"/>
      <c r="F33" s="38"/>
      <c r="G33" s="38"/>
      <c r="H33" s="38"/>
      <c r="I33" s="38"/>
    </row>
    <row r="34" spans="1:9" x14ac:dyDescent="0.25">
      <c r="A34" s="38"/>
      <c r="B34" s="38"/>
      <c r="C34" s="38"/>
      <c r="D34" s="38"/>
      <c r="E34" s="38"/>
      <c r="F34" s="38"/>
      <c r="G34" s="38"/>
      <c r="H34" s="38"/>
      <c r="I34" s="38"/>
    </row>
    <row r="35" spans="1:9" x14ac:dyDescent="0.25">
      <c r="A35" s="38"/>
      <c r="B35" s="38"/>
      <c r="C35" s="38"/>
      <c r="D35" s="38"/>
      <c r="E35" s="38"/>
      <c r="F35" s="38"/>
      <c r="G35" s="38"/>
      <c r="H35" s="38"/>
      <c r="I35" s="38"/>
    </row>
    <row r="36" spans="1:9" x14ac:dyDescent="0.25">
      <c r="A36" s="38"/>
      <c r="B36" s="38"/>
      <c r="C36" s="38"/>
      <c r="D36" s="38"/>
      <c r="E36" s="38"/>
      <c r="F36" s="38"/>
      <c r="G36" s="38"/>
      <c r="H36" s="38"/>
      <c r="I36" s="38"/>
    </row>
    <row r="37" spans="1:9" x14ac:dyDescent="0.25">
      <c r="A37" s="38"/>
      <c r="B37" s="38"/>
      <c r="C37" s="38"/>
      <c r="D37" s="38"/>
      <c r="E37" s="38"/>
      <c r="F37" s="38"/>
      <c r="G37" s="38"/>
      <c r="H37" s="38"/>
      <c r="I37" s="38"/>
    </row>
    <row r="38" spans="1:9" x14ac:dyDescent="0.25">
      <c r="A38" s="38"/>
      <c r="B38" s="38"/>
      <c r="C38" s="38"/>
      <c r="D38" s="38"/>
      <c r="E38" s="38"/>
      <c r="F38" s="38"/>
      <c r="G38" s="38"/>
      <c r="H38" s="38"/>
      <c r="I38" s="38"/>
    </row>
    <row r="39" spans="1:9" x14ac:dyDescent="0.25">
      <c r="A39" s="38"/>
      <c r="B39" s="38"/>
      <c r="C39" s="38"/>
      <c r="D39" s="38"/>
      <c r="E39" s="38"/>
      <c r="F39" s="38"/>
      <c r="G39" s="38"/>
      <c r="H39" s="38"/>
      <c r="I39" s="38"/>
    </row>
  </sheetData>
  <mergeCells count="7">
    <mergeCell ref="B13:G13"/>
    <mergeCell ref="H13:M13"/>
    <mergeCell ref="B7:E7"/>
    <mergeCell ref="F7:I7"/>
    <mergeCell ref="A1:M1"/>
    <mergeCell ref="A2:M2"/>
    <mergeCell ref="A3:M3"/>
  </mergeCells>
  <pageMargins left="0.7" right="0.7" top="0.75" bottom="0.75" header="0.3" footer="0.3"/>
  <pageSetup scale="4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49379-1A5A-4413-87EC-D866E9BADFED}">
  <dimension ref="A1:J22"/>
  <sheetViews>
    <sheetView rightToLeft="1" view="pageBreakPreview" zoomScaleNormal="100" zoomScaleSheetLayoutView="100" workbookViewId="0">
      <selection activeCell="A16" sqref="A16"/>
    </sheetView>
  </sheetViews>
  <sheetFormatPr defaultColWidth="9.140625" defaultRowHeight="17.25" x14ac:dyDescent="0.25"/>
  <cols>
    <col min="1" max="1" width="31.7109375" style="13" customWidth="1"/>
    <col min="2" max="2" width="12" style="13" customWidth="1"/>
    <col min="3" max="3" width="12.140625" style="13" customWidth="1"/>
    <col min="4" max="4" width="13.5703125" style="13" customWidth="1"/>
    <col min="5" max="5" width="10.140625" style="13" customWidth="1"/>
    <col min="6" max="6" width="19.28515625" style="13" customWidth="1"/>
    <col min="7" max="7" width="10.85546875" style="13" customWidth="1"/>
    <col min="8" max="16384" width="9.140625" style="13"/>
  </cols>
  <sheetData>
    <row r="1" spans="1:10" ht="21" x14ac:dyDescent="0.25">
      <c r="A1" s="59" t="s">
        <v>111</v>
      </c>
      <c r="B1" s="59"/>
      <c r="C1" s="59"/>
      <c r="D1" s="59"/>
      <c r="E1" s="59"/>
      <c r="F1" s="59"/>
      <c r="G1" s="59"/>
      <c r="H1" s="59"/>
      <c r="I1" s="59"/>
      <c r="J1" s="59"/>
    </row>
    <row r="2" spans="1:10" ht="21" x14ac:dyDescent="0.25">
      <c r="A2" s="59" t="s">
        <v>33</v>
      </c>
      <c r="B2" s="59"/>
      <c r="C2" s="59"/>
      <c r="D2" s="59"/>
      <c r="E2" s="59"/>
      <c r="F2" s="59"/>
      <c r="G2" s="59"/>
      <c r="H2" s="59"/>
      <c r="I2" s="59"/>
      <c r="J2" s="59"/>
    </row>
    <row r="3" spans="1:10" ht="21" x14ac:dyDescent="0.25">
      <c r="A3" s="59" t="s">
        <v>44</v>
      </c>
      <c r="B3" s="59"/>
      <c r="C3" s="59"/>
      <c r="D3" s="59"/>
      <c r="E3" s="59"/>
      <c r="F3" s="59"/>
      <c r="G3" s="59"/>
      <c r="H3" s="59"/>
      <c r="I3" s="59"/>
      <c r="J3" s="59"/>
    </row>
    <row r="4" spans="1:10" ht="21" x14ac:dyDescent="0.25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ht="25.5" customHeight="1" x14ac:dyDescent="0.25">
      <c r="A5" s="68" t="s">
        <v>16</v>
      </c>
      <c r="B5" s="68"/>
      <c r="C5" s="68"/>
      <c r="D5" s="68"/>
      <c r="E5" s="68"/>
      <c r="F5" s="68"/>
      <c r="G5" s="68"/>
    </row>
    <row r="6" spans="1:10" x14ac:dyDescent="0.25">
      <c r="A6" s="68" t="s">
        <v>15</v>
      </c>
      <c r="B6" s="68"/>
      <c r="C6" s="68"/>
      <c r="D6" s="68"/>
      <c r="E6" s="68"/>
      <c r="F6" s="68"/>
      <c r="G6" s="68"/>
    </row>
    <row r="7" spans="1:10" ht="19.5" customHeight="1" thickBot="1" x14ac:dyDescent="0.3">
      <c r="B7" s="62" t="s">
        <v>45</v>
      </c>
      <c r="C7" s="62"/>
      <c r="D7" s="62"/>
      <c r="E7" s="62"/>
      <c r="F7" s="62"/>
      <c r="G7" s="62"/>
      <c r="H7" s="62"/>
      <c r="I7" s="62"/>
      <c r="J7" s="62"/>
    </row>
    <row r="8" spans="1:10" ht="13.15" customHeight="1" x14ac:dyDescent="0.25">
      <c r="A8" s="64" t="s">
        <v>6</v>
      </c>
      <c r="B8" s="58" t="s">
        <v>3</v>
      </c>
      <c r="C8" s="63" t="s">
        <v>20</v>
      </c>
      <c r="D8" s="63" t="s">
        <v>19</v>
      </c>
      <c r="E8" s="63" t="s">
        <v>17</v>
      </c>
      <c r="F8" s="63" t="s">
        <v>18</v>
      </c>
      <c r="G8" s="63" t="s">
        <v>5</v>
      </c>
      <c r="H8" s="63"/>
      <c r="I8" s="63"/>
      <c r="J8" s="63"/>
    </row>
    <row r="9" spans="1:10" ht="18" thickBot="1" x14ac:dyDescent="0.3">
      <c r="A9" s="57"/>
      <c r="B9" s="67"/>
      <c r="C9" s="55"/>
      <c r="D9" s="55"/>
      <c r="E9" s="55"/>
      <c r="F9" s="55"/>
      <c r="G9" s="55"/>
      <c r="H9" s="55"/>
      <c r="I9" s="55"/>
      <c r="J9" s="55"/>
    </row>
    <row r="10" spans="1:10" x14ac:dyDescent="0.25">
      <c r="A10" s="7" t="s">
        <v>90</v>
      </c>
      <c r="B10" s="15">
        <v>22820100</v>
      </c>
      <c r="C10" s="15">
        <v>2610</v>
      </c>
      <c r="D10" s="15">
        <v>1827</v>
      </c>
      <c r="E10" s="8">
        <v>-0.3</v>
      </c>
      <c r="F10" s="15">
        <v>41370041046</v>
      </c>
      <c r="G10" s="66" t="s">
        <v>60</v>
      </c>
      <c r="H10" s="66"/>
      <c r="I10" s="66"/>
      <c r="J10" s="66"/>
    </row>
    <row r="11" spans="1:10" x14ac:dyDescent="0.25">
      <c r="A11" s="7" t="s">
        <v>74</v>
      </c>
      <c r="B11" s="15">
        <v>3000000</v>
      </c>
      <c r="C11" s="15">
        <v>2740</v>
      </c>
      <c r="D11" s="15">
        <v>2192</v>
      </c>
      <c r="E11" s="8">
        <v>-0.2</v>
      </c>
      <c r="F11" s="15">
        <v>6525167520</v>
      </c>
      <c r="G11" s="66" t="s">
        <v>60</v>
      </c>
      <c r="H11" s="66"/>
      <c r="I11" s="66"/>
      <c r="J11" s="66"/>
    </row>
    <row r="12" spans="1:10" x14ac:dyDescent="0.25">
      <c r="A12" s="7" t="s">
        <v>92</v>
      </c>
      <c r="B12" s="15">
        <v>9200000</v>
      </c>
      <c r="C12" s="15">
        <v>10500</v>
      </c>
      <c r="D12" s="15">
        <v>8400</v>
      </c>
      <c r="E12" s="8">
        <v>-0.2</v>
      </c>
      <c r="F12" s="15">
        <v>76682625600</v>
      </c>
      <c r="G12" s="66" t="s">
        <v>60</v>
      </c>
      <c r="H12" s="66"/>
      <c r="I12" s="66"/>
      <c r="J12" s="66"/>
    </row>
    <row r="13" spans="1:10" x14ac:dyDescent="0.25">
      <c r="A13" s="7" t="s">
        <v>73</v>
      </c>
      <c r="B13" s="15">
        <v>4671455</v>
      </c>
      <c r="C13" s="15">
        <v>13032</v>
      </c>
      <c r="D13" s="15">
        <v>10426</v>
      </c>
      <c r="E13" s="8">
        <v>-0.19996930632289747</v>
      </c>
      <c r="F13" s="15">
        <v>48328103351</v>
      </c>
      <c r="G13" s="66" t="s">
        <v>60</v>
      </c>
      <c r="H13" s="66"/>
      <c r="I13" s="66"/>
      <c r="J13" s="66"/>
    </row>
    <row r="14" spans="1:10" x14ac:dyDescent="0.25">
      <c r="A14" s="7" t="s">
        <v>94</v>
      </c>
      <c r="B14" s="15">
        <v>3299000</v>
      </c>
      <c r="C14" s="15">
        <v>13580</v>
      </c>
      <c r="D14" s="15">
        <v>10864</v>
      </c>
      <c r="E14" s="8">
        <v>-0.2</v>
      </c>
      <c r="F14" s="15">
        <v>35563290203</v>
      </c>
      <c r="G14" s="66" t="s">
        <v>60</v>
      </c>
      <c r="H14" s="66"/>
      <c r="I14" s="66"/>
      <c r="J14" s="66"/>
    </row>
    <row r="15" spans="1:10" x14ac:dyDescent="0.25">
      <c r="A15" s="7" t="s">
        <v>88</v>
      </c>
      <c r="B15" s="15">
        <v>800000</v>
      </c>
      <c r="C15" s="15">
        <v>14860</v>
      </c>
      <c r="D15" s="15">
        <v>11888</v>
      </c>
      <c r="E15" s="8">
        <v>-0.2</v>
      </c>
      <c r="F15" s="15">
        <v>9436884608</v>
      </c>
      <c r="G15" s="66" t="s">
        <v>60</v>
      </c>
      <c r="H15" s="66"/>
      <c r="I15" s="66"/>
      <c r="J15" s="66"/>
    </row>
    <row r="16" spans="1:10" x14ac:dyDescent="0.25">
      <c r="A16" s="7" t="s">
        <v>72</v>
      </c>
      <c r="B16" s="15">
        <v>1200000</v>
      </c>
      <c r="C16" s="15">
        <v>18970</v>
      </c>
      <c r="D16" s="15">
        <v>15176</v>
      </c>
      <c r="E16" s="8">
        <v>-0.2</v>
      </c>
      <c r="F16" s="15">
        <v>18070427424</v>
      </c>
      <c r="G16" s="66" t="s">
        <v>60</v>
      </c>
      <c r="H16" s="66"/>
      <c r="I16" s="66"/>
      <c r="J16" s="66"/>
    </row>
    <row r="17" spans="1:10" x14ac:dyDescent="0.25">
      <c r="A17" s="7" t="s">
        <v>80</v>
      </c>
      <c r="B17" s="15">
        <v>1450000</v>
      </c>
      <c r="C17" s="15">
        <v>27010</v>
      </c>
      <c r="D17" s="15">
        <v>21608</v>
      </c>
      <c r="E17" s="8">
        <v>-0.2</v>
      </c>
      <c r="F17" s="15">
        <v>31089406732</v>
      </c>
      <c r="G17" s="66" t="s">
        <v>60</v>
      </c>
      <c r="H17" s="66"/>
      <c r="I17" s="66"/>
      <c r="J17" s="66"/>
    </row>
    <row r="18" spans="1:10" x14ac:dyDescent="0.25">
      <c r="A18" s="7" t="s">
        <v>77</v>
      </c>
      <c r="B18" s="15">
        <v>200000</v>
      </c>
      <c r="C18" s="15">
        <v>43800</v>
      </c>
      <c r="D18" s="15">
        <v>35040</v>
      </c>
      <c r="E18" s="8">
        <v>-0.2</v>
      </c>
      <c r="F18" s="15">
        <v>6953828160</v>
      </c>
      <c r="G18" s="66" t="s">
        <v>60</v>
      </c>
      <c r="H18" s="66"/>
      <c r="I18" s="66"/>
      <c r="J18" s="66"/>
    </row>
    <row r="19" spans="1:10" x14ac:dyDescent="0.25">
      <c r="A19" s="7" t="s">
        <v>75</v>
      </c>
      <c r="B19" s="15">
        <v>450000</v>
      </c>
      <c r="C19" s="15">
        <v>45600</v>
      </c>
      <c r="D19" s="15">
        <v>36480</v>
      </c>
      <c r="E19" s="8">
        <v>-0.2</v>
      </c>
      <c r="F19" s="15">
        <v>16289104320</v>
      </c>
      <c r="G19" s="66" t="s">
        <v>60</v>
      </c>
      <c r="H19" s="66"/>
      <c r="I19" s="66"/>
      <c r="J19" s="66"/>
    </row>
    <row r="20" spans="1:10" x14ac:dyDescent="0.25">
      <c r="A20" s="7" t="s">
        <v>76</v>
      </c>
      <c r="B20" s="15">
        <v>750000</v>
      </c>
      <c r="C20" s="15">
        <v>60730</v>
      </c>
      <c r="D20" s="15">
        <v>48584</v>
      </c>
      <c r="E20" s="8">
        <v>-0.2</v>
      </c>
      <c r="F20" s="15">
        <v>36156334260</v>
      </c>
      <c r="G20" s="66" t="s">
        <v>60</v>
      </c>
      <c r="H20" s="66"/>
      <c r="I20" s="66"/>
      <c r="J20" s="66"/>
    </row>
    <row r="21" spans="1:10" ht="18" thickBot="1" x14ac:dyDescent="0.3">
      <c r="A21" s="7" t="s">
        <v>2</v>
      </c>
      <c r="B21" s="14"/>
      <c r="C21" s="14"/>
      <c r="D21" s="14"/>
      <c r="E21" s="14"/>
      <c r="F21" s="9">
        <f>SUM(F10:F20)</f>
        <v>326465213224</v>
      </c>
    </row>
    <row r="22" spans="1:10" ht="18" thickTop="1" x14ac:dyDescent="0.25"/>
  </sheetData>
  <mergeCells count="24">
    <mergeCell ref="G12:J12"/>
    <mergeCell ref="A1:J1"/>
    <mergeCell ref="A2:J2"/>
    <mergeCell ref="A3:J3"/>
    <mergeCell ref="G8:J9"/>
    <mergeCell ref="A5:G5"/>
    <mergeCell ref="D8:D9"/>
    <mergeCell ref="A8:A9"/>
    <mergeCell ref="A6:G6"/>
    <mergeCell ref="C8:C9"/>
    <mergeCell ref="F8:F9"/>
    <mergeCell ref="E8:E9"/>
    <mergeCell ref="B8:B9"/>
    <mergeCell ref="B7:J7"/>
    <mergeCell ref="G11:J11"/>
    <mergeCell ref="G10:J10"/>
    <mergeCell ref="G19:J19"/>
    <mergeCell ref="G20:J20"/>
    <mergeCell ref="G13:J13"/>
    <mergeCell ref="G14:J14"/>
    <mergeCell ref="G15:J15"/>
    <mergeCell ref="G16:J16"/>
    <mergeCell ref="G17:J17"/>
    <mergeCell ref="G18:J18"/>
  </mergeCells>
  <pageMargins left="0.7" right="0.7" top="0.75" bottom="0.75" header="0.3" footer="0.3"/>
  <pageSetup scale="84" orientation="landscape" horizontalDpi="4294967295" verticalDpi="4294967295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A3099-9C49-4519-8BA0-D56858608BBB}">
  <dimension ref="A1:F18"/>
  <sheetViews>
    <sheetView rightToLeft="1" view="pageBreakPreview" zoomScaleNormal="70" zoomScaleSheetLayoutView="100" workbookViewId="0">
      <selection activeCell="B18" sqref="B18"/>
    </sheetView>
  </sheetViews>
  <sheetFormatPr defaultColWidth="9.140625" defaultRowHeight="17.25" x14ac:dyDescent="0.25"/>
  <cols>
    <col min="1" max="1" width="37.28515625" style="13" customWidth="1"/>
    <col min="2" max="2" width="21.28515625" style="13" customWidth="1"/>
    <col min="3" max="3" width="22" style="13" customWidth="1"/>
    <col min="4" max="4" width="22.140625" style="13" customWidth="1"/>
    <col min="5" max="5" width="17.42578125" style="13" customWidth="1"/>
    <col min="6" max="6" width="11.5703125" style="13" customWidth="1"/>
    <col min="7" max="16384" width="9.140625" style="13"/>
  </cols>
  <sheetData>
    <row r="1" spans="1:6" ht="21" x14ac:dyDescent="0.25">
      <c r="A1" s="59" t="s">
        <v>111</v>
      </c>
      <c r="B1" s="59"/>
      <c r="C1" s="59"/>
      <c r="D1" s="59"/>
      <c r="E1" s="59"/>
      <c r="F1" s="59"/>
    </row>
    <row r="2" spans="1:6" ht="21" x14ac:dyDescent="0.25">
      <c r="A2" s="59" t="s">
        <v>33</v>
      </c>
      <c r="B2" s="59"/>
      <c r="C2" s="59"/>
      <c r="D2" s="59"/>
      <c r="E2" s="59"/>
      <c r="F2" s="59"/>
    </row>
    <row r="3" spans="1:6" ht="21" x14ac:dyDescent="0.25">
      <c r="A3" s="59" t="s">
        <v>44</v>
      </c>
      <c r="B3" s="59"/>
      <c r="C3" s="59"/>
      <c r="D3" s="59"/>
      <c r="E3" s="59"/>
      <c r="F3" s="59"/>
    </row>
    <row r="4" spans="1:6" ht="21" x14ac:dyDescent="0.25">
      <c r="A4" s="3"/>
      <c r="B4" s="3"/>
      <c r="C4" s="3"/>
      <c r="D4" s="3"/>
      <c r="E4" s="3"/>
      <c r="F4" s="3"/>
    </row>
    <row r="5" spans="1:6" ht="21" x14ac:dyDescent="0.25">
      <c r="A5" s="60" t="s">
        <v>61</v>
      </c>
      <c r="B5" s="60"/>
      <c r="C5" s="60"/>
      <c r="D5" s="60"/>
      <c r="E5" s="60"/>
      <c r="F5" s="60"/>
    </row>
    <row r="6" spans="1:6" x14ac:dyDescent="0.25">
      <c r="B6" s="18"/>
      <c r="C6" s="18"/>
      <c r="D6" s="18"/>
      <c r="E6" s="18"/>
      <c r="F6" s="18"/>
    </row>
    <row r="7" spans="1:6" ht="18.75" customHeight="1" thickBot="1" x14ac:dyDescent="0.3">
      <c r="A7" s="16"/>
      <c r="B7" s="17" t="s">
        <v>46</v>
      </c>
      <c r="C7" s="61" t="s">
        <v>57</v>
      </c>
      <c r="D7" s="61"/>
      <c r="E7" s="62" t="s">
        <v>45</v>
      </c>
      <c r="F7" s="62"/>
    </row>
    <row r="8" spans="1:6" ht="24" customHeight="1" x14ac:dyDescent="0.25">
      <c r="A8" s="73" t="s">
        <v>62</v>
      </c>
      <c r="B8" s="74" t="s">
        <v>4</v>
      </c>
      <c r="C8" s="69" t="s">
        <v>21</v>
      </c>
      <c r="D8" s="69" t="s">
        <v>43</v>
      </c>
      <c r="E8" s="71" t="s">
        <v>4</v>
      </c>
      <c r="F8" s="70" t="s">
        <v>12</v>
      </c>
    </row>
    <row r="9" spans="1:6" ht="18" thickBot="1" x14ac:dyDescent="0.3">
      <c r="A9" s="62"/>
      <c r="B9" s="72"/>
      <c r="C9" s="61"/>
      <c r="D9" s="61"/>
      <c r="E9" s="72"/>
      <c r="F9" s="62"/>
    </row>
    <row r="10" spans="1:6" x14ac:dyDescent="0.25">
      <c r="A10" s="7" t="s">
        <v>48</v>
      </c>
      <c r="B10" s="15">
        <v>10308029127</v>
      </c>
      <c r="C10" s="15">
        <v>3566766851</v>
      </c>
      <c r="D10" s="15">
        <v>12193530422</v>
      </c>
      <c r="E10" s="15">
        <v>1681265556</v>
      </c>
      <c r="F10" s="8">
        <v>1.6322849571237745E-3</v>
      </c>
    </row>
    <row r="11" spans="1:6" x14ac:dyDescent="0.25">
      <c r="A11" s="7" t="s">
        <v>47</v>
      </c>
      <c r="B11" s="15">
        <v>90959788415</v>
      </c>
      <c r="C11" s="15">
        <v>20266672619</v>
      </c>
      <c r="D11" s="15">
        <v>15223433422</v>
      </c>
      <c r="E11" s="15">
        <v>96003027612</v>
      </c>
      <c r="F11" s="8">
        <v>9.3206154881463568E-2</v>
      </c>
    </row>
    <row r="12" spans="1:6" ht="18" thickBot="1" x14ac:dyDescent="0.3">
      <c r="A12" s="7" t="s">
        <v>2</v>
      </c>
      <c r="B12" s="9">
        <f>SUM(B10:B11)</f>
        <v>101267817542</v>
      </c>
      <c r="C12" s="9">
        <f>SUM(C10:C11)</f>
        <v>23833439470</v>
      </c>
      <c r="D12" s="9">
        <f>SUM(D10:D11)</f>
        <v>27416963844</v>
      </c>
      <c r="E12" s="9">
        <f>SUM(E10:E11)</f>
        <v>97684293168</v>
      </c>
      <c r="F12" s="10">
        <f>SUM(F10:F11)</f>
        <v>9.4838439838587349E-2</v>
      </c>
    </row>
    <row r="13" spans="1:6" ht="18" thickTop="1" x14ac:dyDescent="0.25">
      <c r="C13" s="13" t="s">
        <v>138</v>
      </c>
    </row>
    <row r="16" spans="1:6" x14ac:dyDescent="0.15">
      <c r="B16" s="43"/>
      <c r="C16" s="43"/>
    </row>
    <row r="17" spans="2:3" x14ac:dyDescent="0.15">
      <c r="B17" s="43"/>
      <c r="C17" s="44"/>
    </row>
    <row r="18" spans="2:3" x14ac:dyDescent="0.25">
      <c r="B18" s="44"/>
    </row>
  </sheetData>
  <mergeCells count="12">
    <mergeCell ref="C8:C9"/>
    <mergeCell ref="D8:D9"/>
    <mergeCell ref="A1:F1"/>
    <mergeCell ref="A2:F2"/>
    <mergeCell ref="A3:F3"/>
    <mergeCell ref="F8:F9"/>
    <mergeCell ref="A5:F5"/>
    <mergeCell ref="E7:F7"/>
    <mergeCell ref="E8:E9"/>
    <mergeCell ref="A8:A9"/>
    <mergeCell ref="B8:B9"/>
    <mergeCell ref="C7:D7"/>
  </mergeCells>
  <pageMargins left="0.7" right="0.7" top="0.75" bottom="0.75" header="0.3" footer="0.3"/>
  <pageSetup scale="81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44BB5-8A90-4FEA-870F-C48731FAA6F3}">
  <dimension ref="A1:S14"/>
  <sheetViews>
    <sheetView rightToLeft="1" view="pageBreakPreview" zoomScaleNormal="115" zoomScaleSheetLayoutView="100" workbookViewId="0">
      <selection activeCell="A13" sqref="A13"/>
    </sheetView>
  </sheetViews>
  <sheetFormatPr defaultColWidth="8.85546875" defaultRowHeight="19.5" x14ac:dyDescent="0.25"/>
  <cols>
    <col min="1" max="1" width="51.28515625" style="29" customWidth="1"/>
    <col min="2" max="2" width="8.85546875" style="20"/>
    <col min="3" max="3" width="24.5703125" style="20" customWidth="1"/>
    <col min="4" max="4" width="13.140625" style="20" customWidth="1"/>
    <col min="5" max="5" width="13.28515625" style="20" customWidth="1"/>
    <col min="6" max="16384" width="8.85546875" style="20"/>
  </cols>
  <sheetData>
    <row r="1" spans="1:19" ht="21" x14ac:dyDescent="0.25">
      <c r="A1" s="59" t="s">
        <v>111</v>
      </c>
      <c r="B1" s="59"/>
      <c r="C1" s="59"/>
      <c r="D1" s="59"/>
      <c r="E1" s="59"/>
    </row>
    <row r="2" spans="1:19" ht="21" x14ac:dyDescent="0.25">
      <c r="A2" s="59" t="s">
        <v>35</v>
      </c>
      <c r="B2" s="59"/>
      <c r="C2" s="59"/>
      <c r="D2" s="59"/>
      <c r="E2" s="59"/>
    </row>
    <row r="3" spans="1:19" ht="21" x14ac:dyDescent="0.25">
      <c r="A3" s="59" t="s">
        <v>44</v>
      </c>
      <c r="B3" s="59"/>
      <c r="C3" s="59"/>
      <c r="D3" s="59"/>
      <c r="E3" s="59"/>
    </row>
    <row r="4" spans="1:19" ht="21" x14ac:dyDescent="0.25">
      <c r="A4" s="3"/>
      <c r="B4" s="3"/>
      <c r="C4" s="3"/>
      <c r="D4" s="3"/>
      <c r="E4" s="3"/>
    </row>
    <row r="5" spans="1:19" ht="21" x14ac:dyDescent="0.25">
      <c r="A5" s="60" t="s">
        <v>13</v>
      </c>
      <c r="B5" s="60"/>
      <c r="C5" s="60"/>
      <c r="D5" s="60"/>
      <c r="E5" s="60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</row>
    <row r="6" spans="1:19" ht="21" x14ac:dyDescent="0.25">
      <c r="A6" s="21"/>
      <c r="B6" s="21"/>
      <c r="C6" s="21"/>
      <c r="D6" s="21"/>
      <c r="E6" s="21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</row>
    <row r="7" spans="1:19" ht="21.75" thickBot="1" x14ac:dyDescent="0.3">
      <c r="A7" s="21"/>
      <c r="B7" s="21"/>
      <c r="C7" s="75" t="s">
        <v>36</v>
      </c>
      <c r="D7" s="75"/>
      <c r="E7" s="75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</row>
    <row r="8" spans="1:19" ht="37.15" customHeight="1" thickBot="1" x14ac:dyDescent="0.3">
      <c r="A8" s="30" t="s">
        <v>22</v>
      </c>
      <c r="B8" s="30" t="s">
        <v>23</v>
      </c>
      <c r="C8" s="30" t="s">
        <v>4</v>
      </c>
      <c r="D8" s="31" t="s">
        <v>10</v>
      </c>
      <c r="E8" s="31" t="s">
        <v>38</v>
      </c>
    </row>
    <row r="9" spans="1:19" ht="21" x14ac:dyDescent="0.25">
      <c r="A9" s="27" t="s">
        <v>140</v>
      </c>
      <c r="B9" s="28" t="s">
        <v>67</v>
      </c>
      <c r="C9" s="15">
        <f>'درآمد سرمایه گذاری در سهام '!$J$55</f>
        <v>-78232713594</v>
      </c>
      <c r="D9" s="8">
        <f>C9/-55596004072</f>
        <v>1.4071643259232114</v>
      </c>
      <c r="E9" s="8">
        <f>C9/1030007382389</f>
        <v>-7.5953546480945586E-2</v>
      </c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</row>
    <row r="10" spans="1:19" ht="21" x14ac:dyDescent="0.25">
      <c r="A10" s="27" t="s">
        <v>30</v>
      </c>
      <c r="B10" s="28" t="s">
        <v>34</v>
      </c>
      <c r="C10" s="15">
        <f>'درآمد سپرده بانکی'!$D$11</f>
        <v>8651780354</v>
      </c>
      <c r="D10" s="8">
        <f>C10/-55596004072</f>
        <v>-0.15561874451975813</v>
      </c>
      <c r="E10" s="8">
        <f>C10/1030007382389</f>
        <v>8.399726547525372E-3</v>
      </c>
      <c r="F10" s="26"/>
      <c r="G10" s="26"/>
      <c r="H10" s="26"/>
      <c r="I10" s="26"/>
      <c r="J10" s="26"/>
      <c r="K10" s="26"/>
      <c r="L10" s="26"/>
      <c r="M10" s="26"/>
      <c r="N10" s="26"/>
      <c r="O10" s="26"/>
    </row>
    <row r="11" spans="1:19" ht="21" x14ac:dyDescent="0.25">
      <c r="A11" s="27" t="s">
        <v>139</v>
      </c>
      <c r="B11" s="28" t="s">
        <v>68</v>
      </c>
      <c r="C11" s="15">
        <f>'درآمد سرمایه گذاری مشتقه '!$H$51</f>
        <v>13483975174</v>
      </c>
      <c r="D11" s="8">
        <f>C11/-55596004072</f>
        <v>-0.24253496989707177</v>
      </c>
      <c r="E11" s="8">
        <f>C11/1030007382389</f>
        <v>1.3091144203962166E-2</v>
      </c>
      <c r="F11" s="26"/>
      <c r="G11" s="26"/>
      <c r="H11" s="26"/>
      <c r="I11" s="26"/>
      <c r="J11" s="26"/>
      <c r="K11" s="26"/>
      <c r="L11" s="26"/>
      <c r="M11" s="26"/>
      <c r="N11" s="26"/>
      <c r="O11" s="26"/>
    </row>
    <row r="12" spans="1:19" ht="21" x14ac:dyDescent="0.25">
      <c r="A12" s="27" t="s">
        <v>14</v>
      </c>
      <c r="B12" s="28" t="s">
        <v>229</v>
      </c>
      <c r="C12" s="15">
        <f>'سایر درآمدها'!C11</f>
        <v>500953994</v>
      </c>
      <c r="D12" s="8">
        <f>C12/-55596004072</f>
        <v>-9.0106115063815738E-3</v>
      </c>
      <c r="E12" s="8">
        <f>C12/1030007382389</f>
        <v>4.8635961505255127E-4</v>
      </c>
      <c r="F12" s="26"/>
      <c r="G12" s="26"/>
    </row>
    <row r="13" spans="1:19" ht="20.25" thickBot="1" x14ac:dyDescent="0.3">
      <c r="A13" s="47" t="s">
        <v>2</v>
      </c>
      <c r="C13" s="9">
        <f>SUM(C9:C12)</f>
        <v>-55596004072</v>
      </c>
      <c r="D13" s="10">
        <f>SUM(D9:D12)</f>
        <v>0.99999999999999989</v>
      </c>
      <c r="E13" s="10">
        <f>SUM(E9:E12)</f>
        <v>-5.3976316114405502E-2</v>
      </c>
    </row>
    <row r="14" spans="1:19" ht="20.25" thickTop="1" x14ac:dyDescent="0.25"/>
  </sheetData>
  <mergeCells count="5">
    <mergeCell ref="A5:E5"/>
    <mergeCell ref="A3:E3"/>
    <mergeCell ref="A2:E2"/>
    <mergeCell ref="A1:E1"/>
    <mergeCell ref="C7:E7"/>
  </mergeCells>
  <pageMargins left="0.7" right="0.7" top="0.75" bottom="0.75" header="0.3" footer="0.3"/>
  <pageSetup orientation="landscape" horizontalDpi="4294967295" verticalDpi="4294967295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00646-BC25-4FB2-92C2-62202CC4EAFF}">
  <dimension ref="A1:K62"/>
  <sheetViews>
    <sheetView rightToLeft="1" view="pageBreakPreview" topLeftCell="A34" zoomScale="70" zoomScaleNormal="70" zoomScaleSheetLayoutView="70" workbookViewId="0">
      <selection activeCell="A48" sqref="A48"/>
    </sheetView>
  </sheetViews>
  <sheetFormatPr defaultColWidth="9.140625" defaultRowHeight="17.25" x14ac:dyDescent="0.25"/>
  <cols>
    <col min="1" max="1" width="44.28515625" style="13" customWidth="1"/>
    <col min="2" max="2" width="19.85546875" style="13" customWidth="1"/>
    <col min="3" max="4" width="19.7109375" style="13" customWidth="1"/>
    <col min="5" max="5" width="20" style="13" customWidth="1"/>
    <col min="6" max="6" width="11.85546875" style="13" customWidth="1"/>
    <col min="7" max="7" width="19" style="13" customWidth="1"/>
    <col min="8" max="8" width="18.42578125" style="13" customWidth="1"/>
    <col min="9" max="9" width="20.140625" style="13" customWidth="1"/>
    <col min="10" max="10" width="20" style="13" customWidth="1"/>
    <col min="11" max="11" width="11.42578125" style="13" customWidth="1"/>
    <col min="12" max="16384" width="9.140625" style="13"/>
  </cols>
  <sheetData>
    <row r="1" spans="1:11" ht="21" x14ac:dyDescent="0.25">
      <c r="A1" s="59" t="s">
        <v>111</v>
      </c>
      <c r="B1" s="59"/>
      <c r="C1" s="59"/>
      <c r="D1" s="59"/>
      <c r="E1" s="59"/>
      <c r="F1" s="59"/>
      <c r="G1" s="59"/>
      <c r="H1" s="59"/>
      <c r="I1" s="59"/>
      <c r="J1" s="59"/>
      <c r="K1" s="59"/>
    </row>
    <row r="2" spans="1:11" ht="21" x14ac:dyDescent="0.25">
      <c r="A2" s="59" t="s">
        <v>35</v>
      </c>
      <c r="B2" s="59"/>
      <c r="C2" s="59"/>
      <c r="D2" s="59"/>
      <c r="E2" s="59"/>
      <c r="F2" s="59"/>
      <c r="G2" s="59"/>
      <c r="H2" s="59"/>
      <c r="I2" s="59"/>
      <c r="J2" s="59"/>
      <c r="K2" s="59"/>
    </row>
    <row r="3" spans="1:11" ht="21" x14ac:dyDescent="0.25">
      <c r="A3" s="59" t="s">
        <v>44</v>
      </c>
      <c r="B3" s="59"/>
      <c r="C3" s="59"/>
      <c r="D3" s="59"/>
      <c r="E3" s="59"/>
      <c r="F3" s="59"/>
      <c r="G3" s="59"/>
      <c r="H3" s="59"/>
      <c r="I3" s="59"/>
      <c r="J3" s="59"/>
      <c r="K3" s="59"/>
    </row>
    <row r="5" spans="1:11" ht="21" x14ac:dyDescent="0.25">
      <c r="A5" s="60" t="s">
        <v>225</v>
      </c>
      <c r="B5" s="60"/>
      <c r="C5" s="60"/>
      <c r="D5" s="60"/>
      <c r="E5" s="60"/>
      <c r="F5" s="60"/>
      <c r="G5" s="60"/>
      <c r="H5" s="60"/>
      <c r="I5" s="60"/>
      <c r="J5" s="60"/>
      <c r="K5" s="60"/>
    </row>
    <row r="7" spans="1:11" ht="19.5" customHeight="1" thickBot="1" x14ac:dyDescent="0.3">
      <c r="A7" s="45"/>
      <c r="B7" s="78" t="s">
        <v>63</v>
      </c>
      <c r="C7" s="78"/>
      <c r="D7" s="78"/>
      <c r="E7" s="78"/>
      <c r="F7" s="78"/>
      <c r="G7" s="78" t="s">
        <v>36</v>
      </c>
      <c r="H7" s="78"/>
      <c r="I7" s="78"/>
      <c r="J7" s="78"/>
      <c r="K7" s="78"/>
    </row>
    <row r="8" spans="1:11" ht="19.5" customHeight="1" x14ac:dyDescent="0.25">
      <c r="A8" s="79" t="s">
        <v>169</v>
      </c>
      <c r="B8" s="76" t="s">
        <v>168</v>
      </c>
      <c r="C8" s="76" t="s">
        <v>7</v>
      </c>
      <c r="D8" s="76" t="s">
        <v>8</v>
      </c>
      <c r="E8" s="76" t="s">
        <v>2</v>
      </c>
      <c r="F8" s="76"/>
      <c r="G8" s="76" t="s">
        <v>168</v>
      </c>
      <c r="H8" s="76" t="s">
        <v>7</v>
      </c>
      <c r="I8" s="76" t="s">
        <v>8</v>
      </c>
      <c r="J8" s="76" t="s">
        <v>2</v>
      </c>
      <c r="K8" s="76"/>
    </row>
    <row r="9" spans="1:11" ht="6.6" customHeight="1" thickBot="1" x14ac:dyDescent="0.3">
      <c r="A9" s="79"/>
      <c r="B9" s="77"/>
      <c r="C9" s="77"/>
      <c r="D9" s="77"/>
      <c r="E9" s="78"/>
      <c r="F9" s="78"/>
      <c r="G9" s="77"/>
      <c r="H9" s="77"/>
      <c r="I9" s="77"/>
      <c r="J9" s="78"/>
      <c r="K9" s="78"/>
    </row>
    <row r="10" spans="1:11" ht="35.25" thickBot="1" x14ac:dyDescent="0.3">
      <c r="A10" s="80"/>
      <c r="B10" s="78"/>
      <c r="C10" s="78" t="s">
        <v>167</v>
      </c>
      <c r="D10" s="78" t="s">
        <v>167</v>
      </c>
      <c r="E10" s="19" t="s">
        <v>4</v>
      </c>
      <c r="F10" s="19" t="s">
        <v>166</v>
      </c>
      <c r="G10" s="78"/>
      <c r="H10" s="78" t="s">
        <v>167</v>
      </c>
      <c r="I10" s="78" t="s">
        <v>167</v>
      </c>
      <c r="J10" s="19" t="s">
        <v>4</v>
      </c>
      <c r="K10" s="19" t="s">
        <v>166</v>
      </c>
    </row>
    <row r="11" spans="1:11" x14ac:dyDescent="0.25">
      <c r="A11" s="7" t="s">
        <v>165</v>
      </c>
      <c r="B11" s="15">
        <v>0</v>
      </c>
      <c r="C11" s="15">
        <v>2452891440</v>
      </c>
      <c r="D11" s="15">
        <v>0</v>
      </c>
      <c r="E11" s="15">
        <v>2452891440</v>
      </c>
      <c r="F11" s="8">
        <v>3.315872612113932E-2</v>
      </c>
      <c r="G11" s="15">
        <v>0</v>
      </c>
      <c r="H11" s="15">
        <v>-2537580091</v>
      </c>
      <c r="I11" s="15">
        <v>0</v>
      </c>
      <c r="J11" s="15">
        <v>-2537580091</v>
      </c>
      <c r="K11" s="8">
        <v>4.5643210035629336E-2</v>
      </c>
    </row>
    <row r="12" spans="1:11" x14ac:dyDescent="0.25">
      <c r="A12" s="7" t="s">
        <v>102</v>
      </c>
      <c r="B12" s="15">
        <v>0</v>
      </c>
      <c r="C12" s="15">
        <v>2499929007</v>
      </c>
      <c r="D12" s="15">
        <v>0</v>
      </c>
      <c r="E12" s="15">
        <v>2499929007</v>
      </c>
      <c r="F12" s="8">
        <v>3.3794590300092853E-2</v>
      </c>
      <c r="G12" s="15">
        <v>0</v>
      </c>
      <c r="H12" s="15">
        <v>-6939458106</v>
      </c>
      <c r="I12" s="15">
        <v>0</v>
      </c>
      <c r="J12" s="15">
        <v>-6939458106</v>
      </c>
      <c r="K12" s="8">
        <v>0.12481936825914693</v>
      </c>
    </row>
    <row r="13" spans="1:11" x14ac:dyDescent="0.25">
      <c r="A13" s="7" t="s">
        <v>97</v>
      </c>
      <c r="B13" s="15">
        <v>0</v>
      </c>
      <c r="C13" s="15">
        <v>1983051595</v>
      </c>
      <c r="D13" s="15">
        <v>0</v>
      </c>
      <c r="E13" s="15">
        <v>1983051595</v>
      </c>
      <c r="F13" s="8">
        <v>2.6807327731835331E-2</v>
      </c>
      <c r="G13" s="15">
        <v>0</v>
      </c>
      <c r="H13" s="15">
        <v>-1069667060</v>
      </c>
      <c r="I13" s="15">
        <v>0</v>
      </c>
      <c r="J13" s="15">
        <v>-1069667060</v>
      </c>
      <c r="K13" s="8">
        <v>1.9239998950549037E-2</v>
      </c>
    </row>
    <row r="14" spans="1:11" x14ac:dyDescent="0.25">
      <c r="A14" s="7" t="s">
        <v>164</v>
      </c>
      <c r="B14" s="15">
        <v>0</v>
      </c>
      <c r="C14" s="15">
        <v>-8853686945</v>
      </c>
      <c r="D14" s="15">
        <v>0</v>
      </c>
      <c r="E14" s="15">
        <v>-8853686945</v>
      </c>
      <c r="F14" s="8">
        <v>-0.11968608793039846</v>
      </c>
      <c r="G14" s="15">
        <v>0</v>
      </c>
      <c r="H14" s="15">
        <v>-27748534215</v>
      </c>
      <c r="I14" s="15">
        <v>-1302677493</v>
      </c>
      <c r="J14" s="15">
        <v>-29051211708</v>
      </c>
      <c r="K14" s="8">
        <v>0.52254136233203063</v>
      </c>
    </row>
    <row r="15" spans="1:11" x14ac:dyDescent="0.25">
      <c r="A15" s="7" t="s">
        <v>163</v>
      </c>
      <c r="B15" s="15">
        <v>0</v>
      </c>
      <c r="C15" s="15">
        <v>26163183090</v>
      </c>
      <c r="D15" s="15">
        <v>0</v>
      </c>
      <c r="E15" s="15">
        <v>26163183090</v>
      </c>
      <c r="F15" s="8">
        <v>0.35367966490132707</v>
      </c>
      <c r="G15" s="15">
        <v>0</v>
      </c>
      <c r="H15" s="15">
        <v>26566851767</v>
      </c>
      <c r="I15" s="15">
        <v>2284426071</v>
      </c>
      <c r="J15" s="15">
        <v>28851277838</v>
      </c>
      <c r="K15" s="8">
        <v>-0.51894517096293369</v>
      </c>
    </row>
    <row r="16" spans="1:11" x14ac:dyDescent="0.25">
      <c r="A16" s="7" t="s">
        <v>162</v>
      </c>
      <c r="B16" s="15">
        <v>0</v>
      </c>
      <c r="C16" s="15">
        <v>769009250</v>
      </c>
      <c r="D16" s="15">
        <v>0</v>
      </c>
      <c r="E16" s="15">
        <v>769009250</v>
      </c>
      <c r="F16" s="8">
        <v>1.0395636223253631E-2</v>
      </c>
      <c r="G16" s="15">
        <v>0</v>
      </c>
      <c r="H16" s="15">
        <v>-130979640</v>
      </c>
      <c r="I16" s="15">
        <v>164896344</v>
      </c>
      <c r="J16" s="15">
        <v>33916704</v>
      </c>
      <c r="K16" s="8">
        <v>-6.1005650614882195E-4</v>
      </c>
    </row>
    <row r="17" spans="1:11" x14ac:dyDescent="0.25">
      <c r="A17" s="7" t="s">
        <v>77</v>
      </c>
      <c r="B17" s="15">
        <v>0</v>
      </c>
      <c r="C17" s="15">
        <v>-434614260</v>
      </c>
      <c r="D17" s="15">
        <v>0</v>
      </c>
      <c r="E17" s="15">
        <v>-434614260</v>
      </c>
      <c r="F17" s="8">
        <v>-5.8752111816581807E-3</v>
      </c>
      <c r="G17" s="15">
        <v>0</v>
      </c>
      <c r="H17" s="15">
        <v>-5141943140</v>
      </c>
      <c r="I17" s="15">
        <v>0</v>
      </c>
      <c r="J17" s="15">
        <v>-5141943140</v>
      </c>
      <c r="K17" s="8">
        <v>9.248763874002329E-2</v>
      </c>
    </row>
    <row r="18" spans="1:11" x14ac:dyDescent="0.25">
      <c r="A18" s="7" t="s">
        <v>93</v>
      </c>
      <c r="B18" s="15">
        <v>0</v>
      </c>
      <c r="C18" s="15">
        <v>3607397585</v>
      </c>
      <c r="D18" s="15">
        <v>0</v>
      </c>
      <c r="E18" s="15">
        <v>3607397585</v>
      </c>
      <c r="F18" s="8">
        <v>4.8765594180178805E-2</v>
      </c>
      <c r="G18" s="15">
        <v>0</v>
      </c>
      <c r="H18" s="15">
        <v>-2466783220</v>
      </c>
      <c r="I18" s="15">
        <v>0</v>
      </c>
      <c r="J18" s="15">
        <v>-2466783220</v>
      </c>
      <c r="K18" s="8">
        <v>4.4369793498204919E-2</v>
      </c>
    </row>
    <row r="19" spans="1:11" x14ac:dyDescent="0.25">
      <c r="A19" s="7" t="s">
        <v>161</v>
      </c>
      <c r="B19" s="15">
        <v>0</v>
      </c>
      <c r="C19" s="15">
        <v>10870171372</v>
      </c>
      <c r="D19" s="15">
        <v>0</v>
      </c>
      <c r="E19" s="15">
        <v>10870171372</v>
      </c>
      <c r="F19" s="8">
        <v>0.1469453680404206</v>
      </c>
      <c r="G19" s="15">
        <v>0</v>
      </c>
      <c r="H19" s="15">
        <v>-5505307236</v>
      </c>
      <c r="I19" s="15">
        <v>0</v>
      </c>
      <c r="J19" s="15">
        <v>-5505307236</v>
      </c>
      <c r="K19" s="8">
        <v>9.9023433930077287E-2</v>
      </c>
    </row>
    <row r="20" spans="1:11" x14ac:dyDescent="0.25">
      <c r="A20" s="7" t="s">
        <v>160</v>
      </c>
      <c r="B20" s="15">
        <v>0</v>
      </c>
      <c r="C20" s="15">
        <v>2147129447</v>
      </c>
      <c r="D20" s="15">
        <v>0</v>
      </c>
      <c r="E20" s="15">
        <v>2147129447</v>
      </c>
      <c r="F20" s="8">
        <v>2.9025368232238738E-2</v>
      </c>
      <c r="G20" s="15">
        <v>0</v>
      </c>
      <c r="H20" s="15">
        <v>-3438230578</v>
      </c>
      <c r="I20" s="15">
        <v>0</v>
      </c>
      <c r="J20" s="15">
        <v>-3438230578</v>
      </c>
      <c r="K20" s="8">
        <v>6.1843124076818454E-2</v>
      </c>
    </row>
    <row r="21" spans="1:11" x14ac:dyDescent="0.25">
      <c r="A21" s="7" t="s">
        <v>101</v>
      </c>
      <c r="B21" s="15">
        <v>0</v>
      </c>
      <c r="C21" s="15">
        <v>11423289579</v>
      </c>
      <c r="D21" s="15">
        <v>-699615</v>
      </c>
      <c r="E21" s="15">
        <v>11422589964</v>
      </c>
      <c r="F21" s="8">
        <v>0.15441308409896473</v>
      </c>
      <c r="G21" s="15">
        <v>0</v>
      </c>
      <c r="H21" s="15">
        <v>-7030299798</v>
      </c>
      <c r="I21" s="15">
        <v>-3262516042</v>
      </c>
      <c r="J21" s="15">
        <v>-10292815840</v>
      </c>
      <c r="K21" s="8">
        <v>0.18513589262045194</v>
      </c>
    </row>
    <row r="22" spans="1:11" x14ac:dyDescent="0.25">
      <c r="A22" s="7" t="s">
        <v>76</v>
      </c>
      <c r="B22" s="15">
        <v>0</v>
      </c>
      <c r="C22" s="15">
        <v>-2259398790</v>
      </c>
      <c r="D22" s="15">
        <v>0</v>
      </c>
      <c r="E22" s="15">
        <v>-2259398790</v>
      </c>
      <c r="F22" s="8">
        <v>-3.0543049910127119E-2</v>
      </c>
      <c r="G22" s="15">
        <v>0</v>
      </c>
      <c r="H22" s="15">
        <v>910833049</v>
      </c>
      <c r="I22" s="15">
        <v>1021799919</v>
      </c>
      <c r="J22" s="15">
        <v>1932632968</v>
      </c>
      <c r="K22" s="8">
        <v>-3.4762084078868868E-2</v>
      </c>
    </row>
    <row r="23" spans="1:11" x14ac:dyDescent="0.25">
      <c r="A23" s="7" t="s">
        <v>159</v>
      </c>
      <c r="B23" s="15">
        <v>0</v>
      </c>
      <c r="C23" s="15">
        <v>-2222705637</v>
      </c>
      <c r="D23" s="15">
        <v>0</v>
      </c>
      <c r="E23" s="15">
        <v>-2222705637</v>
      </c>
      <c r="F23" s="8">
        <v>-3.0047023795392883E-2</v>
      </c>
      <c r="G23" s="15">
        <v>4948500000</v>
      </c>
      <c r="H23" s="15">
        <v>-10920391762</v>
      </c>
      <c r="I23" s="15">
        <v>118405085</v>
      </c>
      <c r="J23" s="15">
        <v>-5853486677</v>
      </c>
      <c r="K23" s="8">
        <v>0.10528610418510295</v>
      </c>
    </row>
    <row r="24" spans="1:11" x14ac:dyDescent="0.25">
      <c r="A24" s="7" t="s">
        <v>104</v>
      </c>
      <c r="B24" s="15">
        <v>0</v>
      </c>
      <c r="C24" s="15">
        <v>490305414</v>
      </c>
      <c r="D24" s="15">
        <v>0</v>
      </c>
      <c r="E24" s="15">
        <v>490305414</v>
      </c>
      <c r="F24" s="8">
        <v>6.6280564534636844E-3</v>
      </c>
      <c r="G24" s="15">
        <v>0</v>
      </c>
      <c r="H24" s="15">
        <v>-201219213</v>
      </c>
      <c r="I24" s="15">
        <v>945453152</v>
      </c>
      <c r="J24" s="15">
        <v>744233939</v>
      </c>
      <c r="K24" s="8">
        <v>-1.3386464574615373E-2</v>
      </c>
    </row>
    <row r="25" spans="1:11" x14ac:dyDescent="0.25">
      <c r="A25" s="7" t="s">
        <v>158</v>
      </c>
      <c r="B25" s="15">
        <v>0</v>
      </c>
      <c r="C25" s="15">
        <v>-1128806352</v>
      </c>
      <c r="D25" s="15">
        <v>0</v>
      </c>
      <c r="E25" s="15">
        <v>-1128806352</v>
      </c>
      <c r="F25" s="8">
        <v>-1.5259452603320426E-2</v>
      </c>
      <c r="G25" s="15">
        <v>0</v>
      </c>
      <c r="H25" s="15">
        <v>-8749752120</v>
      </c>
      <c r="I25" s="15">
        <v>716160076</v>
      </c>
      <c r="J25" s="15">
        <v>-8033592044</v>
      </c>
      <c r="K25" s="8">
        <v>0.14449945060073094</v>
      </c>
    </row>
    <row r="26" spans="1:11" x14ac:dyDescent="0.25">
      <c r="A26" s="7" t="s">
        <v>157</v>
      </c>
      <c r="B26" s="15">
        <v>0</v>
      </c>
      <c r="C26" s="15">
        <v>-1942368525</v>
      </c>
      <c r="D26" s="15">
        <v>0</v>
      </c>
      <c r="E26" s="15">
        <v>-1942368525</v>
      </c>
      <c r="F26" s="8">
        <v>-2.6257365041314814E-2</v>
      </c>
      <c r="G26" s="15">
        <v>4785000000</v>
      </c>
      <c r="H26" s="15">
        <v>-9182367353</v>
      </c>
      <c r="I26" s="15">
        <v>155272540</v>
      </c>
      <c r="J26" s="15">
        <v>-4242094813</v>
      </c>
      <c r="K26" s="8">
        <v>7.6302153073919576E-2</v>
      </c>
    </row>
    <row r="27" spans="1:11" x14ac:dyDescent="0.25">
      <c r="A27" s="7" t="s">
        <v>156</v>
      </c>
      <c r="B27" s="15">
        <v>0</v>
      </c>
      <c r="C27" s="15">
        <v>2953066689</v>
      </c>
      <c r="D27" s="15">
        <v>0</v>
      </c>
      <c r="E27" s="15">
        <v>2953066689</v>
      </c>
      <c r="F27" s="8">
        <v>3.9920205175493093E-2</v>
      </c>
      <c r="G27" s="15">
        <v>0</v>
      </c>
      <c r="H27" s="15">
        <v>-2452704366</v>
      </c>
      <c r="I27" s="15">
        <v>0</v>
      </c>
      <c r="J27" s="15">
        <v>-2452704366</v>
      </c>
      <c r="K27" s="8">
        <v>4.4116558499844839E-2</v>
      </c>
    </row>
    <row r="28" spans="1:11" x14ac:dyDescent="0.25">
      <c r="A28" s="7" t="s">
        <v>87</v>
      </c>
      <c r="B28" s="15">
        <v>0</v>
      </c>
      <c r="C28" s="15">
        <v>1181953377</v>
      </c>
      <c r="D28" s="15">
        <v>0</v>
      </c>
      <c r="E28" s="15">
        <v>1181953377</v>
      </c>
      <c r="F28" s="8">
        <v>1.5977905779596482E-2</v>
      </c>
      <c r="G28" s="15">
        <v>0</v>
      </c>
      <c r="H28" s="15">
        <v>-280476328</v>
      </c>
      <c r="I28" s="15">
        <v>1827353285</v>
      </c>
      <c r="J28" s="15">
        <v>1546876957</v>
      </c>
      <c r="K28" s="8">
        <v>-2.7823527658511319E-2</v>
      </c>
    </row>
    <row r="29" spans="1:11" x14ac:dyDescent="0.25">
      <c r="A29" s="7" t="s">
        <v>89</v>
      </c>
      <c r="B29" s="15">
        <v>0</v>
      </c>
      <c r="C29" s="15">
        <v>753694803</v>
      </c>
      <c r="D29" s="15">
        <v>0</v>
      </c>
      <c r="E29" s="15">
        <v>753694803</v>
      </c>
      <c r="F29" s="8">
        <v>1.0188612159534894E-2</v>
      </c>
      <c r="G29" s="15">
        <v>0</v>
      </c>
      <c r="H29" s="15">
        <v>1081769033</v>
      </c>
      <c r="I29" s="15">
        <v>913456459</v>
      </c>
      <c r="J29" s="15">
        <v>1995225492</v>
      </c>
      <c r="K29" s="8">
        <v>-3.5887929812654686E-2</v>
      </c>
    </row>
    <row r="30" spans="1:11" x14ac:dyDescent="0.25">
      <c r="A30" s="7" t="s">
        <v>92</v>
      </c>
      <c r="B30" s="15">
        <v>0</v>
      </c>
      <c r="C30" s="15">
        <v>-4792664100</v>
      </c>
      <c r="D30" s="15">
        <v>0</v>
      </c>
      <c r="E30" s="15">
        <v>-4792664100</v>
      </c>
      <c r="F30" s="8">
        <v>-6.4788287688148427E-2</v>
      </c>
      <c r="G30" s="15">
        <v>0</v>
      </c>
      <c r="H30" s="15">
        <v>-18531634520</v>
      </c>
      <c r="I30" s="15">
        <v>632249560</v>
      </c>
      <c r="J30" s="15">
        <v>-17899384960</v>
      </c>
      <c r="K30" s="8">
        <v>0.3219545227894306</v>
      </c>
    </row>
    <row r="31" spans="1:11" x14ac:dyDescent="0.25">
      <c r="A31" s="7" t="s">
        <v>155</v>
      </c>
      <c r="B31" s="15">
        <v>0</v>
      </c>
      <c r="C31" s="15">
        <v>4180695436</v>
      </c>
      <c r="D31" s="15">
        <v>0</v>
      </c>
      <c r="E31" s="15">
        <v>4180695436</v>
      </c>
      <c r="F31" s="8">
        <v>5.6515560655314268E-2</v>
      </c>
      <c r="G31" s="15">
        <v>0</v>
      </c>
      <c r="H31" s="15">
        <v>477048177</v>
      </c>
      <c r="I31" s="15">
        <v>0</v>
      </c>
      <c r="J31" s="15">
        <v>477048177</v>
      </c>
      <c r="K31" s="8">
        <v>-8.5806198658125755E-3</v>
      </c>
    </row>
    <row r="32" spans="1:11" x14ac:dyDescent="0.25">
      <c r="A32" s="7" t="s">
        <v>88</v>
      </c>
      <c r="B32" s="15">
        <v>0</v>
      </c>
      <c r="C32" s="15">
        <v>-589805288</v>
      </c>
      <c r="D32" s="15">
        <v>0</v>
      </c>
      <c r="E32" s="15">
        <v>-589805288</v>
      </c>
      <c r="F32" s="8">
        <v>-7.9731176401315589E-3</v>
      </c>
      <c r="G32" s="15">
        <v>0</v>
      </c>
      <c r="H32" s="15">
        <v>-3243456058</v>
      </c>
      <c r="I32" s="15">
        <v>189445153</v>
      </c>
      <c r="J32" s="15">
        <v>-3054010905</v>
      </c>
      <c r="K32" s="8">
        <v>5.4932201620909331E-2</v>
      </c>
    </row>
    <row r="33" spans="1:11" x14ac:dyDescent="0.25">
      <c r="A33" s="7" t="s">
        <v>105</v>
      </c>
      <c r="B33" s="15">
        <v>0</v>
      </c>
      <c r="C33" s="15">
        <v>1851178912</v>
      </c>
      <c r="D33" s="15">
        <v>0</v>
      </c>
      <c r="E33" s="15">
        <v>1851178912</v>
      </c>
      <c r="F33" s="8">
        <v>2.5024643791099321E-2</v>
      </c>
      <c r="G33" s="15">
        <v>0</v>
      </c>
      <c r="H33" s="15">
        <v>-1056675972</v>
      </c>
      <c r="I33" s="15">
        <v>0</v>
      </c>
      <c r="J33" s="15">
        <v>-1056675972</v>
      </c>
      <c r="K33" s="8">
        <v>1.9006329495039685E-2</v>
      </c>
    </row>
    <row r="34" spans="1:11" x14ac:dyDescent="0.25">
      <c r="A34" s="7" t="s">
        <v>154</v>
      </c>
      <c r="B34" s="15">
        <v>0</v>
      </c>
      <c r="C34" s="15">
        <v>2617187061</v>
      </c>
      <c r="D34" s="15">
        <v>0</v>
      </c>
      <c r="E34" s="15">
        <v>2617187061</v>
      </c>
      <c r="F34" s="8">
        <v>3.5379710470793829E-2</v>
      </c>
      <c r="G34" s="15">
        <v>0</v>
      </c>
      <c r="H34" s="15">
        <v>418001239</v>
      </c>
      <c r="I34" s="15">
        <v>483371600</v>
      </c>
      <c r="J34" s="15">
        <v>901372839</v>
      </c>
      <c r="K34" s="8">
        <v>-1.621290691742289E-2</v>
      </c>
    </row>
    <row r="35" spans="1:11" x14ac:dyDescent="0.25">
      <c r="A35" s="7" t="s">
        <v>74</v>
      </c>
      <c r="B35" s="15">
        <v>0</v>
      </c>
      <c r="C35" s="15">
        <v>-407822970</v>
      </c>
      <c r="D35" s="15">
        <v>0</v>
      </c>
      <c r="E35" s="15">
        <v>-407822970</v>
      </c>
      <c r="F35" s="8">
        <v>-5.5130406293641835E-3</v>
      </c>
      <c r="G35" s="15">
        <v>0</v>
      </c>
      <c r="H35" s="15">
        <v>-3027415770</v>
      </c>
      <c r="I35" s="15">
        <v>0</v>
      </c>
      <c r="J35" s="15">
        <v>-3027415770</v>
      </c>
      <c r="K35" s="8">
        <v>5.4453837475069676E-2</v>
      </c>
    </row>
    <row r="36" spans="1:11" x14ac:dyDescent="0.25">
      <c r="A36" s="7" t="s">
        <v>98</v>
      </c>
      <c r="B36" s="15">
        <v>0</v>
      </c>
      <c r="C36" s="15">
        <v>4108135776</v>
      </c>
      <c r="D36" s="15">
        <v>-15608</v>
      </c>
      <c r="E36" s="15">
        <v>4108120168</v>
      </c>
      <c r="F36" s="8">
        <v>5.5534472215957857E-2</v>
      </c>
      <c r="G36" s="15">
        <v>0</v>
      </c>
      <c r="H36" s="15">
        <v>-2759384280</v>
      </c>
      <c r="I36" s="15">
        <v>-28501367</v>
      </c>
      <c r="J36" s="15">
        <v>-2787885647</v>
      </c>
      <c r="K36" s="8">
        <v>5.0145432095974538E-2</v>
      </c>
    </row>
    <row r="37" spans="1:11" x14ac:dyDescent="0.25">
      <c r="A37" s="7" t="s">
        <v>71</v>
      </c>
      <c r="B37" s="15">
        <v>0</v>
      </c>
      <c r="C37" s="15">
        <v>6656509795</v>
      </c>
      <c r="D37" s="15">
        <v>0</v>
      </c>
      <c r="E37" s="15">
        <v>6656509795</v>
      </c>
      <c r="F37" s="8">
        <v>8.9984163838529377E-2</v>
      </c>
      <c r="G37" s="15">
        <v>3237500000</v>
      </c>
      <c r="H37" s="15">
        <v>3006444600</v>
      </c>
      <c r="I37" s="15">
        <v>0</v>
      </c>
      <c r="J37" s="15">
        <v>6243944600</v>
      </c>
      <c r="K37" s="8">
        <v>-0.11230923344623357</v>
      </c>
    </row>
    <row r="38" spans="1:11" x14ac:dyDescent="0.25">
      <c r="A38" s="7" t="s">
        <v>153</v>
      </c>
      <c r="B38" s="15">
        <v>0</v>
      </c>
      <c r="C38" s="15">
        <v>892447638</v>
      </c>
      <c r="D38" s="15">
        <v>0</v>
      </c>
      <c r="E38" s="15">
        <v>892447638</v>
      </c>
      <c r="F38" s="8">
        <v>1.2064303508637826E-2</v>
      </c>
      <c r="G38" s="15">
        <v>0</v>
      </c>
      <c r="H38" s="15">
        <v>-3012531720</v>
      </c>
      <c r="I38" s="15">
        <v>156233000</v>
      </c>
      <c r="J38" s="15">
        <v>-2856298720</v>
      </c>
      <c r="K38" s="8">
        <v>5.1375971487104183E-2</v>
      </c>
    </row>
    <row r="39" spans="1:11" x14ac:dyDescent="0.25">
      <c r="A39" s="7" t="s">
        <v>152</v>
      </c>
      <c r="B39" s="15">
        <v>0</v>
      </c>
      <c r="C39" s="15">
        <v>-3017609369</v>
      </c>
      <c r="D39" s="15">
        <v>0</v>
      </c>
      <c r="E39" s="15">
        <v>-3017609369</v>
      </c>
      <c r="F39" s="8">
        <v>-4.079270732309908E-2</v>
      </c>
      <c r="G39" s="15">
        <v>0</v>
      </c>
      <c r="H39" s="15">
        <v>1286170283</v>
      </c>
      <c r="I39" s="15">
        <v>0</v>
      </c>
      <c r="J39" s="15">
        <v>1286170283</v>
      </c>
      <c r="K39" s="8">
        <v>-2.313422168496743E-2</v>
      </c>
    </row>
    <row r="40" spans="1:11" x14ac:dyDescent="0.25">
      <c r="A40" s="7" t="s">
        <v>151</v>
      </c>
      <c r="B40" s="15">
        <v>0</v>
      </c>
      <c r="C40" s="15">
        <v>5345532137</v>
      </c>
      <c r="D40" s="15">
        <v>0</v>
      </c>
      <c r="E40" s="15">
        <v>5345532137</v>
      </c>
      <c r="F40" s="8">
        <v>7.2262079443080288E-2</v>
      </c>
      <c r="G40" s="15">
        <v>0</v>
      </c>
      <c r="H40" s="15">
        <v>1935763556</v>
      </c>
      <c r="I40" s="15">
        <v>201541358</v>
      </c>
      <c r="J40" s="15">
        <v>2137304914</v>
      </c>
      <c r="K40" s="8">
        <v>-3.8443498767142835E-2</v>
      </c>
    </row>
    <row r="41" spans="1:11" x14ac:dyDescent="0.25">
      <c r="A41" s="7" t="s">
        <v>86</v>
      </c>
      <c r="B41" s="15">
        <v>0</v>
      </c>
      <c r="C41" s="15">
        <v>1701544596</v>
      </c>
      <c r="D41" s="15">
        <v>0</v>
      </c>
      <c r="E41" s="15">
        <v>1701544596</v>
      </c>
      <c r="F41" s="8">
        <v>2.3001854187916549E-2</v>
      </c>
      <c r="G41" s="15">
        <v>0</v>
      </c>
      <c r="H41" s="15">
        <v>-1198698129</v>
      </c>
      <c r="I41" s="15">
        <v>10229398</v>
      </c>
      <c r="J41" s="15">
        <v>-1188468731</v>
      </c>
      <c r="K41" s="8">
        <v>2.1376873227451115E-2</v>
      </c>
    </row>
    <row r="42" spans="1:11" x14ac:dyDescent="0.25">
      <c r="A42" s="7" t="s">
        <v>75</v>
      </c>
      <c r="B42" s="15">
        <v>0</v>
      </c>
      <c r="C42" s="15">
        <v>-1018069020</v>
      </c>
      <c r="D42" s="15">
        <v>0</v>
      </c>
      <c r="E42" s="15">
        <v>-1018069020</v>
      </c>
      <c r="F42" s="8">
        <v>-1.3762480987171904E-2</v>
      </c>
      <c r="G42" s="15">
        <v>0</v>
      </c>
      <c r="H42" s="15">
        <v>-6635309489</v>
      </c>
      <c r="I42" s="15">
        <v>61597329</v>
      </c>
      <c r="J42" s="15">
        <v>-6573712160</v>
      </c>
      <c r="K42" s="8">
        <v>0.11824073096128757</v>
      </c>
    </row>
    <row r="43" spans="1:11" x14ac:dyDescent="0.25">
      <c r="A43" s="7" t="s">
        <v>96</v>
      </c>
      <c r="B43" s="15">
        <v>0</v>
      </c>
      <c r="C43" s="15">
        <v>3754302641</v>
      </c>
      <c r="D43" s="15">
        <v>0</v>
      </c>
      <c r="E43" s="15">
        <v>3754302641</v>
      </c>
      <c r="F43" s="8">
        <v>5.0751489046245372E-2</v>
      </c>
      <c r="G43" s="15">
        <v>0</v>
      </c>
      <c r="H43" s="15">
        <v>541610734</v>
      </c>
      <c r="I43" s="15">
        <v>0</v>
      </c>
      <c r="J43" s="15">
        <v>541610734</v>
      </c>
      <c r="K43" s="8">
        <v>-9.741900394470494E-3</v>
      </c>
    </row>
    <row r="44" spans="1:11" x14ac:dyDescent="0.25">
      <c r="A44" s="7" t="s">
        <v>150</v>
      </c>
      <c r="B44" s="15">
        <v>0</v>
      </c>
      <c r="C44" s="15">
        <v>0</v>
      </c>
      <c r="D44" s="15">
        <v>0</v>
      </c>
      <c r="E44" s="15">
        <v>0</v>
      </c>
      <c r="F44" s="8">
        <v>0</v>
      </c>
      <c r="G44" s="15">
        <v>0</v>
      </c>
      <c r="H44" s="15">
        <v>0</v>
      </c>
      <c r="I44" s="15">
        <v>-1420212200</v>
      </c>
      <c r="J44" s="15">
        <v>-1420212200</v>
      </c>
      <c r="K44" s="8">
        <v>2.5545220806890079E-2</v>
      </c>
    </row>
    <row r="45" spans="1:11" x14ac:dyDescent="0.25">
      <c r="A45" s="7" t="s">
        <v>149</v>
      </c>
      <c r="B45" s="15">
        <v>0</v>
      </c>
      <c r="C45" s="15">
        <v>0</v>
      </c>
      <c r="D45" s="15">
        <v>0</v>
      </c>
      <c r="E45" s="15">
        <v>0</v>
      </c>
      <c r="F45" s="8">
        <v>0</v>
      </c>
      <c r="G45" s="15">
        <v>0</v>
      </c>
      <c r="H45" s="15">
        <v>0</v>
      </c>
      <c r="I45" s="15">
        <v>642006420</v>
      </c>
      <c r="J45" s="15">
        <v>642006420</v>
      </c>
      <c r="K45" s="8">
        <v>-1.1547707982188163E-2</v>
      </c>
    </row>
    <row r="46" spans="1:11" x14ac:dyDescent="0.25">
      <c r="A46" s="7" t="s">
        <v>148</v>
      </c>
      <c r="B46" s="15">
        <v>0</v>
      </c>
      <c r="C46" s="15">
        <v>0</v>
      </c>
      <c r="D46" s="15">
        <v>0</v>
      </c>
      <c r="E46" s="15">
        <v>0</v>
      </c>
      <c r="F46" s="8">
        <v>0</v>
      </c>
      <c r="G46" s="15">
        <v>0</v>
      </c>
      <c r="H46" s="15">
        <v>0</v>
      </c>
      <c r="I46" s="15">
        <v>-553054609</v>
      </c>
      <c r="J46" s="15">
        <v>-553054609</v>
      </c>
      <c r="K46" s="8">
        <v>9.947740277948083E-3</v>
      </c>
    </row>
    <row r="47" spans="1:11" x14ac:dyDescent="0.25">
      <c r="A47" s="7" t="s">
        <v>147</v>
      </c>
      <c r="B47" s="15">
        <v>0</v>
      </c>
      <c r="C47" s="15">
        <v>0</v>
      </c>
      <c r="D47" s="15">
        <v>0</v>
      </c>
      <c r="E47" s="15">
        <v>0</v>
      </c>
      <c r="F47" s="8">
        <v>0</v>
      </c>
      <c r="G47" s="15">
        <v>0</v>
      </c>
      <c r="H47" s="15">
        <v>0</v>
      </c>
      <c r="I47" s="15">
        <v>-53544440</v>
      </c>
      <c r="J47" s="15">
        <v>-53544440</v>
      </c>
      <c r="K47" s="8">
        <v>9.6309871354525577E-4</v>
      </c>
    </row>
    <row r="48" spans="1:11" x14ac:dyDescent="0.25">
      <c r="A48" s="7" t="s">
        <v>146</v>
      </c>
      <c r="B48" s="15">
        <v>0</v>
      </c>
      <c r="C48" s="15">
        <v>0</v>
      </c>
      <c r="D48" s="15">
        <v>0</v>
      </c>
      <c r="E48" s="15">
        <v>0</v>
      </c>
      <c r="F48" s="8">
        <v>0</v>
      </c>
      <c r="G48" s="15">
        <v>0</v>
      </c>
      <c r="H48" s="15">
        <v>0</v>
      </c>
      <c r="I48" s="15">
        <v>179495223</v>
      </c>
      <c r="J48" s="15">
        <v>179495223</v>
      </c>
      <c r="K48" s="8">
        <v>-3.2285633832162368E-3</v>
      </c>
    </row>
    <row r="49" spans="1:11" x14ac:dyDescent="0.25">
      <c r="A49" s="7" t="s">
        <v>145</v>
      </c>
      <c r="B49" s="15">
        <v>0</v>
      </c>
      <c r="C49" s="15">
        <v>0</v>
      </c>
      <c r="D49" s="15">
        <v>0</v>
      </c>
      <c r="E49" s="15">
        <v>0</v>
      </c>
      <c r="F49" s="8">
        <v>0</v>
      </c>
      <c r="G49" s="15">
        <v>0</v>
      </c>
      <c r="H49" s="15">
        <v>0</v>
      </c>
      <c r="I49" s="15">
        <v>-1579799394</v>
      </c>
      <c r="J49" s="15">
        <v>-1579799394</v>
      </c>
      <c r="K49" s="8">
        <v>2.8415700379366648E-2</v>
      </c>
    </row>
    <row r="50" spans="1:11" x14ac:dyDescent="0.25">
      <c r="A50" s="7" t="s">
        <v>144</v>
      </c>
      <c r="B50" s="15">
        <v>0</v>
      </c>
      <c r="C50" s="15">
        <v>0</v>
      </c>
      <c r="D50" s="15">
        <v>0</v>
      </c>
      <c r="E50" s="15">
        <v>0</v>
      </c>
      <c r="F50" s="8">
        <v>0</v>
      </c>
      <c r="G50" s="15">
        <v>0</v>
      </c>
      <c r="H50" s="15">
        <v>0</v>
      </c>
      <c r="I50" s="15">
        <v>-277571830</v>
      </c>
      <c r="J50" s="15">
        <v>-277571830</v>
      </c>
      <c r="K50" s="8">
        <v>4.9926579190930458E-3</v>
      </c>
    </row>
    <row r="51" spans="1:11" x14ac:dyDescent="0.25">
      <c r="A51" s="7" t="s">
        <v>78</v>
      </c>
      <c r="B51" s="15">
        <v>0</v>
      </c>
      <c r="C51" s="15">
        <v>0</v>
      </c>
      <c r="D51" s="15">
        <v>0</v>
      </c>
      <c r="E51" s="15">
        <v>0</v>
      </c>
      <c r="F51" s="8">
        <v>0</v>
      </c>
      <c r="G51" s="15">
        <v>0</v>
      </c>
      <c r="H51" s="15">
        <v>3978774</v>
      </c>
      <c r="I51" s="15">
        <v>2015118858</v>
      </c>
      <c r="J51" s="15">
        <v>2019097632</v>
      </c>
      <c r="K51" s="8">
        <v>-3.6317315708250419E-2</v>
      </c>
    </row>
    <row r="52" spans="1:11" x14ac:dyDescent="0.25">
      <c r="A52" s="7" t="s">
        <v>143</v>
      </c>
      <c r="B52" s="15">
        <v>0</v>
      </c>
      <c r="C52" s="15">
        <v>0</v>
      </c>
      <c r="D52" s="15">
        <v>0</v>
      </c>
      <c r="E52" s="15">
        <v>0</v>
      </c>
      <c r="F52" s="8">
        <v>0</v>
      </c>
      <c r="G52" s="15">
        <v>0</v>
      </c>
      <c r="H52" s="15">
        <v>0</v>
      </c>
      <c r="I52" s="15">
        <v>-343528390</v>
      </c>
      <c r="J52" s="15">
        <v>-343528390</v>
      </c>
      <c r="K52" s="8">
        <v>6.1790122461878932E-3</v>
      </c>
    </row>
    <row r="53" spans="1:11" x14ac:dyDescent="0.25">
      <c r="A53" s="7" t="s">
        <v>142</v>
      </c>
      <c r="B53" s="15">
        <v>0</v>
      </c>
      <c r="C53" s="15">
        <v>0</v>
      </c>
      <c r="D53" s="15">
        <v>0</v>
      </c>
      <c r="E53" s="15">
        <v>0</v>
      </c>
      <c r="F53" s="8">
        <v>0</v>
      </c>
      <c r="G53" s="15">
        <v>0</v>
      </c>
      <c r="H53" s="15">
        <v>0</v>
      </c>
      <c r="I53" s="15">
        <v>-1025979107</v>
      </c>
      <c r="J53" s="15">
        <v>-1025979107</v>
      </c>
      <c r="K53" s="8">
        <v>1.8454187924572752E-2</v>
      </c>
    </row>
    <row r="54" spans="1:11" x14ac:dyDescent="0.25">
      <c r="A54" s="7" t="s">
        <v>141</v>
      </c>
      <c r="B54" s="15">
        <v>0</v>
      </c>
      <c r="C54" s="15">
        <v>0</v>
      </c>
      <c r="D54" s="15">
        <v>0</v>
      </c>
      <c r="E54" s="15">
        <v>0</v>
      </c>
      <c r="F54" s="8">
        <v>0</v>
      </c>
      <c r="G54" s="15">
        <v>0</v>
      </c>
      <c r="H54" s="15">
        <v>0</v>
      </c>
      <c r="I54" s="15">
        <v>2957489400</v>
      </c>
      <c r="J54" s="15">
        <v>2957489400</v>
      </c>
      <c r="K54" s="8">
        <v>-5.319607855575164E-2</v>
      </c>
    </row>
    <row r="55" spans="1:11" ht="18" thickBot="1" x14ac:dyDescent="0.3">
      <c r="A55" s="7" t="s">
        <v>2</v>
      </c>
      <c r="B55" s="9">
        <f t="shared" ref="B55:K55" si="0">SUM(B11:B54)</f>
        <v>0</v>
      </c>
      <c r="C55" s="9">
        <f t="shared" si="0"/>
        <v>71735055384</v>
      </c>
      <c r="D55" s="9">
        <f t="shared" si="0"/>
        <v>-715223</v>
      </c>
      <c r="E55" s="9">
        <f t="shared" si="0"/>
        <v>71734340161</v>
      </c>
      <c r="F55" s="10">
        <f t="shared" si="0"/>
        <v>0.96972059182498682</v>
      </c>
      <c r="G55" s="9">
        <f t="shared" si="0"/>
        <v>12971000000</v>
      </c>
      <c r="H55" s="9">
        <f t="shared" si="0"/>
        <v>-97032328952</v>
      </c>
      <c r="I55" s="9">
        <f t="shared" si="0"/>
        <v>5828615358</v>
      </c>
      <c r="J55" s="9">
        <f t="shared" si="0"/>
        <v>-78232713594</v>
      </c>
      <c r="K55" s="10">
        <f t="shared" si="0"/>
        <v>1.4071643259232114</v>
      </c>
    </row>
    <row r="56" spans="1:11" ht="18" thickTop="1" x14ac:dyDescent="0.25"/>
    <row r="57" spans="1:11" x14ac:dyDescent="0.15">
      <c r="C57" s="43"/>
    </row>
    <row r="58" spans="1:11" x14ac:dyDescent="0.15">
      <c r="C58" s="43"/>
      <c r="H58" s="43"/>
      <c r="I58" s="44"/>
    </row>
    <row r="59" spans="1:11" x14ac:dyDescent="0.15">
      <c r="C59" s="43"/>
      <c r="H59" s="43"/>
      <c r="I59" s="43"/>
    </row>
    <row r="60" spans="1:11" x14ac:dyDescent="0.15">
      <c r="C60" s="44"/>
      <c r="H60" s="43"/>
      <c r="I60" s="43"/>
    </row>
    <row r="61" spans="1:11" x14ac:dyDescent="0.15">
      <c r="H61" s="44"/>
      <c r="I61" s="43"/>
    </row>
    <row r="62" spans="1:11" x14ac:dyDescent="0.25">
      <c r="I62" s="44"/>
    </row>
  </sheetData>
  <mergeCells count="15">
    <mergeCell ref="A1:K1"/>
    <mergeCell ref="A2:K2"/>
    <mergeCell ref="A3:K3"/>
    <mergeCell ref="I8:I10"/>
    <mergeCell ref="E8:F9"/>
    <mergeCell ref="J8:K9"/>
    <mergeCell ref="A5:K5"/>
    <mergeCell ref="B8:B10"/>
    <mergeCell ref="C8:C10"/>
    <mergeCell ref="D8:D10"/>
    <mergeCell ref="G8:G10"/>
    <mergeCell ref="H8:H10"/>
    <mergeCell ref="G7:K7"/>
    <mergeCell ref="B7:F7"/>
    <mergeCell ref="A8:A10"/>
  </mergeCells>
  <pageMargins left="0.7" right="0.7" top="0.75" bottom="0.75" header="0.3" footer="0.3"/>
  <pageSetup scale="10" orientation="portrait" horizontalDpi="4294967295" verticalDpi="4294967295" r:id="rId1"/>
  <rowBreaks count="1" manualBreakCount="1">
    <brk id="56" max="10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FE031-2169-44AC-ABC0-D4DDA5234851}">
  <dimension ref="A1:F12"/>
  <sheetViews>
    <sheetView rightToLeft="1" view="pageBreakPreview" zoomScaleNormal="100" zoomScaleSheetLayoutView="100" workbookViewId="0">
      <selection activeCell="B14" sqref="B14"/>
    </sheetView>
  </sheetViews>
  <sheetFormatPr defaultColWidth="9.140625" defaultRowHeight="17.25" x14ac:dyDescent="0.25"/>
  <cols>
    <col min="1" max="1" width="23.7109375" style="13" customWidth="1"/>
    <col min="2" max="2" width="29.42578125" style="13" customWidth="1"/>
    <col min="3" max="3" width="12.5703125" style="13" customWidth="1"/>
    <col min="4" max="4" width="28.7109375" style="13" customWidth="1"/>
    <col min="5" max="5" width="13.140625" style="13" customWidth="1"/>
    <col min="6" max="16384" width="9.140625" style="13"/>
  </cols>
  <sheetData>
    <row r="1" spans="1:6" ht="21" x14ac:dyDescent="0.25">
      <c r="A1" s="59" t="s">
        <v>111</v>
      </c>
      <c r="B1" s="59"/>
      <c r="C1" s="59"/>
      <c r="D1" s="59"/>
      <c r="E1" s="59"/>
    </row>
    <row r="2" spans="1:6" ht="21" x14ac:dyDescent="0.25">
      <c r="A2" s="59" t="s">
        <v>35</v>
      </c>
      <c r="B2" s="59"/>
      <c r="C2" s="59"/>
      <c r="D2" s="59"/>
      <c r="E2" s="59"/>
    </row>
    <row r="3" spans="1:6" ht="21" x14ac:dyDescent="0.25">
      <c r="A3" s="59" t="s">
        <v>44</v>
      </c>
      <c r="B3" s="59"/>
      <c r="C3" s="59"/>
      <c r="D3" s="59"/>
      <c r="E3" s="59"/>
    </row>
    <row r="4" spans="1:6" ht="21" x14ac:dyDescent="0.25">
      <c r="A4" s="3"/>
      <c r="B4" s="3"/>
      <c r="C4" s="3"/>
      <c r="D4" s="3"/>
      <c r="E4" s="3"/>
    </row>
    <row r="5" spans="1:6" ht="21" x14ac:dyDescent="0.25">
      <c r="A5" s="60" t="s">
        <v>64</v>
      </c>
      <c r="B5" s="60"/>
      <c r="C5" s="60"/>
      <c r="D5" s="60"/>
      <c r="E5" s="60"/>
    </row>
    <row r="6" spans="1:6" x14ac:dyDescent="0.25">
      <c r="A6" s="18"/>
      <c r="B6" s="18"/>
      <c r="C6" s="18"/>
      <c r="D6" s="18"/>
      <c r="E6" s="18"/>
    </row>
    <row r="7" spans="1:6" ht="18" thickBot="1" x14ac:dyDescent="0.3">
      <c r="A7" s="24"/>
      <c r="B7" s="80" t="s">
        <v>63</v>
      </c>
      <c r="C7" s="80"/>
      <c r="D7" s="78" t="s">
        <v>36</v>
      </c>
      <c r="E7" s="78"/>
      <c r="F7" s="22"/>
    </row>
    <row r="8" spans="1:6" ht="59.25" customHeight="1" thickBot="1" x14ac:dyDescent="0.3">
      <c r="A8" s="4" t="s">
        <v>62</v>
      </c>
      <c r="B8" s="4" t="s">
        <v>9</v>
      </c>
      <c r="C8" s="4" t="s">
        <v>65</v>
      </c>
      <c r="D8" s="4" t="s">
        <v>9</v>
      </c>
      <c r="E8" s="4" t="s">
        <v>65</v>
      </c>
      <c r="F8" s="23"/>
    </row>
    <row r="9" spans="1:6" x14ac:dyDescent="0.25">
      <c r="A9" s="7" t="s">
        <v>47</v>
      </c>
      <c r="B9" s="15">
        <v>2988959679</v>
      </c>
      <c r="C9" s="8">
        <f>B9/B11</f>
        <v>0.98559461689751504</v>
      </c>
      <c r="D9" s="15">
        <v>8577926107</v>
      </c>
      <c r="E9" s="8">
        <f>D9/D11</f>
        <v>0.99146369371642051</v>
      </c>
    </row>
    <row r="10" spans="1:6" x14ac:dyDescent="0.25">
      <c r="A10" s="7" t="s">
        <v>48</v>
      </c>
      <c r="B10" s="15">
        <v>43686429</v>
      </c>
      <c r="C10" s="8">
        <f>B10/B11</f>
        <v>1.4405383102484967E-2</v>
      </c>
      <c r="D10" s="15">
        <v>73854247</v>
      </c>
      <c r="E10" s="8">
        <f>D10/D11</f>
        <v>8.5363062835795145E-3</v>
      </c>
    </row>
    <row r="11" spans="1:6" ht="18" thickBot="1" x14ac:dyDescent="0.3">
      <c r="A11" s="7" t="s">
        <v>2</v>
      </c>
      <c r="B11" s="9">
        <f>SUM(B9:B10)</f>
        <v>3032646108</v>
      </c>
      <c r="C11" s="10">
        <f>SUM(C9:C10)</f>
        <v>1</v>
      </c>
      <c r="D11" s="9">
        <f>SUM(D9:D10)</f>
        <v>8651780354</v>
      </c>
      <c r="E11" s="10">
        <f>SUM(E9:E10)</f>
        <v>1</v>
      </c>
    </row>
    <row r="12" spans="1:6" ht="18" thickTop="1" x14ac:dyDescent="0.25"/>
  </sheetData>
  <mergeCells count="6">
    <mergeCell ref="B7:C7"/>
    <mergeCell ref="A5:E5"/>
    <mergeCell ref="D7:E7"/>
    <mergeCell ref="A1:E1"/>
    <mergeCell ref="A2:E2"/>
    <mergeCell ref="A3:E3"/>
  </mergeCells>
  <pageMargins left="0.7" right="0.7" top="0.75" bottom="0.75" header="0.3" footer="0.3"/>
  <pageSetup scale="7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F7AD1-F85B-4F31-A727-5A0F38AF9995}">
  <dimension ref="A1:I52"/>
  <sheetViews>
    <sheetView rightToLeft="1" view="pageBreakPreview" topLeftCell="A34" zoomScale="60" zoomScaleNormal="70" workbookViewId="0">
      <selection activeCell="A42" sqref="A42"/>
    </sheetView>
  </sheetViews>
  <sheetFormatPr defaultColWidth="8.85546875" defaultRowHeight="19.5" x14ac:dyDescent="0.25"/>
  <cols>
    <col min="1" max="1" width="34.5703125" style="20" customWidth="1"/>
    <col min="2" max="2" width="22" style="20" customWidth="1"/>
    <col min="3" max="4" width="20.85546875" style="20" customWidth="1"/>
    <col min="5" max="5" width="11.140625" style="20" customWidth="1"/>
    <col min="6" max="6" width="20.42578125" style="20" customWidth="1"/>
    <col min="7" max="7" width="22.28515625" style="20" customWidth="1"/>
    <col min="8" max="8" width="18.85546875" style="20" customWidth="1"/>
    <col min="9" max="9" width="10.42578125" style="20" customWidth="1"/>
    <col min="10" max="16384" width="8.85546875" style="20"/>
  </cols>
  <sheetData>
    <row r="1" spans="1:9" ht="21" x14ac:dyDescent="0.25">
      <c r="A1" s="59" t="s">
        <v>111</v>
      </c>
      <c r="B1" s="59"/>
      <c r="C1" s="59"/>
      <c r="D1" s="59"/>
      <c r="E1" s="59"/>
      <c r="F1" s="59"/>
      <c r="G1" s="59"/>
      <c r="H1" s="59"/>
      <c r="I1" s="59"/>
    </row>
    <row r="2" spans="1:9" ht="21" x14ac:dyDescent="0.25">
      <c r="A2" s="59" t="s">
        <v>227</v>
      </c>
      <c r="B2" s="59"/>
      <c r="C2" s="59"/>
      <c r="D2" s="59"/>
      <c r="E2" s="59"/>
      <c r="F2" s="59"/>
      <c r="G2" s="59"/>
      <c r="H2" s="59"/>
      <c r="I2" s="59"/>
    </row>
    <row r="3" spans="1:9" ht="21" x14ac:dyDescent="0.25">
      <c r="A3" s="59" t="s">
        <v>44</v>
      </c>
      <c r="B3" s="59"/>
      <c r="C3" s="59"/>
      <c r="D3" s="59"/>
      <c r="E3" s="59"/>
      <c r="F3" s="59"/>
      <c r="G3" s="59"/>
      <c r="H3" s="59"/>
      <c r="I3" s="59"/>
    </row>
    <row r="4" spans="1:9" ht="21" x14ac:dyDescent="0.25">
      <c r="A4" s="3"/>
      <c r="B4" s="3"/>
      <c r="C4" s="3"/>
      <c r="D4" s="3"/>
      <c r="E4" s="3"/>
      <c r="F4" s="3"/>
      <c r="G4" s="3"/>
    </row>
    <row r="5" spans="1:9" ht="21" x14ac:dyDescent="0.25">
      <c r="A5" s="60" t="s">
        <v>226</v>
      </c>
      <c r="B5" s="60"/>
      <c r="C5" s="60"/>
      <c r="D5" s="60"/>
      <c r="E5" s="60"/>
      <c r="F5" s="60"/>
      <c r="G5" s="60"/>
    </row>
    <row r="6" spans="1:9" x14ac:dyDescent="0.25">
      <c r="B6" s="46"/>
      <c r="C6" s="46"/>
      <c r="D6" s="46"/>
    </row>
    <row r="7" spans="1:9" ht="20.25" thickBot="1" x14ac:dyDescent="0.3">
      <c r="A7" s="45"/>
      <c r="B7" s="78"/>
      <c r="C7" s="78"/>
      <c r="D7" s="78"/>
      <c r="E7" s="78"/>
      <c r="F7" s="78"/>
      <c r="G7" s="78"/>
      <c r="H7" s="78"/>
      <c r="I7" s="78"/>
    </row>
    <row r="8" spans="1:9" ht="8.4499999999999993" customHeight="1" x14ac:dyDescent="0.25">
      <c r="A8" s="84" t="s">
        <v>208</v>
      </c>
      <c r="B8" s="81" t="s">
        <v>7</v>
      </c>
      <c r="C8" s="81" t="s">
        <v>8</v>
      </c>
      <c r="D8" s="76" t="s">
        <v>2</v>
      </c>
      <c r="E8" s="76"/>
      <c r="F8" s="81" t="s">
        <v>7</v>
      </c>
      <c r="G8" s="81" t="s">
        <v>8</v>
      </c>
      <c r="H8" s="76" t="s">
        <v>2</v>
      </c>
      <c r="I8" s="76"/>
    </row>
    <row r="9" spans="1:9" ht="15.75" customHeight="1" thickBot="1" x14ac:dyDescent="0.3">
      <c r="A9" s="79"/>
      <c r="B9" s="82"/>
      <c r="C9" s="82"/>
      <c r="D9" s="78"/>
      <c r="E9" s="78"/>
      <c r="F9" s="82"/>
      <c r="G9" s="82"/>
      <c r="H9" s="78"/>
      <c r="I9" s="78"/>
    </row>
    <row r="10" spans="1:9" ht="35.25" thickBot="1" x14ac:dyDescent="0.3">
      <c r="A10" s="80"/>
      <c r="B10" s="83"/>
      <c r="C10" s="83" t="s">
        <v>167</v>
      </c>
      <c r="D10" s="19" t="s">
        <v>4</v>
      </c>
      <c r="E10" s="19" t="s">
        <v>166</v>
      </c>
      <c r="F10" s="83"/>
      <c r="G10" s="83" t="s">
        <v>167</v>
      </c>
      <c r="H10" s="19" t="s">
        <v>4</v>
      </c>
      <c r="I10" s="19" t="s">
        <v>166</v>
      </c>
    </row>
    <row r="11" spans="1:9" x14ac:dyDescent="0.25">
      <c r="A11" s="7" t="s">
        <v>120</v>
      </c>
      <c r="B11" s="15">
        <v>-95018937</v>
      </c>
      <c r="C11" s="15">
        <v>-179276523</v>
      </c>
      <c r="D11" s="15">
        <v>-274295460</v>
      </c>
      <c r="E11" s="8">
        <v>-3.7079863731808394E-3</v>
      </c>
      <c r="F11" s="15">
        <v>-49962125</v>
      </c>
      <c r="G11" s="15">
        <v>-117556737</v>
      </c>
      <c r="H11" s="15">
        <v>-167518862</v>
      </c>
      <c r="I11" s="8">
        <v>3.0131457250606266E-3</v>
      </c>
    </row>
    <row r="12" spans="1:9" x14ac:dyDescent="0.25">
      <c r="A12" s="7" t="s">
        <v>207</v>
      </c>
      <c r="B12" s="15">
        <v>26727610</v>
      </c>
      <c r="C12" s="15">
        <v>-659747733</v>
      </c>
      <c r="D12" s="15">
        <v>-633020123</v>
      </c>
      <c r="E12" s="8">
        <v>-8.557305286909447E-3</v>
      </c>
      <c r="F12" s="15">
        <v>20484472</v>
      </c>
      <c r="G12" s="15">
        <v>-659747733</v>
      </c>
      <c r="H12" s="15">
        <v>-639263261</v>
      </c>
      <c r="I12" s="8">
        <v>1.1498367044007652E-2</v>
      </c>
    </row>
    <row r="13" spans="1:9" x14ac:dyDescent="0.25">
      <c r="A13" s="7" t="s">
        <v>206</v>
      </c>
      <c r="B13" s="15">
        <v>9962125</v>
      </c>
      <c r="C13" s="15">
        <v>40000000</v>
      </c>
      <c r="D13" s="15">
        <v>49962125</v>
      </c>
      <c r="E13" s="8">
        <v>6.7539899739921954E-4</v>
      </c>
      <c r="F13" s="15">
        <v>0</v>
      </c>
      <c r="G13" s="15">
        <v>40000000</v>
      </c>
      <c r="H13" s="15">
        <v>40000000</v>
      </c>
      <c r="I13" s="8">
        <v>-7.1947616861452342E-4</v>
      </c>
    </row>
    <row r="14" spans="1:9" x14ac:dyDescent="0.25">
      <c r="A14" s="7" t="s">
        <v>128</v>
      </c>
      <c r="B14" s="15">
        <v>34943188</v>
      </c>
      <c r="C14" s="15">
        <v>40000000</v>
      </c>
      <c r="D14" s="15">
        <v>74943188</v>
      </c>
      <c r="E14" s="8">
        <v>1.0130985028579394E-3</v>
      </c>
      <c r="F14" s="15">
        <v>0</v>
      </c>
      <c r="G14" s="15">
        <v>40000000</v>
      </c>
      <c r="H14" s="15">
        <v>40000000</v>
      </c>
      <c r="I14" s="8">
        <v>-7.1947616861452342E-4</v>
      </c>
    </row>
    <row r="15" spans="1:9" x14ac:dyDescent="0.25">
      <c r="A15" s="7" t="s">
        <v>205</v>
      </c>
      <c r="B15" s="15">
        <v>-90163028</v>
      </c>
      <c r="C15" s="15">
        <v>0</v>
      </c>
      <c r="D15" s="15">
        <v>-90163028</v>
      </c>
      <c r="E15" s="8">
        <v>-1.2188436483371707E-3</v>
      </c>
      <c r="F15" s="15">
        <v>-90163028</v>
      </c>
      <c r="G15" s="15">
        <v>0</v>
      </c>
      <c r="H15" s="15">
        <v>-90163028</v>
      </c>
      <c r="I15" s="8">
        <v>1.6217537484030998E-3</v>
      </c>
    </row>
    <row r="16" spans="1:9" x14ac:dyDescent="0.25">
      <c r="A16" s="7" t="s">
        <v>204</v>
      </c>
      <c r="B16" s="15">
        <v>79823284</v>
      </c>
      <c r="C16" s="15">
        <v>0</v>
      </c>
      <c r="D16" s="15">
        <v>79823284</v>
      </c>
      <c r="E16" s="8">
        <v>1.0790687142052738E-3</v>
      </c>
      <c r="F16" s="15">
        <v>79823284</v>
      </c>
      <c r="G16" s="15">
        <v>0</v>
      </c>
      <c r="H16" s="15">
        <v>79823284</v>
      </c>
      <c r="I16" s="8">
        <v>-1.4357737634637247E-3</v>
      </c>
    </row>
    <row r="17" spans="1:9" x14ac:dyDescent="0.25">
      <c r="A17" s="7" t="s">
        <v>203</v>
      </c>
      <c r="B17" s="15">
        <v>0</v>
      </c>
      <c r="C17" s="15">
        <v>0</v>
      </c>
      <c r="D17" s="15">
        <v>0</v>
      </c>
      <c r="E17" s="8">
        <v>0</v>
      </c>
      <c r="F17" s="15">
        <v>363724270</v>
      </c>
      <c r="G17" s="15">
        <v>2675971415</v>
      </c>
      <c r="H17" s="15">
        <v>3039695685</v>
      </c>
      <c r="I17" s="8">
        <v>-5.4674715129947475E-2</v>
      </c>
    </row>
    <row r="18" spans="1:9" x14ac:dyDescent="0.25">
      <c r="A18" s="7" t="s">
        <v>202</v>
      </c>
      <c r="B18" s="15">
        <v>0</v>
      </c>
      <c r="C18" s="15">
        <v>0</v>
      </c>
      <c r="D18" s="15">
        <v>0</v>
      </c>
      <c r="E18" s="8">
        <v>0</v>
      </c>
      <c r="F18" s="15">
        <v>-81937885</v>
      </c>
      <c r="G18" s="15">
        <v>-11252302</v>
      </c>
      <c r="H18" s="15">
        <v>-93190187</v>
      </c>
      <c r="I18" s="8">
        <v>1.6762029673807741E-3</v>
      </c>
    </row>
    <row r="19" spans="1:9" x14ac:dyDescent="0.25">
      <c r="A19" s="7" t="s">
        <v>201</v>
      </c>
      <c r="B19" s="15">
        <v>0</v>
      </c>
      <c r="C19" s="15">
        <v>0</v>
      </c>
      <c r="D19" s="15">
        <v>0</v>
      </c>
      <c r="E19" s="8">
        <v>0</v>
      </c>
      <c r="F19" s="15">
        <v>0</v>
      </c>
      <c r="G19" s="15">
        <v>80866755</v>
      </c>
      <c r="H19" s="15">
        <v>80866755</v>
      </c>
      <c r="I19" s="8">
        <v>-1.4545425763922337E-3</v>
      </c>
    </row>
    <row r="20" spans="1:9" x14ac:dyDescent="0.25">
      <c r="A20" s="7" t="s">
        <v>200</v>
      </c>
      <c r="B20" s="15">
        <v>0</v>
      </c>
      <c r="C20" s="15">
        <v>0</v>
      </c>
      <c r="D20" s="15">
        <v>0</v>
      </c>
      <c r="E20" s="8">
        <v>0</v>
      </c>
      <c r="F20" s="15">
        <v>0</v>
      </c>
      <c r="G20" s="15">
        <v>-116224949</v>
      </c>
      <c r="H20" s="15">
        <v>-116224949</v>
      </c>
      <c r="I20" s="8">
        <v>2.0905270250984593E-3</v>
      </c>
    </row>
    <row r="21" spans="1:9" x14ac:dyDescent="0.25">
      <c r="A21" s="7" t="s">
        <v>199</v>
      </c>
      <c r="B21" s="15">
        <v>0</v>
      </c>
      <c r="C21" s="15">
        <v>0</v>
      </c>
      <c r="D21" s="15">
        <v>0</v>
      </c>
      <c r="E21" s="8">
        <v>0</v>
      </c>
      <c r="F21" s="15">
        <v>0</v>
      </c>
      <c r="G21" s="15">
        <v>-27066616</v>
      </c>
      <c r="H21" s="15">
        <v>-27066616</v>
      </c>
      <c r="I21" s="8">
        <v>4.8684462942601392E-4</v>
      </c>
    </row>
    <row r="22" spans="1:9" x14ac:dyDescent="0.25">
      <c r="A22" s="7" t="s">
        <v>198</v>
      </c>
      <c r="B22" s="15">
        <v>0</v>
      </c>
      <c r="C22" s="15">
        <v>0</v>
      </c>
      <c r="D22" s="15">
        <v>0</v>
      </c>
      <c r="E22" s="8">
        <v>0</v>
      </c>
      <c r="F22" s="15">
        <v>0</v>
      </c>
      <c r="G22" s="15">
        <v>299927440</v>
      </c>
      <c r="H22" s="15">
        <v>299927440</v>
      </c>
      <c r="I22" s="8">
        <v>-5.3947661348390588E-3</v>
      </c>
    </row>
    <row r="23" spans="1:9" x14ac:dyDescent="0.25">
      <c r="A23" s="7" t="s">
        <v>197</v>
      </c>
      <c r="B23" s="15">
        <v>0</v>
      </c>
      <c r="C23" s="15">
        <v>0</v>
      </c>
      <c r="D23" s="15">
        <v>0</v>
      </c>
      <c r="E23" s="8">
        <v>0</v>
      </c>
      <c r="F23" s="15">
        <v>0</v>
      </c>
      <c r="G23" s="15">
        <v>-23113573</v>
      </c>
      <c r="H23" s="15">
        <v>-23113573</v>
      </c>
      <c r="I23" s="8">
        <v>4.1574162362580238E-4</v>
      </c>
    </row>
    <row r="24" spans="1:9" x14ac:dyDescent="0.25">
      <c r="A24" s="7" t="s">
        <v>196</v>
      </c>
      <c r="B24" s="15">
        <v>0</v>
      </c>
      <c r="C24" s="15">
        <v>0</v>
      </c>
      <c r="D24" s="15">
        <v>0</v>
      </c>
      <c r="E24" s="8">
        <v>0</v>
      </c>
      <c r="F24" s="15">
        <v>0</v>
      </c>
      <c r="G24" s="15">
        <v>49988663</v>
      </c>
      <c r="H24" s="15">
        <v>49988663</v>
      </c>
      <c r="I24" s="8">
        <v>-8.991412932350646E-4</v>
      </c>
    </row>
    <row r="25" spans="1:9" x14ac:dyDescent="0.25">
      <c r="A25" s="7" t="s">
        <v>195</v>
      </c>
      <c r="B25" s="15">
        <v>0</v>
      </c>
      <c r="C25" s="15">
        <v>0</v>
      </c>
      <c r="D25" s="15">
        <v>0</v>
      </c>
      <c r="E25" s="8">
        <v>0</v>
      </c>
      <c r="F25" s="15">
        <v>0</v>
      </c>
      <c r="G25" s="15">
        <v>-137249186</v>
      </c>
      <c r="H25" s="15">
        <v>-137249186</v>
      </c>
      <c r="I25" s="8">
        <v>2.468687962218552E-3</v>
      </c>
    </row>
    <row r="26" spans="1:9" x14ac:dyDescent="0.25">
      <c r="A26" s="7" t="s">
        <v>194</v>
      </c>
      <c r="B26" s="15">
        <v>0</v>
      </c>
      <c r="C26" s="15">
        <v>0</v>
      </c>
      <c r="D26" s="15">
        <v>0</v>
      </c>
      <c r="E26" s="8">
        <v>0</v>
      </c>
      <c r="F26" s="15">
        <v>-17986365</v>
      </c>
      <c r="G26" s="15">
        <v>-31062868</v>
      </c>
      <c r="H26" s="15">
        <v>-49049233</v>
      </c>
      <c r="I26" s="8">
        <v>8.8224385580802612E-4</v>
      </c>
    </row>
    <row r="27" spans="1:9" x14ac:dyDescent="0.25">
      <c r="A27" s="7" t="s">
        <v>193</v>
      </c>
      <c r="B27" s="15">
        <v>0</v>
      </c>
      <c r="C27" s="15">
        <v>0</v>
      </c>
      <c r="D27" s="15">
        <v>0</v>
      </c>
      <c r="E27" s="8">
        <v>0</v>
      </c>
      <c r="F27" s="15">
        <v>2362210</v>
      </c>
      <c r="G27" s="15">
        <v>76038490</v>
      </c>
      <c r="H27" s="15">
        <v>78400700</v>
      </c>
      <c r="I27" s="8">
        <v>-1.4101858813174166E-3</v>
      </c>
    </row>
    <row r="28" spans="1:9" x14ac:dyDescent="0.25">
      <c r="A28" s="7" t="s">
        <v>192</v>
      </c>
      <c r="B28" s="15">
        <v>0</v>
      </c>
      <c r="C28" s="15">
        <v>0</v>
      </c>
      <c r="D28" s="15">
        <v>0</v>
      </c>
      <c r="E28" s="8">
        <v>0</v>
      </c>
      <c r="F28" s="15">
        <v>39969700</v>
      </c>
      <c r="G28" s="15">
        <v>328984960</v>
      </c>
      <c r="H28" s="15">
        <v>368954660</v>
      </c>
      <c r="I28" s="8">
        <v>-6.6363521292318534E-3</v>
      </c>
    </row>
    <row r="29" spans="1:9" x14ac:dyDescent="0.25">
      <c r="A29" s="7" t="s">
        <v>191</v>
      </c>
      <c r="B29" s="15">
        <v>0</v>
      </c>
      <c r="C29" s="15">
        <v>0</v>
      </c>
      <c r="D29" s="15">
        <v>0</v>
      </c>
      <c r="E29" s="8">
        <v>0</v>
      </c>
      <c r="F29" s="15">
        <v>0</v>
      </c>
      <c r="G29" s="15">
        <v>2066660694</v>
      </c>
      <c r="H29" s="15">
        <v>2066660694</v>
      </c>
      <c r="I29" s="8">
        <v>-3.7172827948633795E-2</v>
      </c>
    </row>
    <row r="30" spans="1:9" x14ac:dyDescent="0.25">
      <c r="A30" s="7" t="s">
        <v>190</v>
      </c>
      <c r="B30" s="15">
        <v>0</v>
      </c>
      <c r="C30" s="15">
        <v>0</v>
      </c>
      <c r="D30" s="15">
        <v>0</v>
      </c>
      <c r="E30" s="8">
        <v>0</v>
      </c>
      <c r="F30" s="15">
        <v>-39969700</v>
      </c>
      <c r="G30" s="15">
        <v>86002390</v>
      </c>
      <c r="H30" s="15">
        <v>46032690</v>
      </c>
      <c r="I30" s="8">
        <v>-8.2798558580550214E-4</v>
      </c>
    </row>
    <row r="31" spans="1:9" x14ac:dyDescent="0.25">
      <c r="A31" s="7" t="s">
        <v>189</v>
      </c>
      <c r="B31" s="15">
        <v>0</v>
      </c>
      <c r="C31" s="15">
        <v>0</v>
      </c>
      <c r="D31" s="15">
        <v>0</v>
      </c>
      <c r="E31" s="8">
        <v>0</v>
      </c>
      <c r="F31" s="15">
        <v>0</v>
      </c>
      <c r="G31" s="15">
        <v>2443270643</v>
      </c>
      <c r="H31" s="15">
        <v>2443270643</v>
      </c>
      <c r="I31" s="8">
        <v>-4.3946875027849573E-2</v>
      </c>
    </row>
    <row r="32" spans="1:9" x14ac:dyDescent="0.25">
      <c r="A32" s="7" t="s">
        <v>188</v>
      </c>
      <c r="B32" s="15">
        <v>0</v>
      </c>
      <c r="C32" s="15">
        <v>0</v>
      </c>
      <c r="D32" s="15">
        <v>0</v>
      </c>
      <c r="E32" s="8">
        <v>0</v>
      </c>
      <c r="F32" s="15">
        <v>0</v>
      </c>
      <c r="G32" s="15">
        <v>262945640</v>
      </c>
      <c r="H32" s="15">
        <v>262945640</v>
      </c>
      <c r="I32" s="8">
        <v>-4.7295780405273444E-3</v>
      </c>
    </row>
    <row r="33" spans="1:9" x14ac:dyDescent="0.25">
      <c r="A33" s="7" t="s">
        <v>187</v>
      </c>
      <c r="B33" s="15">
        <v>0</v>
      </c>
      <c r="C33" s="15">
        <v>0</v>
      </c>
      <c r="D33" s="15">
        <v>0</v>
      </c>
      <c r="E33" s="8">
        <v>0</v>
      </c>
      <c r="F33" s="15">
        <v>32183602</v>
      </c>
      <c r="G33" s="15">
        <v>2950920590</v>
      </c>
      <c r="H33" s="15">
        <v>2983104192</v>
      </c>
      <c r="I33" s="8">
        <v>-5.3656809365952088E-2</v>
      </c>
    </row>
    <row r="34" spans="1:9" x14ac:dyDescent="0.25">
      <c r="A34" s="7" t="s">
        <v>186</v>
      </c>
      <c r="B34" s="15">
        <v>0</v>
      </c>
      <c r="C34" s="15">
        <v>0</v>
      </c>
      <c r="D34" s="15">
        <v>0</v>
      </c>
      <c r="E34" s="8">
        <v>0</v>
      </c>
      <c r="F34" s="15">
        <v>13639660</v>
      </c>
      <c r="G34" s="15">
        <v>193957616</v>
      </c>
      <c r="H34" s="15">
        <v>207597276</v>
      </c>
      <c r="I34" s="8">
        <v>-3.7340323187822935E-3</v>
      </c>
    </row>
    <row r="35" spans="1:9" x14ac:dyDescent="0.25">
      <c r="A35" s="7" t="s">
        <v>185</v>
      </c>
      <c r="B35" s="15">
        <v>0</v>
      </c>
      <c r="C35" s="15">
        <v>0</v>
      </c>
      <c r="D35" s="15">
        <v>0</v>
      </c>
      <c r="E35" s="8">
        <v>0</v>
      </c>
      <c r="F35" s="15">
        <v>67041178</v>
      </c>
      <c r="G35" s="15">
        <v>283718110</v>
      </c>
      <c r="H35" s="15">
        <v>350759288</v>
      </c>
      <c r="I35" s="8">
        <v>-6.3090737159049544E-3</v>
      </c>
    </row>
    <row r="36" spans="1:9" x14ac:dyDescent="0.25">
      <c r="A36" s="7" t="s">
        <v>184</v>
      </c>
      <c r="B36" s="15">
        <v>0</v>
      </c>
      <c r="C36" s="15">
        <v>0</v>
      </c>
      <c r="D36" s="15">
        <v>0</v>
      </c>
      <c r="E36" s="8">
        <v>0</v>
      </c>
      <c r="F36" s="15">
        <v>-68448111</v>
      </c>
      <c r="G36" s="15">
        <v>26915685</v>
      </c>
      <c r="H36" s="15">
        <v>-41532426</v>
      </c>
      <c r="I36" s="8">
        <v>7.4703976829365538E-4</v>
      </c>
    </row>
    <row r="37" spans="1:9" x14ac:dyDescent="0.25">
      <c r="A37" s="7" t="s">
        <v>183</v>
      </c>
      <c r="B37" s="15">
        <v>0</v>
      </c>
      <c r="C37" s="15">
        <v>0</v>
      </c>
      <c r="D37" s="15">
        <v>0</v>
      </c>
      <c r="E37" s="8">
        <v>0</v>
      </c>
      <c r="F37" s="15">
        <v>-65017255</v>
      </c>
      <c r="G37" s="15">
        <v>-46032636</v>
      </c>
      <c r="H37" s="15">
        <v>-111049891</v>
      </c>
      <c r="I37" s="8">
        <v>1.9974437525435112E-3</v>
      </c>
    </row>
    <row r="38" spans="1:9" x14ac:dyDescent="0.25">
      <c r="A38" s="7" t="s">
        <v>182</v>
      </c>
      <c r="B38" s="15">
        <v>0</v>
      </c>
      <c r="C38" s="15">
        <v>0</v>
      </c>
      <c r="D38" s="15">
        <v>0</v>
      </c>
      <c r="E38" s="8">
        <v>0</v>
      </c>
      <c r="F38" s="15">
        <v>49962125</v>
      </c>
      <c r="G38" s="15">
        <v>105988655</v>
      </c>
      <c r="H38" s="15">
        <v>155950780</v>
      </c>
      <c r="I38" s="8">
        <v>-2.805071742171161E-3</v>
      </c>
    </row>
    <row r="39" spans="1:9" x14ac:dyDescent="0.25">
      <c r="A39" s="7" t="s">
        <v>181</v>
      </c>
      <c r="B39" s="15">
        <v>0</v>
      </c>
      <c r="C39" s="15">
        <v>0</v>
      </c>
      <c r="D39" s="15">
        <v>0</v>
      </c>
      <c r="E39" s="8">
        <v>0</v>
      </c>
      <c r="F39" s="15">
        <v>4996212</v>
      </c>
      <c r="G39" s="15">
        <v>224975799</v>
      </c>
      <c r="H39" s="15">
        <v>229972011</v>
      </c>
      <c r="I39" s="8">
        <v>-4.1364845340714253E-3</v>
      </c>
    </row>
    <row r="40" spans="1:9" x14ac:dyDescent="0.25">
      <c r="A40" s="7" t="s">
        <v>180</v>
      </c>
      <c r="B40" s="15">
        <v>0</v>
      </c>
      <c r="C40" s="15">
        <v>0</v>
      </c>
      <c r="D40" s="15">
        <v>0</v>
      </c>
      <c r="E40" s="8">
        <v>0</v>
      </c>
      <c r="F40" s="15">
        <v>32359469</v>
      </c>
      <c r="G40" s="15">
        <v>295223511</v>
      </c>
      <c r="H40" s="15">
        <v>327582980</v>
      </c>
      <c r="I40" s="8">
        <v>-5.8922036838432012E-3</v>
      </c>
    </row>
    <row r="41" spans="1:9" x14ac:dyDescent="0.25">
      <c r="A41" s="7" t="s">
        <v>179</v>
      </c>
      <c r="B41" s="15">
        <v>0</v>
      </c>
      <c r="C41" s="15">
        <v>0</v>
      </c>
      <c r="D41" s="15">
        <v>0</v>
      </c>
      <c r="E41" s="8">
        <v>0</v>
      </c>
      <c r="F41" s="15">
        <v>126154366</v>
      </c>
      <c r="G41" s="15">
        <v>569299070</v>
      </c>
      <c r="H41" s="15">
        <v>695453436</v>
      </c>
      <c r="I41" s="8">
        <v>-1.2509054339577141E-2</v>
      </c>
    </row>
    <row r="42" spans="1:9" x14ac:dyDescent="0.25">
      <c r="A42" s="7" t="s">
        <v>178</v>
      </c>
      <c r="B42" s="15">
        <v>0</v>
      </c>
      <c r="C42" s="15">
        <v>0</v>
      </c>
      <c r="D42" s="15">
        <v>0</v>
      </c>
      <c r="E42" s="8">
        <v>0</v>
      </c>
      <c r="F42" s="15">
        <v>0</v>
      </c>
      <c r="G42" s="15">
        <v>380000000</v>
      </c>
      <c r="H42" s="15">
        <v>380000000</v>
      </c>
      <c r="I42" s="8">
        <v>-6.8350236018379718E-3</v>
      </c>
    </row>
    <row r="43" spans="1:9" x14ac:dyDescent="0.25">
      <c r="A43" s="7" t="s">
        <v>177</v>
      </c>
      <c r="B43" s="15">
        <v>0</v>
      </c>
      <c r="C43" s="15">
        <v>0</v>
      </c>
      <c r="D43" s="15">
        <v>0</v>
      </c>
      <c r="E43" s="8">
        <v>0</v>
      </c>
      <c r="F43" s="15">
        <v>13989395</v>
      </c>
      <c r="G43" s="15">
        <v>85054895</v>
      </c>
      <c r="H43" s="15">
        <v>99044290</v>
      </c>
      <c r="I43" s="8">
        <v>-1.7815001573086439E-3</v>
      </c>
    </row>
    <row r="44" spans="1:9" x14ac:dyDescent="0.25">
      <c r="A44" s="7" t="s">
        <v>176</v>
      </c>
      <c r="B44" s="15">
        <v>0</v>
      </c>
      <c r="C44" s="15">
        <v>0</v>
      </c>
      <c r="D44" s="15">
        <v>0</v>
      </c>
      <c r="E44" s="8">
        <v>0</v>
      </c>
      <c r="F44" s="15">
        <v>29977275</v>
      </c>
      <c r="G44" s="15">
        <v>69977280</v>
      </c>
      <c r="H44" s="15">
        <v>99954555</v>
      </c>
      <c r="I44" s="8">
        <v>-1.7978730066742412E-3</v>
      </c>
    </row>
    <row r="45" spans="1:9" x14ac:dyDescent="0.25">
      <c r="A45" s="7" t="s">
        <v>175</v>
      </c>
      <c r="B45" s="15">
        <v>0</v>
      </c>
      <c r="C45" s="15">
        <v>0</v>
      </c>
      <c r="D45" s="15">
        <v>0</v>
      </c>
      <c r="E45" s="8">
        <v>0</v>
      </c>
      <c r="F45" s="15">
        <v>29977274</v>
      </c>
      <c r="G45" s="15">
        <v>44950810</v>
      </c>
      <c r="H45" s="15">
        <v>74928084</v>
      </c>
      <c r="I45" s="8">
        <v>-1.3477242699486793E-3</v>
      </c>
    </row>
    <row r="46" spans="1:9" x14ac:dyDescent="0.25">
      <c r="A46" s="7" t="s">
        <v>174</v>
      </c>
      <c r="B46" s="15">
        <v>0</v>
      </c>
      <c r="C46" s="15">
        <v>0</v>
      </c>
      <c r="D46" s="15">
        <v>0</v>
      </c>
      <c r="E46" s="8">
        <v>0</v>
      </c>
      <c r="F46" s="15">
        <v>1598788</v>
      </c>
      <c r="G46" s="15">
        <v>145498868</v>
      </c>
      <c r="H46" s="15">
        <v>147097656</v>
      </c>
      <c r="I46" s="8">
        <v>-2.6458314487764287E-3</v>
      </c>
    </row>
    <row r="47" spans="1:9" x14ac:dyDescent="0.25">
      <c r="A47" s="7" t="s">
        <v>173</v>
      </c>
      <c r="B47" s="15">
        <v>0</v>
      </c>
      <c r="C47" s="15">
        <v>0</v>
      </c>
      <c r="D47" s="15">
        <v>0</v>
      </c>
      <c r="E47" s="8">
        <v>0</v>
      </c>
      <c r="F47" s="15">
        <v>139893</v>
      </c>
      <c r="G47" s="15">
        <v>139852</v>
      </c>
      <c r="H47" s="15">
        <v>279745</v>
      </c>
      <c r="I47" s="8">
        <v>-5.0317465197267461E-6</v>
      </c>
    </row>
    <row r="48" spans="1:9" x14ac:dyDescent="0.25">
      <c r="A48" s="7" t="s">
        <v>172</v>
      </c>
      <c r="B48" s="15">
        <v>0</v>
      </c>
      <c r="C48" s="15">
        <v>0</v>
      </c>
      <c r="D48" s="15">
        <v>0</v>
      </c>
      <c r="E48" s="8">
        <v>0</v>
      </c>
      <c r="F48" s="15">
        <v>45068175</v>
      </c>
      <c r="G48" s="15">
        <v>34924266</v>
      </c>
      <c r="H48" s="15">
        <v>79992441</v>
      </c>
      <c r="I48" s="8">
        <v>-1.4388163742200828E-3</v>
      </c>
    </row>
    <row r="49" spans="1:9" x14ac:dyDescent="0.25">
      <c r="A49" s="7" t="s">
        <v>171</v>
      </c>
      <c r="B49" s="15">
        <v>0</v>
      </c>
      <c r="C49" s="15">
        <v>0</v>
      </c>
      <c r="D49" s="15">
        <v>0</v>
      </c>
      <c r="E49" s="8">
        <v>0</v>
      </c>
      <c r="F49" s="15">
        <v>11219495</v>
      </c>
      <c r="G49" s="15">
        <v>59977300</v>
      </c>
      <c r="H49" s="15">
        <v>71196795</v>
      </c>
      <c r="I49" s="8">
        <v>-1.2806099321058413E-3</v>
      </c>
    </row>
    <row r="50" spans="1:9" x14ac:dyDescent="0.25">
      <c r="A50" s="7" t="s">
        <v>170</v>
      </c>
      <c r="B50" s="15">
        <v>0</v>
      </c>
      <c r="C50" s="15">
        <v>0</v>
      </c>
      <c r="D50" s="15">
        <v>0</v>
      </c>
      <c r="E50" s="8">
        <v>0</v>
      </c>
      <c r="F50" s="15">
        <v>74940162</v>
      </c>
      <c r="G50" s="15">
        <v>104975841</v>
      </c>
      <c r="H50" s="15">
        <v>179916003</v>
      </c>
      <c r="I50" s="8">
        <v>-3.2361319127719775E-3</v>
      </c>
    </row>
    <row r="51" spans="1:9" ht="20.25" thickBot="1" x14ac:dyDescent="0.3">
      <c r="A51" s="7" t="s">
        <v>2</v>
      </c>
      <c r="B51" s="9">
        <f t="shared" ref="B51:I51" si="0">SUM(B11:B50)</f>
        <v>-33725758</v>
      </c>
      <c r="C51" s="9">
        <f t="shared" si="0"/>
        <v>-759024256</v>
      </c>
      <c r="D51" s="9">
        <f t="shared" si="0"/>
        <v>-792750014</v>
      </c>
      <c r="E51" s="10">
        <f t="shared" si="0"/>
        <v>-1.0716569093965024E-2</v>
      </c>
      <c r="F51" s="9">
        <f t="shared" si="0"/>
        <v>626126536</v>
      </c>
      <c r="G51" s="9">
        <f t="shared" si="0"/>
        <v>12857848638</v>
      </c>
      <c r="H51" s="9">
        <f t="shared" si="0"/>
        <v>13483975174</v>
      </c>
      <c r="I51" s="10">
        <f t="shared" si="0"/>
        <v>-0.24253496989707174</v>
      </c>
    </row>
    <row r="52" spans="1:9" ht="20.25" thickTop="1" x14ac:dyDescent="0.25"/>
  </sheetData>
  <mergeCells count="13">
    <mergeCell ref="C8:C10"/>
    <mergeCell ref="F8:F10"/>
    <mergeCell ref="G8:G10"/>
    <mergeCell ref="A1:I1"/>
    <mergeCell ref="A2:I2"/>
    <mergeCell ref="A3:I3"/>
    <mergeCell ref="H8:I9"/>
    <mergeCell ref="A8:A10"/>
    <mergeCell ref="D8:E9"/>
    <mergeCell ref="B8:B10"/>
    <mergeCell ref="B7:E7"/>
    <mergeCell ref="F7:I7"/>
    <mergeCell ref="A5:G5"/>
  </mergeCells>
  <conditionalFormatting sqref="F11:F13 F4:F6">
    <cfRule type="duplicateValues" dxfId="2" priority="2"/>
    <cfRule type="duplicateValues" dxfId="1" priority="3"/>
  </conditionalFormatting>
  <conditionalFormatting sqref="F4:G6 F11:G13 A7:B7">
    <cfRule type="cellIs" dxfId="0" priority="1" operator="equal">
      <formula>-3000000000000</formula>
    </cfRule>
  </conditionalFormatting>
  <pageMargins left="0.7" right="0.7" top="0.75" bottom="0.75" header="0.3" footer="0.3"/>
  <pageSetup scale="45" orientation="portrait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C995C-AD0F-4147-8DA2-5511815DF15B}">
  <dimension ref="A1:C12"/>
  <sheetViews>
    <sheetView rightToLeft="1" view="pageBreakPreview" zoomScaleNormal="100" zoomScaleSheetLayoutView="100" workbookViewId="0">
      <selection activeCell="B4" sqref="B4"/>
    </sheetView>
  </sheetViews>
  <sheetFormatPr defaultColWidth="8.85546875" defaultRowHeight="19.5" x14ac:dyDescent="0.25"/>
  <cols>
    <col min="1" max="1" width="29.42578125" style="20" customWidth="1"/>
    <col min="2" max="2" width="27.140625" style="20" customWidth="1"/>
    <col min="3" max="3" width="29.85546875" style="20" customWidth="1"/>
    <col min="4" max="16384" width="8.85546875" style="20"/>
  </cols>
  <sheetData>
    <row r="1" spans="1:3" ht="21" x14ac:dyDescent="0.25">
      <c r="A1" s="59" t="s">
        <v>111</v>
      </c>
      <c r="B1" s="59"/>
      <c r="C1" s="59"/>
    </row>
    <row r="2" spans="1:3" ht="21" x14ac:dyDescent="0.25">
      <c r="A2" s="59" t="s">
        <v>35</v>
      </c>
      <c r="B2" s="59"/>
      <c r="C2" s="59"/>
    </row>
    <row r="3" spans="1:3" ht="21" x14ac:dyDescent="0.25">
      <c r="A3" s="59" t="s">
        <v>44</v>
      </c>
      <c r="B3" s="59"/>
      <c r="C3" s="59"/>
    </row>
    <row r="4" spans="1:3" ht="21" x14ac:dyDescent="0.25">
      <c r="A4" s="3"/>
      <c r="B4" s="3"/>
      <c r="C4" s="3"/>
    </row>
    <row r="5" spans="1:3" ht="21" x14ac:dyDescent="0.25">
      <c r="A5" s="60" t="s">
        <v>228</v>
      </c>
      <c r="B5" s="60"/>
      <c r="C5" s="60"/>
    </row>
    <row r="6" spans="1:3" ht="20.25" thickBot="1" x14ac:dyDescent="0.3">
      <c r="A6" s="25"/>
      <c r="B6" s="4" t="s">
        <v>63</v>
      </c>
      <c r="C6" s="4" t="s">
        <v>36</v>
      </c>
    </row>
    <row r="7" spans="1:3" ht="16.5" customHeight="1" x14ac:dyDescent="0.25">
      <c r="A7" s="85" t="s">
        <v>14</v>
      </c>
      <c r="B7" s="76" t="s">
        <v>4</v>
      </c>
      <c r="C7" s="76" t="s">
        <v>4</v>
      </c>
    </row>
    <row r="8" spans="1:3" ht="20.25" thickBot="1" x14ac:dyDescent="0.3">
      <c r="A8" s="80"/>
      <c r="B8" s="78"/>
      <c r="C8" s="78"/>
    </row>
    <row r="9" spans="1:3" x14ac:dyDescent="0.25">
      <c r="A9" s="7" t="s">
        <v>66</v>
      </c>
      <c r="B9" s="15">
        <v>0</v>
      </c>
      <c r="C9" s="15">
        <v>183554895</v>
      </c>
    </row>
    <row r="10" spans="1:3" x14ac:dyDescent="0.25">
      <c r="A10" s="7" t="s">
        <v>14</v>
      </c>
      <c r="B10" s="15">
        <v>0</v>
      </c>
      <c r="C10" s="15">
        <v>317399099</v>
      </c>
    </row>
    <row r="11" spans="1:3" ht="20.25" thickBot="1" x14ac:dyDescent="0.3">
      <c r="A11" s="7" t="s">
        <v>2</v>
      </c>
      <c r="B11" s="9">
        <f>SUM(B9:B10)</f>
        <v>0</v>
      </c>
      <c r="C11" s="9">
        <f>SUM(C9:C10)</f>
        <v>500953994</v>
      </c>
    </row>
    <row r="12" spans="1:3" ht="20.25" thickTop="1" x14ac:dyDescent="0.25"/>
  </sheetData>
  <mergeCells count="7">
    <mergeCell ref="A1:C1"/>
    <mergeCell ref="A2:C2"/>
    <mergeCell ref="A3:C3"/>
    <mergeCell ref="C7:C8"/>
    <mergeCell ref="B7:B8"/>
    <mergeCell ref="A5:C5"/>
    <mergeCell ref="A7:A8"/>
  </mergeCells>
  <pageMargins left="0.7" right="0.7" top="0.75" bottom="0.75" header="0.3" footer="0.3"/>
  <pageSetup scale="87" orientation="portrait" horizontalDpi="4294967295" verticalDpi="4294967295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45484-B14F-4B4E-A494-D077FE504347}">
  <dimension ref="A1:M12"/>
  <sheetViews>
    <sheetView rightToLeft="1" view="pageBreakPreview" zoomScale="98" zoomScaleNormal="100" zoomScaleSheetLayoutView="98" workbookViewId="0">
      <selection activeCell="E6" sqref="E6:J6"/>
    </sheetView>
  </sheetViews>
  <sheetFormatPr defaultColWidth="9.140625" defaultRowHeight="17.25" x14ac:dyDescent="0.25"/>
  <cols>
    <col min="1" max="1" width="23.28515625" style="13" customWidth="1"/>
    <col min="2" max="2" width="14.28515625" style="13" customWidth="1"/>
    <col min="3" max="3" width="21.140625" style="13" customWidth="1"/>
    <col min="4" max="4" width="22.28515625" style="13" customWidth="1"/>
    <col min="5" max="6" width="17.5703125" style="13" customWidth="1"/>
    <col min="7" max="7" width="16" style="13" customWidth="1"/>
    <col min="8" max="8" width="19.42578125" style="13" customWidth="1"/>
    <col min="9" max="9" width="17.5703125" style="13" customWidth="1"/>
    <col min="10" max="10" width="16.140625" style="13" customWidth="1"/>
    <col min="11" max="16384" width="9.140625" style="13"/>
  </cols>
  <sheetData>
    <row r="1" spans="1:13" ht="21" x14ac:dyDescent="0.25">
      <c r="A1" s="59" t="s">
        <v>111</v>
      </c>
      <c r="B1" s="59"/>
      <c r="C1" s="59"/>
      <c r="D1" s="59"/>
      <c r="E1" s="59"/>
      <c r="F1" s="59"/>
      <c r="G1" s="59"/>
      <c r="H1" s="59"/>
      <c r="I1" s="59"/>
      <c r="J1" s="59"/>
    </row>
    <row r="2" spans="1:13" ht="21" x14ac:dyDescent="0.25">
      <c r="A2" s="59" t="s">
        <v>35</v>
      </c>
      <c r="B2" s="59"/>
      <c r="C2" s="59"/>
      <c r="D2" s="59"/>
      <c r="E2" s="59"/>
      <c r="F2" s="59"/>
      <c r="G2" s="59"/>
      <c r="H2" s="59"/>
      <c r="I2" s="59"/>
      <c r="J2" s="59"/>
    </row>
    <row r="3" spans="1:13" ht="21" x14ac:dyDescent="0.25">
      <c r="A3" s="59" t="s">
        <v>44</v>
      </c>
      <c r="B3" s="59"/>
      <c r="C3" s="59"/>
      <c r="D3" s="59"/>
      <c r="E3" s="59"/>
      <c r="F3" s="59"/>
      <c r="G3" s="59"/>
      <c r="H3" s="59"/>
      <c r="I3" s="59"/>
      <c r="J3" s="59"/>
    </row>
    <row r="4" spans="1:13" ht="21" x14ac:dyDescent="0.25">
      <c r="A4" s="3"/>
      <c r="B4" s="3"/>
      <c r="C4" s="3"/>
      <c r="D4" s="3"/>
      <c r="E4" s="3"/>
      <c r="F4" s="3"/>
      <c r="G4" s="3"/>
      <c r="H4" s="3"/>
      <c r="I4" s="3"/>
      <c r="J4" s="3"/>
    </row>
    <row r="5" spans="1:13" ht="21" x14ac:dyDescent="0.25">
      <c r="A5" s="60" t="s">
        <v>168</v>
      </c>
      <c r="B5" s="60"/>
      <c r="C5" s="60"/>
      <c r="D5" s="60"/>
      <c r="E5" s="60"/>
      <c r="F5" s="60"/>
      <c r="G5" s="60"/>
      <c r="H5" s="60"/>
      <c r="I5" s="60"/>
      <c r="J5" s="60"/>
      <c r="K5" s="26"/>
      <c r="L5" s="26"/>
      <c r="M5" s="26"/>
    </row>
    <row r="6" spans="1:13" ht="16.5" customHeight="1" thickBot="1" x14ac:dyDescent="0.3">
      <c r="B6" s="61" t="s">
        <v>215</v>
      </c>
      <c r="C6" s="61"/>
      <c r="D6" s="61"/>
      <c r="E6" s="78" t="s">
        <v>63</v>
      </c>
      <c r="F6" s="78"/>
      <c r="G6" s="78"/>
      <c r="H6" s="78" t="s">
        <v>36</v>
      </c>
      <c r="I6" s="78"/>
      <c r="J6" s="78"/>
      <c r="K6" s="22"/>
      <c r="L6" s="22"/>
      <c r="M6" s="22"/>
    </row>
    <row r="7" spans="1:13" ht="18" thickBot="1" x14ac:dyDescent="0.3">
      <c r="A7" s="49" t="s">
        <v>115</v>
      </c>
      <c r="B7" s="48" t="s">
        <v>214</v>
      </c>
      <c r="C7" s="48" t="s">
        <v>213</v>
      </c>
      <c r="D7" s="48" t="s">
        <v>212</v>
      </c>
      <c r="E7" s="48" t="s">
        <v>211</v>
      </c>
      <c r="F7" s="48" t="s">
        <v>24</v>
      </c>
      <c r="G7" s="48" t="s">
        <v>210</v>
      </c>
      <c r="H7" s="48" t="s">
        <v>211</v>
      </c>
      <c r="I7" s="48" t="s">
        <v>24</v>
      </c>
      <c r="J7" s="48" t="s">
        <v>210</v>
      </c>
    </row>
    <row r="8" spans="1:13" x14ac:dyDescent="0.25">
      <c r="A8" s="7" t="s">
        <v>94</v>
      </c>
      <c r="B8" s="15" t="s">
        <v>209</v>
      </c>
      <c r="C8" s="15">
        <v>3299000</v>
      </c>
      <c r="D8" s="15">
        <v>1500</v>
      </c>
      <c r="E8" s="14">
        <v>0</v>
      </c>
      <c r="F8" s="14">
        <v>0</v>
      </c>
      <c r="G8" s="14">
        <v>0</v>
      </c>
      <c r="H8" s="15">
        <v>4948500000</v>
      </c>
      <c r="I8" s="15">
        <v>0</v>
      </c>
      <c r="J8" s="15">
        <v>4948500000</v>
      </c>
    </row>
    <row r="9" spans="1:13" x14ac:dyDescent="0.25">
      <c r="A9" s="7" t="s">
        <v>80</v>
      </c>
      <c r="B9" s="15" t="s">
        <v>49</v>
      </c>
      <c r="C9" s="15">
        <v>550000</v>
      </c>
      <c r="D9" s="15">
        <v>8700</v>
      </c>
      <c r="E9" s="14">
        <v>0</v>
      </c>
      <c r="F9" s="14">
        <v>0</v>
      </c>
      <c r="G9" s="14">
        <v>0</v>
      </c>
      <c r="H9" s="15">
        <v>4785000000</v>
      </c>
      <c r="I9" s="15">
        <v>0</v>
      </c>
      <c r="J9" s="15">
        <v>4785000000</v>
      </c>
    </row>
    <row r="10" spans="1:13" x14ac:dyDescent="0.25">
      <c r="A10" s="7" t="s">
        <v>71</v>
      </c>
      <c r="B10" s="15" t="s">
        <v>50</v>
      </c>
      <c r="C10" s="15">
        <v>350000</v>
      </c>
      <c r="D10" s="15">
        <v>9250</v>
      </c>
      <c r="E10" s="14">
        <v>0</v>
      </c>
      <c r="F10" s="14">
        <v>0</v>
      </c>
      <c r="G10" s="14">
        <v>0</v>
      </c>
      <c r="H10" s="15">
        <v>3237500000</v>
      </c>
      <c r="I10" s="15">
        <v>0</v>
      </c>
      <c r="J10" s="15">
        <v>3237500000</v>
      </c>
    </row>
    <row r="11" spans="1:13" ht="18" thickBot="1" x14ac:dyDescent="0.3">
      <c r="A11" s="7" t="s">
        <v>2</v>
      </c>
      <c r="B11" s="15"/>
      <c r="C11" s="15"/>
      <c r="D11" s="15"/>
      <c r="E11" s="9">
        <f t="shared" ref="E11:J11" si="0">SUM(E8:E10)</f>
        <v>0</v>
      </c>
      <c r="F11" s="9">
        <f t="shared" si="0"/>
        <v>0</v>
      </c>
      <c r="G11" s="9">
        <f t="shared" si="0"/>
        <v>0</v>
      </c>
      <c r="H11" s="9">
        <f t="shared" si="0"/>
        <v>12971000000</v>
      </c>
      <c r="I11" s="9">
        <f t="shared" si="0"/>
        <v>0</v>
      </c>
      <c r="J11" s="9">
        <f t="shared" si="0"/>
        <v>12971000000</v>
      </c>
    </row>
    <row r="12" spans="1:13" ht="18" thickTop="1" x14ac:dyDescent="0.25"/>
  </sheetData>
  <mergeCells count="7">
    <mergeCell ref="B6:D6"/>
    <mergeCell ref="E6:G6"/>
    <mergeCell ref="H6:J6"/>
    <mergeCell ref="A1:J1"/>
    <mergeCell ref="A2:J2"/>
    <mergeCell ref="A3:J3"/>
    <mergeCell ref="A5:J5"/>
  </mergeCells>
  <pageMargins left="0.7" right="0.7" top="0.75" bottom="0.75" header="0.3" footer="0.3"/>
  <pageSetup scale="58" orientation="landscape" horizontalDpi="4294967295" verticalDpi="4294967295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02111-09F3-424E-9906-DE29EC1C2DD4}">
  <dimension ref="A1:G11"/>
  <sheetViews>
    <sheetView rightToLeft="1" view="pageBreakPreview" zoomScaleNormal="100" zoomScaleSheetLayoutView="100" workbookViewId="0">
      <selection sqref="A1:G1"/>
    </sheetView>
  </sheetViews>
  <sheetFormatPr defaultColWidth="8.85546875" defaultRowHeight="19.5" x14ac:dyDescent="0.25"/>
  <cols>
    <col min="1" max="1" width="34" style="20" customWidth="1"/>
    <col min="2" max="7" width="17.85546875" style="20" customWidth="1"/>
    <col min="8" max="16384" width="8.85546875" style="20"/>
  </cols>
  <sheetData>
    <row r="1" spans="1:7" x14ac:dyDescent="0.25">
      <c r="A1" s="86" t="s">
        <v>111</v>
      </c>
      <c r="B1" s="86"/>
      <c r="C1" s="86"/>
      <c r="D1" s="86"/>
      <c r="E1" s="86"/>
      <c r="F1" s="86"/>
      <c r="G1" s="86"/>
    </row>
    <row r="2" spans="1:7" x14ac:dyDescent="0.25">
      <c r="A2" s="86" t="s">
        <v>35</v>
      </c>
      <c r="B2" s="86"/>
      <c r="C2" s="86"/>
      <c r="D2" s="86"/>
      <c r="E2" s="86"/>
      <c r="F2" s="86"/>
      <c r="G2" s="86"/>
    </row>
    <row r="3" spans="1:7" x14ac:dyDescent="0.25">
      <c r="A3" s="86" t="s">
        <v>44</v>
      </c>
      <c r="B3" s="86"/>
      <c r="C3" s="86"/>
      <c r="D3" s="86"/>
      <c r="E3" s="86"/>
      <c r="F3" s="86"/>
      <c r="G3" s="86"/>
    </row>
    <row r="4" spans="1:7" x14ac:dyDescent="0.25">
      <c r="A4" s="35"/>
      <c r="B4" s="35"/>
      <c r="C4" s="35"/>
      <c r="D4" s="35"/>
      <c r="E4" s="35"/>
      <c r="F4" s="35"/>
      <c r="G4" s="35"/>
    </row>
    <row r="5" spans="1:7" ht="21" x14ac:dyDescent="0.25">
      <c r="A5" s="60" t="s">
        <v>41</v>
      </c>
      <c r="B5" s="60"/>
      <c r="C5" s="60"/>
      <c r="D5" s="60"/>
      <c r="E5" s="60"/>
      <c r="F5" s="60"/>
      <c r="G5" s="60"/>
    </row>
    <row r="6" spans="1:7" ht="20.25" thickBot="1" x14ac:dyDescent="0.3">
      <c r="A6" s="33"/>
      <c r="B6" s="78" t="s">
        <v>63</v>
      </c>
      <c r="C6" s="78"/>
      <c r="D6" s="78"/>
      <c r="E6" s="78" t="s">
        <v>36</v>
      </c>
      <c r="F6" s="78"/>
      <c r="G6" s="78"/>
    </row>
    <row r="7" spans="1:7" ht="38.25" customHeight="1" thickBot="1" x14ac:dyDescent="0.3">
      <c r="A7" s="2" t="s">
        <v>62</v>
      </c>
      <c r="B7" s="32" t="s">
        <v>37</v>
      </c>
      <c r="C7" s="32" t="s">
        <v>24</v>
      </c>
      <c r="D7" s="32" t="s">
        <v>25</v>
      </c>
      <c r="E7" s="32" t="s">
        <v>37</v>
      </c>
      <c r="F7" s="32" t="s">
        <v>24</v>
      </c>
      <c r="G7" s="32" t="s">
        <v>25</v>
      </c>
    </row>
    <row r="8" spans="1:7" x14ac:dyDescent="0.25">
      <c r="A8" s="7" t="s">
        <v>48</v>
      </c>
      <c r="B8" s="15">
        <v>43686429</v>
      </c>
      <c r="C8" s="15">
        <v>0</v>
      </c>
      <c r="D8" s="15">
        <v>43686429</v>
      </c>
      <c r="E8" s="15">
        <v>73854247</v>
      </c>
      <c r="F8" s="15">
        <v>0</v>
      </c>
      <c r="G8" s="15">
        <v>73854247</v>
      </c>
    </row>
    <row r="9" spans="1:7" x14ac:dyDescent="0.25">
      <c r="A9" s="7" t="s">
        <v>47</v>
      </c>
      <c r="B9" s="15">
        <v>2988959679</v>
      </c>
      <c r="C9" s="15">
        <v>-9460271</v>
      </c>
      <c r="D9" s="15">
        <v>2979499408</v>
      </c>
      <c r="E9" s="15">
        <v>8577926107</v>
      </c>
      <c r="F9" s="15">
        <v>-1447193</v>
      </c>
      <c r="G9" s="15">
        <v>8576478914</v>
      </c>
    </row>
    <row r="10" spans="1:7" ht="20.25" thickBot="1" x14ac:dyDescent="0.3">
      <c r="A10" s="7" t="s">
        <v>2</v>
      </c>
      <c r="B10" s="9">
        <f t="shared" ref="B10:G10" si="0">SUM(B8:B9)</f>
        <v>3032646108</v>
      </c>
      <c r="C10" s="9">
        <f t="shared" si="0"/>
        <v>-9460271</v>
      </c>
      <c r="D10" s="9">
        <f t="shared" si="0"/>
        <v>3023185837</v>
      </c>
      <c r="E10" s="9">
        <f t="shared" si="0"/>
        <v>8651780354</v>
      </c>
      <c r="F10" s="9">
        <f t="shared" si="0"/>
        <v>-1447193</v>
      </c>
      <c r="G10" s="9">
        <f t="shared" si="0"/>
        <v>8650333161</v>
      </c>
    </row>
    <row r="11" spans="1:7" ht="20.25" thickTop="1" x14ac:dyDescent="0.25"/>
  </sheetData>
  <mergeCells count="6">
    <mergeCell ref="A1:G1"/>
    <mergeCell ref="A2:G2"/>
    <mergeCell ref="A3:G3"/>
    <mergeCell ref="A5:G5"/>
    <mergeCell ref="B6:D6"/>
    <mergeCell ref="E6:G6"/>
  </mergeCells>
  <pageMargins left="0.7" right="0.7" top="0.75" bottom="0.75" header="0.3" footer="0.3"/>
  <pageSetup scale="76" orientation="landscape" horizontalDpi="4294967295" verticalDpi="4294967295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29436-B9A7-4DC1-BDD5-7423A1463B2F}">
  <dimension ref="A1:I79"/>
  <sheetViews>
    <sheetView rightToLeft="1" view="pageBreakPreview" zoomScale="60" zoomScaleNormal="100" workbookViewId="0">
      <selection activeCell="B6" sqref="B6:I6"/>
    </sheetView>
  </sheetViews>
  <sheetFormatPr defaultColWidth="8.85546875" defaultRowHeight="19.5" x14ac:dyDescent="0.25"/>
  <cols>
    <col min="1" max="1" width="34.7109375" style="20" customWidth="1"/>
    <col min="2" max="2" width="16.5703125" style="20" customWidth="1"/>
    <col min="3" max="3" width="19.85546875" style="20" customWidth="1"/>
    <col min="4" max="4" width="19.5703125" style="20" customWidth="1"/>
    <col min="5" max="5" width="20.140625" style="20" customWidth="1"/>
    <col min="6" max="6" width="15.28515625" style="20" customWidth="1"/>
    <col min="7" max="7" width="19.140625" style="20" customWidth="1"/>
    <col min="8" max="8" width="18.5703125" style="20" customWidth="1"/>
    <col min="9" max="9" width="20.42578125" style="20" customWidth="1"/>
    <col min="10" max="16384" width="8.85546875" style="20"/>
  </cols>
  <sheetData>
    <row r="1" spans="1:9" ht="21" x14ac:dyDescent="0.25">
      <c r="A1" s="59" t="s">
        <v>111</v>
      </c>
      <c r="B1" s="59"/>
      <c r="C1" s="59"/>
      <c r="D1" s="59"/>
      <c r="E1" s="59"/>
      <c r="F1" s="59"/>
      <c r="G1" s="59"/>
      <c r="H1" s="59"/>
      <c r="I1" s="59"/>
    </row>
    <row r="2" spans="1:9" ht="21" x14ac:dyDescent="0.25">
      <c r="A2" s="59" t="s">
        <v>35</v>
      </c>
      <c r="B2" s="59"/>
      <c r="C2" s="59"/>
      <c r="D2" s="59"/>
      <c r="E2" s="59"/>
      <c r="F2" s="59"/>
      <c r="G2" s="59"/>
      <c r="H2" s="59"/>
      <c r="I2" s="59"/>
    </row>
    <row r="3" spans="1:9" ht="21" x14ac:dyDescent="0.25">
      <c r="A3" s="59" t="s">
        <v>44</v>
      </c>
      <c r="B3" s="59"/>
      <c r="C3" s="59"/>
      <c r="D3" s="59"/>
      <c r="E3" s="59"/>
      <c r="F3" s="59"/>
      <c r="G3" s="59"/>
      <c r="H3" s="59"/>
      <c r="I3" s="59"/>
    </row>
    <row r="4" spans="1:9" ht="21" x14ac:dyDescent="0.25">
      <c r="A4" s="3"/>
      <c r="B4" s="3"/>
      <c r="C4" s="3"/>
      <c r="D4" s="3"/>
      <c r="E4" s="3"/>
      <c r="F4" s="3"/>
      <c r="G4" s="3"/>
      <c r="H4" s="3"/>
      <c r="I4" s="3"/>
    </row>
    <row r="5" spans="1:9" ht="21" x14ac:dyDescent="0.25">
      <c r="A5" s="60" t="s">
        <v>31</v>
      </c>
      <c r="B5" s="60"/>
      <c r="C5" s="60"/>
      <c r="D5" s="60"/>
      <c r="E5" s="60"/>
      <c r="F5" s="60"/>
      <c r="G5" s="60"/>
      <c r="H5" s="60"/>
      <c r="I5" s="60"/>
    </row>
    <row r="6" spans="1:9" ht="20.25" thickBot="1" x14ac:dyDescent="0.3">
      <c r="B6" s="78" t="s">
        <v>63</v>
      </c>
      <c r="C6" s="78"/>
      <c r="D6" s="78"/>
      <c r="E6" s="78"/>
      <c r="F6" s="78" t="s">
        <v>36</v>
      </c>
      <c r="G6" s="78"/>
      <c r="H6" s="78"/>
      <c r="I6" s="78"/>
    </row>
    <row r="7" spans="1:9" ht="20.25" thickBot="1" x14ac:dyDescent="0.3">
      <c r="A7" s="2" t="s">
        <v>22</v>
      </c>
      <c r="B7" s="34" t="s">
        <v>3</v>
      </c>
      <c r="C7" s="1" t="s">
        <v>11</v>
      </c>
      <c r="D7" s="34" t="s">
        <v>27</v>
      </c>
      <c r="E7" s="1" t="s">
        <v>29</v>
      </c>
      <c r="F7" s="34" t="s">
        <v>3</v>
      </c>
      <c r="G7" s="1" t="s">
        <v>11</v>
      </c>
      <c r="H7" s="34" t="s">
        <v>27</v>
      </c>
      <c r="I7" s="1" t="s">
        <v>29</v>
      </c>
    </row>
    <row r="8" spans="1:9" x14ac:dyDescent="0.25">
      <c r="A8" s="7" t="s">
        <v>199</v>
      </c>
      <c r="B8" s="15">
        <v>0</v>
      </c>
      <c r="C8" s="15">
        <v>0</v>
      </c>
      <c r="D8" s="15">
        <v>0</v>
      </c>
      <c r="E8" s="15">
        <v>0</v>
      </c>
      <c r="F8" s="15">
        <v>8000000</v>
      </c>
      <c r="G8" s="15">
        <v>60953834</v>
      </c>
      <c r="H8" s="15">
        <v>88020450</v>
      </c>
      <c r="I8" s="15">
        <v>-27066616</v>
      </c>
    </row>
    <row r="9" spans="1:9" x14ac:dyDescent="0.25">
      <c r="A9" s="7" t="s">
        <v>198</v>
      </c>
      <c r="B9" s="15">
        <v>0</v>
      </c>
      <c r="C9" s="15">
        <v>0</v>
      </c>
      <c r="D9" s="15">
        <v>0</v>
      </c>
      <c r="E9" s="15">
        <v>0</v>
      </c>
      <c r="F9" s="15">
        <v>32000000</v>
      </c>
      <c r="G9" s="15">
        <v>395700166</v>
      </c>
      <c r="H9" s="15">
        <v>95772726</v>
      </c>
      <c r="I9" s="15">
        <v>299927440</v>
      </c>
    </row>
    <row r="10" spans="1:9" x14ac:dyDescent="0.25">
      <c r="A10" s="7" t="s">
        <v>197</v>
      </c>
      <c r="B10" s="15">
        <v>0</v>
      </c>
      <c r="C10" s="15">
        <v>0</v>
      </c>
      <c r="D10" s="15">
        <v>0</v>
      </c>
      <c r="E10" s="15">
        <v>0</v>
      </c>
      <c r="F10" s="15">
        <v>14000000</v>
      </c>
      <c r="G10" s="15">
        <v>126903870</v>
      </c>
      <c r="H10" s="15">
        <v>150017443</v>
      </c>
      <c r="I10" s="15">
        <v>-23113573</v>
      </c>
    </row>
    <row r="11" spans="1:9" x14ac:dyDescent="0.25">
      <c r="A11" s="7" t="s">
        <v>196</v>
      </c>
      <c r="B11" s="15">
        <v>0</v>
      </c>
      <c r="C11" s="15">
        <v>0</v>
      </c>
      <c r="D11" s="15">
        <v>0</v>
      </c>
      <c r="E11" s="15">
        <v>0</v>
      </c>
      <c r="F11" s="15">
        <v>5000000</v>
      </c>
      <c r="G11" s="15">
        <v>64950770</v>
      </c>
      <c r="H11" s="15">
        <v>14962107</v>
      </c>
      <c r="I11" s="15">
        <v>49988663</v>
      </c>
    </row>
    <row r="12" spans="1:9" x14ac:dyDescent="0.25">
      <c r="A12" s="7" t="s">
        <v>195</v>
      </c>
      <c r="B12" s="15">
        <v>0</v>
      </c>
      <c r="C12" s="15">
        <v>0</v>
      </c>
      <c r="D12" s="15">
        <v>0</v>
      </c>
      <c r="E12" s="15">
        <v>0</v>
      </c>
      <c r="F12" s="15">
        <v>11000000</v>
      </c>
      <c r="G12" s="15">
        <v>191854617</v>
      </c>
      <c r="H12" s="15">
        <v>329103803</v>
      </c>
      <c r="I12" s="15">
        <v>-137249186</v>
      </c>
    </row>
    <row r="13" spans="1:9" x14ac:dyDescent="0.25">
      <c r="A13" s="7" t="s">
        <v>200</v>
      </c>
      <c r="B13" s="15">
        <v>0</v>
      </c>
      <c r="C13" s="15">
        <v>0</v>
      </c>
      <c r="D13" s="15">
        <v>0</v>
      </c>
      <c r="E13" s="15">
        <v>0</v>
      </c>
      <c r="F13" s="15">
        <v>5000000</v>
      </c>
      <c r="G13" s="15">
        <v>76941700</v>
      </c>
      <c r="H13" s="15">
        <v>193166649</v>
      </c>
      <c r="I13" s="15">
        <v>-116224949</v>
      </c>
    </row>
    <row r="14" spans="1:9" x14ac:dyDescent="0.25">
      <c r="A14" s="7" t="s">
        <v>149</v>
      </c>
      <c r="B14" s="15">
        <v>0</v>
      </c>
      <c r="C14" s="15">
        <v>0</v>
      </c>
      <c r="D14" s="15">
        <v>0</v>
      </c>
      <c r="E14" s="15">
        <v>0</v>
      </c>
      <c r="F14" s="15">
        <v>1105454</v>
      </c>
      <c r="G14" s="15">
        <v>5875656169</v>
      </c>
      <c r="H14" s="15">
        <v>5233649749</v>
      </c>
      <c r="I14" s="15">
        <v>642006420</v>
      </c>
    </row>
    <row r="15" spans="1:9" x14ac:dyDescent="0.25">
      <c r="A15" s="7" t="s">
        <v>147</v>
      </c>
      <c r="B15" s="15">
        <v>0</v>
      </c>
      <c r="C15" s="15">
        <v>0</v>
      </c>
      <c r="D15" s="15">
        <v>0</v>
      </c>
      <c r="E15" s="15">
        <v>0</v>
      </c>
      <c r="F15" s="15">
        <v>10800000</v>
      </c>
      <c r="G15" s="15">
        <v>6220739248</v>
      </c>
      <c r="H15" s="15">
        <v>6274283688</v>
      </c>
      <c r="I15" s="15">
        <v>-53544440</v>
      </c>
    </row>
    <row r="16" spans="1:9" x14ac:dyDescent="0.25">
      <c r="A16" s="7" t="s">
        <v>193</v>
      </c>
      <c r="B16" s="15">
        <v>0</v>
      </c>
      <c r="C16" s="15">
        <v>0</v>
      </c>
      <c r="D16" s="15">
        <v>0</v>
      </c>
      <c r="E16" s="15">
        <v>0</v>
      </c>
      <c r="F16" s="15">
        <v>1000000</v>
      </c>
      <c r="G16" s="15">
        <v>77980889</v>
      </c>
      <c r="H16" s="15">
        <v>1942399</v>
      </c>
      <c r="I16" s="15">
        <v>76038490</v>
      </c>
    </row>
    <row r="17" spans="1:9" x14ac:dyDescent="0.25">
      <c r="A17" s="7" t="s">
        <v>201</v>
      </c>
      <c r="B17" s="15">
        <v>0</v>
      </c>
      <c r="C17" s="15">
        <v>0</v>
      </c>
      <c r="D17" s="15">
        <v>0</v>
      </c>
      <c r="E17" s="15">
        <v>0</v>
      </c>
      <c r="F17" s="15">
        <v>11000000</v>
      </c>
      <c r="G17" s="15">
        <v>144890222</v>
      </c>
      <c r="H17" s="15">
        <v>64023467</v>
      </c>
      <c r="I17" s="15">
        <v>80866755</v>
      </c>
    </row>
    <row r="18" spans="1:9" x14ac:dyDescent="0.25">
      <c r="A18" s="7" t="s">
        <v>192</v>
      </c>
      <c r="B18" s="15">
        <v>0</v>
      </c>
      <c r="C18" s="15">
        <v>0</v>
      </c>
      <c r="D18" s="15">
        <v>0</v>
      </c>
      <c r="E18" s="15">
        <v>0</v>
      </c>
      <c r="F18" s="15">
        <v>20000000</v>
      </c>
      <c r="G18" s="15">
        <v>348735672</v>
      </c>
      <c r="H18" s="15">
        <v>19750712</v>
      </c>
      <c r="I18" s="15">
        <v>328984960</v>
      </c>
    </row>
    <row r="19" spans="1:9" x14ac:dyDescent="0.25">
      <c r="A19" s="7" t="s">
        <v>146</v>
      </c>
      <c r="B19" s="15">
        <v>0</v>
      </c>
      <c r="C19" s="15">
        <v>0</v>
      </c>
      <c r="D19" s="15">
        <v>0</v>
      </c>
      <c r="E19" s="15">
        <v>0</v>
      </c>
      <c r="F19" s="15">
        <v>1200000</v>
      </c>
      <c r="G19" s="15">
        <v>3952012977</v>
      </c>
      <c r="H19" s="15">
        <v>3772517754</v>
      </c>
      <c r="I19" s="15">
        <v>179495223</v>
      </c>
    </row>
    <row r="20" spans="1:9" x14ac:dyDescent="0.25">
      <c r="A20" s="7" t="s">
        <v>86</v>
      </c>
      <c r="B20" s="15">
        <v>0</v>
      </c>
      <c r="C20" s="15">
        <v>0</v>
      </c>
      <c r="D20" s="15">
        <v>0</v>
      </c>
      <c r="E20" s="15">
        <v>0</v>
      </c>
      <c r="F20" s="15">
        <v>200000</v>
      </c>
      <c r="G20" s="15">
        <v>1738457084</v>
      </c>
      <c r="H20" s="15">
        <v>1728227686</v>
      </c>
      <c r="I20" s="15">
        <v>10229398</v>
      </c>
    </row>
    <row r="21" spans="1:9" x14ac:dyDescent="0.25">
      <c r="A21" s="7" t="s">
        <v>85</v>
      </c>
      <c r="B21" s="15">
        <v>0</v>
      </c>
      <c r="C21" s="15">
        <v>0</v>
      </c>
      <c r="D21" s="15">
        <v>0</v>
      </c>
      <c r="E21" s="15">
        <v>0</v>
      </c>
      <c r="F21" s="15">
        <v>1100000</v>
      </c>
      <c r="G21" s="15">
        <v>14835801785</v>
      </c>
      <c r="H21" s="15">
        <v>12551375714</v>
      </c>
      <c r="I21" s="15">
        <v>2284426071</v>
      </c>
    </row>
    <row r="22" spans="1:9" x14ac:dyDescent="0.25">
      <c r="A22" s="7" t="s">
        <v>89</v>
      </c>
      <c r="B22" s="15">
        <v>0</v>
      </c>
      <c r="C22" s="15">
        <v>0</v>
      </c>
      <c r="D22" s="15">
        <v>0</v>
      </c>
      <c r="E22" s="15">
        <v>0</v>
      </c>
      <c r="F22" s="15">
        <v>133750</v>
      </c>
      <c r="G22" s="15">
        <v>4817594885</v>
      </c>
      <c r="H22" s="15">
        <v>3904138426</v>
      </c>
      <c r="I22" s="15">
        <v>913456459</v>
      </c>
    </row>
    <row r="23" spans="1:9" x14ac:dyDescent="0.25">
      <c r="A23" s="7" t="s">
        <v>142</v>
      </c>
      <c r="B23" s="15">
        <v>0</v>
      </c>
      <c r="C23" s="15">
        <v>0</v>
      </c>
      <c r="D23" s="15">
        <v>0</v>
      </c>
      <c r="E23" s="15">
        <v>0</v>
      </c>
      <c r="F23" s="15">
        <v>2450000</v>
      </c>
      <c r="G23" s="15">
        <v>9241456646</v>
      </c>
      <c r="H23" s="15">
        <v>10267435753</v>
      </c>
      <c r="I23" s="15">
        <v>-1025979107</v>
      </c>
    </row>
    <row r="24" spans="1:9" x14ac:dyDescent="0.25">
      <c r="A24" s="7" t="s">
        <v>194</v>
      </c>
      <c r="B24" s="15">
        <v>0</v>
      </c>
      <c r="C24" s="15">
        <v>0</v>
      </c>
      <c r="D24" s="15">
        <v>0</v>
      </c>
      <c r="E24" s="15">
        <v>0</v>
      </c>
      <c r="F24" s="15">
        <v>1000000</v>
      </c>
      <c r="G24" s="15">
        <v>51960615</v>
      </c>
      <c r="H24" s="15">
        <v>83023483</v>
      </c>
      <c r="I24" s="15">
        <v>-31062868</v>
      </c>
    </row>
    <row r="25" spans="1:9" x14ac:dyDescent="0.25">
      <c r="A25" s="7" t="s">
        <v>202</v>
      </c>
      <c r="B25" s="15">
        <v>0</v>
      </c>
      <c r="C25" s="15">
        <v>0</v>
      </c>
      <c r="D25" s="15">
        <v>0</v>
      </c>
      <c r="E25" s="15">
        <v>0</v>
      </c>
      <c r="F25" s="15">
        <v>1000000</v>
      </c>
      <c r="G25" s="15">
        <v>381161053</v>
      </c>
      <c r="H25" s="15">
        <v>392413355</v>
      </c>
      <c r="I25" s="15">
        <v>-11252302</v>
      </c>
    </row>
    <row r="26" spans="1:9" x14ac:dyDescent="0.25">
      <c r="A26" s="7" t="s">
        <v>145</v>
      </c>
      <c r="B26" s="15">
        <v>0</v>
      </c>
      <c r="C26" s="15">
        <v>0</v>
      </c>
      <c r="D26" s="15">
        <v>0</v>
      </c>
      <c r="E26" s="15">
        <v>0</v>
      </c>
      <c r="F26" s="15">
        <v>2900000</v>
      </c>
      <c r="G26" s="15">
        <v>21814981638</v>
      </c>
      <c r="H26" s="15">
        <v>23394781032</v>
      </c>
      <c r="I26" s="15">
        <v>-1579799394</v>
      </c>
    </row>
    <row r="27" spans="1:9" x14ac:dyDescent="0.25">
      <c r="A27" s="7" t="s">
        <v>88</v>
      </c>
      <c r="B27" s="15">
        <v>0</v>
      </c>
      <c r="C27" s="15">
        <v>0</v>
      </c>
      <c r="D27" s="15">
        <v>0</v>
      </c>
      <c r="E27" s="15">
        <v>0</v>
      </c>
      <c r="F27" s="15">
        <v>170000</v>
      </c>
      <c r="G27" s="15">
        <v>2753946186</v>
      </c>
      <c r="H27" s="15">
        <v>2564501033</v>
      </c>
      <c r="I27" s="15">
        <v>189445153</v>
      </c>
    </row>
    <row r="28" spans="1:9" x14ac:dyDescent="0.25">
      <c r="A28" s="7" t="s">
        <v>82</v>
      </c>
      <c r="B28" s="15">
        <v>0</v>
      </c>
      <c r="C28" s="15">
        <v>0</v>
      </c>
      <c r="D28" s="15">
        <v>0</v>
      </c>
      <c r="E28" s="15">
        <v>0</v>
      </c>
      <c r="F28" s="15">
        <v>49000</v>
      </c>
      <c r="G28" s="15">
        <v>1444536745</v>
      </c>
      <c r="H28" s="15">
        <v>1279640401</v>
      </c>
      <c r="I28" s="15">
        <v>164896344</v>
      </c>
    </row>
    <row r="29" spans="1:9" x14ac:dyDescent="0.25">
      <c r="A29" s="7" t="s">
        <v>191</v>
      </c>
      <c r="B29" s="15">
        <v>0</v>
      </c>
      <c r="C29" s="15">
        <v>0</v>
      </c>
      <c r="D29" s="15">
        <v>0</v>
      </c>
      <c r="E29" s="15">
        <v>0</v>
      </c>
      <c r="F29" s="15">
        <v>5149000</v>
      </c>
      <c r="G29" s="15">
        <v>2128867180</v>
      </c>
      <c r="H29" s="15">
        <v>62206486</v>
      </c>
      <c r="I29" s="15">
        <v>2066660694</v>
      </c>
    </row>
    <row r="30" spans="1:9" x14ac:dyDescent="0.25">
      <c r="A30" s="7" t="s">
        <v>91</v>
      </c>
      <c r="B30" s="15">
        <v>0</v>
      </c>
      <c r="C30" s="15">
        <v>0</v>
      </c>
      <c r="D30" s="15">
        <v>0</v>
      </c>
      <c r="E30" s="15">
        <v>0</v>
      </c>
      <c r="F30" s="15">
        <v>100000</v>
      </c>
      <c r="G30" s="15">
        <v>2222684823</v>
      </c>
      <c r="H30" s="15">
        <v>2066451823</v>
      </c>
      <c r="I30" s="15">
        <v>156233000</v>
      </c>
    </row>
    <row r="31" spans="1:9" x14ac:dyDescent="0.25">
      <c r="A31" s="7" t="s">
        <v>190</v>
      </c>
      <c r="B31" s="15">
        <v>0</v>
      </c>
      <c r="C31" s="15">
        <v>0</v>
      </c>
      <c r="D31" s="15">
        <v>0</v>
      </c>
      <c r="E31" s="15">
        <v>0</v>
      </c>
      <c r="F31" s="15">
        <v>4000000</v>
      </c>
      <c r="G31" s="15">
        <v>1402936497</v>
      </c>
      <c r="H31" s="15">
        <v>1316934107</v>
      </c>
      <c r="I31" s="15">
        <v>86002390</v>
      </c>
    </row>
    <row r="32" spans="1:9" x14ac:dyDescent="0.25">
      <c r="A32" s="7" t="s">
        <v>189</v>
      </c>
      <c r="B32" s="15">
        <v>0</v>
      </c>
      <c r="C32" s="15">
        <v>0</v>
      </c>
      <c r="D32" s="15">
        <v>0</v>
      </c>
      <c r="E32" s="15">
        <v>0</v>
      </c>
      <c r="F32" s="15">
        <v>148596000</v>
      </c>
      <c r="G32" s="15">
        <v>2596420247</v>
      </c>
      <c r="H32" s="15">
        <v>153149604</v>
      </c>
      <c r="I32" s="15">
        <v>2443270643</v>
      </c>
    </row>
    <row r="33" spans="1:9" x14ac:dyDescent="0.25">
      <c r="A33" s="7" t="s">
        <v>188</v>
      </c>
      <c r="B33" s="15">
        <v>0</v>
      </c>
      <c r="C33" s="15">
        <v>0</v>
      </c>
      <c r="D33" s="15">
        <v>0</v>
      </c>
      <c r="E33" s="15">
        <v>0</v>
      </c>
      <c r="F33" s="15">
        <v>36000000</v>
      </c>
      <c r="G33" s="15">
        <v>334746428</v>
      </c>
      <c r="H33" s="15">
        <v>71800788</v>
      </c>
      <c r="I33" s="15">
        <v>262945640</v>
      </c>
    </row>
    <row r="34" spans="1:9" x14ac:dyDescent="0.25">
      <c r="A34" s="7" t="s">
        <v>72</v>
      </c>
      <c r="B34" s="15">
        <v>0</v>
      </c>
      <c r="C34" s="15">
        <v>0</v>
      </c>
      <c r="D34" s="15">
        <v>0</v>
      </c>
      <c r="E34" s="15">
        <v>0</v>
      </c>
      <c r="F34" s="15">
        <v>200000</v>
      </c>
      <c r="G34" s="15">
        <v>5146100772</v>
      </c>
      <c r="H34" s="15">
        <v>4429940696</v>
      </c>
      <c r="I34" s="15">
        <v>716160076</v>
      </c>
    </row>
    <row r="35" spans="1:9" x14ac:dyDescent="0.25">
      <c r="A35" s="7" t="s">
        <v>98</v>
      </c>
      <c r="B35" s="15">
        <v>1000</v>
      </c>
      <c r="C35" s="15">
        <v>1700595</v>
      </c>
      <c r="D35" s="15">
        <v>1716203</v>
      </c>
      <c r="E35" s="15">
        <v>-15608</v>
      </c>
      <c r="F35" s="15">
        <v>9142000</v>
      </c>
      <c r="G35" s="15">
        <v>15625287530</v>
      </c>
      <c r="H35" s="15">
        <v>15653788897</v>
      </c>
      <c r="I35" s="15">
        <v>-28501367</v>
      </c>
    </row>
    <row r="36" spans="1:9" x14ac:dyDescent="0.25">
      <c r="A36" s="7" t="s">
        <v>83</v>
      </c>
      <c r="B36" s="15">
        <v>0</v>
      </c>
      <c r="C36" s="15">
        <v>0</v>
      </c>
      <c r="D36" s="15">
        <v>0</v>
      </c>
      <c r="E36" s="15">
        <v>0</v>
      </c>
      <c r="F36" s="15">
        <v>200000</v>
      </c>
      <c r="G36" s="15">
        <v>1492374080</v>
      </c>
      <c r="H36" s="15">
        <v>1290832722</v>
      </c>
      <c r="I36" s="15">
        <v>201541358</v>
      </c>
    </row>
    <row r="37" spans="1:9" x14ac:dyDescent="0.25">
      <c r="A37" s="7" t="s">
        <v>221</v>
      </c>
      <c r="B37" s="15">
        <v>0</v>
      </c>
      <c r="C37" s="15">
        <v>0</v>
      </c>
      <c r="D37" s="15">
        <v>0</v>
      </c>
      <c r="E37" s="15">
        <v>0</v>
      </c>
      <c r="F37" s="15">
        <v>3500000</v>
      </c>
      <c r="G37" s="15">
        <v>3004685259</v>
      </c>
      <c r="H37" s="15">
        <v>53764669</v>
      </c>
      <c r="I37" s="15">
        <v>2950920590</v>
      </c>
    </row>
    <row r="38" spans="1:9" x14ac:dyDescent="0.25">
      <c r="A38" s="7" t="s">
        <v>186</v>
      </c>
      <c r="B38" s="15">
        <v>0</v>
      </c>
      <c r="C38" s="15">
        <v>0</v>
      </c>
      <c r="D38" s="15">
        <v>0</v>
      </c>
      <c r="E38" s="15">
        <v>0</v>
      </c>
      <c r="F38" s="15">
        <v>8000000</v>
      </c>
      <c r="G38" s="15">
        <v>249810648</v>
      </c>
      <c r="H38" s="15">
        <v>55853032</v>
      </c>
      <c r="I38" s="15">
        <v>193957616</v>
      </c>
    </row>
    <row r="39" spans="1:9" x14ac:dyDescent="0.25">
      <c r="A39" s="7" t="s">
        <v>150</v>
      </c>
      <c r="B39" s="15">
        <v>0</v>
      </c>
      <c r="C39" s="15">
        <v>0</v>
      </c>
      <c r="D39" s="15">
        <v>0</v>
      </c>
      <c r="E39" s="15">
        <v>0</v>
      </c>
      <c r="F39" s="15">
        <v>2300000</v>
      </c>
      <c r="G39" s="15">
        <v>17160317626</v>
      </c>
      <c r="H39" s="15">
        <v>18580529826</v>
      </c>
      <c r="I39" s="15">
        <v>-1420212200</v>
      </c>
    </row>
    <row r="40" spans="1:9" x14ac:dyDescent="0.25">
      <c r="A40" s="7" t="s">
        <v>220</v>
      </c>
      <c r="B40" s="15">
        <v>0</v>
      </c>
      <c r="C40" s="15">
        <v>0</v>
      </c>
      <c r="D40" s="15">
        <v>0</v>
      </c>
      <c r="E40" s="15">
        <v>0</v>
      </c>
      <c r="F40" s="15">
        <v>700000</v>
      </c>
      <c r="G40" s="15">
        <v>10200715278</v>
      </c>
      <c r="H40" s="15">
        <v>10478287108</v>
      </c>
      <c r="I40" s="15">
        <v>-277571830</v>
      </c>
    </row>
    <row r="41" spans="1:9" x14ac:dyDescent="0.25">
      <c r="A41" s="7" t="s">
        <v>183</v>
      </c>
      <c r="B41" s="15">
        <v>0</v>
      </c>
      <c r="C41" s="15">
        <v>0</v>
      </c>
      <c r="D41" s="15">
        <v>0</v>
      </c>
      <c r="E41" s="15">
        <v>0</v>
      </c>
      <c r="F41" s="15">
        <v>200000</v>
      </c>
      <c r="G41" s="15">
        <v>1053201595</v>
      </c>
      <c r="H41" s="15">
        <v>1099234231</v>
      </c>
      <c r="I41" s="15">
        <v>-46032636</v>
      </c>
    </row>
    <row r="42" spans="1:9" x14ac:dyDescent="0.25">
      <c r="A42" s="7" t="s">
        <v>185</v>
      </c>
      <c r="B42" s="15">
        <v>0</v>
      </c>
      <c r="C42" s="15">
        <v>0</v>
      </c>
      <c r="D42" s="15">
        <v>0</v>
      </c>
      <c r="E42" s="15">
        <v>0</v>
      </c>
      <c r="F42" s="15">
        <v>25424000</v>
      </c>
      <c r="G42" s="15">
        <v>608223068</v>
      </c>
      <c r="H42" s="15">
        <v>324504958</v>
      </c>
      <c r="I42" s="15">
        <v>283718110</v>
      </c>
    </row>
    <row r="43" spans="1:9" x14ac:dyDescent="0.25">
      <c r="A43" s="7" t="s">
        <v>184</v>
      </c>
      <c r="B43" s="15">
        <v>0</v>
      </c>
      <c r="C43" s="15">
        <v>0</v>
      </c>
      <c r="D43" s="15">
        <v>0</v>
      </c>
      <c r="E43" s="15">
        <v>0</v>
      </c>
      <c r="F43" s="15">
        <v>100000</v>
      </c>
      <c r="G43" s="15">
        <v>139894951</v>
      </c>
      <c r="H43" s="15">
        <v>112979266</v>
      </c>
      <c r="I43" s="15">
        <v>26915685</v>
      </c>
    </row>
    <row r="44" spans="1:9" x14ac:dyDescent="0.25">
      <c r="A44" s="7" t="s">
        <v>182</v>
      </c>
      <c r="B44" s="15">
        <v>0</v>
      </c>
      <c r="C44" s="15">
        <v>0</v>
      </c>
      <c r="D44" s="15">
        <v>0</v>
      </c>
      <c r="E44" s="15">
        <v>0</v>
      </c>
      <c r="F44" s="15">
        <v>5000000</v>
      </c>
      <c r="G44" s="15">
        <v>120908364</v>
      </c>
      <c r="H44" s="15">
        <v>14919709</v>
      </c>
      <c r="I44" s="15">
        <v>105988655</v>
      </c>
    </row>
    <row r="45" spans="1:9" x14ac:dyDescent="0.25">
      <c r="A45" s="7" t="s">
        <v>181</v>
      </c>
      <c r="B45" s="15">
        <v>0</v>
      </c>
      <c r="C45" s="15">
        <v>0</v>
      </c>
      <c r="D45" s="15">
        <v>0</v>
      </c>
      <c r="E45" s="15">
        <v>0</v>
      </c>
      <c r="F45" s="15">
        <v>8000000</v>
      </c>
      <c r="G45" s="15">
        <v>256805344</v>
      </c>
      <c r="H45" s="15">
        <v>31829545</v>
      </c>
      <c r="I45" s="15">
        <v>224975799</v>
      </c>
    </row>
    <row r="46" spans="1:9" x14ac:dyDescent="0.25">
      <c r="A46" s="7" t="s">
        <v>180</v>
      </c>
      <c r="B46" s="15">
        <v>0</v>
      </c>
      <c r="C46" s="15">
        <v>0</v>
      </c>
      <c r="D46" s="15">
        <v>0</v>
      </c>
      <c r="E46" s="15">
        <v>0</v>
      </c>
      <c r="F46" s="15">
        <v>8096000</v>
      </c>
      <c r="G46" s="15">
        <v>327383857</v>
      </c>
      <c r="H46" s="15">
        <v>32160346</v>
      </c>
      <c r="I46" s="15">
        <v>295223511</v>
      </c>
    </row>
    <row r="47" spans="1:9" x14ac:dyDescent="0.25">
      <c r="A47" s="7" t="s">
        <v>87</v>
      </c>
      <c r="B47" s="15">
        <v>0</v>
      </c>
      <c r="C47" s="15">
        <v>0</v>
      </c>
      <c r="D47" s="15">
        <v>0</v>
      </c>
      <c r="E47" s="15">
        <v>0</v>
      </c>
      <c r="F47" s="15">
        <v>1256501</v>
      </c>
      <c r="G47" s="15">
        <v>9700012759</v>
      </c>
      <c r="H47" s="15">
        <v>7872659474</v>
      </c>
      <c r="I47" s="15">
        <v>1827353285</v>
      </c>
    </row>
    <row r="48" spans="1:9" x14ac:dyDescent="0.25">
      <c r="A48" s="7" t="s">
        <v>78</v>
      </c>
      <c r="B48" s="15">
        <v>0</v>
      </c>
      <c r="C48" s="15">
        <v>0</v>
      </c>
      <c r="D48" s="15">
        <v>0</v>
      </c>
      <c r="E48" s="15">
        <v>0</v>
      </c>
      <c r="F48" s="15">
        <v>100000</v>
      </c>
      <c r="G48" s="15">
        <v>6318775366</v>
      </c>
      <c r="H48" s="15">
        <v>4303656508</v>
      </c>
      <c r="I48" s="15">
        <v>2015118858</v>
      </c>
    </row>
    <row r="49" spans="1:9" x14ac:dyDescent="0.25">
      <c r="A49" s="7" t="s">
        <v>219</v>
      </c>
      <c r="B49" s="15">
        <v>0</v>
      </c>
      <c r="C49" s="15">
        <v>0</v>
      </c>
      <c r="D49" s="15">
        <v>0</v>
      </c>
      <c r="E49" s="15">
        <v>0</v>
      </c>
      <c r="F49" s="15">
        <v>6000000</v>
      </c>
      <c r="G49" s="15">
        <v>2470752400</v>
      </c>
      <c r="H49" s="15">
        <v>2814280790</v>
      </c>
      <c r="I49" s="15">
        <v>-343528390</v>
      </c>
    </row>
    <row r="50" spans="1:9" x14ac:dyDescent="0.25">
      <c r="A50" s="7" t="s">
        <v>80</v>
      </c>
      <c r="B50" s="15">
        <v>0</v>
      </c>
      <c r="C50" s="15">
        <v>0</v>
      </c>
      <c r="D50" s="15">
        <v>0</v>
      </c>
      <c r="E50" s="15">
        <v>0</v>
      </c>
      <c r="F50" s="15">
        <v>200000</v>
      </c>
      <c r="G50" s="15">
        <v>5665861700</v>
      </c>
      <c r="H50" s="15">
        <v>5510589160</v>
      </c>
      <c r="I50" s="15">
        <v>155272540</v>
      </c>
    </row>
    <row r="51" spans="1:9" x14ac:dyDescent="0.25">
      <c r="A51" s="7" t="s">
        <v>90</v>
      </c>
      <c r="B51" s="15">
        <v>0</v>
      </c>
      <c r="C51" s="15">
        <v>0</v>
      </c>
      <c r="D51" s="15">
        <v>0</v>
      </c>
      <c r="E51" s="15">
        <v>0</v>
      </c>
      <c r="F51" s="15">
        <v>3200000</v>
      </c>
      <c r="G51" s="15">
        <v>11113821014</v>
      </c>
      <c r="H51" s="15">
        <v>12416498507</v>
      </c>
      <c r="I51" s="15">
        <v>-1302677493</v>
      </c>
    </row>
    <row r="52" spans="1:9" x14ac:dyDescent="0.25">
      <c r="A52" s="7" t="s">
        <v>101</v>
      </c>
      <c r="B52" s="15">
        <v>9954</v>
      </c>
      <c r="C52" s="15">
        <v>9750765</v>
      </c>
      <c r="D52" s="15">
        <v>10450380</v>
      </c>
      <c r="E52" s="15">
        <v>-699615</v>
      </c>
      <c r="F52" s="15">
        <v>16529954</v>
      </c>
      <c r="G52" s="15">
        <v>21408131268</v>
      </c>
      <c r="H52" s="15">
        <v>24670647310</v>
      </c>
      <c r="I52" s="15">
        <v>-3262516042</v>
      </c>
    </row>
    <row r="53" spans="1:9" x14ac:dyDescent="0.25">
      <c r="A53" s="7" t="s">
        <v>92</v>
      </c>
      <c r="B53" s="15">
        <v>0</v>
      </c>
      <c r="C53" s="15">
        <v>0</v>
      </c>
      <c r="D53" s="15">
        <v>0</v>
      </c>
      <c r="E53" s="15">
        <v>0</v>
      </c>
      <c r="F53" s="15">
        <v>400000</v>
      </c>
      <c r="G53" s="15">
        <v>4735112467</v>
      </c>
      <c r="H53" s="15">
        <v>4102862907</v>
      </c>
      <c r="I53" s="15">
        <v>632249560</v>
      </c>
    </row>
    <row r="54" spans="1:9" x14ac:dyDescent="0.25">
      <c r="A54" s="7" t="s">
        <v>178</v>
      </c>
      <c r="B54" s="15">
        <v>0</v>
      </c>
      <c r="C54" s="15">
        <v>0</v>
      </c>
      <c r="D54" s="15">
        <v>0</v>
      </c>
      <c r="E54" s="15">
        <v>0</v>
      </c>
      <c r="F54" s="15">
        <v>77000000</v>
      </c>
      <c r="G54" s="15">
        <v>379712256</v>
      </c>
      <c r="H54" s="15">
        <v>-287744</v>
      </c>
      <c r="I54" s="15">
        <v>380000000</v>
      </c>
    </row>
    <row r="55" spans="1:9" x14ac:dyDescent="0.25">
      <c r="A55" s="7" t="s">
        <v>75</v>
      </c>
      <c r="B55" s="15">
        <v>0</v>
      </c>
      <c r="C55" s="15">
        <v>0</v>
      </c>
      <c r="D55" s="15">
        <v>0</v>
      </c>
      <c r="E55" s="15">
        <v>0</v>
      </c>
      <c r="F55" s="15">
        <v>50000</v>
      </c>
      <c r="G55" s="15">
        <v>2588588775</v>
      </c>
      <c r="H55" s="15">
        <v>2526991446</v>
      </c>
      <c r="I55" s="15">
        <v>61597329</v>
      </c>
    </row>
    <row r="56" spans="1:9" x14ac:dyDescent="0.25">
      <c r="A56" s="7" t="s">
        <v>94</v>
      </c>
      <c r="B56" s="15">
        <v>0</v>
      </c>
      <c r="C56" s="15">
        <v>0</v>
      </c>
      <c r="D56" s="15">
        <v>0</v>
      </c>
      <c r="E56" s="15">
        <v>0</v>
      </c>
      <c r="F56" s="15">
        <v>301000</v>
      </c>
      <c r="G56" s="15">
        <v>4325866110</v>
      </c>
      <c r="H56" s="15">
        <v>4207461025</v>
      </c>
      <c r="I56" s="15">
        <v>118405085</v>
      </c>
    </row>
    <row r="57" spans="1:9" x14ac:dyDescent="0.25">
      <c r="A57" s="7" t="s">
        <v>141</v>
      </c>
      <c r="B57" s="15">
        <v>0</v>
      </c>
      <c r="C57" s="15">
        <v>0</v>
      </c>
      <c r="D57" s="15">
        <v>0</v>
      </c>
      <c r="E57" s="15">
        <v>0</v>
      </c>
      <c r="F57" s="15">
        <v>750000</v>
      </c>
      <c r="G57" s="15">
        <v>9053223432</v>
      </c>
      <c r="H57" s="15">
        <v>6095734032</v>
      </c>
      <c r="I57" s="15">
        <v>2957489400</v>
      </c>
    </row>
    <row r="58" spans="1:9" x14ac:dyDescent="0.25">
      <c r="A58" s="7" t="s">
        <v>76</v>
      </c>
      <c r="B58" s="15">
        <v>0</v>
      </c>
      <c r="C58" s="15">
        <v>0</v>
      </c>
      <c r="D58" s="15">
        <v>0</v>
      </c>
      <c r="E58" s="15">
        <v>0</v>
      </c>
      <c r="F58" s="15">
        <v>50000</v>
      </c>
      <c r="G58" s="15">
        <v>3345438305</v>
      </c>
      <c r="H58" s="15">
        <v>2323638386</v>
      </c>
      <c r="I58" s="15">
        <v>1021799919</v>
      </c>
    </row>
    <row r="59" spans="1:9" x14ac:dyDescent="0.25">
      <c r="A59" s="7" t="s">
        <v>81</v>
      </c>
      <c r="B59" s="15">
        <v>0</v>
      </c>
      <c r="C59" s="15">
        <v>0</v>
      </c>
      <c r="D59" s="15">
        <v>0</v>
      </c>
      <c r="E59" s="15">
        <v>0</v>
      </c>
      <c r="F59" s="15">
        <v>800000</v>
      </c>
      <c r="G59" s="15">
        <v>3354666439</v>
      </c>
      <c r="H59" s="15">
        <v>2871294839</v>
      </c>
      <c r="I59" s="15">
        <v>483371600</v>
      </c>
    </row>
    <row r="60" spans="1:9" x14ac:dyDescent="0.25">
      <c r="A60" s="7" t="s">
        <v>179</v>
      </c>
      <c r="B60" s="15">
        <v>0</v>
      </c>
      <c r="C60" s="15">
        <v>0</v>
      </c>
      <c r="D60" s="15">
        <v>0</v>
      </c>
      <c r="E60" s="15">
        <v>0</v>
      </c>
      <c r="F60" s="15">
        <v>100000</v>
      </c>
      <c r="G60" s="15">
        <v>1139636072</v>
      </c>
      <c r="H60" s="15">
        <v>570337002</v>
      </c>
      <c r="I60" s="15">
        <v>569299070</v>
      </c>
    </row>
    <row r="61" spans="1:9" x14ac:dyDescent="0.25">
      <c r="A61" s="7" t="s">
        <v>104</v>
      </c>
      <c r="B61" s="15">
        <v>0</v>
      </c>
      <c r="C61" s="15">
        <v>0</v>
      </c>
      <c r="D61" s="15">
        <v>0</v>
      </c>
      <c r="E61" s="15">
        <v>0</v>
      </c>
      <c r="F61" s="15">
        <v>837500</v>
      </c>
      <c r="G61" s="15">
        <v>4535170175</v>
      </c>
      <c r="H61" s="15">
        <v>3589717023</v>
      </c>
      <c r="I61" s="15">
        <v>945453152</v>
      </c>
    </row>
    <row r="62" spans="1:9" x14ac:dyDescent="0.25">
      <c r="A62" s="7" t="s">
        <v>177</v>
      </c>
      <c r="B62" s="15">
        <v>0</v>
      </c>
      <c r="C62" s="15">
        <v>0</v>
      </c>
      <c r="D62" s="15">
        <v>0</v>
      </c>
      <c r="E62" s="15">
        <v>0</v>
      </c>
      <c r="F62" s="15">
        <v>10009000</v>
      </c>
      <c r="G62" s="15">
        <v>155143432</v>
      </c>
      <c r="H62" s="15">
        <v>70088537</v>
      </c>
      <c r="I62" s="15">
        <v>85054895</v>
      </c>
    </row>
    <row r="63" spans="1:9" x14ac:dyDescent="0.25">
      <c r="A63" s="7" t="s">
        <v>175</v>
      </c>
      <c r="B63" s="15">
        <v>0</v>
      </c>
      <c r="C63" s="15">
        <v>0</v>
      </c>
      <c r="D63" s="15">
        <v>0</v>
      </c>
      <c r="E63" s="15">
        <v>0</v>
      </c>
      <c r="F63" s="15">
        <v>10000000</v>
      </c>
      <c r="G63" s="15">
        <v>109916722</v>
      </c>
      <c r="H63" s="15">
        <v>64965912</v>
      </c>
      <c r="I63" s="15">
        <v>44950810</v>
      </c>
    </row>
    <row r="64" spans="1:9" x14ac:dyDescent="0.25">
      <c r="A64" s="7" t="s">
        <v>176</v>
      </c>
      <c r="B64" s="15">
        <v>0</v>
      </c>
      <c r="C64" s="15">
        <v>0</v>
      </c>
      <c r="D64" s="15">
        <v>0</v>
      </c>
      <c r="E64" s="15">
        <v>0</v>
      </c>
      <c r="F64" s="15">
        <v>10000000</v>
      </c>
      <c r="G64" s="15">
        <v>99924294</v>
      </c>
      <c r="H64" s="15">
        <v>29947014</v>
      </c>
      <c r="I64" s="15">
        <v>69977280</v>
      </c>
    </row>
    <row r="65" spans="1:9" x14ac:dyDescent="0.25">
      <c r="A65" s="7" t="s">
        <v>218</v>
      </c>
      <c r="B65" s="15">
        <v>0</v>
      </c>
      <c r="C65" s="15">
        <v>0</v>
      </c>
      <c r="D65" s="15">
        <v>0</v>
      </c>
      <c r="E65" s="15">
        <v>0</v>
      </c>
      <c r="F65" s="15">
        <v>20000</v>
      </c>
      <c r="G65" s="15">
        <v>339744</v>
      </c>
      <c r="H65" s="15">
        <v>199892</v>
      </c>
      <c r="I65" s="15">
        <v>139852</v>
      </c>
    </row>
    <row r="66" spans="1:9" x14ac:dyDescent="0.25">
      <c r="A66" s="7" t="s">
        <v>217</v>
      </c>
      <c r="B66" s="15">
        <v>0</v>
      </c>
      <c r="C66" s="15">
        <v>0</v>
      </c>
      <c r="D66" s="15">
        <v>0</v>
      </c>
      <c r="E66" s="15">
        <v>0</v>
      </c>
      <c r="F66" s="15">
        <v>100000</v>
      </c>
      <c r="G66" s="15">
        <v>146888649</v>
      </c>
      <c r="H66" s="15">
        <v>1389781</v>
      </c>
      <c r="I66" s="15">
        <v>145498868</v>
      </c>
    </row>
    <row r="67" spans="1:9" x14ac:dyDescent="0.25">
      <c r="A67" s="7" t="s">
        <v>120</v>
      </c>
      <c r="B67" s="15">
        <v>0</v>
      </c>
      <c r="C67" s="15">
        <v>0</v>
      </c>
      <c r="D67" s="15">
        <v>179276523</v>
      </c>
      <c r="E67" s="15">
        <v>-179276523</v>
      </c>
      <c r="F67" s="15">
        <v>15000000</v>
      </c>
      <c r="G67" s="15">
        <v>551581958</v>
      </c>
      <c r="H67" s="15">
        <v>669138695</v>
      </c>
      <c r="I67" s="15">
        <v>-117556737</v>
      </c>
    </row>
    <row r="68" spans="1:9" x14ac:dyDescent="0.25">
      <c r="A68" s="7" t="s">
        <v>148</v>
      </c>
      <c r="B68" s="15">
        <v>0</v>
      </c>
      <c r="C68" s="15">
        <v>0</v>
      </c>
      <c r="D68" s="15">
        <v>0</v>
      </c>
      <c r="E68" s="15">
        <v>0</v>
      </c>
      <c r="F68" s="15">
        <v>562500</v>
      </c>
      <c r="G68" s="15">
        <v>4950825640</v>
      </c>
      <c r="H68" s="15">
        <v>5503880249</v>
      </c>
      <c r="I68" s="15">
        <v>-553054609</v>
      </c>
    </row>
    <row r="69" spans="1:9" x14ac:dyDescent="0.25">
      <c r="A69" s="7" t="s">
        <v>172</v>
      </c>
      <c r="B69" s="15">
        <v>0</v>
      </c>
      <c r="C69" s="15">
        <v>0</v>
      </c>
      <c r="D69" s="15">
        <v>0</v>
      </c>
      <c r="E69" s="15">
        <v>0</v>
      </c>
      <c r="F69" s="15">
        <v>10000000</v>
      </c>
      <c r="G69" s="15">
        <v>134897786</v>
      </c>
      <c r="H69" s="15">
        <v>99973520</v>
      </c>
      <c r="I69" s="15">
        <v>34924266</v>
      </c>
    </row>
    <row r="70" spans="1:9" x14ac:dyDescent="0.25">
      <c r="A70" s="7" t="s">
        <v>171</v>
      </c>
      <c r="B70" s="15">
        <v>0</v>
      </c>
      <c r="C70" s="15">
        <v>0</v>
      </c>
      <c r="D70" s="15">
        <v>0</v>
      </c>
      <c r="E70" s="15">
        <v>0</v>
      </c>
      <c r="F70" s="15">
        <v>5000000</v>
      </c>
      <c r="G70" s="15">
        <v>89931841</v>
      </c>
      <c r="H70" s="15">
        <v>29954541</v>
      </c>
      <c r="I70" s="15">
        <v>59977300</v>
      </c>
    </row>
    <row r="71" spans="1:9" x14ac:dyDescent="0.25">
      <c r="A71" s="7" t="s">
        <v>216</v>
      </c>
      <c r="B71" s="15">
        <v>0</v>
      </c>
      <c r="C71" s="15">
        <v>0</v>
      </c>
      <c r="D71" s="15">
        <v>0</v>
      </c>
      <c r="E71" s="15">
        <v>0</v>
      </c>
      <c r="F71" s="15">
        <v>16000000</v>
      </c>
      <c r="G71" s="15">
        <v>136896309</v>
      </c>
      <c r="H71" s="15">
        <v>31920468</v>
      </c>
      <c r="I71" s="15">
        <v>104975841</v>
      </c>
    </row>
    <row r="72" spans="1:9" x14ac:dyDescent="0.25">
      <c r="A72" s="7" t="s">
        <v>122</v>
      </c>
      <c r="B72" s="15">
        <v>0</v>
      </c>
      <c r="C72" s="15">
        <v>0</v>
      </c>
      <c r="D72" s="15">
        <v>-40000000</v>
      </c>
      <c r="E72" s="15">
        <v>40000000</v>
      </c>
      <c r="F72" s="15">
        <v>5000000</v>
      </c>
      <c r="G72" s="15">
        <v>39969728</v>
      </c>
      <c r="H72" s="15">
        <v>-30272</v>
      </c>
      <c r="I72" s="15">
        <v>40000000</v>
      </c>
    </row>
    <row r="73" spans="1:9" x14ac:dyDescent="0.25">
      <c r="A73" s="7" t="s">
        <v>128</v>
      </c>
      <c r="B73" s="15">
        <v>0</v>
      </c>
      <c r="C73" s="15">
        <v>0</v>
      </c>
      <c r="D73" s="15">
        <v>-40000000</v>
      </c>
      <c r="E73" s="15">
        <v>40000000</v>
      </c>
      <c r="F73" s="15">
        <v>5000000</v>
      </c>
      <c r="G73" s="15">
        <v>39969725</v>
      </c>
      <c r="H73" s="15">
        <v>-30275</v>
      </c>
      <c r="I73" s="15">
        <v>40000000</v>
      </c>
    </row>
    <row r="74" spans="1:9" x14ac:dyDescent="0.25">
      <c r="A74" s="7" t="s">
        <v>125</v>
      </c>
      <c r="B74" s="15">
        <v>13238820</v>
      </c>
      <c r="C74" s="15">
        <v>463107221</v>
      </c>
      <c r="D74" s="15">
        <v>463107221</v>
      </c>
      <c r="E74" s="15">
        <v>0</v>
      </c>
      <c r="F74" s="15">
        <v>13238820</v>
      </c>
      <c r="G74" s="15">
        <v>463107221</v>
      </c>
      <c r="H74" s="15">
        <v>463107221</v>
      </c>
      <c r="I74" s="15">
        <v>0</v>
      </c>
    </row>
    <row r="75" spans="1:9" x14ac:dyDescent="0.25">
      <c r="A75" s="7" t="s">
        <v>124</v>
      </c>
      <c r="B75" s="15">
        <v>4502052</v>
      </c>
      <c r="C75" s="15">
        <v>386400092</v>
      </c>
      <c r="D75" s="15">
        <v>386400092</v>
      </c>
      <c r="E75" s="15">
        <v>0</v>
      </c>
      <c r="F75" s="15">
        <v>4502052</v>
      </c>
      <c r="G75" s="15">
        <v>386400092</v>
      </c>
      <c r="H75" s="15">
        <v>386400092</v>
      </c>
      <c r="I75" s="15">
        <v>0</v>
      </c>
    </row>
    <row r="76" spans="1:9" x14ac:dyDescent="0.25">
      <c r="A76" s="7" t="s">
        <v>127</v>
      </c>
      <c r="B76" s="15">
        <v>50000</v>
      </c>
      <c r="C76" s="15">
        <v>4537500000</v>
      </c>
      <c r="D76" s="15">
        <v>5197247733</v>
      </c>
      <c r="E76" s="15">
        <v>-659747733</v>
      </c>
      <c r="F76" s="15">
        <v>50000</v>
      </c>
      <c r="G76" s="15">
        <v>4537500000</v>
      </c>
      <c r="H76" s="15">
        <v>5197247733</v>
      </c>
      <c r="I76" s="15">
        <v>-659747733</v>
      </c>
    </row>
    <row r="77" spans="1:9" x14ac:dyDescent="0.25">
      <c r="A77" s="7" t="s">
        <v>203</v>
      </c>
      <c r="B77" s="15">
        <v>0</v>
      </c>
      <c r="C77" s="15">
        <v>0</v>
      </c>
      <c r="D77" s="15">
        <v>0</v>
      </c>
      <c r="E77" s="15">
        <v>0</v>
      </c>
      <c r="F77" s="15">
        <v>0</v>
      </c>
      <c r="G77" s="15">
        <v>0</v>
      </c>
      <c r="H77" s="15">
        <v>-2675971415</v>
      </c>
      <c r="I77" s="15">
        <v>2675971415</v>
      </c>
    </row>
    <row r="78" spans="1:9" ht="20.25" thickBot="1" x14ac:dyDescent="0.3">
      <c r="A78" s="7" t="s">
        <v>2</v>
      </c>
      <c r="B78" s="15"/>
      <c r="C78" s="9">
        <f>SUM(C8:C77)</f>
        <v>5398458673</v>
      </c>
      <c r="D78" s="9">
        <f>SUM(D8:D77)</f>
        <v>6158198152</v>
      </c>
      <c r="E78" s="9">
        <f>SUM(E8:E77)</f>
        <v>-759739479</v>
      </c>
      <c r="F78" s="15"/>
      <c r="G78" s="9">
        <f>SUM(G8:G77)</f>
        <v>240666641997</v>
      </c>
      <c r="H78" s="9">
        <f>SUM(H8:H77)</f>
        <v>221980178001</v>
      </c>
      <c r="I78" s="9">
        <f>SUM(I8:I77)</f>
        <v>18686463996</v>
      </c>
    </row>
    <row r="79" spans="1:9" ht="20.25" thickTop="1" x14ac:dyDescent="0.25"/>
  </sheetData>
  <mergeCells count="7">
    <mergeCell ref="A1:I1"/>
    <mergeCell ref="A2:I2"/>
    <mergeCell ref="A3:I3"/>
    <mergeCell ref="B6:E6"/>
    <mergeCell ref="F6:I6"/>
    <mergeCell ref="A5:E5"/>
    <mergeCell ref="F5:I5"/>
  </mergeCells>
  <pageMargins left="0.7" right="0.7" top="0.75" bottom="0.75" header="0.3" footer="0.3"/>
  <pageSetup scale="34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072B7-5D53-42A3-9388-CA2745111004}">
  <dimension ref="A1:I76"/>
  <sheetViews>
    <sheetView rightToLeft="1" view="pageBreakPreview" zoomScale="70" zoomScaleNormal="85" zoomScaleSheetLayoutView="70" workbookViewId="0">
      <selection activeCell="C65" sqref="C65"/>
    </sheetView>
  </sheetViews>
  <sheetFormatPr defaultColWidth="8.85546875" defaultRowHeight="19.5" x14ac:dyDescent="0.25"/>
  <cols>
    <col min="1" max="1" width="34.85546875" style="20" customWidth="1"/>
    <col min="2" max="2" width="16.28515625" style="20" customWidth="1"/>
    <col min="3" max="3" width="21.42578125" style="20" customWidth="1"/>
    <col min="4" max="4" width="20.140625" style="20" customWidth="1"/>
    <col min="5" max="5" width="22.42578125" style="20" customWidth="1"/>
    <col min="6" max="6" width="16.28515625" style="20" customWidth="1"/>
    <col min="7" max="7" width="21.42578125" style="20" customWidth="1"/>
    <col min="8" max="8" width="20.140625" style="20" customWidth="1"/>
    <col min="9" max="9" width="22.42578125" style="20" customWidth="1"/>
    <col min="10" max="16384" width="8.85546875" style="20"/>
  </cols>
  <sheetData>
    <row r="1" spans="1:9" ht="21" x14ac:dyDescent="0.25">
      <c r="A1" s="59" t="s">
        <v>111</v>
      </c>
      <c r="B1" s="59"/>
      <c r="C1" s="59"/>
      <c r="D1" s="59"/>
      <c r="E1" s="59"/>
      <c r="F1" s="59"/>
      <c r="G1" s="59"/>
      <c r="H1" s="59"/>
      <c r="I1" s="59"/>
    </row>
    <row r="2" spans="1:9" ht="21" x14ac:dyDescent="0.25">
      <c r="A2" s="59" t="s">
        <v>35</v>
      </c>
      <c r="B2" s="59"/>
      <c r="C2" s="59"/>
      <c r="D2" s="59"/>
      <c r="E2" s="59"/>
      <c r="F2" s="59"/>
      <c r="G2" s="59"/>
      <c r="H2" s="59"/>
      <c r="I2" s="59"/>
    </row>
    <row r="3" spans="1:9" ht="21" x14ac:dyDescent="0.25">
      <c r="A3" s="59" t="s">
        <v>44</v>
      </c>
      <c r="B3" s="59"/>
      <c r="C3" s="59"/>
      <c r="D3" s="59"/>
      <c r="E3" s="59"/>
      <c r="F3" s="59"/>
      <c r="G3" s="59"/>
      <c r="H3" s="59"/>
      <c r="I3" s="59"/>
    </row>
    <row r="4" spans="1:9" ht="21" x14ac:dyDescent="0.25">
      <c r="A4" s="3"/>
      <c r="B4" s="3"/>
      <c r="C4" s="3"/>
      <c r="D4" s="3"/>
      <c r="E4" s="3"/>
      <c r="F4" s="3"/>
      <c r="G4" s="3"/>
      <c r="H4" s="3"/>
      <c r="I4" s="3"/>
    </row>
    <row r="5" spans="1:9" ht="21" x14ac:dyDescent="0.25">
      <c r="A5" s="60" t="s">
        <v>26</v>
      </c>
      <c r="B5" s="60"/>
      <c r="C5" s="60"/>
      <c r="D5" s="60"/>
    </row>
    <row r="6" spans="1:9" ht="20.25" thickBot="1" x14ac:dyDescent="0.3">
      <c r="B6" s="78" t="s">
        <v>63</v>
      </c>
      <c r="C6" s="78"/>
      <c r="D6" s="78"/>
      <c r="E6" s="78"/>
      <c r="F6" s="78" t="s">
        <v>36</v>
      </c>
      <c r="G6" s="78"/>
      <c r="H6" s="78"/>
      <c r="I6" s="78"/>
    </row>
    <row r="7" spans="1:9" ht="20.25" thickBot="1" x14ac:dyDescent="0.3">
      <c r="A7" s="2" t="s">
        <v>22</v>
      </c>
      <c r="B7" s="34" t="s">
        <v>3</v>
      </c>
      <c r="C7" s="1" t="s">
        <v>11</v>
      </c>
      <c r="D7" s="34" t="s">
        <v>27</v>
      </c>
      <c r="E7" s="1" t="s">
        <v>28</v>
      </c>
      <c r="F7" s="34" t="s">
        <v>3</v>
      </c>
      <c r="G7" s="1" t="s">
        <v>11</v>
      </c>
      <c r="H7" s="34" t="s">
        <v>27</v>
      </c>
      <c r="I7" s="1" t="s">
        <v>28</v>
      </c>
    </row>
    <row r="8" spans="1:9" x14ac:dyDescent="0.25">
      <c r="A8" s="7" t="s">
        <v>105</v>
      </c>
      <c r="B8" s="15">
        <v>1600000</v>
      </c>
      <c r="C8" s="15">
        <v>9367028800</v>
      </c>
      <c r="D8" s="15">
        <v>7515849888</v>
      </c>
      <c r="E8" s="15">
        <v>1851178912</v>
      </c>
      <c r="F8" s="15">
        <v>1600000</v>
      </c>
      <c r="G8" s="15">
        <v>9367028800</v>
      </c>
      <c r="H8" s="15">
        <v>10423704772</v>
      </c>
      <c r="I8" s="15">
        <v>-1056675972</v>
      </c>
    </row>
    <row r="9" spans="1:9" x14ac:dyDescent="0.25">
      <c r="A9" s="7" t="s">
        <v>104</v>
      </c>
      <c r="B9" s="15">
        <v>837500</v>
      </c>
      <c r="C9" s="15">
        <v>3423827635</v>
      </c>
      <c r="D9" s="15">
        <v>2933522221</v>
      </c>
      <c r="E9" s="15">
        <v>490305414</v>
      </c>
      <c r="F9" s="15">
        <v>837500</v>
      </c>
      <c r="G9" s="15">
        <v>3423827635</v>
      </c>
      <c r="H9" s="15">
        <v>3625046848</v>
      </c>
      <c r="I9" s="15">
        <v>-201219213</v>
      </c>
    </row>
    <row r="10" spans="1:9" x14ac:dyDescent="0.25">
      <c r="A10" s="7" t="s">
        <v>223</v>
      </c>
      <c r="B10" s="15">
        <v>0</v>
      </c>
      <c r="C10" s="15">
        <v>2498107</v>
      </c>
      <c r="D10" s="15">
        <v>2498107</v>
      </c>
      <c r="E10" s="15">
        <v>0</v>
      </c>
      <c r="F10" s="15">
        <v>0</v>
      </c>
      <c r="G10" s="15">
        <v>2498107</v>
      </c>
      <c r="H10" s="15">
        <v>2498107</v>
      </c>
      <c r="I10" s="15">
        <v>0</v>
      </c>
    </row>
    <row r="11" spans="1:9" x14ac:dyDescent="0.25">
      <c r="A11" s="7" t="s">
        <v>194</v>
      </c>
      <c r="B11" s="15">
        <v>0</v>
      </c>
      <c r="C11" s="15">
        <v>-17986365</v>
      </c>
      <c r="D11" s="15">
        <v>-17986365</v>
      </c>
      <c r="E11" s="15">
        <v>0</v>
      </c>
      <c r="F11" s="15">
        <v>0</v>
      </c>
      <c r="G11" s="15">
        <v>-17986365</v>
      </c>
      <c r="H11" s="15">
        <v>0</v>
      </c>
      <c r="I11" s="15">
        <v>-17986365</v>
      </c>
    </row>
    <row r="12" spans="1:9" x14ac:dyDescent="0.25">
      <c r="A12" s="7" t="s">
        <v>185</v>
      </c>
      <c r="B12" s="15">
        <v>0</v>
      </c>
      <c r="C12" s="15">
        <v>67041178</v>
      </c>
      <c r="D12" s="15">
        <v>67041178</v>
      </c>
      <c r="E12" s="15">
        <v>0</v>
      </c>
      <c r="F12" s="15">
        <v>0</v>
      </c>
      <c r="G12" s="15">
        <v>67041178</v>
      </c>
      <c r="H12" s="15">
        <v>0</v>
      </c>
      <c r="I12" s="15">
        <v>67041178</v>
      </c>
    </row>
    <row r="13" spans="1:9" x14ac:dyDescent="0.25">
      <c r="A13" s="7" t="s">
        <v>193</v>
      </c>
      <c r="B13" s="15">
        <v>0</v>
      </c>
      <c r="C13" s="15">
        <v>2362210</v>
      </c>
      <c r="D13" s="15">
        <v>2362210</v>
      </c>
      <c r="E13" s="15">
        <v>0</v>
      </c>
      <c r="F13" s="15">
        <v>0</v>
      </c>
      <c r="G13" s="15">
        <v>2362210</v>
      </c>
      <c r="H13" s="15">
        <v>0</v>
      </c>
      <c r="I13" s="15">
        <v>2362210</v>
      </c>
    </row>
    <row r="14" spans="1:9" x14ac:dyDescent="0.25">
      <c r="A14" s="7" t="s">
        <v>192</v>
      </c>
      <c r="B14" s="15">
        <v>0</v>
      </c>
      <c r="C14" s="15">
        <v>39969700</v>
      </c>
      <c r="D14" s="15">
        <v>39969700</v>
      </c>
      <c r="E14" s="15">
        <v>0</v>
      </c>
      <c r="F14" s="15">
        <v>0</v>
      </c>
      <c r="G14" s="15">
        <v>39969700</v>
      </c>
      <c r="H14" s="15">
        <v>0</v>
      </c>
      <c r="I14" s="15">
        <v>39969700</v>
      </c>
    </row>
    <row r="15" spans="1:9" x14ac:dyDescent="0.25">
      <c r="A15" s="7" t="s">
        <v>222</v>
      </c>
      <c r="B15" s="15">
        <v>0</v>
      </c>
      <c r="C15" s="15">
        <v>16531468</v>
      </c>
      <c r="D15" s="15">
        <v>16531468</v>
      </c>
      <c r="E15" s="15">
        <v>0</v>
      </c>
      <c r="F15" s="15">
        <v>0</v>
      </c>
      <c r="G15" s="15">
        <v>16531468</v>
      </c>
      <c r="H15" s="15">
        <v>16531468</v>
      </c>
      <c r="I15" s="15">
        <v>0</v>
      </c>
    </row>
    <row r="16" spans="1:9" x14ac:dyDescent="0.25">
      <c r="A16" s="7" t="s">
        <v>190</v>
      </c>
      <c r="B16" s="15">
        <v>0</v>
      </c>
      <c r="C16" s="15">
        <v>-39969700</v>
      </c>
      <c r="D16" s="15">
        <v>-39969700</v>
      </c>
      <c r="E16" s="15">
        <v>0</v>
      </c>
      <c r="F16" s="15">
        <v>0</v>
      </c>
      <c r="G16" s="15">
        <v>-39969700</v>
      </c>
      <c r="H16" s="15">
        <v>0</v>
      </c>
      <c r="I16" s="15">
        <v>-39969700</v>
      </c>
    </row>
    <row r="17" spans="1:9" x14ac:dyDescent="0.25">
      <c r="A17" s="7" t="s">
        <v>128</v>
      </c>
      <c r="B17" s="15">
        <v>0</v>
      </c>
      <c r="C17" s="15">
        <v>0</v>
      </c>
      <c r="D17" s="15">
        <v>-34943188</v>
      </c>
      <c r="E17" s="15">
        <v>34943188</v>
      </c>
      <c r="F17" s="15">
        <v>0</v>
      </c>
      <c r="G17" s="15">
        <v>0</v>
      </c>
      <c r="H17" s="15">
        <v>0</v>
      </c>
      <c r="I17" s="15">
        <v>0</v>
      </c>
    </row>
    <row r="18" spans="1:9" x14ac:dyDescent="0.25">
      <c r="A18" s="7" t="s">
        <v>182</v>
      </c>
      <c r="B18" s="15">
        <v>0</v>
      </c>
      <c r="C18" s="15">
        <v>49962125</v>
      </c>
      <c r="D18" s="15">
        <v>49962125</v>
      </c>
      <c r="E18" s="15">
        <v>0</v>
      </c>
      <c r="F18" s="15">
        <v>0</v>
      </c>
      <c r="G18" s="15">
        <v>49962125</v>
      </c>
      <c r="H18" s="15">
        <v>0</v>
      </c>
      <c r="I18" s="15">
        <v>49962125</v>
      </c>
    </row>
    <row r="19" spans="1:9" x14ac:dyDescent="0.25">
      <c r="A19" s="7" t="s">
        <v>171</v>
      </c>
      <c r="B19" s="15">
        <v>0</v>
      </c>
      <c r="C19" s="15">
        <v>11219495</v>
      </c>
      <c r="D19" s="15">
        <v>11219495</v>
      </c>
      <c r="E19" s="15">
        <v>0</v>
      </c>
      <c r="F19" s="15">
        <v>0</v>
      </c>
      <c r="G19" s="15">
        <v>11219495</v>
      </c>
      <c r="H19" s="15">
        <v>0</v>
      </c>
      <c r="I19" s="15">
        <v>11219495</v>
      </c>
    </row>
    <row r="20" spans="1:9" x14ac:dyDescent="0.25">
      <c r="A20" s="7" t="s">
        <v>221</v>
      </c>
      <c r="B20" s="15">
        <v>0</v>
      </c>
      <c r="C20" s="15">
        <v>32183602</v>
      </c>
      <c r="D20" s="15">
        <v>32183602</v>
      </c>
      <c r="E20" s="15">
        <v>0</v>
      </c>
      <c r="F20" s="15">
        <v>0</v>
      </c>
      <c r="G20" s="15">
        <v>32183602</v>
      </c>
      <c r="H20" s="15">
        <v>0</v>
      </c>
      <c r="I20" s="15">
        <v>32183602</v>
      </c>
    </row>
    <row r="21" spans="1:9" x14ac:dyDescent="0.25">
      <c r="A21" s="7" t="s">
        <v>179</v>
      </c>
      <c r="B21" s="15">
        <v>0</v>
      </c>
      <c r="C21" s="15">
        <v>126154366</v>
      </c>
      <c r="D21" s="15">
        <v>126154366</v>
      </c>
      <c r="E21" s="15">
        <v>0</v>
      </c>
      <c r="F21" s="15">
        <v>0</v>
      </c>
      <c r="G21" s="15">
        <v>126154366</v>
      </c>
      <c r="H21" s="15">
        <v>0</v>
      </c>
      <c r="I21" s="15">
        <v>126154366</v>
      </c>
    </row>
    <row r="22" spans="1:9" x14ac:dyDescent="0.25">
      <c r="A22" s="7" t="s">
        <v>184</v>
      </c>
      <c r="B22" s="15">
        <v>0</v>
      </c>
      <c r="C22" s="15">
        <v>-68448111</v>
      </c>
      <c r="D22" s="15">
        <v>-68448111</v>
      </c>
      <c r="E22" s="15">
        <v>0</v>
      </c>
      <c r="F22" s="15">
        <v>0</v>
      </c>
      <c r="G22" s="15">
        <v>-68448111</v>
      </c>
      <c r="H22" s="15">
        <v>0</v>
      </c>
      <c r="I22" s="15">
        <v>-68448111</v>
      </c>
    </row>
    <row r="23" spans="1:9" x14ac:dyDescent="0.25">
      <c r="A23" s="7" t="s">
        <v>217</v>
      </c>
      <c r="B23" s="15">
        <v>0</v>
      </c>
      <c r="C23" s="15">
        <v>1598788</v>
      </c>
      <c r="D23" s="15">
        <v>1598788</v>
      </c>
      <c r="E23" s="15">
        <v>0</v>
      </c>
      <c r="F23" s="15">
        <v>0</v>
      </c>
      <c r="G23" s="15">
        <v>1598788</v>
      </c>
      <c r="H23" s="15">
        <v>0</v>
      </c>
      <c r="I23" s="15">
        <v>1598788</v>
      </c>
    </row>
    <row r="24" spans="1:9" x14ac:dyDescent="0.25">
      <c r="A24" s="7" t="s">
        <v>127</v>
      </c>
      <c r="B24" s="15">
        <v>0</v>
      </c>
      <c r="C24" s="15">
        <v>20484472</v>
      </c>
      <c r="D24" s="15">
        <v>-6243138</v>
      </c>
      <c r="E24" s="15">
        <v>26727610</v>
      </c>
      <c r="F24" s="15">
        <v>0</v>
      </c>
      <c r="G24" s="15">
        <v>20484472</v>
      </c>
      <c r="H24" s="15">
        <v>0</v>
      </c>
      <c r="I24" s="15">
        <v>20484472</v>
      </c>
    </row>
    <row r="25" spans="1:9" x14ac:dyDescent="0.25">
      <c r="A25" s="7" t="s">
        <v>125</v>
      </c>
      <c r="B25" s="15">
        <v>-13238820</v>
      </c>
      <c r="C25" s="15">
        <v>-383634956</v>
      </c>
      <c r="D25" s="15">
        <v>-463458240</v>
      </c>
      <c r="E25" s="15">
        <v>79823284</v>
      </c>
      <c r="F25" s="15">
        <v>-13238820</v>
      </c>
      <c r="G25" s="15">
        <v>-383634956</v>
      </c>
      <c r="H25" s="15">
        <v>-463458240</v>
      </c>
      <c r="I25" s="15">
        <v>79823284</v>
      </c>
    </row>
    <row r="26" spans="1:9" x14ac:dyDescent="0.25">
      <c r="A26" s="7" t="s">
        <v>202</v>
      </c>
      <c r="B26" s="15">
        <v>0</v>
      </c>
      <c r="C26" s="15">
        <v>-81937885</v>
      </c>
      <c r="D26" s="15">
        <v>-81937885</v>
      </c>
      <c r="E26" s="15">
        <v>0</v>
      </c>
      <c r="F26" s="15">
        <v>0</v>
      </c>
      <c r="G26" s="15">
        <v>-81937885</v>
      </c>
      <c r="H26" s="15">
        <v>0</v>
      </c>
      <c r="I26" s="15">
        <v>-81937885</v>
      </c>
    </row>
    <row r="27" spans="1:9" x14ac:dyDescent="0.25">
      <c r="A27" s="7" t="s">
        <v>216</v>
      </c>
      <c r="B27" s="15">
        <v>0</v>
      </c>
      <c r="C27" s="15">
        <v>74940162</v>
      </c>
      <c r="D27" s="15">
        <v>74940162</v>
      </c>
      <c r="E27" s="15">
        <v>0</v>
      </c>
      <c r="F27" s="15">
        <v>0</v>
      </c>
      <c r="G27" s="15">
        <v>74940162</v>
      </c>
      <c r="H27" s="15">
        <v>0</v>
      </c>
      <c r="I27" s="15">
        <v>74940162</v>
      </c>
    </row>
    <row r="28" spans="1:9" x14ac:dyDescent="0.25">
      <c r="A28" s="7" t="s">
        <v>203</v>
      </c>
      <c r="B28" s="15">
        <v>0</v>
      </c>
      <c r="C28" s="15">
        <v>363724270</v>
      </c>
      <c r="D28" s="15">
        <v>363724270</v>
      </c>
      <c r="E28" s="15">
        <v>0</v>
      </c>
      <c r="F28" s="15">
        <v>0</v>
      </c>
      <c r="G28" s="15">
        <v>363724270</v>
      </c>
      <c r="H28" s="15">
        <v>0</v>
      </c>
      <c r="I28" s="15">
        <v>363724270</v>
      </c>
    </row>
    <row r="29" spans="1:9" x14ac:dyDescent="0.25">
      <c r="A29" s="7" t="s">
        <v>172</v>
      </c>
      <c r="B29" s="15">
        <v>0</v>
      </c>
      <c r="C29" s="15">
        <v>45068175</v>
      </c>
      <c r="D29" s="15">
        <v>45068175</v>
      </c>
      <c r="E29" s="15">
        <v>0</v>
      </c>
      <c r="F29" s="15">
        <v>0</v>
      </c>
      <c r="G29" s="15">
        <v>45068175</v>
      </c>
      <c r="H29" s="15">
        <v>0</v>
      </c>
      <c r="I29" s="15">
        <v>45068175</v>
      </c>
    </row>
    <row r="30" spans="1:9" x14ac:dyDescent="0.25">
      <c r="A30" s="7" t="s">
        <v>175</v>
      </c>
      <c r="B30" s="15">
        <v>0</v>
      </c>
      <c r="C30" s="15">
        <v>29977274</v>
      </c>
      <c r="D30" s="15">
        <v>29977274</v>
      </c>
      <c r="E30" s="15">
        <v>0</v>
      </c>
      <c r="F30" s="15">
        <v>0</v>
      </c>
      <c r="G30" s="15">
        <v>29977274</v>
      </c>
      <c r="H30" s="15">
        <v>0</v>
      </c>
      <c r="I30" s="15">
        <v>29977274</v>
      </c>
    </row>
    <row r="31" spans="1:9" x14ac:dyDescent="0.25">
      <c r="A31" s="7" t="s">
        <v>180</v>
      </c>
      <c r="B31" s="15">
        <v>0</v>
      </c>
      <c r="C31" s="15">
        <v>32359469</v>
      </c>
      <c r="D31" s="15">
        <v>32359469</v>
      </c>
      <c r="E31" s="15">
        <v>0</v>
      </c>
      <c r="F31" s="15">
        <v>0</v>
      </c>
      <c r="G31" s="15">
        <v>32359469</v>
      </c>
      <c r="H31" s="15">
        <v>0</v>
      </c>
      <c r="I31" s="15">
        <v>32359469</v>
      </c>
    </row>
    <row r="32" spans="1:9" x14ac:dyDescent="0.25">
      <c r="A32" s="7" t="s">
        <v>181</v>
      </c>
      <c r="B32" s="15">
        <v>0</v>
      </c>
      <c r="C32" s="15">
        <v>4996212</v>
      </c>
      <c r="D32" s="15">
        <v>4996212</v>
      </c>
      <c r="E32" s="15">
        <v>0</v>
      </c>
      <c r="F32" s="15">
        <v>0</v>
      </c>
      <c r="G32" s="15">
        <v>4996212</v>
      </c>
      <c r="H32" s="15">
        <v>0</v>
      </c>
      <c r="I32" s="15">
        <v>4996212</v>
      </c>
    </row>
    <row r="33" spans="1:9" x14ac:dyDescent="0.25">
      <c r="A33" s="7" t="s">
        <v>186</v>
      </c>
      <c r="B33" s="15">
        <v>0</v>
      </c>
      <c r="C33" s="15">
        <v>13639660</v>
      </c>
      <c r="D33" s="15">
        <v>13639660</v>
      </c>
      <c r="E33" s="15">
        <v>0</v>
      </c>
      <c r="F33" s="15">
        <v>0</v>
      </c>
      <c r="G33" s="15">
        <v>13639660</v>
      </c>
      <c r="H33" s="15">
        <v>0</v>
      </c>
      <c r="I33" s="15">
        <v>13639660</v>
      </c>
    </row>
    <row r="34" spans="1:9" x14ac:dyDescent="0.25">
      <c r="A34" s="7" t="s">
        <v>124</v>
      </c>
      <c r="B34" s="15">
        <v>-4502052</v>
      </c>
      <c r="C34" s="15">
        <v>-476856020</v>
      </c>
      <c r="D34" s="15">
        <v>-386692992</v>
      </c>
      <c r="E34" s="15">
        <v>-90163028</v>
      </c>
      <c r="F34" s="15">
        <v>-4502052</v>
      </c>
      <c r="G34" s="15">
        <v>-476856020</v>
      </c>
      <c r="H34" s="15">
        <v>-386692992</v>
      </c>
      <c r="I34" s="15">
        <v>-90163028</v>
      </c>
    </row>
    <row r="35" spans="1:9" x14ac:dyDescent="0.25">
      <c r="A35" s="7" t="s">
        <v>122</v>
      </c>
      <c r="B35" s="15">
        <v>0</v>
      </c>
      <c r="C35" s="15">
        <v>0</v>
      </c>
      <c r="D35" s="15">
        <v>-9962125</v>
      </c>
      <c r="E35" s="15">
        <v>9962125</v>
      </c>
      <c r="F35" s="15">
        <v>0</v>
      </c>
      <c r="G35" s="15">
        <v>0</v>
      </c>
      <c r="H35" s="15">
        <v>0</v>
      </c>
      <c r="I35" s="15">
        <v>0</v>
      </c>
    </row>
    <row r="36" spans="1:9" x14ac:dyDescent="0.25">
      <c r="A36" s="7" t="s">
        <v>183</v>
      </c>
      <c r="B36" s="15">
        <v>0</v>
      </c>
      <c r="C36" s="15">
        <v>-65017255</v>
      </c>
      <c r="D36" s="15">
        <v>-65017255</v>
      </c>
      <c r="E36" s="15">
        <v>0</v>
      </c>
      <c r="F36" s="15">
        <v>0</v>
      </c>
      <c r="G36" s="15">
        <v>-65017255</v>
      </c>
      <c r="H36" s="15">
        <v>0</v>
      </c>
      <c r="I36" s="15">
        <v>-65017255</v>
      </c>
    </row>
    <row r="37" spans="1:9" x14ac:dyDescent="0.25">
      <c r="A37" s="7" t="s">
        <v>177</v>
      </c>
      <c r="B37" s="15">
        <v>0</v>
      </c>
      <c r="C37" s="15">
        <v>13989395</v>
      </c>
      <c r="D37" s="15">
        <v>13989395</v>
      </c>
      <c r="E37" s="15">
        <v>0</v>
      </c>
      <c r="F37" s="15">
        <v>0</v>
      </c>
      <c r="G37" s="15">
        <v>13989395</v>
      </c>
      <c r="H37" s="15">
        <v>0</v>
      </c>
      <c r="I37" s="15">
        <v>13989395</v>
      </c>
    </row>
    <row r="38" spans="1:9" x14ac:dyDescent="0.25">
      <c r="A38" s="7" t="s">
        <v>120</v>
      </c>
      <c r="B38" s="15">
        <v>0</v>
      </c>
      <c r="C38" s="15">
        <v>-49962125</v>
      </c>
      <c r="D38" s="15">
        <v>45056812</v>
      </c>
      <c r="E38" s="15">
        <v>-95018937</v>
      </c>
      <c r="F38" s="15">
        <v>0</v>
      </c>
      <c r="G38" s="15">
        <v>-49962125</v>
      </c>
      <c r="H38" s="15">
        <v>0</v>
      </c>
      <c r="I38" s="15">
        <v>-49962125</v>
      </c>
    </row>
    <row r="39" spans="1:9" x14ac:dyDescent="0.25">
      <c r="A39" s="7" t="s">
        <v>176</v>
      </c>
      <c r="B39" s="15">
        <v>0</v>
      </c>
      <c r="C39" s="15">
        <v>29977275</v>
      </c>
      <c r="D39" s="15">
        <v>29977275</v>
      </c>
      <c r="E39" s="15">
        <v>0</v>
      </c>
      <c r="F39" s="15">
        <v>0</v>
      </c>
      <c r="G39" s="15">
        <v>29977275</v>
      </c>
      <c r="H39" s="15">
        <v>0</v>
      </c>
      <c r="I39" s="15">
        <v>29977275</v>
      </c>
    </row>
    <row r="40" spans="1:9" x14ac:dyDescent="0.25">
      <c r="A40" s="7" t="s">
        <v>218</v>
      </c>
      <c r="B40" s="15">
        <v>0</v>
      </c>
      <c r="C40" s="15">
        <v>139893</v>
      </c>
      <c r="D40" s="15">
        <v>139893</v>
      </c>
      <c r="E40" s="15">
        <v>0</v>
      </c>
      <c r="F40" s="15">
        <v>0</v>
      </c>
      <c r="G40" s="15">
        <v>139893</v>
      </c>
      <c r="H40" s="15">
        <v>0</v>
      </c>
      <c r="I40" s="15">
        <v>139893</v>
      </c>
    </row>
    <row r="41" spans="1:9" x14ac:dyDescent="0.25">
      <c r="A41" s="7" t="s">
        <v>103</v>
      </c>
      <c r="B41" s="15">
        <v>9890291</v>
      </c>
      <c r="C41" s="15">
        <v>21060498603</v>
      </c>
      <c r="D41" s="15">
        <v>16879803167</v>
      </c>
      <c r="E41" s="15">
        <v>4180695436</v>
      </c>
      <c r="F41" s="15">
        <v>9890291</v>
      </c>
      <c r="G41" s="15">
        <v>21060498603</v>
      </c>
      <c r="H41" s="15">
        <v>20583450426</v>
      </c>
      <c r="I41" s="15">
        <v>477048177</v>
      </c>
    </row>
    <row r="42" spans="1:9" x14ac:dyDescent="0.25">
      <c r="A42" s="7" t="s">
        <v>102</v>
      </c>
      <c r="B42" s="15">
        <v>43438000</v>
      </c>
      <c r="C42" s="15">
        <v>19870125384</v>
      </c>
      <c r="D42" s="15">
        <v>17370196377</v>
      </c>
      <c r="E42" s="15">
        <v>2499929007</v>
      </c>
      <c r="F42" s="15">
        <v>43438000</v>
      </c>
      <c r="G42" s="15">
        <v>19870125384</v>
      </c>
      <c r="H42" s="15">
        <v>26809583490</v>
      </c>
      <c r="I42" s="15">
        <v>-6939458106</v>
      </c>
    </row>
    <row r="43" spans="1:9" x14ac:dyDescent="0.25">
      <c r="A43" s="7" t="s">
        <v>101</v>
      </c>
      <c r="B43" s="15">
        <v>57834569</v>
      </c>
      <c r="C43" s="15">
        <v>54001644823</v>
      </c>
      <c r="D43" s="15">
        <v>42578355244</v>
      </c>
      <c r="E43" s="15">
        <v>11423289579</v>
      </c>
      <c r="F43" s="15">
        <v>57834569</v>
      </c>
      <c r="G43" s="15">
        <v>54001644823</v>
      </c>
      <c r="H43" s="15">
        <v>61031944621</v>
      </c>
      <c r="I43" s="15">
        <v>-7030299798</v>
      </c>
    </row>
    <row r="44" spans="1:9" x14ac:dyDescent="0.25">
      <c r="A44" s="7" t="s">
        <v>100</v>
      </c>
      <c r="B44" s="15">
        <v>7098876</v>
      </c>
      <c r="C44" s="15">
        <v>12742599055</v>
      </c>
      <c r="D44" s="15">
        <v>9780492673</v>
      </c>
      <c r="E44" s="15">
        <v>2962106382</v>
      </c>
      <c r="F44" s="15">
        <v>7098876</v>
      </c>
      <c r="G44" s="15">
        <v>12742599055</v>
      </c>
      <c r="H44" s="15">
        <v>15186263728</v>
      </c>
      <c r="I44" s="15">
        <v>-2443664673</v>
      </c>
    </row>
    <row r="45" spans="1:9" x14ac:dyDescent="0.25">
      <c r="A45" s="7" t="s">
        <v>99</v>
      </c>
      <c r="B45" s="15">
        <v>394382</v>
      </c>
      <c r="C45" s="15">
        <v>316588743</v>
      </c>
      <c r="D45" s="15">
        <v>325628436</v>
      </c>
      <c r="E45" s="15">
        <v>-9039693</v>
      </c>
      <c r="F45" s="15">
        <v>394382</v>
      </c>
      <c r="G45" s="15">
        <v>316588743</v>
      </c>
      <c r="H45" s="15">
        <v>325628436</v>
      </c>
      <c r="I45" s="15">
        <v>-9039693</v>
      </c>
    </row>
    <row r="46" spans="1:9" x14ac:dyDescent="0.25">
      <c r="A46" s="7" t="s">
        <v>98</v>
      </c>
      <c r="B46" s="15">
        <v>19999000</v>
      </c>
      <c r="C46" s="15">
        <v>31751052368</v>
      </c>
      <c r="D46" s="15">
        <v>27642916592</v>
      </c>
      <c r="E46" s="15">
        <v>4108135776</v>
      </c>
      <c r="F46" s="15">
        <v>19999000</v>
      </c>
      <c r="G46" s="15">
        <v>31751052368</v>
      </c>
      <c r="H46" s="15">
        <v>34510436648</v>
      </c>
      <c r="I46" s="15">
        <v>-2759384280</v>
      </c>
    </row>
    <row r="47" spans="1:9" x14ac:dyDescent="0.25">
      <c r="A47" s="7" t="s">
        <v>97</v>
      </c>
      <c r="B47" s="15">
        <v>350000</v>
      </c>
      <c r="C47" s="15">
        <v>12315062970</v>
      </c>
      <c r="D47" s="15">
        <v>10332011375</v>
      </c>
      <c r="E47" s="15">
        <v>1983051595</v>
      </c>
      <c r="F47" s="15">
        <v>350000</v>
      </c>
      <c r="G47" s="15">
        <v>12315062970</v>
      </c>
      <c r="H47" s="15">
        <v>13384730030</v>
      </c>
      <c r="I47" s="15">
        <v>-1069667060</v>
      </c>
    </row>
    <row r="48" spans="1:9" x14ac:dyDescent="0.25">
      <c r="A48" s="7" t="s">
        <v>96</v>
      </c>
      <c r="B48" s="15">
        <v>2383333</v>
      </c>
      <c r="C48" s="15">
        <v>23649098359</v>
      </c>
      <c r="D48" s="15">
        <v>19952744286</v>
      </c>
      <c r="E48" s="15">
        <v>3696354073</v>
      </c>
      <c r="F48" s="15">
        <v>2383333</v>
      </c>
      <c r="G48" s="15">
        <v>23649098359</v>
      </c>
      <c r="H48" s="15">
        <v>25036220312</v>
      </c>
      <c r="I48" s="15">
        <v>-1387121953</v>
      </c>
    </row>
    <row r="49" spans="1:9" x14ac:dyDescent="0.25">
      <c r="A49" s="7" t="s">
        <v>95</v>
      </c>
      <c r="B49" s="15">
        <v>800000</v>
      </c>
      <c r="C49" s="15">
        <v>7144344000</v>
      </c>
      <c r="D49" s="15">
        <v>7086395432</v>
      </c>
      <c r="E49" s="15">
        <v>57948568</v>
      </c>
      <c r="F49" s="15">
        <v>800000</v>
      </c>
      <c r="G49" s="15">
        <v>7144344000</v>
      </c>
      <c r="H49" s="15">
        <v>5215611313</v>
      </c>
      <c r="I49" s="15">
        <v>1928732687</v>
      </c>
    </row>
    <row r="50" spans="1:9" x14ac:dyDescent="0.25">
      <c r="A50" s="7" t="s">
        <v>94</v>
      </c>
      <c r="B50" s="15">
        <v>3299000</v>
      </c>
      <c r="C50" s="15">
        <v>35563290203</v>
      </c>
      <c r="D50" s="15">
        <v>37785995840</v>
      </c>
      <c r="E50" s="15">
        <v>-2222705637</v>
      </c>
      <c r="F50" s="15">
        <v>3299000</v>
      </c>
      <c r="G50" s="15">
        <v>35563290203</v>
      </c>
      <c r="H50" s="15">
        <v>46483681965</v>
      </c>
      <c r="I50" s="15">
        <v>-10920391762</v>
      </c>
    </row>
    <row r="51" spans="1:9" x14ac:dyDescent="0.25">
      <c r="A51" s="7" t="s">
        <v>93</v>
      </c>
      <c r="B51" s="15">
        <v>1100000</v>
      </c>
      <c r="C51" s="15">
        <v>18173425050</v>
      </c>
      <c r="D51" s="15">
        <v>14566027465</v>
      </c>
      <c r="E51" s="15">
        <v>3607397585</v>
      </c>
      <c r="F51" s="15">
        <v>1100000</v>
      </c>
      <c r="G51" s="15">
        <v>18173425050</v>
      </c>
      <c r="H51" s="15">
        <v>20640208270</v>
      </c>
      <c r="I51" s="15">
        <v>-2466783220</v>
      </c>
    </row>
    <row r="52" spans="1:9" x14ac:dyDescent="0.25">
      <c r="A52" s="7" t="s">
        <v>92</v>
      </c>
      <c r="B52" s="15">
        <v>9200000</v>
      </c>
      <c r="C52" s="15">
        <v>76682625600</v>
      </c>
      <c r="D52" s="15">
        <v>81475289700</v>
      </c>
      <c r="E52" s="15">
        <v>-4792664100</v>
      </c>
      <c r="F52" s="15">
        <v>9200000</v>
      </c>
      <c r="G52" s="15">
        <v>76682625600</v>
      </c>
      <c r="H52" s="15">
        <v>95214260120</v>
      </c>
      <c r="I52" s="15">
        <v>-18531634520</v>
      </c>
    </row>
    <row r="53" spans="1:9" x14ac:dyDescent="0.25">
      <c r="A53" s="7" t="s">
        <v>91</v>
      </c>
      <c r="B53" s="15">
        <v>600000</v>
      </c>
      <c r="C53" s="15">
        <v>9490070280</v>
      </c>
      <c r="D53" s="15">
        <v>8597622642</v>
      </c>
      <c r="E53" s="15">
        <v>892447638</v>
      </c>
      <c r="F53" s="15">
        <v>600000</v>
      </c>
      <c r="G53" s="15">
        <v>9490070280</v>
      </c>
      <c r="H53" s="15">
        <v>12502602000</v>
      </c>
      <c r="I53" s="15">
        <v>-3012531720</v>
      </c>
    </row>
    <row r="54" spans="1:9" x14ac:dyDescent="0.25">
      <c r="A54" s="7" t="s">
        <v>90</v>
      </c>
      <c r="B54" s="15">
        <v>22820100</v>
      </c>
      <c r="C54" s="15">
        <v>41370041046</v>
      </c>
      <c r="D54" s="15">
        <v>50223727991</v>
      </c>
      <c r="E54" s="15">
        <v>-8853686945</v>
      </c>
      <c r="F54" s="15">
        <v>22820100</v>
      </c>
      <c r="G54" s="15">
        <v>41370041046</v>
      </c>
      <c r="H54" s="15">
        <v>69118575261</v>
      </c>
      <c r="I54" s="15">
        <v>-27748534215</v>
      </c>
    </row>
    <row r="55" spans="1:9" x14ac:dyDescent="0.25">
      <c r="A55" s="7" t="s">
        <v>89</v>
      </c>
      <c r="B55" s="15">
        <v>401250</v>
      </c>
      <c r="C55" s="15">
        <v>5023437574</v>
      </c>
      <c r="D55" s="15">
        <v>4269742771</v>
      </c>
      <c r="E55" s="15">
        <v>753694803</v>
      </c>
      <c r="F55" s="15">
        <v>401250</v>
      </c>
      <c r="G55" s="15">
        <v>5023437574</v>
      </c>
      <c r="H55" s="15">
        <v>3941668541</v>
      </c>
      <c r="I55" s="15">
        <v>1081769033</v>
      </c>
    </row>
    <row r="56" spans="1:9" x14ac:dyDescent="0.25">
      <c r="A56" s="7" t="s">
        <v>88</v>
      </c>
      <c r="B56" s="15">
        <v>800000</v>
      </c>
      <c r="C56" s="15">
        <v>9436884608</v>
      </c>
      <c r="D56" s="15">
        <v>10026689896</v>
      </c>
      <c r="E56" s="15">
        <v>-589805288</v>
      </c>
      <c r="F56" s="15">
        <v>800000</v>
      </c>
      <c r="G56" s="15">
        <v>9436884608</v>
      </c>
      <c r="H56" s="15">
        <v>12680340666</v>
      </c>
      <c r="I56" s="15">
        <v>-3243456058</v>
      </c>
    </row>
    <row r="57" spans="1:9" x14ac:dyDescent="0.25">
      <c r="A57" s="7" t="s">
        <v>87</v>
      </c>
      <c r="B57" s="15">
        <v>1256499</v>
      </c>
      <c r="C57" s="15">
        <v>7667735516</v>
      </c>
      <c r="D57" s="15">
        <v>6485782139</v>
      </c>
      <c r="E57" s="15">
        <v>1181953377</v>
      </c>
      <c r="F57" s="15">
        <v>1256499</v>
      </c>
      <c r="G57" s="15">
        <v>7667735516</v>
      </c>
      <c r="H57" s="15">
        <v>7948211844</v>
      </c>
      <c r="I57" s="15">
        <v>-280476328</v>
      </c>
    </row>
    <row r="58" spans="1:9" x14ac:dyDescent="0.25">
      <c r="A58" s="7" t="s">
        <v>86</v>
      </c>
      <c r="B58" s="15">
        <v>1200000</v>
      </c>
      <c r="C58" s="15">
        <v>9251925480</v>
      </c>
      <c r="D58" s="15">
        <v>7550380884</v>
      </c>
      <c r="E58" s="15">
        <v>1701544596</v>
      </c>
      <c r="F58" s="15">
        <v>1200000</v>
      </c>
      <c r="G58" s="15">
        <v>9251925480</v>
      </c>
      <c r="H58" s="15">
        <v>10450623609</v>
      </c>
      <c r="I58" s="15">
        <v>-1198698129</v>
      </c>
    </row>
    <row r="59" spans="1:9" x14ac:dyDescent="0.25">
      <c r="A59" s="7" t="s">
        <v>85</v>
      </c>
      <c r="B59" s="15">
        <v>10200000</v>
      </c>
      <c r="C59" s="15">
        <v>144024021420</v>
      </c>
      <c r="D59" s="15">
        <v>117860838330</v>
      </c>
      <c r="E59" s="15">
        <v>26163183090</v>
      </c>
      <c r="F59" s="15">
        <v>10200000</v>
      </c>
      <c r="G59" s="15">
        <v>144024021420</v>
      </c>
      <c r="H59" s="15">
        <v>117457169653</v>
      </c>
      <c r="I59" s="15">
        <v>26566851767</v>
      </c>
    </row>
    <row r="60" spans="1:9" x14ac:dyDescent="0.25">
      <c r="A60" s="7" t="s">
        <v>84</v>
      </c>
      <c r="B60" s="15">
        <v>13870541</v>
      </c>
      <c r="C60" s="15">
        <v>71294006500</v>
      </c>
      <c r="D60" s="15">
        <v>60423835128</v>
      </c>
      <c r="E60" s="15">
        <v>10870171372</v>
      </c>
      <c r="F60" s="15">
        <v>13870541</v>
      </c>
      <c r="G60" s="15">
        <v>71294006500</v>
      </c>
      <c r="H60" s="15">
        <v>76799313736</v>
      </c>
      <c r="I60" s="15">
        <v>-5505307236</v>
      </c>
    </row>
    <row r="61" spans="1:9" x14ac:dyDescent="0.25">
      <c r="A61" s="7" t="s">
        <v>83</v>
      </c>
      <c r="B61" s="15">
        <v>5175000</v>
      </c>
      <c r="C61" s="15">
        <v>35636880915</v>
      </c>
      <c r="D61" s="15">
        <v>30291348778</v>
      </c>
      <c r="E61" s="15">
        <v>5345532137</v>
      </c>
      <c r="F61" s="15">
        <v>5175000</v>
      </c>
      <c r="G61" s="15">
        <v>35636880915</v>
      </c>
      <c r="H61" s="15">
        <v>33701117359</v>
      </c>
      <c r="I61" s="15">
        <v>1935763556</v>
      </c>
    </row>
    <row r="62" spans="1:9" x14ac:dyDescent="0.25">
      <c r="A62" s="7" t="s">
        <v>82</v>
      </c>
      <c r="B62" s="15">
        <v>200000</v>
      </c>
      <c r="C62" s="15">
        <v>5137974060</v>
      </c>
      <c r="D62" s="15">
        <v>4368964810</v>
      </c>
      <c r="E62" s="15">
        <v>769009250</v>
      </c>
      <c r="F62" s="15">
        <v>200000</v>
      </c>
      <c r="G62" s="15">
        <v>5137974060</v>
      </c>
      <c r="H62" s="15">
        <v>5268953700</v>
      </c>
      <c r="I62" s="15">
        <v>-130979640</v>
      </c>
    </row>
    <row r="63" spans="1:9" x14ac:dyDescent="0.25">
      <c r="A63" s="7" t="s">
        <v>81</v>
      </c>
      <c r="B63" s="15">
        <v>5684430</v>
      </c>
      <c r="C63" s="15">
        <v>17440393089</v>
      </c>
      <c r="D63" s="15">
        <v>14823206028</v>
      </c>
      <c r="E63" s="15">
        <v>2617187061</v>
      </c>
      <c r="F63" s="15">
        <v>5684430</v>
      </c>
      <c r="G63" s="15">
        <v>17440393089</v>
      </c>
      <c r="H63" s="15">
        <v>17022391850</v>
      </c>
      <c r="I63" s="15">
        <v>418001239</v>
      </c>
    </row>
    <row r="64" spans="1:9" x14ac:dyDescent="0.25">
      <c r="A64" s="7" t="s">
        <v>80</v>
      </c>
      <c r="B64" s="15">
        <v>1450000</v>
      </c>
      <c r="C64" s="15">
        <v>31089406732</v>
      </c>
      <c r="D64" s="15">
        <v>33031775257</v>
      </c>
      <c r="E64" s="15">
        <v>-1942368525</v>
      </c>
      <c r="F64" s="15">
        <v>1450000</v>
      </c>
      <c r="G64" s="15">
        <v>31089406732</v>
      </c>
      <c r="H64" s="15">
        <v>40271774085</v>
      </c>
      <c r="I64" s="15">
        <v>-9182367353</v>
      </c>
    </row>
    <row r="65" spans="1:9" x14ac:dyDescent="0.25">
      <c r="A65" s="7" t="s">
        <v>79</v>
      </c>
      <c r="B65" s="15">
        <v>2000000</v>
      </c>
      <c r="C65" s="15">
        <v>16352609600</v>
      </c>
      <c r="D65" s="15">
        <v>13899718160</v>
      </c>
      <c r="E65" s="15">
        <v>2452891440</v>
      </c>
      <c r="F65" s="15">
        <v>2000000</v>
      </c>
      <c r="G65" s="15">
        <v>16352609600</v>
      </c>
      <c r="H65" s="15">
        <v>18890189691</v>
      </c>
      <c r="I65" s="15">
        <v>-2537580091</v>
      </c>
    </row>
    <row r="66" spans="1:9" x14ac:dyDescent="0.25">
      <c r="A66" s="7" t="s">
        <v>78</v>
      </c>
      <c r="B66" s="15">
        <v>454</v>
      </c>
      <c r="C66" s="15">
        <v>23740854</v>
      </c>
      <c r="D66" s="15">
        <v>23740854</v>
      </c>
      <c r="E66" s="15">
        <v>0</v>
      </c>
      <c r="F66" s="15">
        <v>454</v>
      </c>
      <c r="G66" s="15">
        <v>23740854</v>
      </c>
      <c r="H66" s="15">
        <v>19762080</v>
      </c>
      <c r="I66" s="15">
        <v>3978774</v>
      </c>
    </row>
    <row r="67" spans="1:9" x14ac:dyDescent="0.25">
      <c r="A67" s="7" t="s">
        <v>77</v>
      </c>
      <c r="B67" s="15">
        <v>200000</v>
      </c>
      <c r="C67" s="15">
        <v>6953828160</v>
      </c>
      <c r="D67" s="15">
        <v>7388442420</v>
      </c>
      <c r="E67" s="15">
        <v>-434614260</v>
      </c>
      <c r="F67" s="15">
        <v>200000</v>
      </c>
      <c r="G67" s="15">
        <v>6953828160</v>
      </c>
      <c r="H67" s="15">
        <v>12095771300</v>
      </c>
      <c r="I67" s="15">
        <v>-5141943140</v>
      </c>
    </row>
    <row r="68" spans="1:9" x14ac:dyDescent="0.25">
      <c r="A68" s="7" t="s">
        <v>76</v>
      </c>
      <c r="B68" s="15">
        <v>750000</v>
      </c>
      <c r="C68" s="15">
        <v>36156334260</v>
      </c>
      <c r="D68" s="15">
        <v>38415733050</v>
      </c>
      <c r="E68" s="15">
        <v>-2259398790</v>
      </c>
      <c r="F68" s="15">
        <v>750000</v>
      </c>
      <c r="G68" s="15">
        <v>36156334260</v>
      </c>
      <c r="H68" s="15">
        <v>35245501211</v>
      </c>
      <c r="I68" s="15">
        <v>910833049</v>
      </c>
    </row>
    <row r="69" spans="1:9" x14ac:dyDescent="0.25">
      <c r="A69" s="7" t="s">
        <v>75</v>
      </c>
      <c r="B69" s="15">
        <v>450000</v>
      </c>
      <c r="C69" s="15">
        <v>16289104320</v>
      </c>
      <c r="D69" s="15">
        <v>17307173340</v>
      </c>
      <c r="E69" s="15">
        <v>-1018069020</v>
      </c>
      <c r="F69" s="15">
        <v>450000</v>
      </c>
      <c r="G69" s="15">
        <v>16289104320</v>
      </c>
      <c r="H69" s="15">
        <v>22924413809</v>
      </c>
      <c r="I69" s="15">
        <v>-6635309489</v>
      </c>
    </row>
    <row r="70" spans="1:9" x14ac:dyDescent="0.25">
      <c r="A70" s="7" t="s">
        <v>74</v>
      </c>
      <c r="B70" s="15">
        <v>3000000</v>
      </c>
      <c r="C70" s="15">
        <v>6525167520</v>
      </c>
      <c r="D70" s="15">
        <v>6932990490</v>
      </c>
      <c r="E70" s="15">
        <v>-407822970</v>
      </c>
      <c r="F70" s="15">
        <v>3000000</v>
      </c>
      <c r="G70" s="15">
        <v>6525167520</v>
      </c>
      <c r="H70" s="15">
        <v>9552583290</v>
      </c>
      <c r="I70" s="15">
        <v>-3027415770</v>
      </c>
    </row>
    <row r="71" spans="1:9" x14ac:dyDescent="0.25">
      <c r="A71" s="7" t="s">
        <v>73</v>
      </c>
      <c r="B71" s="15">
        <v>4671455</v>
      </c>
      <c r="C71" s="15">
        <v>48328103351</v>
      </c>
      <c r="D71" s="15">
        <v>51345712720</v>
      </c>
      <c r="E71" s="15">
        <v>-3017609369</v>
      </c>
      <c r="F71" s="15">
        <v>4671455</v>
      </c>
      <c r="G71" s="15">
        <v>48328103351</v>
      </c>
      <c r="H71" s="15">
        <v>47041933068</v>
      </c>
      <c r="I71" s="15">
        <v>1286170283</v>
      </c>
    </row>
    <row r="72" spans="1:9" x14ac:dyDescent="0.25">
      <c r="A72" s="7" t="s">
        <v>72</v>
      </c>
      <c r="B72" s="15">
        <v>1200000</v>
      </c>
      <c r="C72" s="15">
        <v>18070427424</v>
      </c>
      <c r="D72" s="15">
        <v>19199233776</v>
      </c>
      <c r="E72" s="15">
        <v>-1128806352</v>
      </c>
      <c r="F72" s="15">
        <v>1200000</v>
      </c>
      <c r="G72" s="15">
        <v>18070427424</v>
      </c>
      <c r="H72" s="15">
        <v>26820179544</v>
      </c>
      <c r="I72" s="15">
        <v>-8749752120</v>
      </c>
    </row>
    <row r="73" spans="1:9" x14ac:dyDescent="0.25">
      <c r="A73" s="7" t="s">
        <v>71</v>
      </c>
      <c r="B73" s="15">
        <v>400000</v>
      </c>
      <c r="C73" s="15">
        <v>42310392800</v>
      </c>
      <c r="D73" s="15">
        <v>35653883005</v>
      </c>
      <c r="E73" s="15">
        <v>6656509795</v>
      </c>
      <c r="F73" s="15">
        <v>400000</v>
      </c>
      <c r="G73" s="15">
        <v>42310392800</v>
      </c>
      <c r="H73" s="15">
        <v>39303948200</v>
      </c>
      <c r="I73" s="15">
        <v>3006444600</v>
      </c>
    </row>
    <row r="74" spans="1:9" x14ac:dyDescent="0.25">
      <c r="A74" s="7" t="s">
        <v>70</v>
      </c>
      <c r="B74" s="15">
        <v>6338333</v>
      </c>
      <c r="C74" s="15">
        <v>14308243235</v>
      </c>
      <c r="D74" s="15">
        <v>12161113788</v>
      </c>
      <c r="E74" s="15">
        <v>2147129447</v>
      </c>
      <c r="F74" s="15">
        <v>6338333</v>
      </c>
      <c r="G74" s="15">
        <v>14308243235</v>
      </c>
      <c r="H74" s="15">
        <v>17746473813</v>
      </c>
      <c r="I74" s="15">
        <v>-3438230578</v>
      </c>
    </row>
    <row r="75" spans="1:9" ht="20.25" thickBot="1" x14ac:dyDescent="0.3">
      <c r="A75" s="7" t="s">
        <v>2</v>
      </c>
      <c r="B75" s="15"/>
      <c r="C75" s="9">
        <f>SUM(C8:C74)</f>
        <v>918036945216</v>
      </c>
      <c r="D75" s="9">
        <f>SUM(D8:D74)</f>
        <v>846335615590</v>
      </c>
      <c r="E75" s="9">
        <f>SUM(E8:E74)</f>
        <v>71701329626</v>
      </c>
      <c r="F75" s="15"/>
      <c r="G75" s="9">
        <f>SUM(G8:G74)</f>
        <v>918036945216</v>
      </c>
      <c r="H75" s="9">
        <f>SUM(H8:H74)</f>
        <v>1014443147632</v>
      </c>
      <c r="I75" s="9">
        <f>SUM(I8:I74)</f>
        <v>-96406202416</v>
      </c>
    </row>
    <row r="76" spans="1:9" ht="20.25" thickTop="1" x14ac:dyDescent="0.25"/>
  </sheetData>
  <mergeCells count="6">
    <mergeCell ref="B6:E6"/>
    <mergeCell ref="F6:I6"/>
    <mergeCell ref="A5:D5"/>
    <mergeCell ref="A1:I1"/>
    <mergeCell ref="A2:I2"/>
    <mergeCell ref="A3:I3"/>
  </mergeCells>
  <pageMargins left="0.7" right="0.7" top="0.75" bottom="0.75" header="0.3" footer="0.3"/>
  <pageSetup scale="3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14</vt:i4>
      </vt:variant>
    </vt:vector>
  </HeadingPairs>
  <TitlesOfParts>
    <vt:vector size="28" baseType="lpstr">
      <vt:lpstr>سربرگ</vt:lpstr>
      <vt:lpstr> سهام</vt:lpstr>
      <vt:lpstr>اوراق مشتقه</vt:lpstr>
      <vt:lpstr>تعدیل قیمت</vt:lpstr>
      <vt:lpstr>سپرده</vt:lpstr>
      <vt:lpstr>درآمدها</vt:lpstr>
      <vt:lpstr>درآمد سرمایه گذاری در سهام </vt:lpstr>
      <vt:lpstr>درآمد سپرده بانکی</vt:lpstr>
      <vt:lpstr>درآمد سرمایه گذاری مشتقه </vt:lpstr>
      <vt:lpstr>سایر درآمدها</vt:lpstr>
      <vt:lpstr>درآمد سود سهام</vt:lpstr>
      <vt:lpstr>سود  سپرده بانکی</vt:lpstr>
      <vt:lpstr>درآمد ناشی ازفروش</vt:lpstr>
      <vt:lpstr>درآمد ناشی از تغییر قیمت اوراق </vt:lpstr>
      <vt:lpstr>' سهام'!Print_Area</vt:lpstr>
      <vt:lpstr>'اوراق مشتقه'!Print_Area</vt:lpstr>
      <vt:lpstr>'تعدیل قیمت'!Print_Area</vt:lpstr>
      <vt:lpstr>'درآمد سپرده بانکی'!Print_Area</vt:lpstr>
      <vt:lpstr>'درآمد سرمایه گذاری در سهام '!Print_Area</vt:lpstr>
      <vt:lpstr>'درآمد سرمایه گذاری مشتقه '!Print_Area</vt:lpstr>
      <vt:lpstr>'درآمد سود سهام'!Print_Area</vt:lpstr>
      <vt:lpstr>'درآمد ناشی از تغییر قیمت اوراق '!Print_Area</vt:lpstr>
      <vt:lpstr>'درآمد ناشی ازفروش'!Print_Area</vt:lpstr>
      <vt:lpstr>درآمدها!Print_Area</vt:lpstr>
      <vt:lpstr>'سایر درآمدها'!Print_Area</vt:lpstr>
      <vt:lpstr>سپرده!Print_Area</vt:lpstr>
      <vt:lpstr>سربرگ!Print_Area</vt:lpstr>
      <vt:lpstr>'سود  سپرده بانکی'!Print_Area</vt:lpstr>
    </vt:vector>
  </TitlesOfParts>
  <Company>15KHODAEI-A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Akbar Iranshahi</dc:creator>
  <cp:lastModifiedBy>Ghazal Nezakati</cp:lastModifiedBy>
  <cp:lastPrinted>2026-05-29T23:32:37Z</cp:lastPrinted>
  <dcterms:created xsi:type="dcterms:W3CDTF">2017-11-22T14:26:20Z</dcterms:created>
  <dcterms:modified xsi:type="dcterms:W3CDTF">2026-05-31T11:56:21Z</dcterms:modified>
</cp:coreProperties>
</file>