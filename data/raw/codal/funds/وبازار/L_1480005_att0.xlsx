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8933\Desktop\"/>
    </mc:Choice>
  </mc:AlternateContent>
  <xr:revisionPtr revIDLastSave="0" documentId="13_ncr:1_{AE9EE41B-F378-4C10-9BEA-0DD5493E0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" sheetId="21" r:id="rId1"/>
    <sheet name="1" sheetId="48" r:id="rId2"/>
    <sheet name="2" sheetId="52" r:id="rId3"/>
    <sheet name="3" sheetId="64" r:id="rId4"/>
    <sheet name="4" sheetId="59" r:id="rId5"/>
    <sheet name="5" sheetId="63" r:id="rId6"/>
    <sheet name="6" sheetId="61" r:id="rId7"/>
    <sheet name="7" sheetId="62" r:id="rId8"/>
    <sheet name="8" sheetId="55" r:id="rId9"/>
    <sheet name="9" sheetId="56" r:id="rId10"/>
    <sheet name="10" sheetId="57" r:id="rId11"/>
    <sheet name="11" sheetId="58" r:id="rId12"/>
  </sheets>
  <definedNames>
    <definedName name="_xlnm.Print_Area" localSheetId="0">'0'!$A$1:$J$29</definedName>
    <definedName name="_xlnm.Print_Area" localSheetId="1">'1'!$A$1:$W$56</definedName>
    <definedName name="_xlnm.Print_Area" localSheetId="2">'2'!$A$1:$Q$13</definedName>
    <definedName name="_xlnm.Print_Area" localSheetId="3">'3'!$A$1:$I$13</definedName>
    <definedName name="_xlnm.Print_Area" localSheetId="4">'4'!$A$1:$U$54</definedName>
    <definedName name="_xlnm.Print_Area" localSheetId="5">'5'!$A$1:$Q$34</definedName>
    <definedName name="_xlnm.Print_Area" localSheetId="9">'9'!$A$1:$Q$12</definedName>
    <definedName name="_xlnm.Print_Titles" localSheetId="1">'1'!$1:$10</definedName>
    <definedName name="_xlnm.Print_Titles" localSheetId="11">'11'!$1:$8</definedName>
    <definedName name="_xlnm.Print_Titles" localSheetId="4">'4'!$1:$8</definedName>
    <definedName name="_xlnm.Print_Titles" localSheetId="5">'5'!$1:$8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64" l="1"/>
  <c r="E10" i="64"/>
  <c r="E9" i="64"/>
  <c r="E8" i="64"/>
  <c r="I12" i="64"/>
  <c r="E12" i="64" l="1"/>
  <c r="G9" i="64" s="1"/>
  <c r="G11" i="64" l="1"/>
  <c r="G8" i="64"/>
  <c r="G10" i="64"/>
  <c r="G12" i="64" l="1"/>
  <c r="G18" i="63" l="1"/>
  <c r="Q33" i="63"/>
  <c r="M33" i="63"/>
  <c r="K33" i="63"/>
  <c r="I33" i="63"/>
  <c r="C33" i="63"/>
  <c r="O32" i="63"/>
  <c r="G32" i="63"/>
  <c r="O31" i="63"/>
  <c r="G31" i="63"/>
  <c r="O30" i="63"/>
  <c r="G30" i="63"/>
  <c r="O29" i="63"/>
  <c r="G29" i="63"/>
  <c r="O28" i="63"/>
  <c r="G28" i="63"/>
  <c r="O27" i="63"/>
  <c r="G27" i="63"/>
  <c r="O26" i="63"/>
  <c r="G26" i="63"/>
  <c r="O25" i="63"/>
  <c r="G25" i="63"/>
  <c r="O24" i="63"/>
  <c r="G24" i="63"/>
  <c r="O23" i="63"/>
  <c r="G23" i="63"/>
  <c r="O22" i="63"/>
  <c r="G22" i="63"/>
  <c r="O21" i="63"/>
  <c r="G21" i="63"/>
  <c r="O20" i="63"/>
  <c r="G20" i="63"/>
  <c r="O19" i="63"/>
  <c r="G19" i="63"/>
  <c r="O18" i="63"/>
  <c r="O17" i="63"/>
  <c r="G17" i="63"/>
  <c r="O16" i="63"/>
  <c r="G16" i="63"/>
  <c r="O15" i="63"/>
  <c r="G15" i="63"/>
  <c r="O14" i="63"/>
  <c r="G14" i="63"/>
  <c r="O13" i="63"/>
  <c r="G13" i="63"/>
  <c r="O12" i="63"/>
  <c r="G12" i="63"/>
  <c r="O11" i="63"/>
  <c r="G11" i="63"/>
  <c r="O10" i="63"/>
  <c r="G10" i="63"/>
  <c r="O9" i="63"/>
  <c r="G9" i="63"/>
  <c r="O33" i="63" l="1"/>
  <c r="G33" i="63"/>
  <c r="E33" i="63"/>
  <c r="C10" i="62" l="1"/>
  <c r="E10" i="62"/>
  <c r="G9" i="61"/>
  <c r="E11" i="61"/>
  <c r="G10" i="61" s="1"/>
  <c r="G11" i="61" s="1"/>
  <c r="I11" i="61"/>
  <c r="K9" i="61" s="1"/>
  <c r="C53" i="59"/>
  <c r="E53" i="59"/>
  <c r="G53" i="59"/>
  <c r="I53" i="59"/>
  <c r="K53" i="59"/>
  <c r="M53" i="59"/>
  <c r="O53" i="59"/>
  <c r="Q53" i="59"/>
  <c r="S53" i="59"/>
  <c r="U53" i="59"/>
  <c r="E49" i="58"/>
  <c r="G49" i="58"/>
  <c r="I49" i="58"/>
  <c r="M49" i="58"/>
  <c r="O49" i="58"/>
  <c r="Q49" i="58"/>
  <c r="E28" i="57"/>
  <c r="G28" i="57"/>
  <c r="I28" i="57"/>
  <c r="M28" i="57"/>
  <c r="O28" i="57"/>
  <c r="Q28" i="57"/>
  <c r="G11" i="56"/>
  <c r="I11" i="56"/>
  <c r="K11" i="56"/>
  <c r="M11" i="56"/>
  <c r="O11" i="56"/>
  <c r="Q11" i="56"/>
  <c r="I10" i="55"/>
  <c r="K10" i="55"/>
  <c r="M10" i="55"/>
  <c r="O10" i="55"/>
  <c r="Q10" i="55"/>
  <c r="S10" i="55"/>
  <c r="I12" i="52"/>
  <c r="K12" i="52"/>
  <c r="M12" i="52"/>
  <c r="O12" i="52"/>
  <c r="Q12" i="52"/>
  <c r="C55" i="48"/>
  <c r="E55" i="48"/>
  <c r="G55" i="48"/>
  <c r="I55" i="48"/>
  <c r="J55" i="48"/>
  <c r="L55" i="48"/>
  <c r="M55" i="48"/>
  <c r="O55" i="48"/>
  <c r="Q55" i="48"/>
  <c r="S55" i="48"/>
  <c r="U55" i="48"/>
  <c r="W55" i="48"/>
  <c r="K10" i="61" l="1"/>
  <c r="K11" i="61" s="1"/>
</calcChain>
</file>

<file path=xl/sharedStrings.xml><?xml version="1.0" encoding="utf-8"?>
<sst xmlns="http://schemas.openxmlformats.org/spreadsheetml/2006/main" count="391" uniqueCount="192">
  <si>
    <t>‫صورت وضعیت پورتفوی</t>
  </si>
  <si>
    <t>‫1404/09/30</t>
  </si>
  <si>
    <t>‫تعداد</t>
  </si>
  <si>
    <t>‫بهای تمام شده</t>
  </si>
  <si>
    <t>‫خالص ارزش فروش</t>
  </si>
  <si>
    <t>‫درصد به کل دارایی ها</t>
  </si>
  <si>
    <t>‫مبلغ فروش</t>
  </si>
  <si>
    <t>‫جمع</t>
  </si>
  <si>
    <t>‫تاریخ سررسید</t>
  </si>
  <si>
    <t>‫-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</si>
  <si>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</si>
  <si>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</si>
  <si>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</si>
  <si>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</si>
  <si>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</si>
  <si>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‫مبلغ</t>
  </si>
  <si>
    <t>‫افزایش</t>
  </si>
  <si>
    <t>‫کاهش</t>
  </si>
  <si>
    <t>‫کوتاه مدت</t>
  </si>
  <si>
    <t>‫سپرده بانکی نزد بانک پاسارگاد</t>
  </si>
  <si>
    <t>‫سپرده بانکی نزد بانک گردشگري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</si>
  <si>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</si>
  <si>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</si>
  <si>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</si>
  <si>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</si>
  <si>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</si>
  <si>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</si>
  <si>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سپرده بانکی و گواهی سپرده</t>
  </si>
  <si>
    <t>‫سایر درآمدها</t>
  </si>
  <si>
    <t>‫هزینه تنزیل</t>
  </si>
  <si>
    <t>‫تاریخ دریافت سود</t>
  </si>
  <si>
    <t>‫درآمد سود</t>
  </si>
  <si>
    <t>‫خالص درآمد</t>
  </si>
  <si>
    <t>‫سود(زیان) حاصل از فروش اوراق بهادار</t>
  </si>
  <si>
    <t>‫ارزش دفتری</t>
  </si>
  <si>
    <t>‫سود و زیان ناشی از فروش</t>
  </si>
  <si>
    <t>‫درآمد ناشی از تغییر قیمت اوراق بهادار</t>
  </si>
  <si>
    <t>‫سود و زیان ناشی از تغییر قیمت</t>
  </si>
  <si>
    <t>‫درآمد تغییر ارزش</t>
  </si>
  <si>
    <t>‫درآمد فروش</t>
  </si>
  <si>
    <t>‫نام سپرده بانکی</t>
  </si>
  <si>
    <t>‫نام سپرده</t>
  </si>
  <si>
    <t>‫سود سپرده بانکی و گواهی سپرده</t>
  </si>
  <si>
    <t>‫سپرده بانکی کوتاه مدت - پاسارگاد</t>
  </si>
  <si>
    <t>‫سپرده بانکی کوتاه مدت - گردشگري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</si>
  <si>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</si>
  <si>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</si>
  <si>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</si>
  <si>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</si>
  <si>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</si>
  <si>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</si>
  <si>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‫1-2- سرمایه گذاری در سپرده بانکی</t>
  </si>
  <si>
    <t>‫درصد سود به کل سود سپرده</t>
  </si>
  <si>
    <t>تعدیل کارمزد کارگزاری</t>
  </si>
  <si>
    <t>2-1</t>
  </si>
  <si>
    <t>2-3</t>
  </si>
  <si>
    <t>‫سود سپرده بانکی</t>
  </si>
  <si>
    <t>صندوق ‫سرمایه گذاری قابل معامله شاخصی بازار آشنا</t>
  </si>
  <si>
    <t>‫چادرملو</t>
  </si>
  <si>
    <t>‫پويا زركان آق دره</t>
  </si>
  <si>
    <t>‫پست بانك ايران</t>
  </si>
  <si>
    <t>‫پتروشیمی تامین</t>
  </si>
  <si>
    <t>‫پتروشيمی پردیس</t>
  </si>
  <si>
    <t>‫پتروشيمي پارس</t>
  </si>
  <si>
    <t>‫پتروشيمي نوري</t>
  </si>
  <si>
    <t>‫پتروشيمي شيراز</t>
  </si>
  <si>
    <t>‫پتروشيمي جم</t>
  </si>
  <si>
    <t>‫پارس مينو</t>
  </si>
  <si>
    <t>‫نفت و گاز پارسیان</t>
  </si>
  <si>
    <t>‫نفت تهران</t>
  </si>
  <si>
    <t>‫نفت تبريز</t>
  </si>
  <si>
    <t>‫نفت بندر عباس</t>
  </si>
  <si>
    <t>‫نفت اصفهان</t>
  </si>
  <si>
    <t>‫مپنا</t>
  </si>
  <si>
    <t>‫ملي مس</t>
  </si>
  <si>
    <t>‫مبين انرژي خليج فارس</t>
  </si>
  <si>
    <t>‫كيميا كالاي رازي</t>
  </si>
  <si>
    <t>‫فولاد مباركه</t>
  </si>
  <si>
    <t>‫صندوق بازنشستگي</t>
  </si>
  <si>
    <t>‫صنايع پتروشيمي خليج فارس</t>
  </si>
  <si>
    <t>‫صنايع غذايي رضوي</t>
  </si>
  <si>
    <t>‫سيمان فارس و خوزستان</t>
  </si>
  <si>
    <t>‫سيمان شاهرود</t>
  </si>
  <si>
    <t>‫سرمايه گذاري غدير</t>
  </si>
  <si>
    <t>‫سرمايه گذاري صدرتامين</t>
  </si>
  <si>
    <t>‫سرمايه گذاري دارويي تامين</t>
  </si>
  <si>
    <t>‫سرمايه گذاري تامين اجتماعي</t>
  </si>
  <si>
    <t>‫س. و توسعه صنايع لاستيك</t>
  </si>
  <si>
    <t>‫توسعه‌معادن‌وفلزات‌</t>
  </si>
  <si>
    <t>‫بانك ملت</t>
  </si>
  <si>
    <t>‫بانك تجارت</t>
  </si>
  <si>
    <t>‫ايران خودرو</t>
  </si>
  <si>
    <t>‫اقتصاد نوين</t>
  </si>
  <si>
    <t>‫قیمت بازار هر سهم</t>
  </si>
  <si>
    <t>‫شرکت</t>
  </si>
  <si>
    <t>‫1-1- سرمایه گذاری در سهام و حق تقدم سهام</t>
  </si>
  <si>
    <t>‫1- سرمایه گذاری ها</t>
  </si>
  <si>
    <t>‫سرمایه گذاری قابل معامله شاخصی بازار آشنا</t>
  </si>
  <si>
    <t>‫نام سهام</t>
  </si>
  <si>
    <t>‫1403/05/03</t>
  </si>
  <si>
    <t>‫132.9967.1270160.1</t>
  </si>
  <si>
    <t>‫1401/09/22</t>
  </si>
  <si>
    <t>‫جاري</t>
  </si>
  <si>
    <t>‫132-711270160-1</t>
  </si>
  <si>
    <t>‫1400/08/09</t>
  </si>
  <si>
    <t>‫415.8100.14938708.1</t>
  </si>
  <si>
    <t>‫2-2</t>
  </si>
  <si>
    <t>‫درآمد حاصل از سرمایه گذاری در سهام و حق تقدم سهام</t>
  </si>
  <si>
    <t>‫خالص درآمد سود سهام</t>
  </si>
  <si>
    <t>‫جمع درآمد سود سهام</t>
  </si>
  <si>
    <t>‫سود متعلق به هر سهم</t>
  </si>
  <si>
    <t>‫تعداد سهام متعلقه در زمان مجمع</t>
  </si>
  <si>
    <t>‫تاریخ تشکیل مجمع</t>
  </si>
  <si>
    <t>‫اطلاعات مجمع</t>
  </si>
  <si>
    <t>‫درآمد سود سهام</t>
  </si>
  <si>
    <t>‫كوتاه مدت-1.14938708.8100.415-پاسارگاد</t>
  </si>
  <si>
    <t>‫كوتاه مدت-1.1270160.9967.132-گردشگري</t>
  </si>
  <si>
    <t>‫ذوب آهن  اصفهان</t>
  </si>
  <si>
    <t>‫آلومينيوم ايران</t>
  </si>
  <si>
    <t>‫گروه مپنا</t>
  </si>
  <si>
    <t>‫پتروشيمي پرديس</t>
  </si>
  <si>
    <t>‫پالايش نفت تهران</t>
  </si>
  <si>
    <t>‫پالايش نفت تبريز</t>
  </si>
  <si>
    <t>‫پالايش نفت اصفهان</t>
  </si>
  <si>
    <t>‫ملي صنايع مس ايران</t>
  </si>
  <si>
    <t>‫معدني و صنعتي چادر ملو</t>
  </si>
  <si>
    <t>‫فولاد مباركه اصفهان</t>
  </si>
  <si>
    <t>‫شركت گسترش نفت و گاز پارسيان</t>
  </si>
  <si>
    <t>‫شركت پالايش نفت بندر عباس</t>
  </si>
  <si>
    <t>‫سرمايه گذاري غدير (هلدينگ)</t>
  </si>
  <si>
    <t>‫سرمايه گذاري صندوق بازنشستگي كشوري (هلدينگ)</t>
  </si>
  <si>
    <t>‫سرمايه گذاري توسعه معادن و فلزات (هلدينگ)</t>
  </si>
  <si>
    <t>‫س. نفت و گاز و پتروشيمي تامين</t>
  </si>
  <si>
    <t>‫ذوب آهن اصفهان</t>
  </si>
  <si>
    <t>‫بانك اقتصاد نوين</t>
  </si>
  <si>
    <t>‫درصد از کل درآمد ها</t>
  </si>
  <si>
    <t>‫جمع مبلغ</t>
  </si>
  <si>
    <t>‫سهام</t>
  </si>
  <si>
    <t>‫2-1- درآمد حاصل از سرمایه گذاری در سهام و حق تقدم سهام:</t>
  </si>
  <si>
    <t>اختیار معامله</t>
  </si>
  <si>
    <t>‫2-2- درآمد حاصل از سرمایه گذاری در اختیار معاملات سهام:</t>
  </si>
  <si>
    <t>سرمایه گذاری قابل معامله شاخصی بازار آشنا</t>
  </si>
  <si>
    <t>اختيارخ خودرو-750-1404/11/01</t>
  </si>
  <si>
    <t>اختيارخ وبملت-1100-1404/10/17</t>
  </si>
  <si>
    <t>اختيارخ وبملت-1300-1404/10/17</t>
  </si>
  <si>
    <t>اختيارف خودرو-600-1404/11/01</t>
  </si>
  <si>
    <t>‫2-3- درآمد حاصل از سرمایه گذاری در سپرده بانکی و گواهی سپرده:</t>
  </si>
  <si>
    <t>‫2-4- سایر درآمدها:</t>
  </si>
  <si>
    <t>‫درآمد حاصل از سرمایه گذاری در اختیار معاملات سهام</t>
  </si>
  <si>
    <t>2-4</t>
  </si>
  <si>
    <t>‫برای ماه منتهی به 1404/10/30</t>
  </si>
  <si>
    <t>علی اکبر شوره کندی</t>
  </si>
  <si>
    <t>‫گروه مالي نماد غدير(سهامي عام)</t>
  </si>
  <si>
    <t>‫گروه صنعتي درپاد تبريز</t>
  </si>
  <si>
    <t>‫پتروشيمي اروند</t>
  </si>
  <si>
    <t>‫نگين طبس</t>
  </si>
  <si>
    <t>‫مس شهيد باهنر</t>
  </si>
  <si>
    <t>‫مجتمع كاشي و سنگ پرسپوليس يزد</t>
  </si>
  <si>
    <t>‫آلياژ گستر هامون</t>
  </si>
  <si>
    <t>‫1404/10/30</t>
  </si>
  <si>
    <t>‫1404/10/23</t>
  </si>
  <si>
    <t>‫1404/10/01</t>
  </si>
  <si>
    <t>‫1404/10/03</t>
  </si>
  <si>
    <t>‫ذغال سنگ نگين طبس</t>
  </si>
  <si>
    <t>‫تغییرات طی دی ماه</t>
  </si>
  <si>
    <t>‫خرید طی دی ماه</t>
  </si>
  <si>
    <t>‫فروش طی دی ماه</t>
  </si>
  <si>
    <t>طی دی ماه</t>
  </si>
  <si>
    <t>از ابتدای سال مالی تا پایان دی ماه</t>
  </si>
  <si>
    <t>طی دی  ماه</t>
  </si>
  <si>
    <t>اختيارخ خودرو-600-1404/11/01</t>
  </si>
  <si>
    <t>اختيارخ خودرو-650-1404/11/01</t>
  </si>
  <si>
    <t>اختيارخ خودرو-700-1404/11/01</t>
  </si>
  <si>
    <t>اختيارخ خودرو-700-1404/12/06</t>
  </si>
  <si>
    <t>اختيارخ ذوب-450-1404/11/21</t>
  </si>
  <si>
    <t>اختيارخ ذوب-500-1404/11/21</t>
  </si>
  <si>
    <t>اختيارخ شپنا-8000-1404/12/19</t>
  </si>
  <si>
    <t>اختيارخ شستا-1610-1404/11/08</t>
  </si>
  <si>
    <t>اختيارخ شستا-1810-1404/10/10</t>
  </si>
  <si>
    <t>اختيارخ شستا-2010-1404/11/08</t>
  </si>
  <si>
    <t>اختيارخ فزر-120000-14041112</t>
  </si>
  <si>
    <t>اختيارخ فولاد-4000-1404/11/08</t>
  </si>
  <si>
    <t>اختيارخ وبملت-1600-1404/11/21</t>
  </si>
  <si>
    <t>اختيارخ وبملت-1700-1404/11/21</t>
  </si>
  <si>
    <t>اختيارخ وبملت-1800-1404/11/21</t>
  </si>
  <si>
    <t>اختيارخ وبملت-1900-1404/11/21</t>
  </si>
  <si>
    <t>اختيارف اهرم-42000-1404/11/29</t>
  </si>
  <si>
    <t>اختيارف خودرو-550-1404/11/01</t>
  </si>
  <si>
    <t>اختيارف شستا-1610-1404/10/10</t>
  </si>
  <si>
    <t>اختيارف شستا-1710-1404/10/10</t>
  </si>
  <si>
    <t>اختیار معاملات خرید سهام</t>
  </si>
  <si>
    <t>اختیار معاملات فروش سهام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</si>
</sst>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rial"/>
      <family val="2"/>
      <scheme val="minor"/>
    </font>
    <font>
      <sz val="11"/>
      <color indexed="8"/>
      <name val="Arial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b/>
      <sz val="12"/>
      <color indexed="8"/>
      <name val="B Zar"/>
      <charset val="178"/>
    </font>
    <font>
      <sz val="7"/>
      <color rgb="FF000000"/>
      <name val="Yekan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1" fillId="2" borderId="2"/>
    <xf numFmtId="0" fontId="1" fillId="2" borderId="2"/>
    <xf numFmtId="9" fontId="1" fillId="2" borderId="2" applyFont="0" applyFill="0" applyBorder="0" applyAlignment="0" applyProtection="0"/>
    <xf numFmtId="0" fontId="1" fillId="2" borderId="2"/>
    <xf numFmtId="0" fontId="1" fillId="2" borderId="2"/>
    <xf numFmtId="0" fontId="1" fillId="2" borderId="2"/>
    <xf numFmtId="0" fontId="1" fillId="2" borderId="2"/>
  </cellStyleXfs>
  <cellXfs count="61">
    <xf numFmtId="0" fontId="0" fillId="0" borderId="0" xfId="0"/>
    <xf numFmtId="0" fontId="3" fillId="2" borderId="2" xfId="1" applyFont="1"/>
    <xf numFmtId="0" fontId="3" fillId="2" borderId="2" xfId="1" applyFont="1"/>
    <xf numFmtId="0" fontId="3" fillId="2" borderId="2" xfId="5" applyFont="1"/>
    <xf numFmtId="37" fontId="8" fillId="2" borderId="2" xfId="5" applyNumberFormat="1" applyFont="1" applyAlignment="1">
      <alignment horizontal="center" vertical="center"/>
    </xf>
    <xf numFmtId="10" fontId="8" fillId="2" borderId="2" xfId="5" applyNumberFormat="1" applyFont="1" applyAlignment="1">
      <alignment horizontal="center" vertical="center"/>
    </xf>
    <xf numFmtId="37" fontId="8" fillId="2" borderId="3" xfId="5" applyNumberFormat="1" applyFont="1" applyBorder="1" applyAlignment="1">
      <alignment horizontal="center" vertical="center"/>
    </xf>
    <xf numFmtId="10" fontId="8" fillId="2" borderId="3" xfId="5" applyNumberFormat="1" applyFont="1" applyBorder="1" applyAlignment="1">
      <alignment horizontal="center" vertical="center"/>
    </xf>
    <xf numFmtId="37" fontId="8" fillId="2" borderId="1" xfId="5" applyNumberFormat="1" applyFont="1" applyBorder="1" applyAlignment="1">
      <alignment horizontal="center" vertical="center"/>
    </xf>
    <xf numFmtId="37" fontId="7" fillId="2" borderId="7" xfId="1" applyNumberFormat="1" applyFont="1" applyBorder="1" applyAlignment="1">
      <alignment horizontal="center" vertical="center"/>
    </xf>
    <xf numFmtId="37" fontId="7" fillId="2" borderId="7" xfId="1" applyNumberFormat="1" applyFont="1" applyBorder="1" applyAlignment="1">
      <alignment horizontal="center" vertical="center" wrapText="1"/>
    </xf>
    <xf numFmtId="37" fontId="8" fillId="2" borderId="2" xfId="1" applyNumberFormat="1" applyFont="1" applyAlignment="1">
      <alignment horizontal="right" vertical="center" wrapText="1"/>
    </xf>
    <xf numFmtId="0" fontId="8" fillId="2" borderId="2" xfId="1" applyFont="1" applyAlignment="1">
      <alignment horizontal="center" vertical="center"/>
    </xf>
    <xf numFmtId="37" fontId="8" fillId="2" borderId="2" xfId="1" applyNumberFormat="1" applyFont="1" applyAlignment="1">
      <alignment horizontal="center" vertical="center" wrapText="1"/>
    </xf>
    <xf numFmtId="37" fontId="8" fillId="2" borderId="2" xfId="1" applyNumberFormat="1" applyFont="1" applyAlignment="1">
      <alignment horizontal="center" vertical="center"/>
    </xf>
    <xf numFmtId="10" fontId="8" fillId="2" borderId="2" xfId="1" applyNumberFormat="1" applyFont="1" applyAlignment="1">
      <alignment horizontal="center" vertical="center"/>
    </xf>
    <xf numFmtId="37" fontId="8" fillId="2" borderId="3" xfId="1" applyNumberFormat="1" applyFont="1" applyBorder="1" applyAlignment="1">
      <alignment horizontal="center" vertical="center"/>
    </xf>
    <xf numFmtId="10" fontId="8" fillId="2" borderId="3" xfId="1" applyNumberFormat="1" applyFont="1" applyBorder="1" applyAlignment="1">
      <alignment horizontal="center" vertical="center"/>
    </xf>
    <xf numFmtId="37" fontId="8" fillId="2" borderId="1" xfId="1" applyNumberFormat="1" applyFont="1" applyBorder="1" applyAlignment="1">
      <alignment horizontal="center" vertical="center"/>
    </xf>
    <xf numFmtId="3" fontId="10" fillId="0" borderId="0" xfId="0" applyNumberFormat="1" applyFont="1"/>
    <xf numFmtId="3" fontId="3" fillId="2" borderId="2" xfId="1" applyNumberFormat="1" applyFont="1"/>
    <xf numFmtId="10" fontId="8" fillId="2" borderId="5" xfId="1" applyNumberFormat="1" applyFont="1" applyBorder="1" applyAlignment="1">
      <alignment horizontal="center" vertical="center"/>
    </xf>
    <xf numFmtId="37" fontId="8" fillId="2" borderId="2" xfId="1" applyNumberFormat="1" applyFont="1" applyBorder="1" applyAlignment="1">
      <alignment horizontal="center" vertical="center"/>
    </xf>
    <xf numFmtId="37" fontId="7" fillId="2" borderId="7" xfId="5" applyNumberFormat="1" applyFont="1" applyBorder="1" applyAlignment="1">
      <alignment horizontal="center" vertical="center"/>
    </xf>
    <xf numFmtId="37" fontId="7" fillId="2" borderId="7" xfId="5" applyNumberFormat="1" applyFont="1" applyBorder="1" applyAlignment="1">
      <alignment horizontal="center" vertical="center" wrapText="1"/>
    </xf>
    <xf numFmtId="37" fontId="7" fillId="2" borderId="2" xfId="5" applyNumberFormat="1" applyFont="1" applyAlignment="1">
      <alignment horizontal="right" vertical="center"/>
    </xf>
    <xf numFmtId="49" fontId="8" fillId="2" borderId="2" xfId="5" applyNumberFormat="1" applyFont="1" applyAlignment="1">
      <alignment horizontal="center" vertical="center"/>
    </xf>
    <xf numFmtId="37" fontId="7" fillId="2" borderId="3" xfId="5" applyNumberFormat="1" applyFont="1" applyBorder="1" applyAlignment="1">
      <alignment horizontal="center" vertical="center"/>
    </xf>
    <xf numFmtId="9" fontId="8" fillId="2" borderId="3" xfId="5" applyNumberFormat="1" applyFont="1" applyBorder="1" applyAlignment="1">
      <alignment horizontal="center" vertical="center"/>
    </xf>
    <xf numFmtId="0" fontId="5" fillId="2" borderId="2" xfId="1" applyFont="1" applyAlignment="1">
      <alignment horizontal="center" vertical="center" wrapText="1" readingOrder="2"/>
    </xf>
    <xf numFmtId="37" fontId="2" fillId="2" borderId="2" xfId="1" applyNumberFormat="1" applyFont="1" applyAlignment="1">
      <alignment horizontal="center" vertical="center"/>
    </xf>
    <xf numFmtId="0" fontId="3" fillId="2" borderId="2" xfId="1" applyFont="1"/>
    <xf numFmtId="0" fontId="4" fillId="3" borderId="2" xfId="1" applyFont="1" applyFill="1" applyAlignment="1">
      <alignment horizontal="center" vertical="center" wrapText="1" readingOrder="2"/>
    </xf>
    <xf numFmtId="37" fontId="6" fillId="2" borderId="2" xfId="5" applyNumberFormat="1" applyFont="1" applyAlignment="1">
      <alignment horizontal="center" vertical="center"/>
    </xf>
    <xf numFmtId="0" fontId="3" fillId="2" borderId="2" xfId="5" applyFont="1"/>
    <xf numFmtId="37" fontId="7" fillId="2" borderId="2" xfId="5" applyNumberFormat="1" applyFont="1" applyAlignment="1">
      <alignment horizontal="right" vertical="center"/>
    </xf>
    <xf numFmtId="37" fontId="6" fillId="2" borderId="2" xfId="1" applyNumberFormat="1" applyFont="1" applyAlignment="1">
      <alignment horizontal="center" vertical="center"/>
    </xf>
    <xf numFmtId="37" fontId="7" fillId="2" borderId="2" xfId="1" applyNumberFormat="1" applyFont="1" applyAlignment="1">
      <alignment horizontal="right" vertical="center"/>
    </xf>
    <xf numFmtId="37" fontId="7" fillId="2" borderId="7" xfId="1" applyNumberFormat="1" applyFont="1" applyBorder="1" applyAlignment="1">
      <alignment horizontal="center" vertical="center"/>
    </xf>
    <xf numFmtId="0" fontId="3" fillId="2" borderId="6" xfId="1" applyFont="1" applyBorder="1"/>
    <xf numFmtId="0" fontId="9" fillId="2" borderId="7" xfId="5" applyFont="1" applyBorder="1" applyAlignment="1">
      <alignment horizontal="center"/>
    </xf>
    <xf numFmtId="0" fontId="9" fillId="2" borderId="6" xfId="1" applyFont="1" applyBorder="1" applyAlignment="1">
      <alignment horizontal="center"/>
    </xf>
    <xf numFmtId="37" fontId="6" fillId="2" borderId="2" xfId="7" applyNumberFormat="1" applyFont="1" applyAlignment="1">
      <alignment horizontal="center" vertical="center"/>
    </xf>
    <xf numFmtId="0" fontId="3" fillId="2" borderId="2" xfId="7" applyFont="1"/>
    <xf numFmtId="0" fontId="3" fillId="2" borderId="2" xfId="7" applyFont="1"/>
    <xf numFmtId="37" fontId="7" fillId="2" borderId="2" xfId="7" applyNumberFormat="1" applyFont="1" applyAlignment="1">
      <alignment horizontal="right" vertical="center"/>
    </xf>
    <xf numFmtId="37" fontId="7" fillId="2" borderId="7" xfId="7" applyNumberFormat="1" applyFont="1" applyBorder="1" applyAlignment="1">
      <alignment horizontal="center" vertical="center"/>
    </xf>
    <xf numFmtId="0" fontId="3" fillId="2" borderId="6" xfId="7" applyFont="1" applyBorder="1"/>
    <xf numFmtId="0" fontId="8" fillId="2" borderId="2" xfId="7" applyFont="1" applyAlignment="1">
      <alignment horizontal="center" vertical="center"/>
    </xf>
    <xf numFmtId="37" fontId="8" fillId="2" borderId="2" xfId="7" applyNumberFormat="1" applyFont="1" applyAlignment="1">
      <alignment horizontal="center" vertical="center" wrapText="1"/>
    </xf>
    <xf numFmtId="37" fontId="8" fillId="2" borderId="4" xfId="7" applyNumberFormat="1" applyFont="1" applyBorder="1" applyAlignment="1">
      <alignment horizontal="center" vertical="center"/>
    </xf>
    <xf numFmtId="37" fontId="8" fillId="2" borderId="4" xfId="7" applyNumberFormat="1" applyFont="1" applyBorder="1" applyAlignment="1">
      <alignment horizontal="center" vertical="center"/>
    </xf>
    <xf numFmtId="37" fontId="8" fillId="2" borderId="2" xfId="7" applyNumberFormat="1" applyFont="1" applyAlignment="1">
      <alignment horizontal="right" vertical="center" wrapText="1"/>
    </xf>
    <xf numFmtId="0" fontId="8" fillId="2" borderId="2" xfId="7" applyFont="1" applyAlignment="1">
      <alignment horizontal="center" vertical="center"/>
    </xf>
    <xf numFmtId="37" fontId="8" fillId="2" borderId="2" xfId="7" applyNumberFormat="1" applyFont="1" applyAlignment="1">
      <alignment horizontal="center" vertical="center"/>
    </xf>
    <xf numFmtId="10" fontId="8" fillId="2" borderId="2" xfId="7" applyNumberFormat="1" applyFont="1" applyAlignment="1">
      <alignment horizontal="center" vertical="center"/>
    </xf>
    <xf numFmtId="37" fontId="8" fillId="2" borderId="3" xfId="7" applyNumberFormat="1" applyFont="1" applyBorder="1" applyAlignment="1">
      <alignment horizontal="center" vertical="center"/>
    </xf>
    <xf numFmtId="10" fontId="8" fillId="2" borderId="3" xfId="7" applyNumberFormat="1" applyFont="1" applyBorder="1" applyAlignment="1">
      <alignment horizontal="center" vertical="center"/>
    </xf>
    <xf numFmtId="37" fontId="8" fillId="2" borderId="1" xfId="7" applyNumberFormat="1" applyFont="1" applyBorder="1" applyAlignment="1">
      <alignment horizontal="center" vertical="center"/>
    </xf>
    <xf numFmtId="3" fontId="10" fillId="2" borderId="2" xfId="1" applyNumberFormat="1" applyFont="1"/>
    <xf numFmtId="9" fontId="8" fillId="2" borderId="3" xfId="1" applyNumberFormat="1" applyFont="1" applyBorder="1" applyAlignment="1">
      <alignment horizontal="center" vertical="center"/>
    </xf>
  </cellXfs>
  <cellStyles count="8">
    <cellStyle name="Normal" xfId="0" builtinId="0"/>
    <cellStyle name="Normal 2" xfId="1" xr:uid="{DA6C8B29-AF47-4957-94A4-8467BEEDF225}"/>
    <cellStyle name="Normal 3" xfId="2" xr:uid="{F9CCBD56-407A-47A3-B12E-4307ACB3CDBF}"/>
    <cellStyle name="Normal 4" xfId="4" xr:uid="{FDDEC855-0330-438E-B709-127B78DD3DB5}"/>
    <cellStyle name="Normal 5" xfId="5" xr:uid="{EBC60285-80C0-4E0F-8309-CA43F94BAA62}"/>
    <cellStyle name="Normal 6" xfId="6" xr:uid="{FE7E6780-3D37-45AF-930A-5851D841790F}"/>
    <cellStyle name="Normal 7" xfId="7" xr:uid="{DC3A04BE-44ED-4F4F-AE90-DD2F10C16591}"/>
    <cellStyle name="Percent 2" xfId="3" xr:uid="{2D0FF07A-E7AF-4D0A-8B52-95B581781F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F9881-7F37-45EF-8421-EBAA753B4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917952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152D2-4AEC-48FF-97E9-62E9AD884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588648" y="0"/>
          <a:ext cx="917951" cy="792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917951</xdr:colOff>
      <xdr:row>3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655C5-7443-49EE-9F57-4C71B1467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093349" y="0"/>
          <a:ext cx="917951" cy="800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32647" cy="829235"/>
    <xdr:pic>
      <xdr:nvPicPr>
        <xdr:cNvPr id="2" name="Picture 1">
          <a:extLst>
            <a:ext uri="{FF2B5EF4-FFF2-40B4-BE49-F238E27FC236}">
              <a16:creationId xmlns:a16="http://schemas.microsoft.com/office/drawing/2014/main" id="{5BA25783-DBB2-4524-9A52-D3D423826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930313" y="0"/>
          <a:ext cx="932647" cy="82923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917951</xdr:colOff>
      <xdr:row>3</xdr:row>
      <xdr:rowOff>44375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56D26-FB81-410F-8C9F-27C6AF720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123829" y="0"/>
          <a:ext cx="917951" cy="7987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628E6061-4D98-4239-9989-71A758251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724699" y="0"/>
          <a:ext cx="871561" cy="78039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60F13793-C15F-4EA1-8319-25B083082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6741719" y="0"/>
          <a:ext cx="871561" cy="78039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2F200A7C-F795-4EFD-9DB3-5C7870397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9324899" y="0"/>
          <a:ext cx="871561" cy="78039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10A53F89-55FC-43F3-8587-85926B34C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613959" y="0"/>
          <a:ext cx="871561" cy="78039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771C5590-60B5-4B70-9A97-2FEAADE1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130339" y="0"/>
          <a:ext cx="871561" cy="780398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877B2A92-A7AC-4D25-BB8A-BDED88EC5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145579" y="0"/>
          <a:ext cx="871561" cy="78039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61" cy="780398"/>
    <xdr:pic>
      <xdr:nvPicPr>
        <xdr:cNvPr id="2" name="Picture 1">
          <a:extLst>
            <a:ext uri="{FF2B5EF4-FFF2-40B4-BE49-F238E27FC236}">
              <a16:creationId xmlns:a16="http://schemas.microsoft.com/office/drawing/2014/main" id="{9E53057A-4B7E-4D24-ADB8-E7F0B0301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7046519" y="0"/>
          <a:ext cx="871561" cy="78039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1797-48C5-4B3E-80B7-15E6A7F5BD80}">
  <sheetPr>
    <pageSetUpPr fitToPage="1"/>
  </sheetPr>
  <dimension ref="A18:J25"/>
  <sheetViews>
    <sheetView rightToLeft="1" tabSelected="1" view="pageBreakPreview" zoomScale="55" zoomScaleNormal="100" zoomScaleSheetLayoutView="55" workbookViewId="0">
      <selection activeCell="F26" sqref="F26"/>
    </sheetView>
  </sheetViews>
  <sheetFormatPr defaultColWidth="8.8984375" defaultRowHeight="18.600000000000001" x14ac:dyDescent="0.65"/>
  <cols>
    <col min="1" max="16384" width="8.8984375" style="1"/>
  </cols>
  <sheetData>
    <row r="18" spans="1:10" ht="40.200000000000003" customHeight="1" x14ac:dyDescent="0.65">
      <c r="A18" s="30" t="s">
        <v>57</v>
      </c>
      <c r="B18" s="31"/>
      <c r="C18" s="31"/>
      <c r="D18" s="31"/>
      <c r="E18" s="31"/>
      <c r="F18" s="31"/>
      <c r="G18" s="31"/>
      <c r="H18" s="31"/>
      <c r="I18" s="31"/>
      <c r="J18" s="31"/>
    </row>
    <row r="19" spans="1:10" ht="40.200000000000003" customHeight="1" x14ac:dyDescent="0.65">
      <c r="A19" s="30" t="s">
        <v>0</v>
      </c>
      <c r="B19" s="31"/>
      <c r="C19" s="31"/>
      <c r="D19" s="31"/>
      <c r="E19" s="31"/>
      <c r="F19" s="31"/>
      <c r="G19" s="31"/>
      <c r="H19" s="31"/>
      <c r="I19" s="31"/>
      <c r="J19" s="31"/>
    </row>
    <row r="20" spans="1:10" ht="40.200000000000003" customHeight="1" x14ac:dyDescent="0.65">
      <c r="A20" s="30" t="s">
        <v>150</v>
      </c>
      <c r="B20" s="31"/>
      <c r="C20" s="31"/>
      <c r="D20" s="31"/>
      <c r="E20" s="31"/>
      <c r="F20" s="31"/>
      <c r="G20" s="31"/>
      <c r="H20" s="31"/>
      <c r="I20" s="31"/>
      <c r="J20" s="31"/>
    </row>
    <row r="24" spans="1:10" ht="43.5" customHeight="1" x14ac:dyDescent="0.65">
      <c r="B24" s="32" t="s">
        <v>45</v>
      </c>
      <c r="C24" s="32"/>
      <c r="D24" s="32" t="s">
        <v>46</v>
      </c>
      <c r="E24" s="32"/>
      <c r="F24" s="32" t="s">
        <v>47</v>
      </c>
      <c r="G24" s="32"/>
      <c r="H24" s="32" t="s">
        <v>48</v>
      </c>
      <c r="I24" s="32"/>
    </row>
    <row r="25" spans="1:10" ht="39.75" customHeight="1" x14ac:dyDescent="0.65">
      <c r="B25" s="29" t="s">
        <v>49</v>
      </c>
      <c r="C25" s="29"/>
      <c r="D25" s="29" t="s">
        <v>50</v>
      </c>
      <c r="E25" s="29"/>
      <c r="F25" s="29" t="s">
        <v>151</v>
      </c>
      <c r="G25" s="29"/>
      <c r="H25" s="29"/>
      <c r="I25" s="29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CB9-824A-4F1D-AA9B-3CD62C2815EE}">
  <sheetPr>
    <pageSetUpPr fitToPage="1"/>
  </sheetPr>
  <dimension ref="A1:W56"/>
  <sheetViews>
    <sheetView rightToLeft="1" view="pageBreakPreview" zoomScale="60" zoomScaleNormal="70" workbookViewId="0">
      <selection activeCell="AB29" sqref="AB29"/>
    </sheetView>
  </sheetViews>
  <sheetFormatPr defaultRowHeight="18.600000000000001" x14ac:dyDescent="0.65"/>
  <cols>
    <col min="1" max="1" width="31.8984375" style="44" customWidth="1"/>
    <col min="2" max="2" width="1.3984375" style="44" customWidth="1"/>
    <col min="3" max="3" width="12.796875" style="44" customWidth="1"/>
    <col min="4" max="4" width="1.3984375" style="44" customWidth="1"/>
    <col min="5" max="5" width="17" style="44" customWidth="1"/>
    <col min="6" max="6" width="1.3984375" style="44" customWidth="1"/>
    <col min="7" max="7" width="17" style="44" customWidth="1"/>
    <col min="8" max="8" width="1.3984375" style="44" customWidth="1"/>
    <col min="9" max="9" width="11.3984375" style="44" customWidth="1"/>
    <col min="10" max="10" width="17" style="44" customWidth="1"/>
    <col min="11" max="11" width="1.3984375" style="44" customWidth="1"/>
    <col min="12" max="12" width="11.3984375" style="44" customWidth="1"/>
    <col min="13" max="13" width="17" style="44" customWidth="1"/>
    <col min="14" max="14" width="1.3984375" style="44" customWidth="1"/>
    <col min="15" max="15" width="12.796875" style="44" customWidth="1"/>
    <col min="16" max="16" width="1.3984375" style="44" customWidth="1"/>
    <col min="17" max="17" width="11.3984375" style="44" customWidth="1"/>
    <col min="18" max="18" width="1.3984375" style="44" customWidth="1"/>
    <col min="19" max="19" width="17" style="44" customWidth="1"/>
    <col min="20" max="20" width="1.3984375" style="44" customWidth="1"/>
    <col min="21" max="21" width="17" style="44" customWidth="1"/>
    <col min="22" max="22" width="1.3984375" style="44" customWidth="1"/>
    <col min="23" max="23" width="8.5" style="44" customWidth="1"/>
    <col min="24" max="16384" width="8.796875" style="44"/>
  </cols>
  <sheetData>
    <row r="1" spans="1:23" ht="19.95" customHeight="1" x14ac:dyDescent="0.65">
      <c r="A1" s="42" t="s">
        <v>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ht="19.95" customHeight="1" x14ac:dyDescent="0.65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 spans="1:23" ht="19.95" customHeight="1" x14ac:dyDescent="0.65">
      <c r="A3" s="42" t="s">
        <v>150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</row>
    <row r="5" spans="1:23" ht="20.399999999999999" x14ac:dyDescent="0.65">
      <c r="A5" s="45" t="s">
        <v>96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</row>
    <row r="6" spans="1:23" ht="20.399999999999999" x14ac:dyDescent="0.65">
      <c r="A6" s="45" t="s">
        <v>95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</row>
    <row r="8" spans="1:23" ht="20.399999999999999" x14ac:dyDescent="0.65">
      <c r="C8" s="46" t="s">
        <v>1</v>
      </c>
      <c r="D8" s="47"/>
      <c r="E8" s="47"/>
      <c r="F8" s="47"/>
      <c r="G8" s="47"/>
      <c r="I8" s="46" t="s">
        <v>164</v>
      </c>
      <c r="J8" s="47"/>
      <c r="K8" s="47"/>
      <c r="L8" s="47"/>
      <c r="M8" s="47"/>
      <c r="O8" s="46" t="s">
        <v>159</v>
      </c>
      <c r="P8" s="47"/>
      <c r="Q8" s="47"/>
      <c r="R8" s="47"/>
      <c r="S8" s="47"/>
      <c r="T8" s="47"/>
      <c r="U8" s="47"/>
      <c r="V8" s="47"/>
      <c r="W8" s="47"/>
    </row>
    <row r="9" spans="1:23" ht="21" x14ac:dyDescent="0.65">
      <c r="A9" s="48" t="s">
        <v>94</v>
      </c>
      <c r="C9" s="48" t="s">
        <v>2</v>
      </c>
      <c r="E9" s="48" t="s">
        <v>3</v>
      </c>
      <c r="G9" s="48" t="s">
        <v>4</v>
      </c>
      <c r="I9" s="48" t="s">
        <v>165</v>
      </c>
      <c r="J9" s="43"/>
      <c r="L9" s="48" t="s">
        <v>166</v>
      </c>
      <c r="M9" s="43"/>
      <c r="O9" s="48" t="s">
        <v>2</v>
      </c>
      <c r="Q9" s="49" t="s">
        <v>93</v>
      </c>
      <c r="S9" s="48" t="s">
        <v>3</v>
      </c>
      <c r="U9" s="48" t="s">
        <v>4</v>
      </c>
      <c r="W9" s="49" t="s">
        <v>5</v>
      </c>
    </row>
    <row r="10" spans="1:23" ht="21" x14ac:dyDescent="0.65">
      <c r="A10" s="50"/>
      <c r="C10" s="50"/>
      <c r="E10" s="50"/>
      <c r="G10" s="50"/>
      <c r="I10" s="51" t="s">
        <v>2</v>
      </c>
      <c r="J10" s="51" t="s">
        <v>3</v>
      </c>
      <c r="L10" s="51" t="s">
        <v>2</v>
      </c>
      <c r="M10" s="51" t="s">
        <v>6</v>
      </c>
      <c r="O10" s="50"/>
      <c r="Q10" s="50"/>
      <c r="S10" s="50"/>
      <c r="U10" s="50"/>
      <c r="W10" s="50"/>
    </row>
    <row r="11" spans="1:23" ht="21" x14ac:dyDescent="0.65">
      <c r="A11" s="52" t="s">
        <v>118</v>
      </c>
      <c r="C11" s="54">
        <v>0</v>
      </c>
      <c r="D11" s="54"/>
      <c r="E11" s="54">
        <v>0</v>
      </c>
      <c r="F11" s="54"/>
      <c r="G11" s="54">
        <v>0</v>
      </c>
      <c r="H11" s="53"/>
      <c r="I11" s="54">
        <v>1100000</v>
      </c>
      <c r="J11" s="54">
        <v>7490912640</v>
      </c>
      <c r="L11" s="54">
        <v>0</v>
      </c>
      <c r="M11" s="54">
        <v>0</v>
      </c>
      <c r="O11" s="54">
        <v>1100000</v>
      </c>
      <c r="Q11" s="54">
        <v>6750</v>
      </c>
      <c r="S11" s="54">
        <v>7490912606</v>
      </c>
      <c r="U11" s="54">
        <v>7433094570</v>
      </c>
      <c r="W11" s="55">
        <v>5.4549957532642798E-3</v>
      </c>
    </row>
    <row r="12" spans="1:23" ht="21" x14ac:dyDescent="0.65">
      <c r="A12" s="52" t="s">
        <v>158</v>
      </c>
      <c r="C12" s="54">
        <v>0</v>
      </c>
      <c r="D12" s="54"/>
      <c r="E12" s="54">
        <v>0</v>
      </c>
      <c r="F12" s="54"/>
      <c r="G12" s="54">
        <v>0</v>
      </c>
      <c r="H12" s="53"/>
      <c r="I12" s="54">
        <v>1675000</v>
      </c>
      <c r="J12" s="54">
        <v>7250093697</v>
      </c>
      <c r="L12" s="54">
        <v>0</v>
      </c>
      <c r="M12" s="54">
        <v>0</v>
      </c>
      <c r="O12" s="54">
        <v>1675000</v>
      </c>
      <c r="Q12" s="54">
        <v>4449</v>
      </c>
      <c r="S12" s="54">
        <v>7250093696</v>
      </c>
      <c r="U12" s="54">
        <v>7394470460</v>
      </c>
      <c r="W12" s="55">
        <v>5.4266503105903797E-3</v>
      </c>
    </row>
    <row r="13" spans="1:23" ht="21" x14ac:dyDescent="0.65">
      <c r="A13" s="52" t="s">
        <v>92</v>
      </c>
      <c r="C13" s="54">
        <v>4200000</v>
      </c>
      <c r="E13" s="54">
        <v>14099676972</v>
      </c>
      <c r="G13" s="54">
        <v>20583450426</v>
      </c>
      <c r="I13" s="54">
        <v>0</v>
      </c>
      <c r="J13" s="54">
        <v>0</v>
      </c>
      <c r="L13" s="54">
        <v>0</v>
      </c>
      <c r="M13" s="54">
        <v>0</v>
      </c>
      <c r="N13" s="53"/>
      <c r="O13" s="54">
        <v>9890291</v>
      </c>
      <c r="Q13" s="54">
        <v>2234</v>
      </c>
      <c r="S13" s="54">
        <v>14099676972</v>
      </c>
      <c r="U13" s="54">
        <v>21924116439</v>
      </c>
      <c r="W13" s="55">
        <v>1.6089659689183342E-2</v>
      </c>
    </row>
    <row r="14" spans="1:23" ht="21" x14ac:dyDescent="0.65">
      <c r="A14" s="52" t="s">
        <v>91</v>
      </c>
      <c r="C14" s="54">
        <v>43438000</v>
      </c>
      <c r="E14" s="54">
        <v>14441147939</v>
      </c>
      <c r="G14" s="54">
        <v>26809583490</v>
      </c>
      <c r="I14" s="54">
        <v>0</v>
      </c>
      <c r="J14" s="54">
        <v>0</v>
      </c>
      <c r="L14" s="54">
        <v>0</v>
      </c>
      <c r="M14" s="54">
        <v>0</v>
      </c>
      <c r="N14" s="53"/>
      <c r="O14" s="54">
        <v>43438000</v>
      </c>
      <c r="Q14" s="54">
        <v>612</v>
      </c>
      <c r="S14" s="54">
        <v>14441147939</v>
      </c>
      <c r="U14" s="54">
        <v>26378561247</v>
      </c>
      <c r="W14" s="55">
        <v>1.9358685433704458E-2</v>
      </c>
    </row>
    <row r="15" spans="1:23" ht="21" x14ac:dyDescent="0.65">
      <c r="A15" s="52" t="s">
        <v>90</v>
      </c>
      <c r="C15" s="54">
        <v>10800000</v>
      </c>
      <c r="E15" s="54">
        <v>5353647820</v>
      </c>
      <c r="G15" s="54">
        <v>6322744440</v>
      </c>
      <c r="I15" s="54">
        <v>0</v>
      </c>
      <c r="J15" s="54">
        <v>0</v>
      </c>
      <c r="L15" s="54">
        <v>10800000</v>
      </c>
      <c r="M15" s="54">
        <v>6220739248</v>
      </c>
      <c r="O15" s="54">
        <v>0</v>
      </c>
      <c r="Q15" s="54">
        <v>0</v>
      </c>
      <c r="S15" s="54">
        <v>0</v>
      </c>
      <c r="U15" s="54">
        <v>0</v>
      </c>
      <c r="W15" s="55">
        <v>0</v>
      </c>
    </row>
    <row r="16" spans="1:23" ht="21" x14ac:dyDescent="0.65">
      <c r="A16" s="52" t="s">
        <v>89</v>
      </c>
      <c r="C16" s="54">
        <v>46000000</v>
      </c>
      <c r="E16" s="54">
        <v>33695716415</v>
      </c>
      <c r="G16" s="54">
        <v>67279875080</v>
      </c>
      <c r="I16" s="54">
        <v>11200000</v>
      </c>
      <c r="J16" s="54">
        <v>18551690273</v>
      </c>
      <c r="L16" s="54">
        <v>12867000</v>
      </c>
      <c r="M16" s="54">
        <v>16635100950</v>
      </c>
      <c r="O16" s="54">
        <v>44333000</v>
      </c>
      <c r="Q16" s="54">
        <v>1474</v>
      </c>
      <c r="S16" s="54">
        <v>40494480432</v>
      </c>
      <c r="U16" s="54">
        <v>64665749688</v>
      </c>
      <c r="W16" s="55">
        <v>4.7456868281132457E-2</v>
      </c>
    </row>
    <row r="17" spans="1:23" ht="21" x14ac:dyDescent="0.65">
      <c r="A17" s="52" t="s">
        <v>88</v>
      </c>
      <c r="C17" s="54">
        <v>4650000</v>
      </c>
      <c r="E17" s="54">
        <v>9964258759</v>
      </c>
      <c r="G17" s="54">
        <v>12190334631</v>
      </c>
      <c r="I17" s="54">
        <v>1200000</v>
      </c>
      <c r="J17" s="54">
        <v>3321557533</v>
      </c>
      <c r="L17" s="54">
        <v>0</v>
      </c>
      <c r="M17" s="54">
        <v>0</v>
      </c>
      <c r="O17" s="54">
        <v>5850000</v>
      </c>
      <c r="Q17" s="54">
        <v>3038</v>
      </c>
      <c r="S17" s="54">
        <v>13285816292</v>
      </c>
      <c r="U17" s="54">
        <v>17362095484</v>
      </c>
      <c r="W17" s="55">
        <v>1.2741686015302362E-2</v>
      </c>
    </row>
    <row r="18" spans="1:23" ht="21" x14ac:dyDescent="0.65">
      <c r="A18" s="52" t="s">
        <v>117</v>
      </c>
      <c r="C18" s="54">
        <v>0</v>
      </c>
      <c r="D18" s="54"/>
      <c r="E18" s="54">
        <v>0</v>
      </c>
      <c r="F18" s="54"/>
      <c r="G18" s="54">
        <v>0</v>
      </c>
      <c r="H18" s="53"/>
      <c r="I18" s="54">
        <v>6000000</v>
      </c>
      <c r="J18" s="54">
        <v>2833528390</v>
      </c>
      <c r="L18" s="54">
        <v>0</v>
      </c>
      <c r="M18" s="54">
        <v>0</v>
      </c>
      <c r="O18" s="54">
        <v>6000000</v>
      </c>
      <c r="Q18" s="54">
        <v>446</v>
      </c>
      <c r="S18" s="54">
        <v>2833528390</v>
      </c>
      <c r="U18" s="54">
        <v>2637453660</v>
      </c>
      <c r="W18" s="55">
        <v>1.9355731827761921E-3</v>
      </c>
    </row>
    <row r="19" spans="1:23" ht="21" x14ac:dyDescent="0.65">
      <c r="A19" s="52" t="s">
        <v>87</v>
      </c>
      <c r="C19" s="54">
        <v>562500</v>
      </c>
      <c r="E19" s="54">
        <v>5123397825</v>
      </c>
      <c r="G19" s="54">
        <v>5542448119</v>
      </c>
      <c r="I19" s="54">
        <v>0</v>
      </c>
      <c r="J19" s="54">
        <v>0</v>
      </c>
      <c r="L19" s="54">
        <v>0</v>
      </c>
      <c r="M19" s="54">
        <v>0</v>
      </c>
      <c r="N19" s="53"/>
      <c r="O19" s="54">
        <v>562500</v>
      </c>
      <c r="Q19" s="54">
        <v>9810</v>
      </c>
      <c r="S19" s="54">
        <v>5123397825</v>
      </c>
      <c r="U19" s="54">
        <v>5497795969</v>
      </c>
      <c r="W19" s="55">
        <v>4.0347197766392034E-3</v>
      </c>
    </row>
    <row r="20" spans="1:23" ht="21" x14ac:dyDescent="0.65">
      <c r="A20" s="52" t="s">
        <v>86</v>
      </c>
      <c r="C20" s="54">
        <v>21941000</v>
      </c>
      <c r="E20" s="54">
        <v>29803533441</v>
      </c>
      <c r="G20" s="54">
        <v>37337944260</v>
      </c>
      <c r="I20" s="54">
        <v>7200000</v>
      </c>
      <c r="J20" s="54">
        <v>12948001760</v>
      </c>
      <c r="L20" s="54">
        <v>3200000</v>
      </c>
      <c r="M20" s="54">
        <v>5775805224</v>
      </c>
      <c r="O20" s="54">
        <v>25941000</v>
      </c>
      <c r="Q20" s="54">
        <v>1909</v>
      </c>
      <c r="S20" s="54">
        <v>38056949814</v>
      </c>
      <c r="U20" s="54">
        <v>49009866437</v>
      </c>
      <c r="W20" s="55">
        <v>3.5967336452425162E-2</v>
      </c>
    </row>
    <row r="21" spans="1:23" ht="21" x14ac:dyDescent="0.65">
      <c r="A21" s="52" t="s">
        <v>85</v>
      </c>
      <c r="C21" s="54">
        <v>350000</v>
      </c>
      <c r="E21" s="54">
        <v>8636181592</v>
      </c>
      <c r="G21" s="54">
        <v>13384730030</v>
      </c>
      <c r="I21" s="54">
        <v>0</v>
      </c>
      <c r="J21" s="54">
        <v>0</v>
      </c>
      <c r="L21" s="54">
        <v>0</v>
      </c>
      <c r="M21" s="54">
        <v>0</v>
      </c>
      <c r="N21" s="53"/>
      <c r="O21" s="54">
        <v>350000</v>
      </c>
      <c r="Q21" s="54">
        <v>43530</v>
      </c>
      <c r="S21" s="54">
        <v>8636181592</v>
      </c>
      <c r="U21" s="54">
        <v>15155931980</v>
      </c>
      <c r="W21" s="55">
        <v>1.1122627838120226E-2</v>
      </c>
    </row>
    <row r="22" spans="1:23" ht="21" x14ac:dyDescent="0.65">
      <c r="A22" s="52" t="s">
        <v>84</v>
      </c>
      <c r="C22" s="54">
        <v>2250000</v>
      </c>
      <c r="E22" s="54">
        <v>23137117508</v>
      </c>
      <c r="G22" s="54">
        <v>30251831625</v>
      </c>
      <c r="I22" s="54">
        <v>0</v>
      </c>
      <c r="J22" s="54">
        <v>0</v>
      </c>
      <c r="L22" s="54">
        <v>0</v>
      </c>
      <c r="M22" s="54">
        <v>0</v>
      </c>
      <c r="N22" s="53"/>
      <c r="O22" s="54">
        <v>2250000</v>
      </c>
      <c r="Q22" s="54">
        <v>16390</v>
      </c>
      <c r="S22" s="54">
        <v>23137117508</v>
      </c>
      <c r="U22" s="54">
        <v>36570110850</v>
      </c>
      <c r="W22" s="55">
        <v>2.6838054797297426E-2</v>
      </c>
    </row>
    <row r="23" spans="1:23" ht="21" x14ac:dyDescent="0.65">
      <c r="A23" s="52" t="s">
        <v>83</v>
      </c>
      <c r="C23" s="54">
        <v>3600000</v>
      </c>
      <c r="E23" s="54">
        <v>30631938014</v>
      </c>
      <c r="G23" s="54">
        <v>50724842400</v>
      </c>
      <c r="I23" s="54">
        <v>0</v>
      </c>
      <c r="J23" s="54">
        <v>0</v>
      </c>
      <c r="L23" s="54">
        <v>0</v>
      </c>
      <c r="M23" s="54">
        <v>0</v>
      </c>
      <c r="N23" s="53"/>
      <c r="O23" s="54">
        <v>3600000</v>
      </c>
      <c r="Q23" s="54">
        <v>16750</v>
      </c>
      <c r="S23" s="54">
        <v>30631938014</v>
      </c>
      <c r="U23" s="54">
        <v>58797951120</v>
      </c>
      <c r="W23" s="55">
        <v>4.3150611180807388E-2</v>
      </c>
    </row>
    <row r="24" spans="1:23" ht="21" x14ac:dyDescent="0.65">
      <c r="A24" s="52" t="s">
        <v>82</v>
      </c>
      <c r="C24" s="54">
        <v>2300000</v>
      </c>
      <c r="E24" s="54">
        <v>18314144670</v>
      </c>
      <c r="G24" s="54">
        <v>18714212200</v>
      </c>
      <c r="I24" s="54">
        <v>0</v>
      </c>
      <c r="J24" s="54">
        <v>0</v>
      </c>
      <c r="L24" s="54">
        <v>2300000</v>
      </c>
      <c r="M24" s="54">
        <v>17160317626</v>
      </c>
      <c r="O24" s="54">
        <v>0</v>
      </c>
      <c r="Q24" s="54">
        <v>0</v>
      </c>
      <c r="S24" s="54">
        <v>0</v>
      </c>
      <c r="U24" s="54">
        <v>0</v>
      </c>
      <c r="W24" s="55">
        <v>0</v>
      </c>
    </row>
    <row r="25" spans="1:23" ht="21" x14ac:dyDescent="0.65">
      <c r="A25" s="52" t="s">
        <v>81</v>
      </c>
      <c r="C25" s="54">
        <v>1100000</v>
      </c>
      <c r="E25" s="54">
        <v>18985514881</v>
      </c>
      <c r="G25" s="54">
        <v>20640208270</v>
      </c>
      <c r="I25" s="54">
        <v>0</v>
      </c>
      <c r="J25" s="54">
        <v>0</v>
      </c>
      <c r="L25" s="54">
        <v>0</v>
      </c>
      <c r="M25" s="54">
        <v>0</v>
      </c>
      <c r="N25" s="53"/>
      <c r="O25" s="54">
        <v>1100000</v>
      </c>
      <c r="Q25" s="54">
        <v>17470</v>
      </c>
      <c r="S25" s="54">
        <v>18985514881</v>
      </c>
      <c r="U25" s="54">
        <v>19406816660</v>
      </c>
      <c r="W25" s="55">
        <v>1.424226497695138E-2</v>
      </c>
    </row>
    <row r="26" spans="1:23" ht="21" x14ac:dyDescent="0.65">
      <c r="A26" s="52" t="s">
        <v>80</v>
      </c>
      <c r="C26" s="54">
        <v>1875000</v>
      </c>
      <c r="E26" s="54">
        <v>6098945898</v>
      </c>
      <c r="G26" s="54">
        <v>7871801944</v>
      </c>
      <c r="I26" s="54">
        <v>575000</v>
      </c>
      <c r="J26" s="54">
        <v>2467626702</v>
      </c>
      <c r="L26" s="54">
        <v>450000</v>
      </c>
      <c r="M26" s="54">
        <v>1882982447</v>
      </c>
      <c r="O26" s="54">
        <v>2000000</v>
      </c>
      <c r="Q26" s="54">
        <v>4343</v>
      </c>
      <c r="S26" s="54">
        <v>6993120398</v>
      </c>
      <c r="U26" s="54">
        <v>8606949980</v>
      </c>
      <c r="W26" s="55">
        <v>6.3164641788565432E-3</v>
      </c>
    </row>
    <row r="27" spans="1:23" ht="21" x14ac:dyDescent="0.65">
      <c r="A27" s="52" t="s">
        <v>79</v>
      </c>
      <c r="C27" s="54">
        <v>9600000</v>
      </c>
      <c r="E27" s="54">
        <v>51525015617</v>
      </c>
      <c r="G27" s="54">
        <v>99354010560</v>
      </c>
      <c r="I27" s="54">
        <v>0</v>
      </c>
      <c r="J27" s="54">
        <v>0</v>
      </c>
      <c r="L27" s="54">
        <v>0</v>
      </c>
      <c r="M27" s="54">
        <v>0</v>
      </c>
      <c r="N27" s="53"/>
      <c r="O27" s="54">
        <v>9600000</v>
      </c>
      <c r="Q27" s="54">
        <v>13550</v>
      </c>
      <c r="S27" s="54">
        <v>51525015617</v>
      </c>
      <c r="U27" s="54">
        <v>127550354880</v>
      </c>
      <c r="W27" s="55">
        <v>9.3606591123695584E-2</v>
      </c>
    </row>
    <row r="28" spans="1:23" ht="21" x14ac:dyDescent="0.65">
      <c r="A28" s="52" t="s">
        <v>78</v>
      </c>
      <c r="C28" s="54">
        <v>700000</v>
      </c>
      <c r="E28" s="54">
        <v>11759045213</v>
      </c>
      <c r="G28" s="54">
        <v>14586369000</v>
      </c>
      <c r="I28" s="54">
        <v>0</v>
      </c>
      <c r="J28" s="54">
        <v>0</v>
      </c>
      <c r="L28" s="54">
        <v>100000</v>
      </c>
      <c r="M28" s="54">
        <v>2222684823</v>
      </c>
      <c r="O28" s="54">
        <v>600000</v>
      </c>
      <c r="Q28" s="54">
        <v>24210</v>
      </c>
      <c r="S28" s="54">
        <v>10079181611</v>
      </c>
      <c r="U28" s="54">
        <v>14407760400</v>
      </c>
      <c r="W28" s="55">
        <v>1.0573560050380102E-2</v>
      </c>
    </row>
    <row r="29" spans="1:23" ht="21" x14ac:dyDescent="0.65">
      <c r="A29" s="52" t="s">
        <v>77</v>
      </c>
      <c r="C29" s="54">
        <v>15890000</v>
      </c>
      <c r="E29" s="54">
        <v>49341003846</v>
      </c>
      <c r="G29" s="54">
        <v>61082017742</v>
      </c>
      <c r="I29" s="54">
        <v>5000000</v>
      </c>
      <c r="J29" s="54">
        <v>20539635012</v>
      </c>
      <c r="L29" s="54">
        <v>0</v>
      </c>
      <c r="M29" s="54">
        <v>0</v>
      </c>
      <c r="O29" s="54">
        <v>20890000</v>
      </c>
      <c r="Q29" s="54">
        <v>3992</v>
      </c>
      <c r="S29" s="54">
        <v>69880638858</v>
      </c>
      <c r="U29" s="54">
        <v>82250768550</v>
      </c>
      <c r="W29" s="55">
        <v>6.0362153194422924E-2</v>
      </c>
    </row>
    <row r="30" spans="1:23" ht="21" x14ac:dyDescent="0.65">
      <c r="A30" s="52" t="s">
        <v>76</v>
      </c>
      <c r="C30" s="54">
        <v>267500</v>
      </c>
      <c r="E30" s="54">
        <v>7670727922</v>
      </c>
      <c r="G30" s="54">
        <v>7883337082</v>
      </c>
      <c r="I30" s="54">
        <v>0</v>
      </c>
      <c r="J30" s="54">
        <v>0</v>
      </c>
      <c r="L30" s="54">
        <v>133750</v>
      </c>
      <c r="M30" s="54">
        <v>4817594885</v>
      </c>
      <c r="O30" s="54">
        <v>133750</v>
      </c>
      <c r="Q30" s="54">
        <v>41800</v>
      </c>
      <c r="S30" s="54">
        <v>3835363961</v>
      </c>
      <c r="U30" s="54">
        <v>5580712531</v>
      </c>
      <c r="W30" s="55">
        <v>4.0955705420002144E-3</v>
      </c>
    </row>
    <row r="31" spans="1:23" ht="21" x14ac:dyDescent="0.65">
      <c r="A31" s="52" t="s">
        <v>75</v>
      </c>
      <c r="C31" s="54">
        <v>770000</v>
      </c>
      <c r="E31" s="54">
        <v>10215506031</v>
      </c>
      <c r="G31" s="54">
        <v>11712854307</v>
      </c>
      <c r="I31" s="54">
        <v>200000</v>
      </c>
      <c r="J31" s="54">
        <v>3553441206</v>
      </c>
      <c r="L31" s="54">
        <v>170000</v>
      </c>
      <c r="M31" s="54">
        <v>2753946186</v>
      </c>
      <c r="O31" s="54">
        <v>800000</v>
      </c>
      <c r="Q31" s="54">
        <v>18760</v>
      </c>
      <c r="S31" s="54">
        <v>11513575776</v>
      </c>
      <c r="U31" s="54">
        <v>14788792080</v>
      </c>
      <c r="W31" s="55">
        <v>1.0853191390555444E-2</v>
      </c>
    </row>
    <row r="32" spans="1:23" ht="21" x14ac:dyDescent="0.65">
      <c r="A32" s="52" t="s">
        <v>157</v>
      </c>
      <c r="C32" s="54">
        <v>0</v>
      </c>
      <c r="D32" s="54"/>
      <c r="E32" s="54">
        <v>0</v>
      </c>
      <c r="F32" s="54"/>
      <c r="G32" s="54">
        <v>0</v>
      </c>
      <c r="H32" s="53"/>
      <c r="I32" s="54">
        <v>2513000</v>
      </c>
      <c r="J32" s="54">
        <v>15896436339</v>
      </c>
      <c r="L32" s="54">
        <v>0</v>
      </c>
      <c r="M32" s="54">
        <v>0</v>
      </c>
      <c r="O32" s="54">
        <v>2513000</v>
      </c>
      <c r="Q32" s="54">
        <v>7340</v>
      </c>
      <c r="S32" s="54">
        <v>15896436339</v>
      </c>
      <c r="U32" s="54">
        <v>18302836903</v>
      </c>
      <c r="W32" s="55">
        <v>1.3432076860896678E-2</v>
      </c>
    </row>
    <row r="33" spans="1:23" ht="21" x14ac:dyDescent="0.65">
      <c r="A33" s="52" t="s">
        <v>156</v>
      </c>
      <c r="C33" s="54">
        <v>0</v>
      </c>
      <c r="D33" s="54"/>
      <c r="E33" s="54">
        <v>0</v>
      </c>
      <c r="F33" s="54"/>
      <c r="G33" s="54">
        <v>0</v>
      </c>
      <c r="H33" s="53"/>
      <c r="I33" s="54">
        <v>1400000</v>
      </c>
      <c r="J33" s="54">
        <v>12192394215</v>
      </c>
      <c r="L33" s="54">
        <v>200000</v>
      </c>
      <c r="M33" s="54">
        <v>1738457084</v>
      </c>
      <c r="O33" s="54">
        <v>1200000</v>
      </c>
      <c r="Q33" s="54">
        <v>10070</v>
      </c>
      <c r="S33" s="54">
        <v>10450623609</v>
      </c>
      <c r="U33" s="54">
        <v>11990590680</v>
      </c>
      <c r="W33" s="55">
        <v>8.7996487361427789E-3</v>
      </c>
    </row>
    <row r="34" spans="1:23" ht="21" x14ac:dyDescent="0.65">
      <c r="A34" s="52" t="s">
        <v>74</v>
      </c>
      <c r="C34" s="54">
        <v>11000000</v>
      </c>
      <c r="E34" s="54">
        <v>44697071750</v>
      </c>
      <c r="G34" s="54">
        <v>126504502300</v>
      </c>
      <c r="I34" s="54">
        <v>300000</v>
      </c>
      <c r="J34" s="54">
        <v>3619617022</v>
      </c>
      <c r="L34" s="54">
        <v>300000</v>
      </c>
      <c r="M34" s="54">
        <v>3851992176</v>
      </c>
      <c r="O34" s="54">
        <v>11000000</v>
      </c>
      <c r="Q34" s="54">
        <v>15890</v>
      </c>
      <c r="S34" s="54">
        <v>47033944822</v>
      </c>
      <c r="U34" s="54">
        <v>173220573900</v>
      </c>
      <c r="W34" s="55">
        <v>0.12712302878752441</v>
      </c>
    </row>
    <row r="35" spans="1:23" ht="21" x14ac:dyDescent="0.65">
      <c r="A35" s="52" t="s">
        <v>73</v>
      </c>
      <c r="C35" s="54">
        <v>700000</v>
      </c>
      <c r="E35" s="54">
        <v>9935597718</v>
      </c>
      <c r="G35" s="54">
        <v>10557752800</v>
      </c>
      <c r="I35" s="54">
        <v>0</v>
      </c>
      <c r="J35" s="54">
        <v>0</v>
      </c>
      <c r="L35" s="54">
        <v>700000</v>
      </c>
      <c r="M35" s="54">
        <v>10200715278</v>
      </c>
      <c r="O35" s="54">
        <v>0</v>
      </c>
      <c r="Q35" s="54">
        <v>0</v>
      </c>
      <c r="S35" s="54">
        <v>0</v>
      </c>
      <c r="U35" s="54">
        <v>0</v>
      </c>
      <c r="W35" s="55">
        <v>0</v>
      </c>
    </row>
    <row r="36" spans="1:23" ht="21" x14ac:dyDescent="0.65">
      <c r="A36" s="52" t="s">
        <v>72</v>
      </c>
      <c r="C36" s="54">
        <v>8650000</v>
      </c>
      <c r="E36" s="54">
        <v>23820967913</v>
      </c>
      <c r="G36" s="54">
        <v>53644596875</v>
      </c>
      <c r="I36" s="54">
        <v>3000000</v>
      </c>
      <c r="J36" s="54">
        <v>23154716882</v>
      </c>
      <c r="L36" s="54">
        <v>0</v>
      </c>
      <c r="M36" s="54">
        <v>0</v>
      </c>
      <c r="O36" s="54">
        <v>11650000</v>
      </c>
      <c r="Q36" s="54">
        <v>8110</v>
      </c>
      <c r="S36" s="54">
        <v>46975684774</v>
      </c>
      <c r="U36" s="54">
        <v>92826362365</v>
      </c>
      <c r="W36" s="55">
        <v>6.8123364733679984E-2</v>
      </c>
    </row>
    <row r="37" spans="1:23" ht="21" x14ac:dyDescent="0.65">
      <c r="A37" s="52" t="s">
        <v>71</v>
      </c>
      <c r="C37" s="54">
        <v>4975000</v>
      </c>
      <c r="E37" s="54">
        <v>18096236337</v>
      </c>
      <c r="G37" s="54">
        <v>31939434827</v>
      </c>
      <c r="I37" s="54">
        <v>400000</v>
      </c>
      <c r="J37" s="54">
        <v>3064141174</v>
      </c>
      <c r="L37" s="54">
        <v>200000</v>
      </c>
      <c r="M37" s="54">
        <v>1492374080</v>
      </c>
      <c r="O37" s="54">
        <v>5175000</v>
      </c>
      <c r="Q37" s="54">
        <v>9070</v>
      </c>
      <c r="S37" s="54">
        <v>20373014627</v>
      </c>
      <c r="U37" s="54">
        <v>46625775030</v>
      </c>
      <c r="W37" s="55">
        <v>3.4217700634112301E-2</v>
      </c>
    </row>
    <row r="38" spans="1:23" ht="21" x14ac:dyDescent="0.65">
      <c r="A38" s="52" t="s">
        <v>70</v>
      </c>
      <c r="C38" s="54">
        <v>249000</v>
      </c>
      <c r="E38" s="54">
        <v>4181233051</v>
      </c>
      <c r="G38" s="54">
        <v>6559847356</v>
      </c>
      <c r="I38" s="54">
        <v>0</v>
      </c>
      <c r="J38" s="54">
        <v>0</v>
      </c>
      <c r="L38" s="54">
        <v>49000</v>
      </c>
      <c r="M38" s="54">
        <v>1444536745</v>
      </c>
      <c r="O38" s="54">
        <v>200000</v>
      </c>
      <c r="Q38" s="54">
        <v>37920</v>
      </c>
      <c r="S38" s="54">
        <v>3358420121</v>
      </c>
      <c r="U38" s="54">
        <v>7432102300</v>
      </c>
      <c r="W38" s="55">
        <v>5.4542675466492394E-3</v>
      </c>
    </row>
    <row r="39" spans="1:23" ht="21" x14ac:dyDescent="0.65">
      <c r="A39" s="52" t="s">
        <v>69</v>
      </c>
      <c r="C39" s="54">
        <v>5500000</v>
      </c>
      <c r="E39" s="54">
        <v>10982072329</v>
      </c>
      <c r="G39" s="54">
        <v>19919820250</v>
      </c>
      <c r="I39" s="54">
        <v>0</v>
      </c>
      <c r="J39" s="54">
        <v>0</v>
      </c>
      <c r="L39" s="54">
        <v>0</v>
      </c>
      <c r="M39" s="54">
        <v>0</v>
      </c>
      <c r="N39" s="53"/>
      <c r="O39" s="54">
        <v>5500000</v>
      </c>
      <c r="Q39" s="54">
        <v>4795</v>
      </c>
      <c r="S39" s="54">
        <v>10982072329</v>
      </c>
      <c r="U39" s="54">
        <v>26179555545</v>
      </c>
      <c r="W39" s="55">
        <v>1.9212639227906572E-2</v>
      </c>
    </row>
    <row r="40" spans="1:23" ht="21" x14ac:dyDescent="0.65">
      <c r="A40" s="52" t="s">
        <v>68</v>
      </c>
      <c r="C40" s="54">
        <v>550000</v>
      </c>
      <c r="E40" s="54">
        <v>26828196226</v>
      </c>
      <c r="G40" s="54">
        <v>45826501545</v>
      </c>
      <c r="I40" s="54">
        <v>0</v>
      </c>
      <c r="J40" s="54">
        <v>0</v>
      </c>
      <c r="L40" s="54">
        <v>0</v>
      </c>
      <c r="M40" s="54">
        <v>0</v>
      </c>
      <c r="N40" s="53"/>
      <c r="O40" s="54">
        <v>1650000</v>
      </c>
      <c r="Q40" s="54">
        <v>25573</v>
      </c>
      <c r="S40" s="54">
        <v>26828196226</v>
      </c>
      <c r="U40" s="54">
        <v>41962602165</v>
      </c>
      <c r="W40" s="55">
        <v>3.0795493646732047E-2</v>
      </c>
    </row>
    <row r="41" spans="1:23" ht="21" x14ac:dyDescent="0.65">
      <c r="A41" s="52" t="s">
        <v>155</v>
      </c>
      <c r="C41" s="54">
        <v>0</v>
      </c>
      <c r="D41" s="54"/>
      <c r="E41" s="54">
        <v>0</v>
      </c>
      <c r="F41" s="54"/>
      <c r="G41" s="54">
        <v>0</v>
      </c>
      <c r="H41" s="53"/>
      <c r="I41" s="54">
        <v>2000000</v>
      </c>
      <c r="J41" s="54">
        <v>18890189691</v>
      </c>
      <c r="L41" s="54">
        <v>0</v>
      </c>
      <c r="M41" s="54">
        <v>0</v>
      </c>
      <c r="O41" s="54">
        <v>2000000</v>
      </c>
      <c r="Q41" s="54">
        <v>9880</v>
      </c>
      <c r="S41" s="54">
        <v>18890189691</v>
      </c>
      <c r="U41" s="54">
        <v>19567564400</v>
      </c>
      <c r="W41" s="55">
        <v>1.4360234448587852E-2</v>
      </c>
    </row>
    <row r="42" spans="1:23" ht="21" x14ac:dyDescent="0.65">
      <c r="A42" s="52" t="s">
        <v>67</v>
      </c>
      <c r="C42" s="54">
        <v>1105454</v>
      </c>
      <c r="E42" s="54">
        <v>3579706030</v>
      </c>
      <c r="G42" s="54">
        <v>5279422250</v>
      </c>
      <c r="I42" s="54">
        <v>0</v>
      </c>
      <c r="J42" s="54">
        <v>0</v>
      </c>
      <c r="L42" s="54">
        <v>1105454</v>
      </c>
      <c r="M42" s="54">
        <v>5875656169</v>
      </c>
      <c r="O42" s="54">
        <v>0</v>
      </c>
      <c r="Q42" s="54">
        <v>0</v>
      </c>
      <c r="S42" s="54">
        <v>0</v>
      </c>
      <c r="U42" s="54">
        <v>0</v>
      </c>
      <c r="W42" s="55">
        <v>0</v>
      </c>
    </row>
    <row r="43" spans="1:23" ht="21" x14ac:dyDescent="0.65">
      <c r="A43" s="52" t="s">
        <v>154</v>
      </c>
      <c r="C43" s="54">
        <v>0</v>
      </c>
      <c r="D43" s="54"/>
      <c r="E43" s="54">
        <v>0</v>
      </c>
      <c r="F43" s="54"/>
      <c r="G43" s="54">
        <v>0</v>
      </c>
      <c r="H43" s="53"/>
      <c r="I43" s="54">
        <v>100454</v>
      </c>
      <c r="J43" s="54">
        <v>4372642768</v>
      </c>
      <c r="L43" s="54">
        <v>0</v>
      </c>
      <c r="M43" s="54">
        <v>0</v>
      </c>
      <c r="O43" s="54">
        <v>100454</v>
      </c>
      <c r="Q43" s="54">
        <v>63440</v>
      </c>
      <c r="S43" s="54">
        <v>4372643222</v>
      </c>
      <c r="U43" s="54">
        <v>6323540002</v>
      </c>
      <c r="W43" s="55">
        <v>4.6407163976802191E-3</v>
      </c>
    </row>
    <row r="44" spans="1:23" ht="21" x14ac:dyDescent="0.65">
      <c r="A44" s="52" t="s">
        <v>66</v>
      </c>
      <c r="C44" s="54">
        <v>200000</v>
      </c>
      <c r="E44" s="54">
        <v>8564224465</v>
      </c>
      <c r="G44" s="54">
        <v>12095771300</v>
      </c>
      <c r="I44" s="54">
        <v>0</v>
      </c>
      <c r="J44" s="54">
        <v>0</v>
      </c>
      <c r="L44" s="54">
        <v>0</v>
      </c>
      <c r="M44" s="54">
        <v>0</v>
      </c>
      <c r="N44" s="53"/>
      <c r="O44" s="54">
        <v>200000</v>
      </c>
      <c r="Q44" s="54">
        <v>60560</v>
      </c>
      <c r="S44" s="54">
        <v>8564224465</v>
      </c>
      <c r="U44" s="54">
        <v>12014405160</v>
      </c>
      <c r="W44" s="55">
        <v>8.8171256949037373E-3</v>
      </c>
    </row>
    <row r="45" spans="1:23" ht="21" x14ac:dyDescent="0.65">
      <c r="A45" s="52" t="s">
        <v>65</v>
      </c>
      <c r="C45" s="54">
        <v>700000</v>
      </c>
      <c r="E45" s="54">
        <v>24348420912</v>
      </c>
      <c r="G45" s="54">
        <v>31270396780</v>
      </c>
      <c r="I45" s="54">
        <v>100000</v>
      </c>
      <c r="J45" s="54">
        <v>6324804512</v>
      </c>
      <c r="L45" s="54">
        <v>0</v>
      </c>
      <c r="M45" s="54">
        <v>0</v>
      </c>
      <c r="O45" s="54">
        <v>800000</v>
      </c>
      <c r="Q45" s="54">
        <v>68910</v>
      </c>
      <c r="S45" s="54">
        <v>30673225424</v>
      </c>
      <c r="U45" s="54">
        <v>54701860560</v>
      </c>
      <c r="W45" s="55">
        <v>4.014457427392247E-2</v>
      </c>
    </row>
    <row r="46" spans="1:23" ht="21" x14ac:dyDescent="0.65">
      <c r="A46" s="52" t="s">
        <v>64</v>
      </c>
      <c r="C46" s="54">
        <v>500000</v>
      </c>
      <c r="E46" s="54">
        <v>13078980565</v>
      </c>
      <c r="G46" s="54">
        <v>25471570900</v>
      </c>
      <c r="I46" s="54">
        <v>0</v>
      </c>
      <c r="J46" s="54">
        <v>0</v>
      </c>
      <c r="L46" s="54">
        <v>0</v>
      </c>
      <c r="M46" s="54">
        <v>0</v>
      </c>
      <c r="N46" s="53"/>
      <c r="O46" s="54">
        <v>500000</v>
      </c>
      <c r="Q46" s="54">
        <v>60700</v>
      </c>
      <c r="S46" s="54">
        <v>13078980565</v>
      </c>
      <c r="U46" s="54">
        <v>30110433150</v>
      </c>
      <c r="W46" s="55">
        <v>2.2097429733387342E-2</v>
      </c>
    </row>
    <row r="47" spans="1:23" ht="21" x14ac:dyDescent="0.65">
      <c r="A47" s="52" t="s">
        <v>63</v>
      </c>
      <c r="C47" s="54">
        <v>3000000</v>
      </c>
      <c r="E47" s="54">
        <v>8292444580</v>
      </c>
      <c r="G47" s="54">
        <v>9552583290</v>
      </c>
      <c r="I47" s="54">
        <v>0</v>
      </c>
      <c r="J47" s="54">
        <v>0</v>
      </c>
      <c r="L47" s="54">
        <v>0</v>
      </c>
      <c r="M47" s="54">
        <v>0</v>
      </c>
      <c r="N47" s="53"/>
      <c r="O47" s="54">
        <v>3000000</v>
      </c>
      <c r="Q47" s="54">
        <v>3997</v>
      </c>
      <c r="S47" s="54">
        <v>8292444580</v>
      </c>
      <c r="U47" s="54">
        <v>11877471900</v>
      </c>
      <c r="W47" s="55">
        <v>8.7166331820282238E-3</v>
      </c>
    </row>
    <row r="48" spans="1:23" ht="21" x14ac:dyDescent="0.65">
      <c r="A48" s="52" t="s">
        <v>62</v>
      </c>
      <c r="C48" s="54">
        <v>120000</v>
      </c>
      <c r="E48" s="54">
        <v>18239142954</v>
      </c>
      <c r="G48" s="54">
        <v>47041933068</v>
      </c>
      <c r="I48" s="54">
        <v>0</v>
      </c>
      <c r="J48" s="54">
        <v>0</v>
      </c>
      <c r="L48" s="54">
        <v>0</v>
      </c>
      <c r="M48" s="54">
        <v>0</v>
      </c>
      <c r="N48" s="53"/>
      <c r="O48" s="54">
        <v>120000</v>
      </c>
      <c r="Q48" s="54">
        <v>612690</v>
      </c>
      <c r="S48" s="54">
        <v>18239142954</v>
      </c>
      <c r="U48" s="54">
        <v>72149539332</v>
      </c>
      <c r="W48" s="55">
        <v>5.2949068110138969E-2</v>
      </c>
    </row>
    <row r="49" spans="1:23" ht="21" x14ac:dyDescent="0.65">
      <c r="A49" s="52" t="s">
        <v>61</v>
      </c>
      <c r="C49" s="54">
        <v>1200000</v>
      </c>
      <c r="E49" s="54">
        <v>18714971964</v>
      </c>
      <c r="G49" s="54">
        <v>26124484560</v>
      </c>
      <c r="I49" s="54">
        <v>200000</v>
      </c>
      <c r="J49" s="54">
        <v>5165724918</v>
      </c>
      <c r="L49" s="54">
        <v>200000</v>
      </c>
      <c r="M49" s="54">
        <v>5146100772</v>
      </c>
      <c r="O49" s="54">
        <v>1200000</v>
      </c>
      <c r="Q49" s="54">
        <v>27450</v>
      </c>
      <c r="S49" s="54">
        <v>20469168747</v>
      </c>
      <c r="U49" s="54">
        <v>32590115880</v>
      </c>
      <c r="W49" s="55">
        <v>2.3917218064372182E-2</v>
      </c>
    </row>
    <row r="50" spans="1:23" ht="21" x14ac:dyDescent="0.65">
      <c r="A50" s="52" t="s">
        <v>60</v>
      </c>
      <c r="C50" s="54">
        <v>2000000</v>
      </c>
      <c r="E50" s="54">
        <v>10526832667</v>
      </c>
      <c r="G50" s="54">
        <v>16154155600</v>
      </c>
      <c r="I50" s="54">
        <v>900000</v>
      </c>
      <c r="J50" s="54">
        <v>7410569213</v>
      </c>
      <c r="L50" s="54">
        <v>2900000</v>
      </c>
      <c r="M50" s="54">
        <v>21814981638</v>
      </c>
      <c r="O50" s="54">
        <v>0</v>
      </c>
      <c r="Q50" s="54">
        <v>0</v>
      </c>
      <c r="S50" s="54">
        <v>0</v>
      </c>
      <c r="U50" s="54">
        <v>0</v>
      </c>
      <c r="W50" s="55">
        <v>0</v>
      </c>
    </row>
    <row r="51" spans="1:23" ht="21" x14ac:dyDescent="0.65">
      <c r="A51" s="52" t="s">
        <v>59</v>
      </c>
      <c r="C51" s="54">
        <v>350000</v>
      </c>
      <c r="E51" s="54">
        <v>16628233734</v>
      </c>
      <c r="G51" s="54">
        <v>34764179450</v>
      </c>
      <c r="I51" s="54">
        <v>0</v>
      </c>
      <c r="J51" s="54">
        <v>0</v>
      </c>
      <c r="L51" s="54">
        <v>0</v>
      </c>
      <c r="M51" s="54">
        <v>0</v>
      </c>
      <c r="N51" s="53"/>
      <c r="O51" s="54">
        <v>350000</v>
      </c>
      <c r="Q51" s="54">
        <v>104050</v>
      </c>
      <c r="S51" s="54">
        <v>16628233734</v>
      </c>
      <c r="U51" s="54">
        <v>35840792400</v>
      </c>
      <c r="W51" s="55">
        <v>2.6302822935243064E-2</v>
      </c>
    </row>
    <row r="52" spans="1:23" ht="21" x14ac:dyDescent="0.65">
      <c r="A52" s="52" t="s">
        <v>58</v>
      </c>
      <c r="C52" s="54">
        <v>5802960</v>
      </c>
      <c r="E52" s="54">
        <v>17199552966</v>
      </c>
      <c r="G52" s="54">
        <v>17746473813</v>
      </c>
      <c r="I52" s="54">
        <v>0</v>
      </c>
      <c r="J52" s="54">
        <v>0</v>
      </c>
      <c r="L52" s="54">
        <v>0</v>
      </c>
      <c r="M52" s="54">
        <v>0</v>
      </c>
      <c r="N52" s="53"/>
      <c r="O52" s="54">
        <v>5802960</v>
      </c>
      <c r="Q52" s="54">
        <v>3045</v>
      </c>
      <c r="S52" s="54">
        <v>17199552966</v>
      </c>
      <c r="U52" s="54">
        <v>17447052451</v>
      </c>
      <c r="W52" s="55">
        <v>1.2804034192071923E-2</v>
      </c>
    </row>
    <row r="53" spans="1:23" ht="21" x14ac:dyDescent="0.65">
      <c r="A53" s="52" t="s">
        <v>153</v>
      </c>
      <c r="C53" s="54">
        <v>0</v>
      </c>
      <c r="D53" s="54"/>
      <c r="E53" s="54">
        <v>0</v>
      </c>
      <c r="F53" s="54"/>
      <c r="G53" s="54">
        <v>0</v>
      </c>
      <c r="H53" s="53"/>
      <c r="I53" s="54">
        <v>750000</v>
      </c>
      <c r="J53" s="54">
        <v>6166260600</v>
      </c>
      <c r="L53" s="54">
        <v>0</v>
      </c>
      <c r="M53" s="54">
        <v>0</v>
      </c>
      <c r="O53" s="54">
        <v>750000</v>
      </c>
      <c r="Q53" s="54">
        <v>11490</v>
      </c>
      <c r="S53" s="54">
        <v>6166260600</v>
      </c>
      <c r="U53" s="54">
        <v>8550886725</v>
      </c>
      <c r="W53" s="55">
        <v>6.2753205051067854E-3</v>
      </c>
    </row>
    <row r="54" spans="1:23" ht="21" x14ac:dyDescent="0.65">
      <c r="A54" s="52" t="s">
        <v>152</v>
      </c>
      <c r="C54" s="54">
        <v>0</v>
      </c>
      <c r="D54" s="54"/>
      <c r="E54" s="54">
        <v>0</v>
      </c>
      <c r="F54" s="54"/>
      <c r="G54" s="54">
        <v>0</v>
      </c>
      <c r="H54" s="53"/>
      <c r="I54" s="54">
        <v>1200000</v>
      </c>
      <c r="J54" s="54">
        <v>3803304822</v>
      </c>
      <c r="L54" s="54">
        <v>1200000</v>
      </c>
      <c r="M54" s="54">
        <v>3952012977</v>
      </c>
      <c r="O54" s="54">
        <v>0</v>
      </c>
      <c r="Q54" s="54">
        <v>0</v>
      </c>
      <c r="S54" s="54">
        <v>0</v>
      </c>
      <c r="U54" s="54">
        <v>0</v>
      </c>
      <c r="W54" s="55">
        <v>0</v>
      </c>
    </row>
    <row r="55" spans="1:23" ht="21.6" thickBot="1" x14ac:dyDescent="0.7">
      <c r="A55" s="56" t="s">
        <v>7</v>
      </c>
      <c r="C55" s="56">
        <f>SUM(C11:$C$54)</f>
        <v>216896414</v>
      </c>
      <c r="E55" s="56">
        <f>SUM(E11:$E$54)</f>
        <v>626510406524</v>
      </c>
      <c r="G55" s="56">
        <f>SUM(G11:$G$54)</f>
        <v>1032726022570</v>
      </c>
      <c r="I55" s="56">
        <f>SUM(I11:$I$54)</f>
        <v>47013454</v>
      </c>
      <c r="J55" s="56">
        <f>SUM(J11:$J$54)</f>
        <v>189017289369</v>
      </c>
      <c r="L55" s="56">
        <f>SUM(L11:$L$54)</f>
        <v>36875204</v>
      </c>
      <c r="M55" s="56">
        <f>SUM(M11:$M$54)</f>
        <v>112985998308</v>
      </c>
      <c r="O55" s="56">
        <f>SUM(O11:$O$54)</f>
        <v>233824955</v>
      </c>
      <c r="Q55" s="56">
        <f>SUM(Q11:$Q$54)</f>
        <v>1376497</v>
      </c>
      <c r="S55" s="56">
        <f>SUM(S11:$S$54)</f>
        <v>722766111977</v>
      </c>
      <c r="U55" s="56">
        <f>SUM(U11:$U$54)</f>
        <v>1305133413833</v>
      </c>
      <c r="W55" s="57">
        <f>SUM(W11:$W$54)</f>
        <v>0.95781066187919195</v>
      </c>
    </row>
    <row r="56" spans="1:23" ht="21.6" thickTop="1" x14ac:dyDescent="0.65">
      <c r="C56" s="58"/>
      <c r="E56" s="58"/>
      <c r="G56" s="58"/>
      <c r="I56" s="58"/>
      <c r="J56" s="58"/>
      <c r="L56" s="58"/>
      <c r="M56" s="58"/>
      <c r="O56" s="58"/>
      <c r="Q56" s="58"/>
      <c r="S56" s="58"/>
      <c r="U56" s="58"/>
      <c r="W56" s="58"/>
    </row>
  </sheetData>
  <mergeCells count="19">
    <mergeCell ref="Q9:Q10"/>
    <mergeCell ref="S9:S10"/>
    <mergeCell ref="U9:U10"/>
    <mergeCell ref="W9:W10"/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</mergeCells>
  <pageMargins left="0.7" right="0.7" top="0.75" bottom="0.75" header="0.3" footer="0.3"/>
  <pageSetup paperSize="9" scale="5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528C-8FBB-4BF5-99F7-5C0AC7A73ABB}">
  <sheetPr>
    <pageSetUpPr fitToPage="1"/>
  </sheetPr>
  <dimension ref="A1:Q13"/>
  <sheetViews>
    <sheetView rightToLeft="1" view="pageBreakPreview" zoomScale="85" zoomScaleNormal="100" zoomScaleSheetLayoutView="85" workbookViewId="0">
      <selection activeCell="V6" sqref="V6"/>
    </sheetView>
  </sheetViews>
  <sheetFormatPr defaultRowHeight="18.600000000000001" x14ac:dyDescent="0.65"/>
  <cols>
    <col min="1" max="1" width="21.296875" style="2" customWidth="1"/>
    <col min="2" max="2" width="1.3984375" style="2" customWidth="1"/>
    <col min="3" max="3" width="18.5" style="2" customWidth="1"/>
    <col min="4" max="4" width="1.3984375" style="2" customWidth="1"/>
    <col min="5" max="5" width="9.8984375" style="2" customWidth="1"/>
    <col min="6" max="6" width="1.3984375" style="2" customWidth="1"/>
    <col min="7" max="7" width="11.3984375" style="2" customWidth="1"/>
    <col min="8" max="8" width="1.3984375" style="2" customWidth="1"/>
    <col min="9" max="9" width="18.5" style="2" customWidth="1"/>
    <col min="10" max="10" width="1.3984375" style="2" customWidth="1"/>
    <col min="11" max="11" width="18.5" style="2" customWidth="1"/>
    <col min="12" max="12" width="1.3984375" style="2" customWidth="1"/>
    <col min="13" max="13" width="18.5" style="2" customWidth="1"/>
    <col min="14" max="14" width="1.3984375" style="2" customWidth="1"/>
    <col min="15" max="15" width="18.5" style="2" customWidth="1"/>
    <col min="16" max="16" width="1.3984375" style="2" customWidth="1"/>
    <col min="17" max="17" width="10.59765625" style="2" customWidth="1"/>
    <col min="18" max="16384" width="8.796875" style="2"/>
  </cols>
  <sheetData>
    <row r="1" spans="1:17" ht="19.95" customHeight="1" x14ac:dyDescent="0.65">
      <c r="A1" s="36" t="s">
        <v>97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19.95" customHeight="1" x14ac:dyDescent="0.65">
      <c r="A2" s="36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19.95" customHeight="1" x14ac:dyDescent="0.65">
      <c r="A3" s="36" t="s">
        <v>150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0.399999999999999" x14ac:dyDescent="0.65">
      <c r="A5" s="37" t="s">
        <v>51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0.399999999999999" x14ac:dyDescent="0.65">
      <c r="C7" s="38" t="s">
        <v>10</v>
      </c>
      <c r="D7" s="39"/>
      <c r="E7" s="39"/>
      <c r="F7" s="39"/>
      <c r="G7" s="39"/>
      <c r="I7" s="9" t="s">
        <v>1</v>
      </c>
      <c r="K7" s="38" t="s">
        <v>164</v>
      </c>
      <c r="L7" s="39"/>
      <c r="M7" s="39"/>
      <c r="O7" s="38" t="s">
        <v>159</v>
      </c>
      <c r="P7" s="39"/>
      <c r="Q7" s="39"/>
    </row>
    <row r="8" spans="1:17" ht="40.799999999999997" x14ac:dyDescent="0.65">
      <c r="A8" s="9" t="s">
        <v>11</v>
      </c>
      <c r="C8" s="9" t="s">
        <v>12</v>
      </c>
      <c r="E8" s="9" t="s">
        <v>13</v>
      </c>
      <c r="G8" s="10" t="s">
        <v>14</v>
      </c>
      <c r="I8" s="9" t="s">
        <v>15</v>
      </c>
      <c r="K8" s="9" t="s">
        <v>16</v>
      </c>
      <c r="M8" s="9" t="s">
        <v>17</v>
      </c>
      <c r="O8" s="9" t="s">
        <v>15</v>
      </c>
      <c r="Q8" s="10" t="s">
        <v>5</v>
      </c>
    </row>
    <row r="9" spans="1:17" ht="21" x14ac:dyDescent="0.65">
      <c r="A9" s="11" t="s">
        <v>19</v>
      </c>
      <c r="C9" s="12" t="s">
        <v>105</v>
      </c>
      <c r="E9" s="13" t="s">
        <v>18</v>
      </c>
      <c r="G9" s="12" t="s">
        <v>104</v>
      </c>
      <c r="I9" s="14">
        <v>6903282732</v>
      </c>
      <c r="K9" s="14">
        <v>5874280613</v>
      </c>
      <c r="M9" s="14">
        <v>11886028878</v>
      </c>
      <c r="O9" s="14">
        <v>891534467</v>
      </c>
      <c r="Q9" s="15">
        <v>6.542788720867483E-4</v>
      </c>
    </row>
    <row r="10" spans="1:17" ht="21" x14ac:dyDescent="0.65">
      <c r="A10" s="11" t="s">
        <v>20</v>
      </c>
      <c r="C10" s="12" t="s">
        <v>103</v>
      </c>
      <c r="E10" s="13" t="s">
        <v>102</v>
      </c>
      <c r="G10" s="12" t="s">
        <v>101</v>
      </c>
      <c r="I10" s="14">
        <v>18863893</v>
      </c>
      <c r="K10" s="14">
        <v>0</v>
      </c>
      <c r="M10" s="14">
        <v>630000</v>
      </c>
      <c r="O10" s="14">
        <v>18233893</v>
      </c>
      <c r="Q10" s="15">
        <v>1.3381480343586598E-5</v>
      </c>
    </row>
    <row r="11" spans="1:17" ht="21" x14ac:dyDescent="0.65">
      <c r="A11" s="11" t="s">
        <v>20</v>
      </c>
      <c r="C11" s="12" t="s">
        <v>100</v>
      </c>
      <c r="E11" s="13" t="s">
        <v>18</v>
      </c>
      <c r="G11" s="12" t="s">
        <v>99</v>
      </c>
      <c r="I11" s="14">
        <v>50622586315</v>
      </c>
      <c r="K11" s="14">
        <v>57763260117</v>
      </c>
      <c r="M11" s="14">
        <v>78615242687</v>
      </c>
      <c r="O11" s="14">
        <v>29770603745</v>
      </c>
      <c r="Q11" s="15">
        <v>2.1848035898336306E-2</v>
      </c>
    </row>
    <row r="12" spans="1:17" ht="21.6" thickBot="1" x14ac:dyDescent="0.7">
      <c r="A12" s="16" t="s">
        <v>7</v>
      </c>
      <c r="I12" s="16">
        <f>SUM(I9:$I$11)</f>
        <v>57544732940</v>
      </c>
      <c r="K12" s="16">
        <f>SUM(K9:$K$11)</f>
        <v>63637540730</v>
      </c>
      <c r="M12" s="16">
        <f>SUM(M9:$M$11)</f>
        <v>90501901565</v>
      </c>
      <c r="O12" s="16">
        <f>SUM(O9:$O$11)</f>
        <v>30680372105</v>
      </c>
      <c r="Q12" s="17">
        <f>SUM(Q9:$Q$11)</f>
        <v>2.2515696250766642E-2</v>
      </c>
    </row>
    <row r="13" spans="1:17" ht="21.6" thickTop="1" x14ac:dyDescent="0.65">
      <c r="I13" s="18"/>
      <c r="K13" s="18"/>
      <c r="M13" s="18"/>
      <c r="O13" s="18"/>
      <c r="Q13" s="18"/>
    </row>
  </sheetData>
  <mergeCells count="7">
    <mergeCell ref="A1:Q1"/>
    <mergeCell ref="A2:Q2"/>
    <mergeCell ref="A3:Q3"/>
    <mergeCell ref="A5:Q5"/>
    <mergeCell ref="C7:G7"/>
    <mergeCell ref="K7:M7"/>
    <mergeCell ref="O7:Q7"/>
  </mergeCells>
  <pageMargins left="0.7" right="0.7" top="0.75" bottom="0.75" header="0.3" footer="0.3"/>
  <pageSetup paperSize="9" scale="77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1110-4CA9-455E-8137-6B85BC7C47A4}">
  <sheetPr>
    <pageSetUpPr fitToPage="1"/>
  </sheetPr>
  <dimension ref="A1:I13"/>
  <sheetViews>
    <sheetView rightToLeft="1" view="pageBreakPreview" zoomScaleNormal="100" zoomScaleSheetLayoutView="100" workbookViewId="0">
      <selection activeCell="K1" sqref="K1:L1048576"/>
    </sheetView>
  </sheetViews>
  <sheetFormatPr defaultRowHeight="18.600000000000001" x14ac:dyDescent="0.65"/>
  <cols>
    <col min="1" max="1" width="49.69921875" style="3" customWidth="1"/>
    <col min="2" max="2" width="1.3984375" style="3" customWidth="1"/>
    <col min="3" max="3" width="11.3984375" style="3" customWidth="1"/>
    <col min="4" max="4" width="1.3984375" style="3" customWidth="1"/>
    <col min="5" max="5" width="21.296875" style="3" customWidth="1"/>
    <col min="6" max="6" width="1.3984375" style="3" customWidth="1"/>
    <col min="7" max="7" width="11.3984375" style="3" customWidth="1"/>
    <col min="8" max="8" width="1.3984375" style="3" customWidth="1"/>
    <col min="9" max="9" width="11.3984375" style="3" customWidth="1"/>
    <col min="10" max="16384" width="8.796875" style="3"/>
  </cols>
  <sheetData>
    <row r="1" spans="1:9" ht="19.95" customHeight="1" x14ac:dyDescent="0.65">
      <c r="A1" s="33" t="s">
        <v>97</v>
      </c>
      <c r="B1" s="34"/>
      <c r="C1" s="34"/>
      <c r="D1" s="34"/>
      <c r="E1" s="34"/>
      <c r="F1" s="34"/>
      <c r="G1" s="34"/>
      <c r="H1" s="34"/>
      <c r="I1" s="34"/>
    </row>
    <row r="2" spans="1:9" ht="19.95" customHeight="1" x14ac:dyDescent="0.65">
      <c r="A2" s="33" t="s">
        <v>21</v>
      </c>
      <c r="B2" s="34"/>
      <c r="C2" s="34"/>
      <c r="D2" s="34"/>
      <c r="E2" s="34"/>
      <c r="F2" s="34"/>
      <c r="G2" s="34"/>
      <c r="H2" s="34"/>
      <c r="I2" s="34"/>
    </row>
    <row r="3" spans="1:9" ht="19.95" customHeight="1" x14ac:dyDescent="0.65">
      <c r="A3" s="33" t="s">
        <v>150</v>
      </c>
      <c r="B3" s="34"/>
      <c r="C3" s="34"/>
      <c r="D3" s="34"/>
      <c r="E3" s="34"/>
      <c r="F3" s="34"/>
      <c r="G3" s="34"/>
      <c r="H3" s="34"/>
      <c r="I3" s="34"/>
    </row>
    <row r="5" spans="1:9" ht="20.399999999999999" x14ac:dyDescent="0.65">
      <c r="A5" s="35" t="s">
        <v>22</v>
      </c>
      <c r="B5" s="34"/>
      <c r="C5" s="34"/>
      <c r="D5" s="34"/>
      <c r="E5" s="34"/>
      <c r="F5" s="34"/>
      <c r="G5" s="34"/>
      <c r="H5" s="34"/>
      <c r="I5" s="34"/>
    </row>
    <row r="6" spans="1:9" ht="20.399999999999999" x14ac:dyDescent="0.65">
      <c r="E6" s="40" t="s">
        <v>168</v>
      </c>
      <c r="F6" s="40"/>
      <c r="G6" s="40"/>
      <c r="H6" s="40"/>
      <c r="I6" s="40"/>
    </row>
    <row r="7" spans="1:9" ht="40.799999999999997" x14ac:dyDescent="0.65">
      <c r="A7" s="23" t="s">
        <v>23</v>
      </c>
      <c r="C7" s="23" t="s">
        <v>24</v>
      </c>
      <c r="E7" s="23" t="s">
        <v>15</v>
      </c>
      <c r="G7" s="24" t="s">
        <v>25</v>
      </c>
      <c r="I7" s="24" t="s">
        <v>26</v>
      </c>
    </row>
    <row r="8" spans="1:9" ht="21" x14ac:dyDescent="0.65">
      <c r="A8" s="25" t="s">
        <v>107</v>
      </c>
      <c r="C8" s="26" t="s">
        <v>54</v>
      </c>
      <c r="E8" s="4">
        <f>'4'!$S$53</f>
        <v>202003693006</v>
      </c>
      <c r="G8" s="5">
        <f>E8/$E$12</f>
        <v>0.9610097193859497</v>
      </c>
      <c r="I8" s="5">
        <v>0.148246369949176</v>
      </c>
    </row>
    <row r="9" spans="1:9" ht="21" x14ac:dyDescent="0.65">
      <c r="A9" s="25" t="s">
        <v>148</v>
      </c>
      <c r="C9" s="26" t="s">
        <v>106</v>
      </c>
      <c r="E9" s="4">
        <f>'5'!$O$33</f>
        <v>7108815822</v>
      </c>
      <c r="G9" s="5">
        <f>E9/$E$12</f>
        <v>3.3819387143895943E-2</v>
      </c>
      <c r="I9" s="5">
        <v>5.2170142266531015E-3</v>
      </c>
    </row>
    <row r="10" spans="1:9" ht="21" x14ac:dyDescent="0.65">
      <c r="A10" s="25" t="s">
        <v>27</v>
      </c>
      <c r="C10" s="26" t="s">
        <v>55</v>
      </c>
      <c r="E10" s="4">
        <f>'6'!$I$11</f>
        <v>935873749</v>
      </c>
      <c r="G10" s="5">
        <f>E10/$E$12</f>
        <v>4.4523134974589441E-3</v>
      </c>
      <c r="I10" s="5">
        <v>6.8681856235101293E-4</v>
      </c>
    </row>
    <row r="11" spans="1:9" ht="21" x14ac:dyDescent="0.65">
      <c r="A11" s="25" t="s">
        <v>28</v>
      </c>
      <c r="C11" s="26" t="s">
        <v>149</v>
      </c>
      <c r="E11" s="4">
        <f>'7'!$E$10</f>
        <v>151045099</v>
      </c>
      <c r="G11" s="5">
        <f>E11/$E$12</f>
        <v>7.1857997269535818E-4</v>
      </c>
      <c r="I11" s="5">
        <v>1.1084890227575602E-4</v>
      </c>
    </row>
    <row r="12" spans="1:9" ht="21.6" thickBot="1" x14ac:dyDescent="0.7">
      <c r="A12" s="27" t="s">
        <v>7</v>
      </c>
      <c r="E12" s="6">
        <f>SUM(E8:$E$11)</f>
        <v>210199427676</v>
      </c>
      <c r="G12" s="28">
        <f>SUM(G8:$G$11)</f>
        <v>0.99999999999999989</v>
      </c>
      <c r="I12" s="7">
        <f>SUM(I8:$I$11)</f>
        <v>0.15426105164045587</v>
      </c>
    </row>
    <row r="13" spans="1:9" ht="21.6" thickTop="1" x14ac:dyDescent="0.65">
      <c r="E13" s="8"/>
      <c r="G13" s="8"/>
      <c r="I13" s="8"/>
    </row>
  </sheetData>
  <mergeCells count="5">
    <mergeCell ref="A1:I1"/>
    <mergeCell ref="A2:I2"/>
    <mergeCell ref="A3:I3"/>
    <mergeCell ref="A5:I5"/>
    <mergeCell ref="E6:I6"/>
  </mergeCells>
  <pageMargins left="0.7" right="0.7" top="0.75" bottom="0.75" header="0.3" footer="0.3"/>
  <pageSetup paperSize="9" scale="7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A87D-9D4E-431E-809A-80CD18360814}">
  <sheetPr>
    <pageSetUpPr fitToPage="1"/>
  </sheetPr>
  <dimension ref="A1:U54"/>
  <sheetViews>
    <sheetView rightToLeft="1" view="pageBreakPreview" topLeftCell="A34" zoomScale="60" zoomScaleNormal="100" workbookViewId="0">
      <selection activeCell="A55" sqref="A55:XFD58"/>
    </sheetView>
  </sheetViews>
  <sheetFormatPr defaultRowHeight="18.600000000000001" x14ac:dyDescent="0.65"/>
  <cols>
    <col min="1" max="1" width="34.3984375" style="2" customWidth="1"/>
    <col min="2" max="2" width="1.3984375" style="2" customWidth="1"/>
    <col min="3" max="3" width="17" style="2" customWidth="1"/>
    <col min="4" max="4" width="1.3984375" style="2" customWidth="1"/>
    <col min="5" max="5" width="17" style="2" customWidth="1"/>
    <col min="6" max="6" width="1.3984375" style="2" customWidth="1"/>
    <col min="7" max="7" width="17" style="2" customWidth="1"/>
    <col min="8" max="8" width="1.3984375" style="2" customWidth="1"/>
    <col min="9" max="9" width="17" style="2" customWidth="1"/>
    <col min="10" max="10" width="1.3984375" style="2" customWidth="1"/>
    <col min="11" max="11" width="10.59765625" style="2" customWidth="1"/>
    <col min="12" max="12" width="1.3984375" style="2" customWidth="1"/>
    <col min="13" max="13" width="17" style="2" customWidth="1"/>
    <col min="14" max="14" width="1.3984375" style="2" customWidth="1"/>
    <col min="15" max="15" width="17" style="2" customWidth="1"/>
    <col min="16" max="16" width="1.3984375" style="2" customWidth="1"/>
    <col min="17" max="17" width="17" style="2" customWidth="1"/>
    <col min="18" max="18" width="1.3984375" style="2" customWidth="1"/>
    <col min="19" max="19" width="17" style="2" customWidth="1"/>
    <col min="20" max="20" width="1.3984375" style="2" customWidth="1"/>
    <col min="21" max="21" width="10.59765625" style="2" customWidth="1"/>
    <col min="22" max="16384" width="8.796875" style="2"/>
  </cols>
  <sheetData>
    <row r="1" spans="1:21" ht="19.95" customHeight="1" x14ac:dyDescent="0.65">
      <c r="A1" s="36" t="s">
        <v>97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1:21" ht="19.95" customHeight="1" x14ac:dyDescent="0.65">
      <c r="A2" s="36" t="s">
        <v>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1" ht="19.95" customHeight="1" x14ac:dyDescent="0.65">
      <c r="A3" s="36" t="s">
        <v>150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5" spans="1:21" ht="20.399999999999999" x14ac:dyDescent="0.65">
      <c r="A5" s="37" t="s">
        <v>138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</row>
    <row r="7" spans="1:21" ht="20.399999999999999" x14ac:dyDescent="0.65">
      <c r="C7" s="38" t="s">
        <v>167</v>
      </c>
      <c r="D7" s="39"/>
      <c r="E7" s="39"/>
      <c r="F7" s="39"/>
      <c r="G7" s="39"/>
      <c r="H7" s="39"/>
      <c r="I7" s="39"/>
      <c r="J7" s="39"/>
      <c r="K7" s="39"/>
      <c r="M7" s="38" t="s">
        <v>168</v>
      </c>
      <c r="N7" s="39"/>
      <c r="O7" s="39"/>
      <c r="P7" s="39"/>
      <c r="Q7" s="39"/>
      <c r="R7" s="39"/>
      <c r="S7" s="39"/>
      <c r="T7" s="39"/>
      <c r="U7" s="39"/>
    </row>
    <row r="8" spans="1:21" ht="40.799999999999997" x14ac:dyDescent="0.65">
      <c r="A8" s="9" t="s">
        <v>137</v>
      </c>
      <c r="C8" s="10" t="s">
        <v>114</v>
      </c>
      <c r="E8" s="10" t="s">
        <v>38</v>
      </c>
      <c r="G8" s="10" t="s">
        <v>39</v>
      </c>
      <c r="I8" s="10" t="s">
        <v>136</v>
      </c>
      <c r="K8" s="10" t="s">
        <v>135</v>
      </c>
      <c r="M8" s="10" t="s">
        <v>114</v>
      </c>
      <c r="O8" s="10" t="s">
        <v>38</v>
      </c>
      <c r="Q8" s="10" t="s">
        <v>39</v>
      </c>
      <c r="S8" s="10" t="s">
        <v>136</v>
      </c>
      <c r="U8" s="10" t="s">
        <v>135</v>
      </c>
    </row>
    <row r="9" spans="1:21" ht="21" x14ac:dyDescent="0.65">
      <c r="A9" s="13" t="s">
        <v>118</v>
      </c>
      <c r="C9" s="14">
        <v>0</v>
      </c>
      <c r="E9" s="14">
        <v>-57818036</v>
      </c>
      <c r="G9" s="14">
        <v>0</v>
      </c>
      <c r="I9" s="14">
        <v>-57818036</v>
      </c>
      <c r="K9" s="15">
        <v>-2.7506276605624417E-4</v>
      </c>
      <c r="M9" s="14">
        <v>0</v>
      </c>
      <c r="O9" s="14">
        <v>-57818036</v>
      </c>
      <c r="Q9" s="14">
        <v>0</v>
      </c>
      <c r="S9" s="14">
        <v>-57818036</v>
      </c>
      <c r="U9" s="15">
        <v>-2.7506276605624417E-4</v>
      </c>
    </row>
    <row r="10" spans="1:21" ht="21" x14ac:dyDescent="0.65">
      <c r="A10" s="13" t="s">
        <v>158</v>
      </c>
      <c r="C10" s="14">
        <v>0</v>
      </c>
      <c r="E10" s="14">
        <v>144376764</v>
      </c>
      <c r="G10" s="14">
        <v>0</v>
      </c>
      <c r="I10" s="14">
        <v>144376764</v>
      </c>
      <c r="K10" s="15">
        <v>6.8685612323617442E-4</v>
      </c>
      <c r="M10" s="14">
        <v>0</v>
      </c>
      <c r="O10" s="14">
        <v>144376764</v>
      </c>
      <c r="Q10" s="14">
        <v>0</v>
      </c>
      <c r="S10" s="14">
        <v>144376764</v>
      </c>
      <c r="U10" s="15">
        <v>6.8685612323617442E-4</v>
      </c>
    </row>
    <row r="11" spans="1:21" ht="21" x14ac:dyDescent="0.65">
      <c r="A11" s="13" t="s">
        <v>91</v>
      </c>
      <c r="C11" s="14">
        <v>0</v>
      </c>
      <c r="E11" s="14">
        <v>-431022243</v>
      </c>
      <c r="G11" s="14">
        <v>0</v>
      </c>
      <c r="I11" s="14">
        <v>-431022243</v>
      </c>
      <c r="K11" s="15">
        <v>-2.0505395650476026E-3</v>
      </c>
      <c r="M11" s="14">
        <v>0</v>
      </c>
      <c r="O11" s="14">
        <v>-431022243</v>
      </c>
      <c r="Q11" s="14">
        <v>0</v>
      </c>
      <c r="S11" s="14">
        <v>-431022243</v>
      </c>
      <c r="U11" s="15">
        <v>-2.0505395650476026E-3</v>
      </c>
    </row>
    <row r="12" spans="1:21" ht="21" x14ac:dyDescent="0.65">
      <c r="A12" s="13" t="s">
        <v>134</v>
      </c>
      <c r="C12" s="14">
        <v>0</v>
      </c>
      <c r="E12" s="14">
        <v>1340666013</v>
      </c>
      <c r="G12" s="14">
        <v>0</v>
      </c>
      <c r="I12" s="14">
        <v>1340666013</v>
      </c>
      <c r="K12" s="15">
        <v>6.3780669044755612E-3</v>
      </c>
      <c r="M12" s="14">
        <v>0</v>
      </c>
      <c r="O12" s="14">
        <v>1340666013</v>
      </c>
      <c r="Q12" s="14">
        <v>0</v>
      </c>
      <c r="S12" s="14">
        <v>1340666013</v>
      </c>
      <c r="U12" s="15">
        <v>6.3780669044755612E-3</v>
      </c>
    </row>
    <row r="13" spans="1:21" ht="21" x14ac:dyDescent="0.65">
      <c r="A13" s="13" t="s">
        <v>90</v>
      </c>
      <c r="C13" s="14">
        <v>0</v>
      </c>
      <c r="E13" s="14">
        <v>0</v>
      </c>
      <c r="G13" s="14">
        <v>-53544440</v>
      </c>
      <c r="I13" s="14">
        <v>-53544440</v>
      </c>
      <c r="K13" s="15">
        <v>-2.547316165034143E-4</v>
      </c>
      <c r="M13" s="14">
        <v>0</v>
      </c>
      <c r="O13" s="14">
        <v>0</v>
      </c>
      <c r="Q13" s="14">
        <v>-53544440</v>
      </c>
      <c r="S13" s="14">
        <v>-53544440</v>
      </c>
      <c r="U13" s="15">
        <v>-2.547316165034143E-4</v>
      </c>
    </row>
    <row r="14" spans="1:21" ht="21" x14ac:dyDescent="0.65">
      <c r="A14" s="13" t="s">
        <v>89</v>
      </c>
      <c r="C14" s="14">
        <v>0</v>
      </c>
      <c r="E14" s="14">
        <v>-1858215116</v>
      </c>
      <c r="G14" s="14">
        <v>-2580500549</v>
      </c>
      <c r="I14" s="14">
        <v>-4438715665</v>
      </c>
      <c r="K14" s="15">
        <v>-2.1116687681194863E-2</v>
      </c>
      <c r="M14" s="14">
        <v>0</v>
      </c>
      <c r="O14" s="14">
        <v>-1858215116</v>
      </c>
      <c r="Q14" s="14">
        <v>-2580500549</v>
      </c>
      <c r="S14" s="14">
        <v>-4438715665</v>
      </c>
      <c r="U14" s="15">
        <v>-2.1116687681194863E-2</v>
      </c>
    </row>
    <row r="15" spans="1:21" ht="21" x14ac:dyDescent="0.65">
      <c r="A15" s="13" t="s">
        <v>163</v>
      </c>
      <c r="C15" s="14">
        <v>0</v>
      </c>
      <c r="E15" s="14">
        <v>677374709</v>
      </c>
      <c r="G15" s="14">
        <v>0</v>
      </c>
      <c r="I15" s="14">
        <v>677374709</v>
      </c>
      <c r="K15" s="15">
        <v>3.2225335553439319E-3</v>
      </c>
      <c r="M15" s="14">
        <v>0</v>
      </c>
      <c r="O15" s="14">
        <v>677374709</v>
      </c>
      <c r="Q15" s="14">
        <v>0</v>
      </c>
      <c r="S15" s="14">
        <v>677374709</v>
      </c>
      <c r="U15" s="15">
        <v>3.2225335553439319E-3</v>
      </c>
    </row>
    <row r="16" spans="1:21" ht="21" x14ac:dyDescent="0.65">
      <c r="A16" s="13" t="s">
        <v>133</v>
      </c>
      <c r="C16" s="14">
        <v>0</v>
      </c>
      <c r="E16" s="14">
        <v>-196074730</v>
      </c>
      <c r="G16" s="14">
        <v>0</v>
      </c>
      <c r="I16" s="14">
        <v>-196074730</v>
      </c>
      <c r="K16" s="15">
        <v>-9.3280334855253878E-4</v>
      </c>
      <c r="M16" s="14">
        <v>0</v>
      </c>
      <c r="O16" s="14">
        <v>-196074730</v>
      </c>
      <c r="Q16" s="14">
        <v>0</v>
      </c>
      <c r="S16" s="14">
        <v>-196074730</v>
      </c>
      <c r="U16" s="15">
        <v>-9.3280334855253878E-4</v>
      </c>
    </row>
    <row r="17" spans="1:21" ht="21" x14ac:dyDescent="0.65">
      <c r="A17" s="13" t="s">
        <v>132</v>
      </c>
      <c r="C17" s="14">
        <v>0</v>
      </c>
      <c r="E17" s="14">
        <v>5769936336</v>
      </c>
      <c r="G17" s="14">
        <v>716160076</v>
      </c>
      <c r="I17" s="14">
        <v>6486096412</v>
      </c>
      <c r="K17" s="15">
        <v>3.085686999109068E-2</v>
      </c>
      <c r="M17" s="14">
        <v>0</v>
      </c>
      <c r="O17" s="14">
        <v>5769936336</v>
      </c>
      <c r="Q17" s="14">
        <v>716160076</v>
      </c>
      <c r="S17" s="14">
        <v>6486096412</v>
      </c>
      <c r="U17" s="15">
        <v>3.085686999109068E-2</v>
      </c>
    </row>
    <row r="18" spans="1:21" ht="21" x14ac:dyDescent="0.65">
      <c r="A18" s="13" t="s">
        <v>87</v>
      </c>
      <c r="C18" s="14">
        <v>0</v>
      </c>
      <c r="E18" s="14">
        <v>-44652150</v>
      </c>
      <c r="G18" s="14">
        <v>0</v>
      </c>
      <c r="I18" s="14">
        <v>-44652150</v>
      </c>
      <c r="K18" s="15">
        <v>-2.1242755269927055E-4</v>
      </c>
      <c r="M18" s="14">
        <v>0</v>
      </c>
      <c r="O18" s="14">
        <v>-44652150</v>
      </c>
      <c r="Q18" s="14">
        <v>0</v>
      </c>
      <c r="S18" s="14">
        <v>-44652150</v>
      </c>
      <c r="U18" s="15">
        <v>-2.1242755269927055E-4</v>
      </c>
    </row>
    <row r="19" spans="1:21" ht="21" x14ac:dyDescent="0.65">
      <c r="A19" s="13" t="s">
        <v>86</v>
      </c>
      <c r="C19" s="14">
        <v>0</v>
      </c>
      <c r="E19" s="14">
        <v>4245866383</v>
      </c>
      <c r="G19" s="14">
        <v>298854039</v>
      </c>
      <c r="I19" s="14">
        <v>4544720422</v>
      </c>
      <c r="K19" s="15">
        <v>2.1620993321662139E-2</v>
      </c>
      <c r="M19" s="14">
        <v>0</v>
      </c>
      <c r="O19" s="14">
        <v>4245866383</v>
      </c>
      <c r="Q19" s="14">
        <v>298854039</v>
      </c>
      <c r="S19" s="14">
        <v>4544720422</v>
      </c>
      <c r="U19" s="15">
        <v>2.1620993321662139E-2</v>
      </c>
    </row>
    <row r="20" spans="1:21" ht="21" x14ac:dyDescent="0.65">
      <c r="A20" s="13" t="s">
        <v>131</v>
      </c>
      <c r="C20" s="14">
        <v>0</v>
      </c>
      <c r="E20" s="14">
        <v>1850203320</v>
      </c>
      <c r="G20" s="14">
        <v>0</v>
      </c>
      <c r="I20" s="14">
        <v>1850203320</v>
      </c>
      <c r="K20" s="15">
        <v>8.8021330050997628E-3</v>
      </c>
      <c r="M20" s="14">
        <v>0</v>
      </c>
      <c r="O20" s="14">
        <v>1850203320</v>
      </c>
      <c r="Q20" s="14">
        <v>0</v>
      </c>
      <c r="S20" s="14">
        <v>1850203320</v>
      </c>
      <c r="U20" s="15">
        <v>8.8021330050997628E-3</v>
      </c>
    </row>
    <row r="21" spans="1:21" ht="21" x14ac:dyDescent="0.65">
      <c r="A21" s="13" t="s">
        <v>85</v>
      </c>
      <c r="C21" s="14">
        <v>0</v>
      </c>
      <c r="E21" s="14">
        <v>1771201950</v>
      </c>
      <c r="G21" s="14">
        <v>0</v>
      </c>
      <c r="I21" s="14">
        <v>1771201950</v>
      </c>
      <c r="K21" s="15">
        <v>8.4262929237377323E-3</v>
      </c>
      <c r="M21" s="14">
        <v>0</v>
      </c>
      <c r="O21" s="14">
        <v>1771201950</v>
      </c>
      <c r="Q21" s="14">
        <v>0</v>
      </c>
      <c r="S21" s="14">
        <v>1771201950</v>
      </c>
      <c r="U21" s="15">
        <v>8.4262929237377323E-3</v>
      </c>
    </row>
    <row r="22" spans="1:21" ht="21" x14ac:dyDescent="0.65">
      <c r="A22" s="13" t="s">
        <v>84</v>
      </c>
      <c r="C22" s="14">
        <v>0</v>
      </c>
      <c r="E22" s="14">
        <v>6318279225</v>
      </c>
      <c r="G22" s="14">
        <v>0</v>
      </c>
      <c r="I22" s="14">
        <v>6318279225</v>
      </c>
      <c r="K22" s="15">
        <v>3.0058498706946785E-2</v>
      </c>
      <c r="M22" s="14">
        <v>0</v>
      </c>
      <c r="O22" s="14">
        <v>6318279225</v>
      </c>
      <c r="Q22" s="14">
        <v>0</v>
      </c>
      <c r="S22" s="14">
        <v>6318279225</v>
      </c>
      <c r="U22" s="15">
        <v>3.0058498706946785E-2</v>
      </c>
    </row>
    <row r="23" spans="1:21" ht="21" x14ac:dyDescent="0.65">
      <c r="A23" s="13" t="s">
        <v>130</v>
      </c>
      <c r="C23" s="14">
        <v>0</v>
      </c>
      <c r="E23" s="14">
        <v>1905158400</v>
      </c>
      <c r="G23" s="14">
        <v>156233000</v>
      </c>
      <c r="I23" s="14">
        <v>2061391400</v>
      </c>
      <c r="K23" s="15">
        <v>9.8068364066976194E-3</v>
      </c>
      <c r="M23" s="14">
        <v>0</v>
      </c>
      <c r="O23" s="14">
        <v>1905158400</v>
      </c>
      <c r="Q23" s="14">
        <v>156233000</v>
      </c>
      <c r="S23" s="14">
        <v>2061391400</v>
      </c>
      <c r="U23" s="15">
        <v>9.8068364066976194E-3</v>
      </c>
    </row>
    <row r="24" spans="1:21" ht="21" x14ac:dyDescent="0.65">
      <c r="A24" s="13" t="s">
        <v>129</v>
      </c>
      <c r="C24" s="14">
        <v>0</v>
      </c>
      <c r="E24" s="14">
        <v>8073108720</v>
      </c>
      <c r="G24" s="14">
        <v>0</v>
      </c>
      <c r="I24" s="14">
        <v>8073108720</v>
      </c>
      <c r="K24" s="15">
        <v>3.8406901528028115E-2</v>
      </c>
      <c r="M24" s="14">
        <v>0</v>
      </c>
      <c r="O24" s="14">
        <v>8073108720</v>
      </c>
      <c r="Q24" s="14">
        <v>0</v>
      </c>
      <c r="S24" s="14">
        <v>8073108720</v>
      </c>
      <c r="U24" s="15">
        <v>3.8406901528028115E-2</v>
      </c>
    </row>
    <row r="25" spans="1:21" ht="21" x14ac:dyDescent="0.65">
      <c r="A25" s="13" t="s">
        <v>82</v>
      </c>
      <c r="C25" s="14">
        <v>0</v>
      </c>
      <c r="E25" s="14">
        <v>0</v>
      </c>
      <c r="G25" s="14">
        <v>-1420212200</v>
      </c>
      <c r="I25" s="14">
        <v>-1420212200</v>
      </c>
      <c r="K25" s="15">
        <v>-6.7564988910869235E-3</v>
      </c>
      <c r="M25" s="14">
        <v>0</v>
      </c>
      <c r="O25" s="14">
        <v>0</v>
      </c>
      <c r="Q25" s="14">
        <v>-1420212200</v>
      </c>
      <c r="S25" s="14">
        <v>-1420212200</v>
      </c>
      <c r="U25" s="15">
        <v>-6.7564988910869235E-3</v>
      </c>
    </row>
    <row r="26" spans="1:21" ht="21" x14ac:dyDescent="0.65">
      <c r="A26" s="13" t="s">
        <v>81</v>
      </c>
      <c r="C26" s="14">
        <v>0</v>
      </c>
      <c r="E26" s="14">
        <v>-1233391610</v>
      </c>
      <c r="G26" s="14">
        <v>0</v>
      </c>
      <c r="I26" s="14">
        <v>-1233391610</v>
      </c>
      <c r="K26" s="15">
        <v>-5.8677210667820731E-3</v>
      </c>
      <c r="M26" s="14">
        <v>0</v>
      </c>
      <c r="O26" s="14">
        <v>-1233391610</v>
      </c>
      <c r="Q26" s="14">
        <v>0</v>
      </c>
      <c r="S26" s="14">
        <v>-1233391610</v>
      </c>
      <c r="U26" s="15">
        <v>-5.8677210667820731E-3</v>
      </c>
    </row>
    <row r="27" spans="1:21" ht="21" x14ac:dyDescent="0.65">
      <c r="A27" s="13" t="s">
        <v>128</v>
      </c>
      <c r="C27" s="14">
        <v>0</v>
      </c>
      <c r="E27" s="14">
        <v>12924657671</v>
      </c>
      <c r="G27" s="14">
        <v>201541358</v>
      </c>
      <c r="I27" s="14">
        <v>13126199029</v>
      </c>
      <c r="K27" s="15">
        <v>6.2446407081719724E-2</v>
      </c>
      <c r="M27" s="14">
        <v>0</v>
      </c>
      <c r="O27" s="14">
        <v>12924657671</v>
      </c>
      <c r="Q27" s="14">
        <v>201541358</v>
      </c>
      <c r="S27" s="14">
        <v>13126199029</v>
      </c>
      <c r="U27" s="15">
        <v>6.2446407081719724E-2</v>
      </c>
    </row>
    <row r="28" spans="1:21" ht="21" x14ac:dyDescent="0.65">
      <c r="A28" s="13" t="s">
        <v>127</v>
      </c>
      <c r="C28" s="14">
        <v>4785000000</v>
      </c>
      <c r="E28" s="14">
        <v>-3863899380</v>
      </c>
      <c r="G28" s="14">
        <v>0</v>
      </c>
      <c r="I28" s="14">
        <v>921100620</v>
      </c>
      <c r="K28" s="15">
        <v>4.3820320073362827E-3</v>
      </c>
      <c r="M28" s="14">
        <v>4785000000</v>
      </c>
      <c r="O28" s="14">
        <v>-3863899380</v>
      </c>
      <c r="Q28" s="14">
        <v>0</v>
      </c>
      <c r="S28" s="14">
        <v>921100620</v>
      </c>
      <c r="U28" s="15">
        <v>4.3820320073362827E-3</v>
      </c>
    </row>
    <row r="29" spans="1:21" ht="21" x14ac:dyDescent="0.65">
      <c r="A29" s="13" t="s">
        <v>80</v>
      </c>
      <c r="C29" s="14">
        <v>0</v>
      </c>
      <c r="E29" s="14">
        <v>166600157</v>
      </c>
      <c r="G29" s="14">
        <v>-1427436</v>
      </c>
      <c r="I29" s="14">
        <v>165172721</v>
      </c>
      <c r="K29" s="15">
        <v>7.8579053628345804E-4</v>
      </c>
      <c r="M29" s="14">
        <v>0</v>
      </c>
      <c r="O29" s="14">
        <v>166600157</v>
      </c>
      <c r="Q29" s="14">
        <v>-1427436</v>
      </c>
      <c r="S29" s="14">
        <v>165172721</v>
      </c>
      <c r="U29" s="15">
        <v>7.8579053628345804E-4</v>
      </c>
    </row>
    <row r="30" spans="1:21" ht="21" x14ac:dyDescent="0.65">
      <c r="A30" s="13" t="s">
        <v>79</v>
      </c>
      <c r="C30" s="14">
        <v>0</v>
      </c>
      <c r="E30" s="14">
        <v>28196344320</v>
      </c>
      <c r="G30" s="14">
        <v>0</v>
      </c>
      <c r="I30" s="14">
        <v>28196344320</v>
      </c>
      <c r="K30" s="15">
        <v>0.13414091861116606</v>
      </c>
      <c r="M30" s="14">
        <v>0</v>
      </c>
      <c r="O30" s="14">
        <v>28196344320</v>
      </c>
      <c r="Q30" s="14">
        <v>0</v>
      </c>
      <c r="S30" s="14">
        <v>28196344320</v>
      </c>
      <c r="U30" s="15">
        <v>0.13414091861116606</v>
      </c>
    </row>
    <row r="31" spans="1:21" ht="21" x14ac:dyDescent="0.65">
      <c r="A31" s="13" t="s">
        <v>126</v>
      </c>
      <c r="C31" s="14">
        <v>0</v>
      </c>
      <c r="E31" s="14">
        <v>629115796</v>
      </c>
      <c r="G31" s="14">
        <v>0</v>
      </c>
      <c r="I31" s="14">
        <v>629115796</v>
      </c>
      <c r="K31" s="15">
        <v>2.9929472356590566E-3</v>
      </c>
      <c r="M31" s="14">
        <v>0</v>
      </c>
      <c r="O31" s="14">
        <v>629115796</v>
      </c>
      <c r="Q31" s="14">
        <v>0</v>
      </c>
      <c r="S31" s="14">
        <v>629115796</v>
      </c>
      <c r="U31" s="15">
        <v>2.9929472356590566E-3</v>
      </c>
    </row>
    <row r="32" spans="1:21" ht="21" x14ac:dyDescent="0.65">
      <c r="A32" s="13" t="s">
        <v>76</v>
      </c>
      <c r="C32" s="14">
        <v>0</v>
      </c>
      <c r="E32" s="14">
        <v>1639043990</v>
      </c>
      <c r="G32" s="14">
        <v>913456459</v>
      </c>
      <c r="I32" s="14">
        <v>2552500449</v>
      </c>
      <c r="K32" s="15">
        <v>1.214323215443958E-2</v>
      </c>
      <c r="M32" s="14">
        <v>0</v>
      </c>
      <c r="O32" s="14">
        <v>1639043990</v>
      </c>
      <c r="Q32" s="14">
        <v>913456459</v>
      </c>
      <c r="S32" s="14">
        <v>2552500449</v>
      </c>
      <c r="U32" s="15">
        <v>1.214323215443958E-2</v>
      </c>
    </row>
    <row r="33" spans="1:21" ht="21" x14ac:dyDescent="0.65">
      <c r="A33" s="13" t="s">
        <v>75</v>
      </c>
      <c r="C33" s="14">
        <v>0</v>
      </c>
      <c r="E33" s="14">
        <v>2108451414</v>
      </c>
      <c r="G33" s="14">
        <v>189445153</v>
      </c>
      <c r="I33" s="14">
        <v>2297896567</v>
      </c>
      <c r="K33" s="15">
        <v>1.093198298590024E-2</v>
      </c>
      <c r="M33" s="14">
        <v>0</v>
      </c>
      <c r="O33" s="14">
        <v>2108451414</v>
      </c>
      <c r="Q33" s="14">
        <v>189445153</v>
      </c>
      <c r="S33" s="14">
        <v>2297896567</v>
      </c>
      <c r="U33" s="15">
        <v>1.093198298590024E-2</v>
      </c>
    </row>
    <row r="34" spans="1:21" ht="21" x14ac:dyDescent="0.65">
      <c r="A34" s="13" t="s">
        <v>157</v>
      </c>
      <c r="C34" s="14">
        <v>0</v>
      </c>
      <c r="E34" s="14">
        <v>2406400564</v>
      </c>
      <c r="G34" s="14">
        <v>0</v>
      </c>
      <c r="I34" s="14">
        <v>2406400564</v>
      </c>
      <c r="K34" s="15">
        <v>1.144817847796051E-2</v>
      </c>
      <c r="M34" s="14">
        <v>0</v>
      </c>
      <c r="O34" s="14">
        <v>2406400564</v>
      </c>
      <c r="Q34" s="14">
        <v>0</v>
      </c>
      <c r="S34" s="14">
        <v>2406400564</v>
      </c>
      <c r="U34" s="15">
        <v>1.144817847796051E-2</v>
      </c>
    </row>
    <row r="35" spans="1:21" ht="21" x14ac:dyDescent="0.65">
      <c r="A35" s="13" t="s">
        <v>156</v>
      </c>
      <c r="C35" s="14">
        <v>0</v>
      </c>
      <c r="E35" s="14">
        <v>1539967071</v>
      </c>
      <c r="G35" s="14">
        <v>10229398</v>
      </c>
      <c r="I35" s="14">
        <v>1550196469</v>
      </c>
      <c r="K35" s="15">
        <v>7.3748843473991875E-3</v>
      </c>
      <c r="M35" s="14">
        <v>0</v>
      </c>
      <c r="O35" s="14">
        <v>1539967071</v>
      </c>
      <c r="Q35" s="14">
        <v>10229398</v>
      </c>
      <c r="S35" s="14">
        <v>1550196469</v>
      </c>
      <c r="U35" s="15">
        <v>7.3748843473991875E-3</v>
      </c>
    </row>
    <row r="36" spans="1:21" ht="21" x14ac:dyDescent="0.65">
      <c r="A36" s="13" t="s">
        <v>125</v>
      </c>
      <c r="C36" s="14">
        <v>0</v>
      </c>
      <c r="E36" s="14">
        <v>-299421362</v>
      </c>
      <c r="G36" s="14">
        <v>0</v>
      </c>
      <c r="I36" s="14">
        <v>-299421362</v>
      </c>
      <c r="K36" s="15">
        <v>-1.4244632600119449E-3</v>
      </c>
      <c r="M36" s="14">
        <v>0</v>
      </c>
      <c r="O36" s="14">
        <v>-299421362</v>
      </c>
      <c r="Q36" s="14">
        <v>0</v>
      </c>
      <c r="S36" s="14">
        <v>-299421362</v>
      </c>
      <c r="U36" s="15">
        <v>-1.4244632600119449E-3</v>
      </c>
    </row>
    <row r="37" spans="1:21" ht="21" x14ac:dyDescent="0.65">
      <c r="A37" s="13" t="s">
        <v>124</v>
      </c>
      <c r="C37" s="14">
        <v>0</v>
      </c>
      <c r="E37" s="14">
        <v>46551077215</v>
      </c>
      <c r="G37" s="14">
        <v>427377363</v>
      </c>
      <c r="I37" s="14">
        <v>46978454578</v>
      </c>
      <c r="K37" s="15">
        <v>0.22349468358406893</v>
      </c>
      <c r="M37" s="14">
        <v>0</v>
      </c>
      <c r="O37" s="14">
        <v>46551077215</v>
      </c>
      <c r="Q37" s="14">
        <v>427377363</v>
      </c>
      <c r="S37" s="14">
        <v>46978454578</v>
      </c>
      <c r="U37" s="15">
        <v>0.22349468358406893</v>
      </c>
    </row>
    <row r="38" spans="1:21" ht="21" x14ac:dyDescent="0.65">
      <c r="A38" s="13" t="s">
        <v>67</v>
      </c>
      <c r="C38" s="14">
        <v>0</v>
      </c>
      <c r="E38" s="14">
        <v>0</v>
      </c>
      <c r="G38" s="14">
        <v>642006420</v>
      </c>
      <c r="I38" s="14">
        <v>642006420</v>
      </c>
      <c r="K38" s="15">
        <v>3.054272921187894E-3</v>
      </c>
      <c r="M38" s="14">
        <v>0</v>
      </c>
      <c r="O38" s="14">
        <v>0</v>
      </c>
      <c r="Q38" s="14">
        <v>642006420</v>
      </c>
      <c r="S38" s="14">
        <v>642006420</v>
      </c>
      <c r="U38" s="15">
        <v>3.054272921187894E-3</v>
      </c>
    </row>
    <row r="39" spans="1:21" ht="21" x14ac:dyDescent="0.65">
      <c r="A39" s="13" t="s">
        <v>123</v>
      </c>
      <c r="C39" s="14">
        <v>0</v>
      </c>
      <c r="E39" s="14">
        <v>16027048629</v>
      </c>
      <c r="G39" s="14">
        <v>0</v>
      </c>
      <c r="I39" s="14">
        <v>16027048629</v>
      </c>
      <c r="K39" s="15">
        <v>7.6246870917764747E-2</v>
      </c>
      <c r="M39" s="14">
        <v>0</v>
      </c>
      <c r="O39" s="14">
        <v>16027048629</v>
      </c>
      <c r="Q39" s="14">
        <v>0</v>
      </c>
      <c r="S39" s="14">
        <v>16027048629</v>
      </c>
      <c r="U39" s="15">
        <v>7.6246870917764747E-2</v>
      </c>
    </row>
    <row r="40" spans="1:21" ht="21" x14ac:dyDescent="0.65">
      <c r="A40" s="13" t="s">
        <v>122</v>
      </c>
      <c r="C40" s="14">
        <v>0</v>
      </c>
      <c r="E40" s="14">
        <v>2163148600</v>
      </c>
      <c r="G40" s="14">
        <v>164896344</v>
      </c>
      <c r="I40" s="14">
        <v>2328044944</v>
      </c>
      <c r="K40" s="15">
        <v>1.1075410479178054E-2</v>
      </c>
      <c r="M40" s="14">
        <v>0</v>
      </c>
      <c r="O40" s="14">
        <v>2163148600</v>
      </c>
      <c r="Q40" s="14">
        <v>164896344</v>
      </c>
      <c r="S40" s="14">
        <v>2328044944</v>
      </c>
      <c r="U40" s="15">
        <v>1.1075410479178054E-2</v>
      </c>
    </row>
    <row r="41" spans="1:21" ht="21" x14ac:dyDescent="0.65">
      <c r="A41" s="13" t="s">
        <v>121</v>
      </c>
      <c r="C41" s="14">
        <v>0</v>
      </c>
      <c r="E41" s="14">
        <v>6259735295</v>
      </c>
      <c r="G41" s="14">
        <v>0</v>
      </c>
      <c r="I41" s="14">
        <v>6259735295</v>
      </c>
      <c r="K41" s="15">
        <v>2.9779982582296628E-2</v>
      </c>
      <c r="M41" s="14">
        <v>0</v>
      </c>
      <c r="O41" s="14">
        <v>6259735295</v>
      </c>
      <c r="Q41" s="14">
        <v>0</v>
      </c>
      <c r="S41" s="14">
        <v>6259735295</v>
      </c>
      <c r="U41" s="15">
        <v>2.9779982582296628E-2</v>
      </c>
    </row>
    <row r="42" spans="1:21" ht="21" x14ac:dyDescent="0.65">
      <c r="A42" s="13" t="s">
        <v>154</v>
      </c>
      <c r="C42" s="14">
        <v>0</v>
      </c>
      <c r="E42" s="14">
        <v>1950896780</v>
      </c>
      <c r="G42" s="14">
        <v>0</v>
      </c>
      <c r="I42" s="14">
        <v>1950896780</v>
      </c>
      <c r="K42" s="15">
        <v>9.2811707508885285E-3</v>
      </c>
      <c r="M42" s="14">
        <v>0</v>
      </c>
      <c r="O42" s="14">
        <v>1950896780</v>
      </c>
      <c r="Q42" s="14">
        <v>0</v>
      </c>
      <c r="S42" s="14">
        <v>1950896780</v>
      </c>
      <c r="U42" s="15">
        <v>9.2811707508885285E-3</v>
      </c>
    </row>
    <row r="43" spans="1:21" ht="21" x14ac:dyDescent="0.65">
      <c r="A43" s="13" t="s">
        <v>66</v>
      </c>
      <c r="C43" s="14">
        <v>0</v>
      </c>
      <c r="E43" s="14">
        <v>-81366140</v>
      </c>
      <c r="G43" s="14">
        <v>0</v>
      </c>
      <c r="I43" s="14">
        <v>-81366140</v>
      </c>
      <c r="K43" s="15">
        <v>-3.8709020714089302E-4</v>
      </c>
      <c r="M43" s="14">
        <v>0</v>
      </c>
      <c r="O43" s="14">
        <v>-81366140</v>
      </c>
      <c r="Q43" s="14">
        <v>0</v>
      </c>
      <c r="S43" s="14">
        <v>-81366140</v>
      </c>
      <c r="U43" s="15">
        <v>-3.8709020714089302E-4</v>
      </c>
    </row>
    <row r="44" spans="1:21" ht="21" x14ac:dyDescent="0.65">
      <c r="A44" s="13" t="s">
        <v>65</v>
      </c>
      <c r="C44" s="14">
        <v>0</v>
      </c>
      <c r="E44" s="14">
        <v>17106659268</v>
      </c>
      <c r="G44" s="14">
        <v>0</v>
      </c>
      <c r="I44" s="14">
        <v>17106659268</v>
      </c>
      <c r="K44" s="15">
        <v>8.1382996410285624E-2</v>
      </c>
      <c r="M44" s="14">
        <v>0</v>
      </c>
      <c r="O44" s="14">
        <v>17106659268</v>
      </c>
      <c r="Q44" s="14">
        <v>0</v>
      </c>
      <c r="S44" s="14">
        <v>17106659268</v>
      </c>
      <c r="U44" s="15">
        <v>8.1382996410285624E-2</v>
      </c>
    </row>
    <row r="45" spans="1:21" ht="21" x14ac:dyDescent="0.65">
      <c r="A45" s="13" t="s">
        <v>64</v>
      </c>
      <c r="C45" s="14">
        <v>0</v>
      </c>
      <c r="E45" s="14">
        <v>4638862250</v>
      </c>
      <c r="G45" s="14">
        <v>0</v>
      </c>
      <c r="I45" s="14">
        <v>4638862250</v>
      </c>
      <c r="K45" s="15">
        <v>2.2068862419313107E-2</v>
      </c>
      <c r="M45" s="14">
        <v>0</v>
      </c>
      <c r="O45" s="14">
        <v>4638862250</v>
      </c>
      <c r="Q45" s="14">
        <v>0</v>
      </c>
      <c r="S45" s="14">
        <v>4638862250</v>
      </c>
      <c r="U45" s="15">
        <v>2.2068862419313107E-2</v>
      </c>
    </row>
    <row r="46" spans="1:21" ht="21" x14ac:dyDescent="0.65">
      <c r="A46" s="13" t="s">
        <v>63</v>
      </c>
      <c r="C46" s="14">
        <v>0</v>
      </c>
      <c r="E46" s="14">
        <v>2324888610</v>
      </c>
      <c r="G46" s="14">
        <v>0</v>
      </c>
      <c r="I46" s="14">
        <v>2324888610</v>
      </c>
      <c r="K46" s="15">
        <v>1.1060394577208687E-2</v>
      </c>
      <c r="M46" s="14">
        <v>0</v>
      </c>
      <c r="O46" s="14">
        <v>2324888610</v>
      </c>
      <c r="Q46" s="14">
        <v>0</v>
      </c>
      <c r="S46" s="14">
        <v>2324888610</v>
      </c>
      <c r="U46" s="15">
        <v>1.1060394577208687E-2</v>
      </c>
    </row>
    <row r="47" spans="1:21" ht="21" x14ac:dyDescent="0.65">
      <c r="A47" s="13" t="s">
        <v>120</v>
      </c>
      <c r="C47" s="14">
        <v>0</v>
      </c>
      <c r="E47" s="14">
        <v>25107606264</v>
      </c>
      <c r="G47" s="14">
        <v>0</v>
      </c>
      <c r="I47" s="14">
        <v>25107606264</v>
      </c>
      <c r="K47" s="15">
        <v>0.11944659669911517</v>
      </c>
      <c r="M47" s="14">
        <v>0</v>
      </c>
      <c r="O47" s="14">
        <v>25107606264</v>
      </c>
      <c r="Q47" s="14">
        <v>0</v>
      </c>
      <c r="S47" s="14">
        <v>25107606264</v>
      </c>
      <c r="U47" s="15">
        <v>0.11944659669911517</v>
      </c>
    </row>
    <row r="48" spans="1:21" ht="21" x14ac:dyDescent="0.65">
      <c r="A48" s="13" t="s">
        <v>60</v>
      </c>
      <c r="C48" s="14">
        <v>0</v>
      </c>
      <c r="E48" s="14">
        <v>0</v>
      </c>
      <c r="G48" s="14">
        <v>-1579799394</v>
      </c>
      <c r="I48" s="14">
        <v>-1579799394</v>
      </c>
      <c r="K48" s="15">
        <v>-7.5157169144869996E-3</v>
      </c>
      <c r="M48" s="14">
        <v>0</v>
      </c>
      <c r="O48" s="14">
        <v>0</v>
      </c>
      <c r="Q48" s="14">
        <v>-1579799394</v>
      </c>
      <c r="S48" s="14">
        <v>-1579799394</v>
      </c>
      <c r="U48" s="15">
        <v>-7.5157169144869996E-3</v>
      </c>
    </row>
    <row r="49" spans="1:21" ht="21" x14ac:dyDescent="0.65">
      <c r="A49" s="13" t="s">
        <v>59</v>
      </c>
      <c r="C49" s="14">
        <v>0</v>
      </c>
      <c r="E49" s="14">
        <v>1076612950</v>
      </c>
      <c r="G49" s="14">
        <v>0</v>
      </c>
      <c r="I49" s="14">
        <v>1076612950</v>
      </c>
      <c r="K49" s="15">
        <v>5.1218643261935239E-3</v>
      </c>
      <c r="M49" s="14">
        <v>0</v>
      </c>
      <c r="O49" s="14">
        <v>1076612950</v>
      </c>
      <c r="Q49" s="14">
        <v>0</v>
      </c>
      <c r="S49" s="14">
        <v>1076612950</v>
      </c>
      <c r="U49" s="15">
        <v>5.1218643261935239E-3</v>
      </c>
    </row>
    <row r="50" spans="1:21" ht="21" x14ac:dyDescent="0.65">
      <c r="A50" s="13" t="s">
        <v>153</v>
      </c>
      <c r="C50" s="14">
        <v>0</v>
      </c>
      <c r="E50" s="14">
        <v>2384626125</v>
      </c>
      <c r="G50" s="14">
        <v>0</v>
      </c>
      <c r="I50" s="14">
        <v>2384626125</v>
      </c>
      <c r="K50" s="15">
        <v>1.1344589047481361E-2</v>
      </c>
      <c r="M50" s="14">
        <v>0</v>
      </c>
      <c r="O50" s="14">
        <v>2384626125</v>
      </c>
      <c r="Q50" s="14">
        <v>0</v>
      </c>
      <c r="S50" s="14">
        <v>2384626125</v>
      </c>
      <c r="U50" s="15">
        <v>1.1344589047481361E-2</v>
      </c>
    </row>
    <row r="51" spans="1:21" ht="21" x14ac:dyDescent="0.65">
      <c r="A51" s="13" t="s">
        <v>152</v>
      </c>
      <c r="C51" s="14">
        <v>0</v>
      </c>
      <c r="E51" s="14">
        <v>0</v>
      </c>
      <c r="G51" s="14">
        <v>179495223</v>
      </c>
      <c r="I51" s="14">
        <v>179495223</v>
      </c>
      <c r="K51" s="15">
        <v>8.5392821942727995E-4</v>
      </c>
      <c r="M51" s="14">
        <v>0</v>
      </c>
      <c r="O51" s="14">
        <v>0</v>
      </c>
      <c r="Q51" s="14">
        <v>179495223</v>
      </c>
      <c r="S51" s="14">
        <v>179495223</v>
      </c>
      <c r="U51" s="15">
        <v>8.5392821942727995E-4</v>
      </c>
    </row>
    <row r="52" spans="1:21" ht="21" x14ac:dyDescent="0.65">
      <c r="A52" s="13" t="s">
        <v>119</v>
      </c>
      <c r="C52" s="14">
        <v>0</v>
      </c>
      <c r="E52" s="14">
        <v>0</v>
      </c>
      <c r="G52" s="14">
        <v>-277571830</v>
      </c>
      <c r="I52" s="14">
        <v>-277571830</v>
      </c>
      <c r="K52" s="15">
        <v>-1.3205165830796047E-3</v>
      </c>
      <c r="M52" s="14">
        <v>0</v>
      </c>
      <c r="O52" s="14">
        <v>0</v>
      </c>
      <c r="Q52" s="14">
        <v>-277571830</v>
      </c>
      <c r="S52" s="14">
        <v>-277571830</v>
      </c>
      <c r="U52" s="15">
        <v>-1.3205165830796047E-3</v>
      </c>
    </row>
    <row r="53" spans="1:21" ht="21.6" thickBot="1" x14ac:dyDescent="0.7">
      <c r="A53" s="16" t="s">
        <v>7</v>
      </c>
      <c r="C53" s="16">
        <f>SUM(C9:$C$52)</f>
        <v>4785000000</v>
      </c>
      <c r="E53" s="16">
        <f>SUM(E9:$E$52)</f>
        <v>199232054022</v>
      </c>
      <c r="G53" s="16">
        <f>SUM(G9:$G$52)</f>
        <v>-2013361016</v>
      </c>
      <c r="I53" s="16">
        <f>SUM(I9:$I$52)</f>
        <v>202003693006</v>
      </c>
      <c r="K53" s="17">
        <f>SUM(K9:$K$52)</f>
        <v>0.96100971938594959</v>
      </c>
      <c r="M53" s="16">
        <f>SUM(M9:$M$52)</f>
        <v>4785000000</v>
      </c>
      <c r="O53" s="16">
        <f>SUM(O9:$O$52)</f>
        <v>199232054022</v>
      </c>
      <c r="Q53" s="16">
        <f>SUM(Q9:$Q$52)</f>
        <v>-2013361016</v>
      </c>
      <c r="S53" s="16">
        <f>SUM(S9:$S$52)</f>
        <v>202003693006</v>
      </c>
      <c r="U53" s="17">
        <f>SUM(U9:$U$52)</f>
        <v>0.96100971938594959</v>
      </c>
    </row>
    <row r="54" spans="1:21" ht="21.6" thickTop="1" x14ac:dyDescent="0.65">
      <c r="C54" s="18"/>
      <c r="E54" s="18"/>
      <c r="G54" s="18"/>
      <c r="I54" s="18"/>
      <c r="K54" s="18"/>
      <c r="M54" s="18"/>
      <c r="O54" s="18"/>
      <c r="Q54" s="18"/>
      <c r="S54" s="18"/>
      <c r="U54" s="18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5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D9F-0183-4E34-953B-C51EAC089876}">
  <sheetPr>
    <pageSetUpPr fitToPage="1"/>
  </sheetPr>
  <dimension ref="A1:Q42"/>
  <sheetViews>
    <sheetView rightToLeft="1" view="pageBreakPreview" topLeftCell="A11" zoomScale="80" zoomScaleNormal="82" zoomScaleSheetLayoutView="70" workbookViewId="0">
      <selection activeCell="C28" sqref="C28:C32"/>
    </sheetView>
  </sheetViews>
  <sheetFormatPr defaultRowHeight="18.600000000000001" x14ac:dyDescent="0.65"/>
  <cols>
    <col min="1" max="1" width="43.296875" style="2" customWidth="1"/>
    <col min="2" max="2" width="1.3984375" style="2" customWidth="1"/>
    <col min="3" max="3" width="17" style="2" customWidth="1"/>
    <col min="4" max="4" width="1.3984375" style="2" customWidth="1"/>
    <col min="5" max="5" width="17" style="2" customWidth="1"/>
    <col min="6" max="6" width="1.3984375" style="2" customWidth="1"/>
    <col min="7" max="7" width="17" style="2" customWidth="1"/>
    <col min="8" max="8" width="1.3984375" style="2" customWidth="1"/>
    <col min="9" max="9" width="10.59765625" style="2" customWidth="1"/>
    <col min="10" max="10" width="1.3984375" style="2" customWidth="1"/>
    <col min="11" max="11" width="17" style="2" customWidth="1"/>
    <col min="12" max="12" width="1.3984375" style="2" customWidth="1"/>
    <col min="13" max="13" width="17" style="2" customWidth="1"/>
    <col min="14" max="14" width="1.3984375" style="2" customWidth="1"/>
    <col min="15" max="15" width="17" style="2" customWidth="1"/>
    <col min="16" max="16" width="1.3984375" style="2" customWidth="1"/>
    <col min="17" max="17" width="10.59765625" style="2" customWidth="1"/>
    <col min="18" max="16384" width="8.796875" style="2"/>
  </cols>
  <sheetData>
    <row r="1" spans="1:17" ht="19.95" customHeight="1" x14ac:dyDescent="0.65">
      <c r="A1" s="36" t="s">
        <v>141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19.95" customHeight="1" x14ac:dyDescent="0.65">
      <c r="A2" s="36" t="s">
        <v>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19.95" customHeight="1" x14ac:dyDescent="0.65">
      <c r="A3" s="36" t="s">
        <v>150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0.399999999999999" x14ac:dyDescent="0.65">
      <c r="A5" s="37" t="s">
        <v>140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0.399999999999999" x14ac:dyDescent="0.65">
      <c r="C7" s="41" t="s">
        <v>169</v>
      </c>
      <c r="D7" s="41"/>
      <c r="E7" s="41"/>
      <c r="F7" s="41"/>
      <c r="G7" s="41"/>
      <c r="H7" s="41"/>
      <c r="I7" s="41"/>
      <c r="K7" s="41" t="s">
        <v>168</v>
      </c>
      <c r="L7" s="41"/>
      <c r="M7" s="41"/>
      <c r="N7" s="41"/>
      <c r="O7" s="41"/>
      <c r="P7" s="41"/>
      <c r="Q7" s="41"/>
    </row>
    <row r="8" spans="1:17" ht="40.799999999999997" x14ac:dyDescent="0.65">
      <c r="A8" s="9" t="s">
        <v>139</v>
      </c>
      <c r="C8" s="10" t="s">
        <v>38</v>
      </c>
      <c r="E8" s="10" t="s">
        <v>39</v>
      </c>
      <c r="G8" s="10" t="s">
        <v>136</v>
      </c>
      <c r="I8" s="10" t="s">
        <v>135</v>
      </c>
      <c r="K8" s="10" t="s">
        <v>38</v>
      </c>
      <c r="M8" s="10" t="s">
        <v>39</v>
      </c>
      <c r="O8" s="10" t="s">
        <v>136</v>
      </c>
      <c r="Q8" s="10" t="s">
        <v>135</v>
      </c>
    </row>
    <row r="9" spans="1:17" ht="21" x14ac:dyDescent="0.65">
      <c r="A9" s="13" t="s">
        <v>170</v>
      </c>
      <c r="C9" s="14">
        <v>-17986365</v>
      </c>
      <c r="E9" s="14">
        <v>-31062868</v>
      </c>
      <c r="G9" s="14">
        <f>E9+C9</f>
        <v>-49049233</v>
      </c>
      <c r="I9" s="15">
        <v>-2.3334617768609798E-4</v>
      </c>
      <c r="K9" s="14">
        <v>-17986365</v>
      </c>
      <c r="M9" s="14">
        <v>-31062868</v>
      </c>
      <c r="O9" s="14">
        <f>M9+K9</f>
        <v>-49049233</v>
      </c>
      <c r="Q9" s="15">
        <v>-2.3334617768609798E-4</v>
      </c>
    </row>
    <row r="10" spans="1:17" ht="21" x14ac:dyDescent="0.65">
      <c r="A10" s="13" t="s">
        <v>171</v>
      </c>
      <c r="C10" s="14">
        <v>287781840</v>
      </c>
      <c r="E10" s="14">
        <v>262945640</v>
      </c>
      <c r="G10" s="14">
        <f t="shared" ref="G10:G32" si="0">E10+C10</f>
        <v>550727480</v>
      </c>
      <c r="I10" s="15">
        <v>2.6200236893550808E-3</v>
      </c>
      <c r="K10" s="14">
        <v>287781840</v>
      </c>
      <c r="M10" s="14">
        <v>262945640</v>
      </c>
      <c r="O10" s="14">
        <f t="shared" ref="O10:O32" si="1">M10+K10</f>
        <v>550727480</v>
      </c>
      <c r="Q10" s="15">
        <v>2.6200236893550808E-3</v>
      </c>
    </row>
    <row r="11" spans="1:17" ht="21" x14ac:dyDescent="0.65">
      <c r="A11" s="13" t="s">
        <v>172</v>
      </c>
      <c r="C11" s="14">
        <v>47623898</v>
      </c>
      <c r="E11" s="14">
        <v>299927440</v>
      </c>
      <c r="G11" s="14">
        <f t="shared" si="0"/>
        <v>347551338</v>
      </c>
      <c r="I11" s="15">
        <v>1.6534361765043115E-3</v>
      </c>
      <c r="K11" s="14">
        <v>47623898</v>
      </c>
      <c r="M11" s="14">
        <v>299927440</v>
      </c>
      <c r="O11" s="14">
        <f t="shared" si="1"/>
        <v>347551338</v>
      </c>
      <c r="Q11" s="15">
        <v>1.6534361765043115E-3</v>
      </c>
    </row>
    <row r="12" spans="1:17" ht="21" x14ac:dyDescent="0.65">
      <c r="A12" s="13" t="s">
        <v>173</v>
      </c>
      <c r="C12" s="14">
        <v>30902194</v>
      </c>
      <c r="E12" s="14">
        <v>0</v>
      </c>
      <c r="G12" s="14">
        <f t="shared" si="0"/>
        <v>30902194</v>
      </c>
      <c r="I12" s="15">
        <v>1.4701369238565406E-4</v>
      </c>
      <c r="K12" s="14">
        <v>30902194</v>
      </c>
      <c r="M12" s="14">
        <v>0</v>
      </c>
      <c r="O12" s="14">
        <f t="shared" si="1"/>
        <v>30902194</v>
      </c>
      <c r="Q12" s="15">
        <v>1.4701369238565406E-4</v>
      </c>
    </row>
    <row r="13" spans="1:17" ht="21" x14ac:dyDescent="0.65">
      <c r="A13" s="13" t="s">
        <v>142</v>
      </c>
      <c r="C13" s="14">
        <v>60021210</v>
      </c>
      <c r="E13" s="14">
        <v>80866755</v>
      </c>
      <c r="G13" s="14">
        <f t="shared" si="0"/>
        <v>140887965</v>
      </c>
      <c r="I13" s="15">
        <v>6.7025855663681332E-4</v>
      </c>
      <c r="K13" s="14">
        <v>60021210</v>
      </c>
      <c r="M13" s="14">
        <v>80866755</v>
      </c>
      <c r="O13" s="14">
        <f t="shared" si="1"/>
        <v>140887965</v>
      </c>
      <c r="Q13" s="15">
        <v>6.7025855663681332E-4</v>
      </c>
    </row>
    <row r="14" spans="1:17" ht="21" x14ac:dyDescent="0.65">
      <c r="A14" s="13" t="s">
        <v>174</v>
      </c>
      <c r="C14" s="14">
        <v>50061210</v>
      </c>
      <c r="E14" s="14">
        <v>0</v>
      </c>
      <c r="G14" s="14">
        <f t="shared" si="0"/>
        <v>50061210</v>
      </c>
      <c r="I14" s="15">
        <v>2.3816054379160355E-4</v>
      </c>
      <c r="K14" s="14">
        <v>50061210</v>
      </c>
      <c r="M14" s="14">
        <v>0</v>
      </c>
      <c r="O14" s="14">
        <f t="shared" si="1"/>
        <v>50061210</v>
      </c>
      <c r="Q14" s="15">
        <v>2.3816054379160355E-4</v>
      </c>
    </row>
    <row r="15" spans="1:17" ht="21" x14ac:dyDescent="0.65">
      <c r="A15" s="13" t="s">
        <v>175</v>
      </c>
      <c r="C15" s="14">
        <v>174049237</v>
      </c>
      <c r="E15" s="14">
        <v>0</v>
      </c>
      <c r="G15" s="14">
        <f t="shared" si="0"/>
        <v>174049237</v>
      </c>
      <c r="I15" s="15">
        <v>8.2801955706691239E-4</v>
      </c>
      <c r="K15" s="14">
        <v>174049237</v>
      </c>
      <c r="M15" s="14">
        <v>0</v>
      </c>
      <c r="O15" s="14">
        <f t="shared" si="1"/>
        <v>174049237</v>
      </c>
      <c r="Q15" s="15">
        <v>8.2801955706691239E-4</v>
      </c>
    </row>
    <row r="16" spans="1:17" ht="21" x14ac:dyDescent="0.65">
      <c r="A16" s="13" t="s">
        <v>176</v>
      </c>
      <c r="C16" s="14">
        <v>61869610</v>
      </c>
      <c r="E16" s="14">
        <v>0</v>
      </c>
      <c r="G16" s="14">
        <f t="shared" si="0"/>
        <v>61869610</v>
      </c>
      <c r="I16" s="15">
        <v>2.9433767105857875E-4</v>
      </c>
      <c r="K16" s="14">
        <v>61869610</v>
      </c>
      <c r="M16" s="14">
        <v>0</v>
      </c>
      <c r="O16" s="14">
        <f t="shared" si="1"/>
        <v>61869610</v>
      </c>
      <c r="Q16" s="15">
        <v>2.9433767105857875E-4</v>
      </c>
    </row>
    <row r="17" spans="1:17" ht="21" x14ac:dyDescent="0.65">
      <c r="A17" s="13" t="s">
        <v>177</v>
      </c>
      <c r="C17" s="14">
        <v>-39969700</v>
      </c>
      <c r="E17" s="14">
        <v>86002390</v>
      </c>
      <c r="G17" s="14">
        <f t="shared" si="0"/>
        <v>46032690</v>
      </c>
      <c r="I17" s="15">
        <v>2.1899531558646526E-4</v>
      </c>
      <c r="K17" s="14">
        <v>-39969700</v>
      </c>
      <c r="M17" s="14">
        <v>86002390</v>
      </c>
      <c r="O17" s="14">
        <f t="shared" si="1"/>
        <v>46032690</v>
      </c>
      <c r="Q17" s="15">
        <v>2.1899531558646526E-4</v>
      </c>
    </row>
    <row r="18" spans="1:17" ht="21" x14ac:dyDescent="0.65">
      <c r="A18" s="13" t="s">
        <v>178</v>
      </c>
      <c r="C18" s="14">
        <v>999242</v>
      </c>
      <c r="E18" s="14">
        <v>-23113573</v>
      </c>
      <c r="G18" s="14">
        <f t="shared" si="0"/>
        <v>-22114331</v>
      </c>
      <c r="I18" s="15">
        <v>-1.0520642822152152E-4</v>
      </c>
      <c r="K18" s="14">
        <v>999242</v>
      </c>
      <c r="M18" s="14">
        <v>-23113573</v>
      </c>
      <c r="O18" s="14">
        <f t="shared" si="1"/>
        <v>-22114331</v>
      </c>
      <c r="Q18" s="15">
        <v>-1.0520642822152152E-4</v>
      </c>
    </row>
    <row r="19" spans="1:17" ht="21" x14ac:dyDescent="0.65">
      <c r="A19" s="13" t="s">
        <v>179</v>
      </c>
      <c r="C19" s="14">
        <v>26071962</v>
      </c>
      <c r="E19" s="14">
        <v>0</v>
      </c>
      <c r="G19" s="14">
        <f t="shared" si="0"/>
        <v>26071962</v>
      </c>
      <c r="I19" s="15">
        <v>1.2403441002792429E-4</v>
      </c>
      <c r="K19" s="14">
        <v>26071962</v>
      </c>
      <c r="M19" s="14">
        <v>0</v>
      </c>
      <c r="O19" s="14">
        <f t="shared" si="1"/>
        <v>26071962</v>
      </c>
      <c r="Q19" s="15">
        <v>1.2403441002792429E-4</v>
      </c>
    </row>
    <row r="20" spans="1:17" ht="21" x14ac:dyDescent="0.65">
      <c r="A20" s="13" t="s">
        <v>180</v>
      </c>
      <c r="C20" s="14">
        <v>90138799</v>
      </c>
      <c r="E20" s="14">
        <v>0</v>
      </c>
      <c r="G20" s="14">
        <f t="shared" si="0"/>
        <v>90138799</v>
      </c>
      <c r="I20" s="15">
        <v>4.2882513999485927E-4</v>
      </c>
      <c r="K20" s="14">
        <v>90138799</v>
      </c>
      <c r="M20" s="14">
        <v>0</v>
      </c>
      <c r="O20" s="14">
        <f t="shared" si="1"/>
        <v>90138799</v>
      </c>
      <c r="Q20" s="15">
        <v>4.2882513999485927E-4</v>
      </c>
    </row>
    <row r="21" spans="1:17" ht="21" x14ac:dyDescent="0.65">
      <c r="A21" s="13" t="s">
        <v>181</v>
      </c>
      <c r="C21" s="14">
        <v>1435878002</v>
      </c>
      <c r="E21" s="14">
        <v>-3736296</v>
      </c>
      <c r="G21" s="14">
        <f t="shared" si="0"/>
        <v>1432141706</v>
      </c>
      <c r="I21" s="15">
        <v>6.8132521664497287E-3</v>
      </c>
      <c r="K21" s="14">
        <v>1435878002</v>
      </c>
      <c r="M21" s="14">
        <v>-3736296</v>
      </c>
      <c r="O21" s="14">
        <f t="shared" si="1"/>
        <v>1432141706</v>
      </c>
      <c r="Q21" s="15">
        <v>6.8132521664497287E-3</v>
      </c>
    </row>
    <row r="22" spans="1:17" ht="21" x14ac:dyDescent="0.65">
      <c r="A22" s="13" t="s">
        <v>143</v>
      </c>
      <c r="C22" s="14">
        <v>-81937885</v>
      </c>
      <c r="E22" s="14">
        <v>-11252302</v>
      </c>
      <c r="G22" s="14">
        <f t="shared" si="0"/>
        <v>-93190187</v>
      </c>
      <c r="I22" s="15">
        <v>-4.4334177324042355E-4</v>
      </c>
      <c r="K22" s="14">
        <v>-81937885</v>
      </c>
      <c r="M22" s="14">
        <v>-11252302</v>
      </c>
      <c r="O22" s="14">
        <f t="shared" si="1"/>
        <v>-93190187</v>
      </c>
      <c r="Q22" s="15">
        <v>-4.4334177324042355E-4</v>
      </c>
    </row>
    <row r="23" spans="1:17" ht="21" x14ac:dyDescent="0.65">
      <c r="A23" s="13" t="s">
        <v>144</v>
      </c>
      <c r="C23" s="14">
        <v>363724270</v>
      </c>
      <c r="E23" s="14">
        <v>2675971415</v>
      </c>
      <c r="G23" s="14">
        <f t="shared" si="0"/>
        <v>3039695685</v>
      </c>
      <c r="I23" s="15">
        <v>1.4461008379553567E-2</v>
      </c>
      <c r="K23" s="14">
        <v>363724270</v>
      </c>
      <c r="M23" s="14">
        <v>2675971415</v>
      </c>
      <c r="O23" s="14">
        <f t="shared" si="1"/>
        <v>3039695685</v>
      </c>
      <c r="Q23" s="15">
        <v>1.4461008379553567E-2</v>
      </c>
    </row>
    <row r="24" spans="1:17" ht="21" x14ac:dyDescent="0.65">
      <c r="A24" s="13" t="s">
        <v>182</v>
      </c>
      <c r="C24" s="14">
        <v>1293695950</v>
      </c>
      <c r="E24" s="14">
        <v>0</v>
      </c>
      <c r="G24" s="14">
        <f t="shared" si="0"/>
        <v>1293695950</v>
      </c>
      <c r="I24" s="15">
        <v>6.1546121428745961E-3</v>
      </c>
      <c r="K24" s="14">
        <v>1293695950</v>
      </c>
      <c r="M24" s="14">
        <v>0</v>
      </c>
      <c r="O24" s="14">
        <f t="shared" si="1"/>
        <v>1293695950</v>
      </c>
      <c r="Q24" s="15">
        <v>6.1546121428745961E-3</v>
      </c>
    </row>
    <row r="25" spans="1:17" ht="21" x14ac:dyDescent="0.65">
      <c r="A25" s="13" t="s">
        <v>183</v>
      </c>
      <c r="C25" s="14">
        <v>86181800</v>
      </c>
      <c r="E25" s="14">
        <v>0</v>
      </c>
      <c r="G25" s="14">
        <f t="shared" si="0"/>
        <v>86181800</v>
      </c>
      <c r="I25" s="15">
        <v>4.1000016485696645E-4</v>
      </c>
      <c r="K25" s="14">
        <v>86181800</v>
      </c>
      <c r="M25" s="14">
        <v>0</v>
      </c>
      <c r="O25" s="14">
        <f t="shared" si="1"/>
        <v>86181800</v>
      </c>
      <c r="Q25" s="15">
        <v>4.1000016485696645E-4</v>
      </c>
    </row>
    <row r="26" spans="1:17" ht="21" x14ac:dyDescent="0.65">
      <c r="A26" s="13" t="s">
        <v>184</v>
      </c>
      <c r="C26" s="14">
        <v>161072720</v>
      </c>
      <c r="E26" s="14">
        <v>0</v>
      </c>
      <c r="G26" s="14">
        <f t="shared" si="0"/>
        <v>161072720</v>
      </c>
      <c r="I26" s="15">
        <v>7.6628524530654961E-4</v>
      </c>
      <c r="K26" s="14">
        <v>161072720</v>
      </c>
      <c r="M26" s="14">
        <v>0</v>
      </c>
      <c r="O26" s="14">
        <f t="shared" si="1"/>
        <v>161072720</v>
      </c>
      <c r="Q26" s="15">
        <v>7.6628524530654961E-4</v>
      </c>
    </row>
    <row r="27" spans="1:17" ht="21" x14ac:dyDescent="0.65">
      <c r="A27" s="13" t="s">
        <v>185</v>
      </c>
      <c r="C27" s="14">
        <v>13639660</v>
      </c>
      <c r="E27" s="14">
        <v>193957616</v>
      </c>
      <c r="G27" s="14">
        <f t="shared" si="0"/>
        <v>207597276</v>
      </c>
      <c r="I27" s="15">
        <v>9.8762055774951523E-4</v>
      </c>
      <c r="K27" s="14">
        <v>13639660</v>
      </c>
      <c r="M27" s="14">
        <v>193957616</v>
      </c>
      <c r="O27" s="14">
        <f t="shared" si="1"/>
        <v>207597276</v>
      </c>
      <c r="Q27" s="15">
        <v>9.8762055774951523E-4</v>
      </c>
    </row>
    <row r="28" spans="1:17" ht="21" x14ac:dyDescent="0.65">
      <c r="A28" s="13" t="s">
        <v>186</v>
      </c>
      <c r="C28" s="14">
        <v>-65017255</v>
      </c>
      <c r="E28" s="14">
        <v>-46032636</v>
      </c>
      <c r="G28" s="14">
        <f t="shared" si="0"/>
        <v>-111049891</v>
      </c>
      <c r="I28" s="15">
        <v>-5.2830729478089522E-4</v>
      </c>
      <c r="K28" s="14">
        <v>-65017255</v>
      </c>
      <c r="M28" s="14">
        <v>-46032636</v>
      </c>
      <c r="O28" s="14">
        <f t="shared" si="1"/>
        <v>-111049891</v>
      </c>
      <c r="Q28" s="15">
        <v>-5.2830729478089522E-4</v>
      </c>
    </row>
    <row r="29" spans="1:17" ht="21" x14ac:dyDescent="0.65">
      <c r="A29" s="13" t="s">
        <v>187</v>
      </c>
      <c r="C29" s="14">
        <v>-47963640</v>
      </c>
      <c r="E29" s="14">
        <v>-27066616</v>
      </c>
      <c r="G29" s="14">
        <f t="shared" si="0"/>
        <v>-75030256</v>
      </c>
      <c r="I29" s="15">
        <v>-3.5694795570828642E-4</v>
      </c>
      <c r="K29" s="14">
        <v>-47963640</v>
      </c>
      <c r="M29" s="14">
        <v>-27066616</v>
      </c>
      <c r="O29" s="14">
        <f t="shared" si="1"/>
        <v>-75030256</v>
      </c>
      <c r="Q29" s="15">
        <v>-3.5694795570828642E-4</v>
      </c>
    </row>
    <row r="30" spans="1:17" ht="21" x14ac:dyDescent="0.65">
      <c r="A30" s="13" t="s">
        <v>145</v>
      </c>
      <c r="C30" s="14">
        <v>-62952277</v>
      </c>
      <c r="E30" s="14">
        <v>-116224949</v>
      </c>
      <c r="G30" s="14">
        <f t="shared" si="0"/>
        <v>-179177226</v>
      </c>
      <c r="I30" s="15">
        <v>-8.5241538467070699E-4</v>
      </c>
      <c r="K30" s="14">
        <v>-62952277</v>
      </c>
      <c r="M30" s="14">
        <v>-116224949</v>
      </c>
      <c r="O30" s="14">
        <f t="shared" si="1"/>
        <v>-179177226</v>
      </c>
      <c r="Q30" s="15">
        <v>-8.5241538467070699E-4</v>
      </c>
    </row>
    <row r="31" spans="1:17" ht="21" x14ac:dyDescent="0.65">
      <c r="A31" s="13" t="s">
        <v>188</v>
      </c>
      <c r="C31" s="14">
        <v>9992425</v>
      </c>
      <c r="E31" s="14">
        <v>49988663</v>
      </c>
      <c r="G31" s="14">
        <f t="shared" si="0"/>
        <v>59981088</v>
      </c>
      <c r="I31" s="15">
        <v>2.8535324126788037E-4</v>
      </c>
      <c r="K31" s="14">
        <v>9992425</v>
      </c>
      <c r="M31" s="14">
        <v>49988663</v>
      </c>
      <c r="O31" s="14">
        <f t="shared" si="1"/>
        <v>59981088</v>
      </c>
      <c r="Q31" s="15">
        <v>2.8535324126788037E-4</v>
      </c>
    </row>
    <row r="32" spans="1:17" ht="21" x14ac:dyDescent="0.65">
      <c r="A32" s="13" t="s">
        <v>189</v>
      </c>
      <c r="C32" s="14">
        <v>-22982578</v>
      </c>
      <c r="E32" s="14">
        <v>-137249186</v>
      </c>
      <c r="G32" s="14">
        <f t="shared" si="0"/>
        <v>-160231764</v>
      </c>
      <c r="I32" s="15">
        <v>-7.6228449226312914E-4</v>
      </c>
      <c r="K32" s="14">
        <v>-22982578</v>
      </c>
      <c r="M32" s="14">
        <v>-137249186</v>
      </c>
      <c r="O32" s="14">
        <f t="shared" si="1"/>
        <v>-160231764</v>
      </c>
      <c r="Q32" s="15">
        <v>-7.6228449226312914E-4</v>
      </c>
    </row>
    <row r="33" spans="1:17" ht="21.6" thickBot="1" x14ac:dyDescent="0.7">
      <c r="A33" s="16" t="s">
        <v>7</v>
      </c>
      <c r="C33" s="16">
        <f>SUM(C9:C32)</f>
        <v>3854894329</v>
      </c>
      <c r="E33" s="16">
        <f>SUM(E9:E32)</f>
        <v>3253921493</v>
      </c>
      <c r="G33" s="16">
        <f>SUM(G9:G32)</f>
        <v>7108815822</v>
      </c>
      <c r="I33" s="21">
        <f>SUM(I9:I32)</f>
        <v>3.3819387143895957E-2</v>
      </c>
      <c r="K33" s="16">
        <f>SUM(K9:K32)</f>
        <v>3854894329</v>
      </c>
      <c r="M33" s="16">
        <f>SUM(M9:M32)</f>
        <v>3253921493</v>
      </c>
      <c r="O33" s="16">
        <f>SUM(O9:O32)</f>
        <v>7108815822</v>
      </c>
      <c r="Q33" s="21">
        <f>SUM(Q9:Q32)</f>
        <v>3.3819387143895957E-2</v>
      </c>
    </row>
    <row r="34" spans="1:17" ht="21.6" thickTop="1" x14ac:dyDescent="0.65">
      <c r="C34" s="18"/>
      <c r="E34" s="18"/>
      <c r="G34" s="18"/>
      <c r="I34" s="18"/>
      <c r="K34" s="18"/>
      <c r="M34" s="18"/>
      <c r="O34" s="18"/>
      <c r="Q34" s="18"/>
    </row>
    <row r="37" spans="1:17" x14ac:dyDescent="0.65">
      <c r="E37" s="19"/>
      <c r="K37" s="59"/>
      <c r="M37" s="59"/>
    </row>
    <row r="38" spans="1:17" x14ac:dyDescent="0.65">
      <c r="C38" s="19"/>
      <c r="E38" s="20"/>
      <c r="K38" s="59"/>
      <c r="M38" s="59"/>
    </row>
    <row r="39" spans="1:17" x14ac:dyDescent="0.65">
      <c r="C39" s="19"/>
      <c r="E39" s="19"/>
      <c r="K39" s="59"/>
      <c r="M39" s="59"/>
    </row>
    <row r="40" spans="1:17" x14ac:dyDescent="0.65">
      <c r="C40" s="19"/>
      <c r="E40" s="19"/>
      <c r="K40" s="20"/>
      <c r="M40" s="59"/>
    </row>
    <row r="41" spans="1:17" x14ac:dyDescent="0.65">
      <c r="C41" s="19"/>
      <c r="E41" s="20"/>
      <c r="M41" s="59"/>
    </row>
    <row r="42" spans="1:17" x14ac:dyDescent="0.65">
      <c r="C42" s="20"/>
      <c r="M42" s="20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6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F7EA-2598-4894-869A-62BEF330EFAC}">
  <sheetPr>
    <pageSetUpPr fitToPage="1"/>
  </sheetPr>
  <dimension ref="A1:K12"/>
  <sheetViews>
    <sheetView rightToLeft="1" view="pageBreakPreview" zoomScaleNormal="100" zoomScaleSheetLayoutView="100" workbookViewId="0">
      <selection activeCell="G11" activeCellId="1" sqref="K11 G11"/>
    </sheetView>
  </sheetViews>
  <sheetFormatPr defaultRowHeight="18.600000000000001" x14ac:dyDescent="0.65"/>
  <cols>
    <col min="1" max="1" width="25.59765625" style="2" customWidth="1"/>
    <col min="2" max="2" width="1.3984375" style="2" customWidth="1"/>
    <col min="3" max="3" width="17" style="2" customWidth="1"/>
    <col min="4" max="4" width="1.3984375" style="2" customWidth="1"/>
    <col min="5" max="5" width="17" style="2" customWidth="1"/>
    <col min="6" max="6" width="1.3984375" style="2" customWidth="1"/>
    <col min="7" max="7" width="14.19921875" style="2" customWidth="1"/>
    <col min="8" max="8" width="1.3984375" style="2" customWidth="1"/>
    <col min="9" max="9" width="17" style="2" customWidth="1"/>
    <col min="10" max="10" width="1.3984375" style="2" customWidth="1"/>
    <col min="11" max="11" width="14.19921875" style="2" customWidth="1"/>
    <col min="12" max="16384" width="8.796875" style="2"/>
  </cols>
  <sheetData>
    <row r="1" spans="1:11" ht="19.95" customHeight="1" x14ac:dyDescent="0.65">
      <c r="A1" s="36" t="s">
        <v>97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19.95" customHeight="1" x14ac:dyDescent="0.65">
      <c r="A2" s="36" t="s">
        <v>21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9.95" customHeight="1" x14ac:dyDescent="0.65">
      <c r="A3" s="36" t="s">
        <v>150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1" ht="20.399999999999999" x14ac:dyDescent="0.65">
      <c r="A5" s="37" t="s">
        <v>146</v>
      </c>
      <c r="B5" s="31"/>
      <c r="C5" s="31"/>
      <c r="D5" s="31"/>
      <c r="E5" s="31"/>
      <c r="F5" s="31"/>
      <c r="G5" s="31"/>
      <c r="H5" s="31"/>
      <c r="I5" s="31"/>
      <c r="J5" s="31"/>
      <c r="K5" s="31"/>
    </row>
    <row r="7" spans="1:11" ht="20.399999999999999" x14ac:dyDescent="0.65">
      <c r="A7" s="38" t="s">
        <v>40</v>
      </c>
      <c r="B7" s="39"/>
      <c r="C7" s="39"/>
      <c r="E7" s="38" t="s">
        <v>167</v>
      </c>
      <c r="F7" s="39"/>
      <c r="G7" s="39"/>
      <c r="I7" s="38" t="s">
        <v>168</v>
      </c>
      <c r="J7" s="39"/>
      <c r="K7" s="39"/>
    </row>
    <row r="8" spans="1:11" ht="40.799999999999997" x14ac:dyDescent="0.65">
      <c r="A8" s="10" t="s">
        <v>41</v>
      </c>
      <c r="C8" s="10" t="s">
        <v>12</v>
      </c>
      <c r="E8" s="10" t="s">
        <v>42</v>
      </c>
      <c r="G8" s="10" t="s">
        <v>52</v>
      </c>
      <c r="I8" s="10" t="s">
        <v>42</v>
      </c>
      <c r="K8" s="10" t="s">
        <v>52</v>
      </c>
    </row>
    <row r="9" spans="1:11" ht="21" x14ac:dyDescent="0.65">
      <c r="A9" s="13" t="s">
        <v>43</v>
      </c>
      <c r="C9" s="12" t="s">
        <v>105</v>
      </c>
      <c r="E9" s="14">
        <v>1630613</v>
      </c>
      <c r="G9" s="15">
        <f>E9/E11</f>
        <v>1.7423429193759766E-3</v>
      </c>
      <c r="I9" s="14">
        <v>1630613</v>
      </c>
      <c r="K9" s="15">
        <f>I9/I11</f>
        <v>1.7423429193759766E-3</v>
      </c>
    </row>
    <row r="10" spans="1:11" ht="21" x14ac:dyDescent="0.65">
      <c r="A10" s="13" t="s">
        <v>44</v>
      </c>
      <c r="C10" s="12" t="s">
        <v>100</v>
      </c>
      <c r="E10" s="14">
        <v>934243136</v>
      </c>
      <c r="G10" s="15">
        <f>E10/E11</f>
        <v>0.99825765708062397</v>
      </c>
      <c r="I10" s="14">
        <v>934243136</v>
      </c>
      <c r="K10" s="15">
        <f>I10/I11</f>
        <v>0.99825765708062397</v>
      </c>
    </row>
    <row r="11" spans="1:11" ht="21.6" thickBot="1" x14ac:dyDescent="0.7">
      <c r="A11" s="16" t="s">
        <v>7</v>
      </c>
      <c r="E11" s="16">
        <f>SUM(E9:$E$10)</f>
        <v>935873749</v>
      </c>
      <c r="G11" s="60">
        <f>SUM(G9:$G$10)</f>
        <v>1</v>
      </c>
      <c r="I11" s="16">
        <f>SUM(I9:$I$10)</f>
        <v>935873749</v>
      </c>
      <c r="K11" s="60">
        <f>SUM(K9:$K$10)</f>
        <v>1</v>
      </c>
    </row>
    <row r="12" spans="1:11" ht="21.6" thickTop="1" x14ac:dyDescent="0.65">
      <c r="E12" s="18"/>
      <c r="G12" s="18"/>
      <c r="I12" s="18"/>
      <c r="K12" s="18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scale="71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2831-142F-4158-91EA-F12957CD5C41}">
  <sheetPr>
    <pageSetUpPr fitToPage="1"/>
  </sheetPr>
  <dimension ref="A1:E11"/>
  <sheetViews>
    <sheetView rightToLeft="1" view="pageBreakPreview" zoomScaleNormal="100" zoomScaleSheetLayoutView="100" workbookViewId="0">
      <selection sqref="A1:E1"/>
    </sheetView>
  </sheetViews>
  <sheetFormatPr defaultRowHeight="18.600000000000001" x14ac:dyDescent="0.65"/>
  <cols>
    <col min="1" max="1" width="36.09765625" style="2" customWidth="1"/>
    <col min="2" max="2" width="1.3984375" style="2" customWidth="1"/>
    <col min="3" max="3" width="24.796875" style="2" customWidth="1"/>
    <col min="4" max="4" width="1.3984375" style="2" customWidth="1"/>
    <col min="5" max="5" width="29.3984375" style="2" customWidth="1"/>
    <col min="6" max="16384" width="8.796875" style="2"/>
  </cols>
  <sheetData>
    <row r="1" spans="1:5" ht="19.95" customHeight="1" x14ac:dyDescent="0.65">
      <c r="A1" s="36" t="s">
        <v>97</v>
      </c>
      <c r="B1" s="31"/>
      <c r="C1" s="31"/>
      <c r="D1" s="31"/>
      <c r="E1" s="31"/>
    </row>
    <row r="2" spans="1:5" ht="19.95" customHeight="1" x14ac:dyDescent="0.65">
      <c r="A2" s="36" t="s">
        <v>21</v>
      </c>
      <c r="B2" s="31"/>
      <c r="C2" s="31"/>
      <c r="D2" s="31"/>
      <c r="E2" s="31"/>
    </row>
    <row r="3" spans="1:5" ht="19.95" customHeight="1" x14ac:dyDescent="0.65">
      <c r="A3" s="36" t="s">
        <v>150</v>
      </c>
      <c r="B3" s="31"/>
      <c r="C3" s="31"/>
      <c r="D3" s="31"/>
      <c r="E3" s="31"/>
    </row>
    <row r="5" spans="1:5" ht="20.399999999999999" x14ac:dyDescent="0.65">
      <c r="A5" s="37" t="s">
        <v>147</v>
      </c>
      <c r="B5" s="31"/>
      <c r="C5" s="31"/>
      <c r="D5" s="31"/>
      <c r="E5" s="31"/>
    </row>
    <row r="7" spans="1:5" ht="20.399999999999999" x14ac:dyDescent="0.65">
      <c r="C7" s="9" t="s">
        <v>167</v>
      </c>
      <c r="E7" s="9" t="s">
        <v>168</v>
      </c>
    </row>
    <row r="8" spans="1:5" ht="20.399999999999999" x14ac:dyDescent="0.65">
      <c r="A8" s="10" t="s">
        <v>28</v>
      </c>
      <c r="C8" s="10" t="s">
        <v>15</v>
      </c>
      <c r="E8" s="10" t="s">
        <v>15</v>
      </c>
    </row>
    <row r="9" spans="1:5" ht="21" x14ac:dyDescent="0.65">
      <c r="A9" s="13" t="s">
        <v>53</v>
      </c>
      <c r="C9" s="14">
        <v>151045099</v>
      </c>
      <c r="E9" s="14">
        <v>151045099</v>
      </c>
    </row>
    <row r="10" spans="1:5" ht="21.6" thickBot="1" x14ac:dyDescent="0.7">
      <c r="A10" s="16" t="s">
        <v>7</v>
      </c>
      <c r="C10" s="16">
        <f>SUM(C9:$C$9)</f>
        <v>151045099</v>
      </c>
      <c r="E10" s="16">
        <f>SUM(E9:$E$9)</f>
        <v>151045099</v>
      </c>
    </row>
    <row r="11" spans="1:5" ht="21.6" thickTop="1" x14ac:dyDescent="0.65">
      <c r="C11" s="18"/>
      <c r="E11" s="18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scale="87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7496-FC2C-4798-B553-C3D58E450C3A}">
  <sheetPr>
    <pageSetUpPr fitToPage="1"/>
  </sheetPr>
  <dimension ref="A1:S11"/>
  <sheetViews>
    <sheetView rightToLeft="1" view="pageBreakPreview" zoomScaleNormal="100" zoomScaleSheetLayoutView="100" workbookViewId="0">
      <selection sqref="A1:S1"/>
    </sheetView>
  </sheetViews>
  <sheetFormatPr defaultRowHeight="18.600000000000001" x14ac:dyDescent="0.65"/>
  <cols>
    <col min="1" max="1" width="17" style="2" customWidth="1"/>
    <col min="2" max="2" width="1.3984375" style="2" customWidth="1"/>
    <col min="3" max="3" width="11.3984375" style="2" customWidth="1"/>
    <col min="4" max="4" width="1.3984375" style="2" customWidth="1"/>
    <col min="5" max="5" width="12.796875" style="2" customWidth="1"/>
    <col min="6" max="6" width="1.3984375" style="2" customWidth="1"/>
    <col min="7" max="7" width="11.3984375" style="2" customWidth="1"/>
    <col min="8" max="8" width="1.3984375" style="2" customWidth="1"/>
    <col min="9" max="9" width="18.5" style="2" customWidth="1"/>
    <col min="10" max="10" width="1.3984375" style="2" customWidth="1"/>
    <col min="11" max="11" width="14.19921875" style="2" customWidth="1"/>
    <col min="12" max="12" width="1.3984375" style="2" customWidth="1"/>
    <col min="13" max="13" width="18.5" style="2" customWidth="1"/>
    <col min="14" max="14" width="1.3984375" style="2" customWidth="1"/>
    <col min="15" max="15" width="18.5" style="2" customWidth="1"/>
    <col min="16" max="16" width="1.3984375" style="2" customWidth="1"/>
    <col min="17" max="17" width="14.19921875" style="2" customWidth="1"/>
    <col min="18" max="18" width="1.3984375" style="2" customWidth="1"/>
    <col min="19" max="19" width="18.5" style="2" customWidth="1"/>
    <col min="20" max="16384" width="8.796875" style="2"/>
  </cols>
  <sheetData>
    <row r="1" spans="1:19" ht="19.95" customHeight="1" x14ac:dyDescent="0.65">
      <c r="A1" s="36" t="s">
        <v>97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9.95" customHeight="1" x14ac:dyDescent="0.65">
      <c r="A2" s="36" t="s">
        <v>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9.95" customHeight="1" x14ac:dyDescent="0.65">
      <c r="A3" s="36" t="s">
        <v>150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5" spans="1:19" ht="20.399999999999999" x14ac:dyDescent="0.65">
      <c r="A5" s="37" t="s">
        <v>114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7" spans="1:19" ht="20.399999999999999" x14ac:dyDescent="0.65">
      <c r="C7" s="38" t="s">
        <v>113</v>
      </c>
      <c r="D7" s="39"/>
      <c r="E7" s="39"/>
      <c r="F7" s="39"/>
      <c r="G7" s="39"/>
      <c r="I7" s="38" t="s">
        <v>167</v>
      </c>
      <c r="J7" s="39"/>
      <c r="K7" s="39"/>
      <c r="L7" s="39"/>
      <c r="M7" s="39"/>
      <c r="O7" s="38" t="s">
        <v>168</v>
      </c>
      <c r="P7" s="39"/>
      <c r="Q7" s="39"/>
      <c r="R7" s="39"/>
      <c r="S7" s="39"/>
    </row>
    <row r="8" spans="1:19" ht="61.2" x14ac:dyDescent="0.65">
      <c r="A8" s="9" t="s">
        <v>98</v>
      </c>
      <c r="C8" s="10" t="s">
        <v>112</v>
      </c>
      <c r="E8" s="10" t="s">
        <v>111</v>
      </c>
      <c r="G8" s="10" t="s">
        <v>110</v>
      </c>
      <c r="I8" s="10" t="s">
        <v>109</v>
      </c>
      <c r="K8" s="10" t="s">
        <v>29</v>
      </c>
      <c r="M8" s="10" t="s">
        <v>108</v>
      </c>
      <c r="O8" s="10" t="s">
        <v>109</v>
      </c>
      <c r="Q8" s="10" t="s">
        <v>29</v>
      </c>
      <c r="S8" s="10" t="s">
        <v>108</v>
      </c>
    </row>
    <row r="9" spans="1:19" ht="21" x14ac:dyDescent="0.65">
      <c r="A9" s="13" t="s">
        <v>68</v>
      </c>
      <c r="C9" s="12" t="s">
        <v>160</v>
      </c>
      <c r="E9" s="14">
        <v>550000</v>
      </c>
      <c r="G9" s="14">
        <v>8700</v>
      </c>
      <c r="I9" s="14">
        <v>4785000000</v>
      </c>
      <c r="K9" s="14">
        <v>-39008152</v>
      </c>
      <c r="M9" s="14">
        <v>4745991848</v>
      </c>
      <c r="O9" s="14">
        <v>4785000000</v>
      </c>
      <c r="Q9" s="14">
        <v>-39008152</v>
      </c>
      <c r="S9" s="14">
        <v>4745991848</v>
      </c>
    </row>
    <row r="10" spans="1:19" ht="21.6" thickBot="1" x14ac:dyDescent="0.7">
      <c r="A10" s="16" t="s">
        <v>7</v>
      </c>
      <c r="I10" s="16">
        <f>SUM(I9:$I$9)</f>
        <v>4785000000</v>
      </c>
      <c r="K10" s="16">
        <f>SUM(K9:$K$9)</f>
        <v>-39008152</v>
      </c>
      <c r="M10" s="16">
        <f>SUM(M9:$M$9)</f>
        <v>4745991848</v>
      </c>
      <c r="O10" s="16">
        <f>SUM(O9:$O$9)</f>
        <v>4785000000</v>
      </c>
      <c r="Q10" s="16">
        <f>SUM(Q9:$Q$9)</f>
        <v>-39008152</v>
      </c>
      <c r="S10" s="16">
        <f>SUM(S9:$S$9)</f>
        <v>4745991848</v>
      </c>
    </row>
    <row r="11" spans="1:19" ht="21.6" thickTop="1" x14ac:dyDescent="0.65">
      <c r="I11" s="18"/>
      <c r="K11" s="18"/>
      <c r="M11" s="18"/>
      <c r="O11" s="18"/>
      <c r="Q11" s="18"/>
      <c r="S11" s="18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1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FD29-D6F1-4B13-9AB3-1DB9D9B2971F}">
  <sheetPr>
    <pageSetUpPr fitToPage="1"/>
  </sheetPr>
  <dimension ref="A1:Q12"/>
  <sheetViews>
    <sheetView rightToLeft="1" view="pageBreakPreview" zoomScale="85" zoomScaleNormal="100" zoomScaleSheetLayoutView="85" workbookViewId="0">
      <selection activeCell="T4" sqref="T4"/>
    </sheetView>
  </sheetViews>
  <sheetFormatPr defaultRowHeight="18.600000000000001" x14ac:dyDescent="0.65"/>
  <cols>
    <col min="1" max="1" width="33.5" style="2" customWidth="1"/>
    <col min="2" max="2" width="1.3984375" style="2" customWidth="1"/>
    <col min="3" max="3" width="11.3984375" style="2" customWidth="1"/>
    <col min="4" max="4" width="1.3984375" style="2" customWidth="1"/>
    <col min="5" max="5" width="11.3984375" style="2" customWidth="1"/>
    <col min="6" max="6" width="1.3984375" style="2" customWidth="1"/>
    <col min="7" max="7" width="18.5" style="2" customWidth="1"/>
    <col min="8" max="8" width="1.3984375" style="2" customWidth="1"/>
    <col min="9" max="9" width="14.19921875" style="2" customWidth="1"/>
    <col min="10" max="10" width="1.3984375" style="2" customWidth="1"/>
    <col min="11" max="11" width="18.5" style="2" customWidth="1"/>
    <col min="12" max="12" width="1.3984375" style="2" customWidth="1"/>
    <col min="13" max="13" width="18.5" style="2" customWidth="1"/>
    <col min="14" max="14" width="1.3984375" style="2" customWidth="1"/>
    <col min="15" max="15" width="14.19921875" style="2" customWidth="1"/>
    <col min="16" max="16" width="1.3984375" style="2" customWidth="1"/>
    <col min="17" max="17" width="18.5" style="2" customWidth="1"/>
    <col min="18" max="16384" width="8.796875" style="2"/>
  </cols>
  <sheetData>
    <row r="1" spans="1:17" ht="19.95" customHeight="1" x14ac:dyDescent="0.65">
      <c r="A1" s="36" t="s">
        <v>97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19.95" customHeight="1" x14ac:dyDescent="0.65">
      <c r="A2" s="36" t="s">
        <v>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19.95" customHeight="1" x14ac:dyDescent="0.65">
      <c r="A3" s="36" t="s">
        <v>150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0.399999999999999" x14ac:dyDescent="0.65">
      <c r="A5" s="37" t="s">
        <v>56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0.399999999999999" x14ac:dyDescent="0.65">
      <c r="G7" s="38" t="s">
        <v>167</v>
      </c>
      <c r="H7" s="39"/>
      <c r="I7" s="39"/>
      <c r="J7" s="39"/>
      <c r="K7" s="39"/>
      <c r="M7" s="38" t="s">
        <v>168</v>
      </c>
      <c r="N7" s="39"/>
      <c r="O7" s="39"/>
      <c r="P7" s="39"/>
      <c r="Q7" s="39"/>
    </row>
    <row r="8" spans="1:17" ht="40.799999999999997" x14ac:dyDescent="0.65">
      <c r="A8" s="9" t="s">
        <v>23</v>
      </c>
      <c r="C8" s="10" t="s">
        <v>30</v>
      </c>
      <c r="E8" s="10" t="s">
        <v>8</v>
      </c>
      <c r="G8" s="10" t="s">
        <v>31</v>
      </c>
      <c r="I8" s="10" t="s">
        <v>29</v>
      </c>
      <c r="K8" s="10" t="s">
        <v>32</v>
      </c>
      <c r="M8" s="10" t="s">
        <v>31</v>
      </c>
      <c r="O8" s="10" t="s">
        <v>29</v>
      </c>
      <c r="Q8" s="10" t="s">
        <v>32</v>
      </c>
    </row>
    <row r="9" spans="1:17" ht="21" x14ac:dyDescent="0.65">
      <c r="A9" s="13" t="s">
        <v>116</v>
      </c>
      <c r="C9" s="12" t="s">
        <v>162</v>
      </c>
      <c r="E9" s="12" t="s">
        <v>9</v>
      </c>
      <c r="G9" s="14">
        <v>934243136</v>
      </c>
      <c r="I9" s="14">
        <v>-2768737</v>
      </c>
      <c r="K9" s="14">
        <v>931474399</v>
      </c>
      <c r="M9" s="14">
        <v>934243136</v>
      </c>
      <c r="O9" s="14">
        <v>0</v>
      </c>
      <c r="Q9" s="14">
        <v>934243136</v>
      </c>
    </row>
    <row r="10" spans="1:17" ht="21" x14ac:dyDescent="0.65">
      <c r="A10" s="13" t="s">
        <v>115</v>
      </c>
      <c r="C10" s="12" t="s">
        <v>161</v>
      </c>
      <c r="E10" s="12" t="s">
        <v>9</v>
      </c>
      <c r="G10" s="14">
        <v>1630613</v>
      </c>
      <c r="I10" s="14">
        <v>0</v>
      </c>
      <c r="K10" s="14">
        <v>1630613</v>
      </c>
      <c r="M10" s="14">
        <v>1630613</v>
      </c>
      <c r="O10" s="14">
        <v>0</v>
      </c>
      <c r="Q10" s="14">
        <v>1630613</v>
      </c>
    </row>
    <row r="11" spans="1:17" ht="21.6" thickBot="1" x14ac:dyDescent="0.7">
      <c r="A11" s="16" t="s">
        <v>7</v>
      </c>
      <c r="G11" s="16">
        <f>SUM(G9:$G$10)</f>
        <v>935873749</v>
      </c>
      <c r="I11" s="16">
        <f>SUM(I9:$I$10)</f>
        <v>-2768737</v>
      </c>
      <c r="K11" s="16">
        <f>SUM(K9:$K$10)</f>
        <v>933105012</v>
      </c>
      <c r="M11" s="16">
        <f>SUM(M9:$M$10)</f>
        <v>935873749</v>
      </c>
      <c r="O11" s="16">
        <f>SUM(O9:$O$10)</f>
        <v>0</v>
      </c>
      <c r="Q11" s="16">
        <f>SUM(Q9:$Q$10)</f>
        <v>935873749</v>
      </c>
    </row>
    <row r="12" spans="1:17" ht="21.6" thickTop="1" x14ac:dyDescent="0.65">
      <c r="G12" s="18"/>
      <c r="I12" s="18"/>
      <c r="K12" s="18"/>
      <c r="M12" s="18"/>
      <c r="O12" s="18"/>
      <c r="Q12" s="18"/>
    </row>
  </sheetData>
  <mergeCells count="6">
    <mergeCell ref="A1:Q1"/>
    <mergeCell ref="A2:Q2"/>
    <mergeCell ref="A3:Q3"/>
    <mergeCell ref="A5:Q5"/>
    <mergeCell ref="G7:K7"/>
    <mergeCell ref="M7:Q7"/>
  </mergeCells>
  <pageMargins left="0.7" right="0.7" top="0.75" bottom="0.75" header="0.3" footer="0.3"/>
  <pageSetup paperSize="9" scale="71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0278-3094-440C-ABD4-260C5317E98F}">
  <sheetPr>
    <pageSetUpPr fitToPage="1"/>
  </sheetPr>
  <dimension ref="A1:Q29"/>
  <sheetViews>
    <sheetView rightToLeft="1" view="pageBreakPreview" zoomScale="60" zoomScaleNormal="100" workbookViewId="0">
      <selection activeCell="A9" sqref="A9:A10"/>
    </sheetView>
  </sheetViews>
  <sheetFormatPr defaultRowHeight="18.600000000000001" x14ac:dyDescent="0.65"/>
  <cols>
    <col min="1" max="1" width="31.296875" style="2" customWidth="1"/>
    <col min="2" max="2" width="1.3984375" style="2" customWidth="1"/>
    <col min="3" max="3" width="12.796875" style="2" customWidth="1"/>
    <col min="4" max="4" width="1.3984375" style="2" customWidth="1"/>
    <col min="5" max="5" width="17" style="2" customWidth="1"/>
    <col min="6" max="6" width="1.3984375" style="2" customWidth="1"/>
    <col min="7" max="7" width="17" style="2" customWidth="1"/>
    <col min="8" max="8" width="1.3984375" style="2" customWidth="1"/>
    <col min="9" max="9" width="17" style="2" customWidth="1"/>
    <col min="10" max="10" width="1.3984375" style="2" customWidth="1"/>
    <col min="11" max="11" width="12.796875" style="2" customWidth="1"/>
    <col min="12" max="12" width="1.3984375" style="2" customWidth="1"/>
    <col min="13" max="13" width="17" style="2" customWidth="1"/>
    <col min="14" max="14" width="1.3984375" style="2" customWidth="1"/>
    <col min="15" max="15" width="17" style="2" customWidth="1"/>
    <col min="16" max="16" width="1.3984375" style="2" customWidth="1"/>
    <col min="17" max="17" width="17" style="2" customWidth="1"/>
    <col min="18" max="16384" width="8.796875" style="2"/>
  </cols>
  <sheetData>
    <row r="1" spans="1:17" ht="19.95" customHeight="1" x14ac:dyDescent="0.65">
      <c r="A1" s="36" t="s">
        <v>97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19.95" customHeight="1" x14ac:dyDescent="0.65">
      <c r="A2" s="36" t="s">
        <v>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19.95" customHeight="1" x14ac:dyDescent="0.65">
      <c r="A3" s="36" t="s">
        <v>150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0.399999999999999" x14ac:dyDescent="0.65">
      <c r="A5" s="37" t="s">
        <v>33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0.399999999999999" x14ac:dyDescent="0.65">
      <c r="C7" s="38" t="s">
        <v>167</v>
      </c>
      <c r="D7" s="39"/>
      <c r="E7" s="39"/>
      <c r="F7" s="39"/>
      <c r="G7" s="39"/>
      <c r="H7" s="39"/>
      <c r="I7" s="39"/>
      <c r="K7" s="38" t="s">
        <v>168</v>
      </c>
      <c r="L7" s="39"/>
      <c r="M7" s="39"/>
      <c r="N7" s="39"/>
      <c r="O7" s="39"/>
      <c r="P7" s="39"/>
      <c r="Q7" s="39"/>
    </row>
    <row r="8" spans="1:17" ht="40.799999999999997" x14ac:dyDescent="0.65">
      <c r="A8" s="9" t="s">
        <v>23</v>
      </c>
      <c r="C8" s="10" t="s">
        <v>2</v>
      </c>
      <c r="E8" s="10" t="s">
        <v>4</v>
      </c>
      <c r="G8" s="10" t="s">
        <v>34</v>
      </c>
      <c r="I8" s="10" t="s">
        <v>35</v>
      </c>
      <c r="K8" s="10" t="s">
        <v>2</v>
      </c>
      <c r="M8" s="10" t="s">
        <v>4</v>
      </c>
      <c r="O8" s="10" t="s">
        <v>34</v>
      </c>
      <c r="Q8" s="10" t="s">
        <v>35</v>
      </c>
    </row>
    <row r="9" spans="1:17" ht="21" x14ac:dyDescent="0.65">
      <c r="A9" s="13" t="s">
        <v>190</v>
      </c>
      <c r="C9" s="14"/>
      <c r="E9" s="14"/>
      <c r="G9" s="14"/>
      <c r="I9" s="14">
        <v>3530506217</v>
      </c>
      <c r="K9" s="14"/>
      <c r="M9" s="14"/>
      <c r="O9" s="14"/>
      <c r="Q9" s="14">
        <v>3530506217</v>
      </c>
    </row>
    <row r="10" spans="1:17" ht="21" x14ac:dyDescent="0.65">
      <c r="A10" s="13" t="s">
        <v>191</v>
      </c>
      <c r="C10" s="14"/>
      <c r="E10" s="14"/>
      <c r="G10" s="14"/>
      <c r="I10" s="14">
        <v>-276584724</v>
      </c>
      <c r="K10" s="14"/>
      <c r="M10" s="14"/>
      <c r="O10" s="14"/>
      <c r="Q10" s="14">
        <v>-276584724</v>
      </c>
    </row>
    <row r="11" spans="1:17" ht="21" x14ac:dyDescent="0.65">
      <c r="A11" s="13" t="s">
        <v>90</v>
      </c>
      <c r="C11" s="14">
        <v>10800000</v>
      </c>
      <c r="E11" s="14">
        <v>6220739248</v>
      </c>
      <c r="G11" s="14">
        <v>6274283688</v>
      </c>
      <c r="I11" s="14">
        <v>-53544440</v>
      </c>
      <c r="K11" s="14">
        <v>10800000</v>
      </c>
      <c r="M11" s="14">
        <v>6220739248</v>
      </c>
      <c r="O11" s="14">
        <v>6274283688</v>
      </c>
      <c r="Q11" s="14">
        <v>-53544440</v>
      </c>
    </row>
    <row r="12" spans="1:17" ht="21" x14ac:dyDescent="0.65">
      <c r="A12" s="13" t="s">
        <v>89</v>
      </c>
      <c r="C12" s="14">
        <v>12867000</v>
      </c>
      <c r="E12" s="14">
        <v>16635100950</v>
      </c>
      <c r="G12" s="14">
        <v>19215601499</v>
      </c>
      <c r="I12" s="14">
        <v>-2580500549</v>
      </c>
      <c r="K12" s="14">
        <v>12867000</v>
      </c>
      <c r="M12" s="14">
        <v>16635100950</v>
      </c>
      <c r="O12" s="14">
        <v>19215601499</v>
      </c>
      <c r="Q12" s="14">
        <v>-2580500549</v>
      </c>
    </row>
    <row r="13" spans="1:17" ht="21" x14ac:dyDescent="0.65">
      <c r="A13" s="13" t="s">
        <v>86</v>
      </c>
      <c r="C13" s="14">
        <v>3200000</v>
      </c>
      <c r="E13" s="14">
        <v>5775805224</v>
      </c>
      <c r="G13" s="14">
        <v>5476951185</v>
      </c>
      <c r="I13" s="14">
        <v>298854039</v>
      </c>
      <c r="K13" s="14">
        <v>3200000</v>
      </c>
      <c r="M13" s="14">
        <v>5775805224</v>
      </c>
      <c r="O13" s="14">
        <v>5476951185</v>
      </c>
      <c r="Q13" s="14">
        <v>298854039</v>
      </c>
    </row>
    <row r="14" spans="1:17" ht="21" x14ac:dyDescent="0.65">
      <c r="A14" s="13" t="s">
        <v>82</v>
      </c>
      <c r="C14" s="14">
        <v>2300000</v>
      </c>
      <c r="E14" s="14">
        <v>17160317626</v>
      </c>
      <c r="G14" s="14">
        <v>18580529826</v>
      </c>
      <c r="I14" s="14">
        <v>-1420212200</v>
      </c>
      <c r="K14" s="14">
        <v>2300000</v>
      </c>
      <c r="M14" s="14">
        <v>17160317626</v>
      </c>
      <c r="O14" s="14">
        <v>18580529826</v>
      </c>
      <c r="Q14" s="14">
        <v>-1420212200</v>
      </c>
    </row>
    <row r="15" spans="1:17" ht="21" x14ac:dyDescent="0.65">
      <c r="A15" s="13" t="s">
        <v>80</v>
      </c>
      <c r="C15" s="14">
        <v>450000</v>
      </c>
      <c r="E15" s="14">
        <v>1882982447</v>
      </c>
      <c r="G15" s="14">
        <v>1884409883</v>
      </c>
      <c r="I15" s="14">
        <v>-1427436</v>
      </c>
      <c r="K15" s="14">
        <v>450000</v>
      </c>
      <c r="M15" s="14">
        <v>1882982447</v>
      </c>
      <c r="O15" s="14">
        <v>1884409883</v>
      </c>
      <c r="Q15" s="14">
        <v>-1427436</v>
      </c>
    </row>
    <row r="16" spans="1:17" ht="21" x14ac:dyDescent="0.65">
      <c r="A16" s="13" t="s">
        <v>78</v>
      </c>
      <c r="C16" s="14">
        <v>100000</v>
      </c>
      <c r="E16" s="14">
        <v>2222684823</v>
      </c>
      <c r="G16" s="14">
        <v>2066451823</v>
      </c>
      <c r="I16" s="14">
        <v>156233000</v>
      </c>
      <c r="K16" s="14">
        <v>100000</v>
      </c>
      <c r="M16" s="14">
        <v>2222684823</v>
      </c>
      <c r="O16" s="14">
        <v>2066451823</v>
      </c>
      <c r="Q16" s="14">
        <v>156233000</v>
      </c>
    </row>
    <row r="17" spans="1:17" ht="21" x14ac:dyDescent="0.65">
      <c r="A17" s="13" t="s">
        <v>76</v>
      </c>
      <c r="C17" s="14">
        <v>133750</v>
      </c>
      <c r="E17" s="14">
        <v>4817594885</v>
      </c>
      <c r="G17" s="14">
        <v>3904138426</v>
      </c>
      <c r="I17" s="14">
        <v>913456459</v>
      </c>
      <c r="K17" s="14">
        <v>133750</v>
      </c>
      <c r="M17" s="14">
        <v>4817594885</v>
      </c>
      <c r="O17" s="14">
        <v>3904138426</v>
      </c>
      <c r="Q17" s="14">
        <v>913456459</v>
      </c>
    </row>
    <row r="18" spans="1:17" ht="21" x14ac:dyDescent="0.65">
      <c r="A18" s="13" t="s">
        <v>75</v>
      </c>
      <c r="C18" s="14">
        <v>170000</v>
      </c>
      <c r="E18" s="14">
        <v>2753946186</v>
      </c>
      <c r="G18" s="14">
        <v>2564501033</v>
      </c>
      <c r="I18" s="14">
        <v>189445153</v>
      </c>
      <c r="K18" s="14">
        <v>170000</v>
      </c>
      <c r="M18" s="14">
        <v>2753946186</v>
      </c>
      <c r="O18" s="14">
        <v>2564501033</v>
      </c>
      <c r="Q18" s="14">
        <v>189445153</v>
      </c>
    </row>
    <row r="19" spans="1:17" ht="21" x14ac:dyDescent="0.65">
      <c r="A19" s="13" t="s">
        <v>156</v>
      </c>
      <c r="C19" s="14">
        <v>200000</v>
      </c>
      <c r="E19" s="14">
        <v>1738457084</v>
      </c>
      <c r="G19" s="14">
        <v>1728227686</v>
      </c>
      <c r="I19" s="14">
        <v>10229398</v>
      </c>
      <c r="K19" s="14">
        <v>200000</v>
      </c>
      <c r="M19" s="14">
        <v>1738457084</v>
      </c>
      <c r="O19" s="14">
        <v>1728227686</v>
      </c>
      <c r="Q19" s="14">
        <v>10229398</v>
      </c>
    </row>
    <row r="20" spans="1:17" ht="21" x14ac:dyDescent="0.65">
      <c r="A20" s="13" t="s">
        <v>74</v>
      </c>
      <c r="C20" s="14">
        <v>300000</v>
      </c>
      <c r="E20" s="14">
        <v>3851992176</v>
      </c>
      <c r="G20" s="14">
        <v>3424614813</v>
      </c>
      <c r="I20" s="14">
        <v>427377363</v>
      </c>
      <c r="K20" s="14">
        <v>300000</v>
      </c>
      <c r="M20" s="14">
        <v>3851992176</v>
      </c>
      <c r="O20" s="14">
        <v>3424614813</v>
      </c>
      <c r="Q20" s="14">
        <v>427377363</v>
      </c>
    </row>
    <row r="21" spans="1:17" ht="21" x14ac:dyDescent="0.65">
      <c r="A21" s="13" t="s">
        <v>73</v>
      </c>
      <c r="C21" s="14">
        <v>700000</v>
      </c>
      <c r="E21" s="14">
        <v>10200715278</v>
      </c>
      <c r="G21" s="14">
        <v>10478287108</v>
      </c>
      <c r="I21" s="14">
        <v>-277571830</v>
      </c>
      <c r="K21" s="14">
        <v>700000</v>
      </c>
      <c r="M21" s="14">
        <v>10200715278</v>
      </c>
      <c r="O21" s="14">
        <v>10478287108</v>
      </c>
      <c r="Q21" s="14">
        <v>-277571830</v>
      </c>
    </row>
    <row r="22" spans="1:17" ht="21" x14ac:dyDescent="0.65">
      <c r="A22" s="13" t="s">
        <v>71</v>
      </c>
      <c r="C22" s="14">
        <v>200000</v>
      </c>
      <c r="E22" s="14">
        <v>1492374080</v>
      </c>
      <c r="G22" s="14">
        <v>1290832722</v>
      </c>
      <c r="I22" s="14">
        <v>201541358</v>
      </c>
      <c r="K22" s="14">
        <v>200000</v>
      </c>
      <c r="M22" s="14">
        <v>1492374080</v>
      </c>
      <c r="O22" s="14">
        <v>1290832722</v>
      </c>
      <c r="Q22" s="14">
        <v>201541358</v>
      </c>
    </row>
    <row r="23" spans="1:17" ht="21" x14ac:dyDescent="0.65">
      <c r="A23" s="13" t="s">
        <v>70</v>
      </c>
      <c r="C23" s="14">
        <v>49000</v>
      </c>
      <c r="E23" s="14">
        <v>1444536745</v>
      </c>
      <c r="G23" s="14">
        <v>1279640401</v>
      </c>
      <c r="I23" s="14">
        <v>164896344</v>
      </c>
      <c r="K23" s="14">
        <v>49000</v>
      </c>
      <c r="M23" s="14">
        <v>1444536745</v>
      </c>
      <c r="O23" s="14">
        <v>1279640401</v>
      </c>
      <c r="Q23" s="14">
        <v>164896344</v>
      </c>
    </row>
    <row r="24" spans="1:17" ht="21" x14ac:dyDescent="0.65">
      <c r="A24" s="13" t="s">
        <v>67</v>
      </c>
      <c r="C24" s="14">
        <v>1105454</v>
      </c>
      <c r="E24" s="14">
        <v>5875656169</v>
      </c>
      <c r="G24" s="14">
        <v>5233649749</v>
      </c>
      <c r="I24" s="14">
        <v>642006420</v>
      </c>
      <c r="K24" s="14">
        <v>1105454</v>
      </c>
      <c r="M24" s="14">
        <v>5875656169</v>
      </c>
      <c r="O24" s="14">
        <v>5233649749</v>
      </c>
      <c r="Q24" s="14">
        <v>642006420</v>
      </c>
    </row>
    <row r="25" spans="1:17" ht="21" x14ac:dyDescent="0.65">
      <c r="A25" s="13" t="s">
        <v>61</v>
      </c>
      <c r="C25" s="14">
        <v>200000</v>
      </c>
      <c r="E25" s="14">
        <v>5146100772</v>
      </c>
      <c r="G25" s="14">
        <v>4429940696</v>
      </c>
      <c r="I25" s="14">
        <v>716160076</v>
      </c>
      <c r="K25" s="14">
        <v>200000</v>
      </c>
      <c r="M25" s="14">
        <v>5146100772</v>
      </c>
      <c r="O25" s="14">
        <v>4429940696</v>
      </c>
      <c r="Q25" s="14">
        <v>716160076</v>
      </c>
    </row>
    <row r="26" spans="1:17" ht="21" x14ac:dyDescent="0.65">
      <c r="A26" s="13" t="s">
        <v>60</v>
      </c>
      <c r="C26" s="14">
        <v>2900000</v>
      </c>
      <c r="E26" s="14">
        <v>21814981638</v>
      </c>
      <c r="G26" s="14">
        <v>23394781032</v>
      </c>
      <c r="I26" s="14">
        <v>-1579799394</v>
      </c>
      <c r="K26" s="14">
        <v>2900000</v>
      </c>
      <c r="M26" s="14">
        <v>21814981638</v>
      </c>
      <c r="O26" s="14">
        <v>23394781032</v>
      </c>
      <c r="Q26" s="14">
        <v>-1579799394</v>
      </c>
    </row>
    <row r="27" spans="1:17" ht="21" x14ac:dyDescent="0.65">
      <c r="A27" s="13" t="s">
        <v>152</v>
      </c>
      <c r="C27" s="14">
        <v>1200000</v>
      </c>
      <c r="E27" s="14">
        <v>3952012977</v>
      </c>
      <c r="G27" s="14">
        <v>3772517754</v>
      </c>
      <c r="I27" s="14">
        <v>179495223</v>
      </c>
      <c r="K27" s="14">
        <v>1200000</v>
      </c>
      <c r="M27" s="14">
        <v>3952012977</v>
      </c>
      <c r="O27" s="14">
        <v>3772517754</v>
      </c>
      <c r="Q27" s="14">
        <v>179495223</v>
      </c>
    </row>
    <row r="28" spans="1:17" ht="21.6" thickBot="1" x14ac:dyDescent="0.7">
      <c r="A28" s="16" t="s">
        <v>7</v>
      </c>
      <c r="C28" s="22"/>
      <c r="E28" s="16">
        <f>SUM(E9:$E$27)</f>
        <v>112985998308</v>
      </c>
      <c r="G28" s="16">
        <f>SUM(G9:$G$27)</f>
        <v>114999359324</v>
      </c>
      <c r="I28" s="16">
        <f>SUM(I9:$I$27)</f>
        <v>1240560477</v>
      </c>
      <c r="K28" s="22"/>
      <c r="M28" s="16">
        <f>SUM(M9:$M$27)</f>
        <v>112985998308</v>
      </c>
      <c r="O28" s="16">
        <f>SUM(O9:$O$27)</f>
        <v>114999359324</v>
      </c>
      <c r="Q28" s="16">
        <f>SUM(Q9:$Q$27)</f>
        <v>1240560477</v>
      </c>
    </row>
    <row r="29" spans="1:17" ht="21.6" thickTop="1" x14ac:dyDescent="0.65">
      <c r="C29" s="22"/>
      <c r="E29" s="18"/>
      <c r="G29" s="18"/>
      <c r="I29" s="18"/>
      <c r="K29" s="22"/>
      <c r="M29" s="18"/>
      <c r="O29" s="18"/>
      <c r="Q29" s="18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1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A3BF-21EF-4771-891A-CFCADB8AC770}">
  <sheetPr>
    <pageSetUpPr fitToPage="1"/>
  </sheetPr>
  <dimension ref="A1:Q50"/>
  <sheetViews>
    <sheetView rightToLeft="1" view="pageBreakPreview" zoomScale="60" zoomScaleNormal="100" workbookViewId="0">
      <selection activeCell="Q11" sqref="Q11:Q12"/>
    </sheetView>
  </sheetViews>
  <sheetFormatPr defaultRowHeight="18.600000000000001" x14ac:dyDescent="0.65"/>
  <cols>
    <col min="1" max="1" width="27.19921875" style="2" customWidth="1"/>
    <col min="2" max="2" width="1.3984375" style="2" customWidth="1"/>
    <col min="3" max="3" width="14.19921875" style="2" customWidth="1"/>
    <col min="4" max="4" width="1.3984375" style="2" customWidth="1"/>
    <col min="5" max="5" width="17" style="2" customWidth="1"/>
    <col min="6" max="6" width="1.3984375" style="2" customWidth="1"/>
    <col min="7" max="7" width="17" style="2" customWidth="1"/>
    <col min="8" max="8" width="1.3984375" style="2" customWidth="1"/>
    <col min="9" max="9" width="17" style="2" customWidth="1"/>
    <col min="10" max="10" width="1.3984375" style="2" customWidth="1"/>
    <col min="11" max="11" width="14.19921875" style="2" customWidth="1"/>
    <col min="12" max="12" width="1.3984375" style="2" customWidth="1"/>
    <col min="13" max="13" width="17" style="2" customWidth="1"/>
    <col min="14" max="14" width="1.3984375" style="2" customWidth="1"/>
    <col min="15" max="15" width="17" style="2" customWidth="1"/>
    <col min="16" max="16" width="1.3984375" style="2" customWidth="1"/>
    <col min="17" max="17" width="17" style="2" customWidth="1"/>
    <col min="18" max="16384" width="8.796875" style="2"/>
  </cols>
  <sheetData>
    <row r="1" spans="1:17" ht="19.95" customHeight="1" x14ac:dyDescent="0.65">
      <c r="A1" s="36" t="s">
        <v>97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19.95" customHeight="1" x14ac:dyDescent="0.65">
      <c r="A2" s="36" t="s">
        <v>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19.95" customHeight="1" x14ac:dyDescent="0.65">
      <c r="A3" s="36" t="s">
        <v>150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5" spans="1:17" ht="20.399999999999999" x14ac:dyDescent="0.65">
      <c r="A5" s="37" t="s">
        <v>36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7" spans="1:17" ht="20.399999999999999" x14ac:dyDescent="0.65">
      <c r="C7" s="38" t="s">
        <v>167</v>
      </c>
      <c r="D7" s="39"/>
      <c r="E7" s="39"/>
      <c r="F7" s="39"/>
      <c r="G7" s="39"/>
      <c r="H7" s="39"/>
      <c r="I7" s="39"/>
      <c r="K7" s="38" t="s">
        <v>168</v>
      </c>
      <c r="L7" s="39"/>
      <c r="M7" s="39"/>
      <c r="N7" s="39"/>
      <c r="O7" s="39"/>
      <c r="P7" s="39"/>
      <c r="Q7" s="39"/>
    </row>
    <row r="8" spans="1:17" ht="40.799999999999997" x14ac:dyDescent="0.65">
      <c r="A8" s="9" t="s">
        <v>23</v>
      </c>
      <c r="C8" s="10" t="s">
        <v>2</v>
      </c>
      <c r="E8" s="10" t="s">
        <v>4</v>
      </c>
      <c r="G8" s="10" t="s">
        <v>34</v>
      </c>
      <c r="I8" s="10" t="s">
        <v>37</v>
      </c>
      <c r="K8" s="10" t="s">
        <v>2</v>
      </c>
      <c r="M8" s="10" t="s">
        <v>4</v>
      </c>
      <c r="O8" s="10" t="s">
        <v>34</v>
      </c>
      <c r="Q8" s="10" t="s">
        <v>37</v>
      </c>
    </row>
    <row r="9" spans="1:17" ht="21" x14ac:dyDescent="0.65">
      <c r="A9" s="13" t="s">
        <v>118</v>
      </c>
      <c r="C9" s="14">
        <v>1100000</v>
      </c>
      <c r="E9" s="14">
        <v>7433094570</v>
      </c>
      <c r="G9" s="14">
        <v>7490912606</v>
      </c>
      <c r="I9" s="14">
        <v>-57818036</v>
      </c>
      <c r="K9" s="14">
        <v>1100000</v>
      </c>
      <c r="M9" s="14">
        <v>7433094570</v>
      </c>
      <c r="O9" s="14">
        <v>7490912606</v>
      </c>
      <c r="Q9" s="14">
        <v>-57818036</v>
      </c>
    </row>
    <row r="10" spans="1:17" ht="21" x14ac:dyDescent="0.65">
      <c r="A10" s="13" t="s">
        <v>158</v>
      </c>
      <c r="C10" s="14">
        <v>1675000</v>
      </c>
      <c r="E10" s="14">
        <v>7394470460</v>
      </c>
      <c r="G10" s="14">
        <v>7250093696</v>
      </c>
      <c r="I10" s="14">
        <v>144376764</v>
      </c>
      <c r="K10" s="14">
        <v>1675000</v>
      </c>
      <c r="M10" s="14">
        <v>7394470460</v>
      </c>
      <c r="O10" s="14">
        <v>7250093696</v>
      </c>
      <c r="Q10" s="14">
        <v>144376764</v>
      </c>
    </row>
    <row r="11" spans="1:17" ht="21" x14ac:dyDescent="0.65">
      <c r="A11" s="13" t="s">
        <v>190</v>
      </c>
      <c r="C11" s="14"/>
      <c r="E11" s="14"/>
      <c r="G11" s="14"/>
      <c r="I11" s="14">
        <v>4043817654</v>
      </c>
      <c r="K11" s="14"/>
      <c r="M11" s="14"/>
      <c r="O11" s="14"/>
      <c r="Q11" s="14">
        <v>4043817654</v>
      </c>
    </row>
    <row r="12" spans="1:17" ht="21" x14ac:dyDescent="0.65">
      <c r="A12" s="13" t="s">
        <v>191</v>
      </c>
      <c r="C12" s="14"/>
      <c r="E12" s="14"/>
      <c r="G12" s="14"/>
      <c r="I12" s="14">
        <v>-188923325</v>
      </c>
      <c r="K12" s="14"/>
      <c r="M12" s="14"/>
      <c r="O12" s="14"/>
      <c r="Q12" s="14">
        <v>-188923325</v>
      </c>
    </row>
    <row r="13" spans="1:17" ht="21" x14ac:dyDescent="0.65">
      <c r="A13" s="13" t="s">
        <v>92</v>
      </c>
      <c r="C13" s="14">
        <v>9890291</v>
      </c>
      <c r="E13" s="14">
        <v>21924116439</v>
      </c>
      <c r="G13" s="14">
        <v>20583450426</v>
      </c>
      <c r="I13" s="14">
        <v>1340666013</v>
      </c>
      <c r="K13" s="14">
        <v>9890291</v>
      </c>
      <c r="M13" s="14">
        <v>21924116439</v>
      </c>
      <c r="O13" s="14">
        <v>20583450426</v>
      </c>
      <c r="Q13" s="14">
        <v>1340666013</v>
      </c>
    </row>
    <row r="14" spans="1:17" ht="21" x14ac:dyDescent="0.65">
      <c r="A14" s="13" t="s">
        <v>91</v>
      </c>
      <c r="C14" s="14">
        <v>43438000</v>
      </c>
      <c r="E14" s="14">
        <v>26378561247</v>
      </c>
      <c r="G14" s="14">
        <v>26809583490</v>
      </c>
      <c r="I14" s="14">
        <v>-431022243</v>
      </c>
      <c r="K14" s="14">
        <v>43438000</v>
      </c>
      <c r="M14" s="14">
        <v>26378561247</v>
      </c>
      <c r="O14" s="14">
        <v>26809583490</v>
      </c>
      <c r="Q14" s="14">
        <v>-431022243</v>
      </c>
    </row>
    <row r="15" spans="1:17" ht="21" x14ac:dyDescent="0.65">
      <c r="A15" s="13" t="s">
        <v>89</v>
      </c>
      <c r="C15" s="14">
        <v>44333000</v>
      </c>
      <c r="E15" s="14">
        <v>64665749688</v>
      </c>
      <c r="G15" s="14">
        <v>66523964804</v>
      </c>
      <c r="I15" s="14">
        <v>-1858215116</v>
      </c>
      <c r="K15" s="14">
        <v>44333000</v>
      </c>
      <c r="M15" s="14">
        <v>64665749688</v>
      </c>
      <c r="O15" s="14">
        <v>66523964804</v>
      </c>
      <c r="Q15" s="14">
        <v>-1858215116</v>
      </c>
    </row>
    <row r="16" spans="1:17" ht="21" x14ac:dyDescent="0.65">
      <c r="A16" s="13" t="s">
        <v>88</v>
      </c>
      <c r="C16" s="14">
        <v>5850000</v>
      </c>
      <c r="E16" s="14">
        <v>17362095484</v>
      </c>
      <c r="G16" s="14">
        <v>15511892164</v>
      </c>
      <c r="I16" s="14">
        <v>1850203320</v>
      </c>
      <c r="K16" s="14">
        <v>5850000</v>
      </c>
      <c r="M16" s="14">
        <v>17362095484</v>
      </c>
      <c r="O16" s="14">
        <v>15511892164</v>
      </c>
      <c r="Q16" s="14">
        <v>1850203320</v>
      </c>
    </row>
    <row r="17" spans="1:17" ht="21" x14ac:dyDescent="0.65">
      <c r="A17" s="13" t="s">
        <v>117</v>
      </c>
      <c r="C17" s="14">
        <v>6000000</v>
      </c>
      <c r="E17" s="14">
        <v>2637453660</v>
      </c>
      <c r="G17" s="14">
        <v>2833528390</v>
      </c>
      <c r="I17" s="14">
        <v>-196074730</v>
      </c>
      <c r="K17" s="14">
        <v>6000000</v>
      </c>
      <c r="M17" s="14">
        <v>2637453660</v>
      </c>
      <c r="O17" s="14">
        <v>2833528390</v>
      </c>
      <c r="Q17" s="14">
        <v>-196074730</v>
      </c>
    </row>
    <row r="18" spans="1:17" ht="21" x14ac:dyDescent="0.65">
      <c r="A18" s="13" t="s">
        <v>87</v>
      </c>
      <c r="C18" s="14">
        <v>562500</v>
      </c>
      <c r="E18" s="14">
        <v>5497795969</v>
      </c>
      <c r="G18" s="14">
        <v>5542448119</v>
      </c>
      <c r="I18" s="14">
        <v>-44652150</v>
      </c>
      <c r="K18" s="14">
        <v>562500</v>
      </c>
      <c r="M18" s="14">
        <v>5497795969</v>
      </c>
      <c r="O18" s="14">
        <v>5542448119</v>
      </c>
      <c r="Q18" s="14">
        <v>-44652150</v>
      </c>
    </row>
    <row r="19" spans="1:17" ht="21" x14ac:dyDescent="0.65">
      <c r="A19" s="13" t="s">
        <v>86</v>
      </c>
      <c r="C19" s="14">
        <v>25941000</v>
      </c>
      <c r="E19" s="14">
        <v>49009866437</v>
      </c>
      <c r="G19" s="14">
        <v>44764000054</v>
      </c>
      <c r="I19" s="14">
        <v>4245866383</v>
      </c>
      <c r="K19" s="14">
        <v>25941000</v>
      </c>
      <c r="M19" s="14">
        <v>49009866437</v>
      </c>
      <c r="O19" s="14">
        <v>44764000054</v>
      </c>
      <c r="Q19" s="14">
        <v>4245866383</v>
      </c>
    </row>
    <row r="20" spans="1:17" ht="21" x14ac:dyDescent="0.65">
      <c r="A20" s="13" t="s">
        <v>85</v>
      </c>
      <c r="C20" s="14">
        <v>350000</v>
      </c>
      <c r="E20" s="14">
        <v>15155931980</v>
      </c>
      <c r="G20" s="14">
        <v>13384730030</v>
      </c>
      <c r="I20" s="14">
        <v>1771201950</v>
      </c>
      <c r="K20" s="14">
        <v>350000</v>
      </c>
      <c r="M20" s="14">
        <v>15155931980</v>
      </c>
      <c r="O20" s="14">
        <v>13384730030</v>
      </c>
      <c r="Q20" s="14">
        <v>1771201950</v>
      </c>
    </row>
    <row r="21" spans="1:17" ht="21" x14ac:dyDescent="0.65">
      <c r="A21" s="13" t="s">
        <v>84</v>
      </c>
      <c r="C21" s="14">
        <v>2250000</v>
      </c>
      <c r="E21" s="14">
        <v>36570110850</v>
      </c>
      <c r="G21" s="14">
        <v>30251831625</v>
      </c>
      <c r="I21" s="14">
        <v>6318279225</v>
      </c>
      <c r="K21" s="14">
        <v>2250000</v>
      </c>
      <c r="M21" s="14">
        <v>36570110850</v>
      </c>
      <c r="O21" s="14">
        <v>30251831625</v>
      </c>
      <c r="Q21" s="14">
        <v>6318279225</v>
      </c>
    </row>
    <row r="22" spans="1:17" ht="21" x14ac:dyDescent="0.65">
      <c r="A22" s="13" t="s">
        <v>83</v>
      </c>
      <c r="C22" s="14">
        <v>3600000</v>
      </c>
      <c r="E22" s="14">
        <v>58797951120</v>
      </c>
      <c r="G22" s="14">
        <v>50724842400</v>
      </c>
      <c r="I22" s="14">
        <v>8073108720</v>
      </c>
      <c r="K22" s="14">
        <v>3600000</v>
      </c>
      <c r="M22" s="14">
        <v>58797951120</v>
      </c>
      <c r="O22" s="14">
        <v>50724842400</v>
      </c>
      <c r="Q22" s="14">
        <v>8073108720</v>
      </c>
    </row>
    <row r="23" spans="1:17" ht="21" x14ac:dyDescent="0.65">
      <c r="A23" s="13" t="s">
        <v>81</v>
      </c>
      <c r="C23" s="14">
        <v>1100000</v>
      </c>
      <c r="E23" s="14">
        <v>19406816660</v>
      </c>
      <c r="G23" s="14">
        <v>20640208270</v>
      </c>
      <c r="I23" s="14">
        <v>-1233391610</v>
      </c>
      <c r="K23" s="14">
        <v>1100000</v>
      </c>
      <c r="M23" s="14">
        <v>19406816660</v>
      </c>
      <c r="O23" s="14">
        <v>20640208270</v>
      </c>
      <c r="Q23" s="14">
        <v>-1233391610</v>
      </c>
    </row>
    <row r="24" spans="1:17" ht="21" x14ac:dyDescent="0.65">
      <c r="A24" s="13" t="s">
        <v>80</v>
      </c>
      <c r="C24" s="14">
        <v>2000000</v>
      </c>
      <c r="E24" s="14">
        <v>8606949980</v>
      </c>
      <c r="G24" s="14">
        <v>8440349823</v>
      </c>
      <c r="I24" s="14">
        <v>166600157</v>
      </c>
      <c r="K24" s="14">
        <v>2000000</v>
      </c>
      <c r="M24" s="14">
        <v>8606949980</v>
      </c>
      <c r="O24" s="14">
        <v>8440349823</v>
      </c>
      <c r="Q24" s="14">
        <v>166600157</v>
      </c>
    </row>
    <row r="25" spans="1:17" ht="21" x14ac:dyDescent="0.65">
      <c r="A25" s="13" t="s">
        <v>79</v>
      </c>
      <c r="C25" s="14">
        <v>9600000</v>
      </c>
      <c r="E25" s="14">
        <v>127550354880</v>
      </c>
      <c r="G25" s="14">
        <v>99354010560</v>
      </c>
      <c r="I25" s="14">
        <v>28196344320</v>
      </c>
      <c r="K25" s="14">
        <v>9600000</v>
      </c>
      <c r="M25" s="14">
        <v>127550354880</v>
      </c>
      <c r="O25" s="14">
        <v>99354010560</v>
      </c>
      <c r="Q25" s="14">
        <v>28196344320</v>
      </c>
    </row>
    <row r="26" spans="1:17" ht="21" x14ac:dyDescent="0.65">
      <c r="A26" s="13" t="s">
        <v>78</v>
      </c>
      <c r="C26" s="14">
        <v>600000</v>
      </c>
      <c r="E26" s="14">
        <v>14407760400</v>
      </c>
      <c r="G26" s="14">
        <v>12502602000</v>
      </c>
      <c r="I26" s="14">
        <v>1905158400</v>
      </c>
      <c r="K26" s="14">
        <v>600000</v>
      </c>
      <c r="M26" s="14">
        <v>14407760400</v>
      </c>
      <c r="O26" s="14">
        <v>12502602000</v>
      </c>
      <c r="Q26" s="14">
        <v>1905158400</v>
      </c>
    </row>
    <row r="27" spans="1:17" ht="21" x14ac:dyDescent="0.65">
      <c r="A27" s="13" t="s">
        <v>77</v>
      </c>
      <c r="C27" s="14">
        <v>20890000</v>
      </c>
      <c r="E27" s="14">
        <v>82250768550</v>
      </c>
      <c r="G27" s="14">
        <v>81621652754</v>
      </c>
      <c r="I27" s="14">
        <v>629115796</v>
      </c>
      <c r="K27" s="14">
        <v>20890000</v>
      </c>
      <c r="M27" s="14">
        <v>82250768550</v>
      </c>
      <c r="O27" s="14">
        <v>81621652754</v>
      </c>
      <c r="Q27" s="14">
        <v>629115796</v>
      </c>
    </row>
    <row r="28" spans="1:17" ht="21" x14ac:dyDescent="0.65">
      <c r="A28" s="13" t="s">
        <v>76</v>
      </c>
      <c r="C28" s="14">
        <v>133750</v>
      </c>
      <c r="E28" s="14">
        <v>5580712531</v>
      </c>
      <c r="G28" s="14">
        <v>3941668541</v>
      </c>
      <c r="I28" s="14">
        <v>1639043990</v>
      </c>
      <c r="K28" s="14">
        <v>133750</v>
      </c>
      <c r="M28" s="14">
        <v>5580712531</v>
      </c>
      <c r="O28" s="14">
        <v>3941668541</v>
      </c>
      <c r="Q28" s="14">
        <v>1639043990</v>
      </c>
    </row>
    <row r="29" spans="1:17" ht="21" x14ac:dyDescent="0.65">
      <c r="A29" s="13" t="s">
        <v>75</v>
      </c>
      <c r="C29" s="14">
        <v>800000</v>
      </c>
      <c r="E29" s="14">
        <v>14788792080</v>
      </c>
      <c r="G29" s="14">
        <v>12680340666</v>
      </c>
      <c r="I29" s="14">
        <v>2108451414</v>
      </c>
      <c r="K29" s="14">
        <v>800000</v>
      </c>
      <c r="M29" s="14">
        <v>14788792080</v>
      </c>
      <c r="O29" s="14">
        <v>12680340666</v>
      </c>
      <c r="Q29" s="14">
        <v>2108451414</v>
      </c>
    </row>
    <row r="30" spans="1:17" ht="42" x14ac:dyDescent="0.65">
      <c r="A30" s="13" t="s">
        <v>157</v>
      </c>
      <c r="C30" s="14">
        <v>2513000</v>
      </c>
      <c r="E30" s="14">
        <v>18302836903</v>
      </c>
      <c r="G30" s="14">
        <v>15896436339</v>
      </c>
      <c r="I30" s="14">
        <v>2406400564</v>
      </c>
      <c r="K30" s="14">
        <v>2513000</v>
      </c>
      <c r="M30" s="14">
        <v>18302836903</v>
      </c>
      <c r="O30" s="14">
        <v>15896436339</v>
      </c>
      <c r="Q30" s="14">
        <v>2406400564</v>
      </c>
    </row>
    <row r="31" spans="1:17" ht="21" x14ac:dyDescent="0.65">
      <c r="A31" s="13" t="s">
        <v>156</v>
      </c>
      <c r="C31" s="14">
        <v>1200000</v>
      </c>
      <c r="E31" s="14">
        <v>11990590680</v>
      </c>
      <c r="G31" s="14">
        <v>10450623609</v>
      </c>
      <c r="I31" s="14">
        <v>1539967071</v>
      </c>
      <c r="K31" s="14">
        <v>1200000</v>
      </c>
      <c r="M31" s="14">
        <v>11990590680</v>
      </c>
      <c r="O31" s="14">
        <v>10450623609</v>
      </c>
      <c r="Q31" s="14">
        <v>1539967071</v>
      </c>
    </row>
    <row r="32" spans="1:17" ht="21" x14ac:dyDescent="0.65">
      <c r="A32" s="13" t="s">
        <v>74</v>
      </c>
      <c r="C32" s="14">
        <v>11000000</v>
      </c>
      <c r="E32" s="14">
        <v>173220573900</v>
      </c>
      <c r="G32" s="14">
        <v>126669496685</v>
      </c>
      <c r="I32" s="14">
        <v>46551077215</v>
      </c>
      <c r="K32" s="14">
        <v>11000000</v>
      </c>
      <c r="M32" s="14">
        <v>173220573900</v>
      </c>
      <c r="O32" s="14">
        <v>126669496685</v>
      </c>
      <c r="Q32" s="14">
        <v>46551077215</v>
      </c>
    </row>
    <row r="33" spans="1:17" ht="21" x14ac:dyDescent="0.65">
      <c r="A33" s="13" t="s">
        <v>72</v>
      </c>
      <c r="C33" s="14">
        <v>11650000</v>
      </c>
      <c r="E33" s="14">
        <v>92826362365</v>
      </c>
      <c r="G33" s="14">
        <v>76799313736</v>
      </c>
      <c r="I33" s="14">
        <v>16027048629</v>
      </c>
      <c r="K33" s="14">
        <v>11650000</v>
      </c>
      <c r="M33" s="14">
        <v>92826362365</v>
      </c>
      <c r="O33" s="14">
        <v>76799313736</v>
      </c>
      <c r="Q33" s="14">
        <v>16027048629</v>
      </c>
    </row>
    <row r="34" spans="1:17" ht="21" x14ac:dyDescent="0.65">
      <c r="A34" s="13" t="s">
        <v>71</v>
      </c>
      <c r="C34" s="14">
        <v>5175000</v>
      </c>
      <c r="E34" s="14">
        <v>46625775030</v>
      </c>
      <c r="G34" s="14">
        <v>33701117359</v>
      </c>
      <c r="I34" s="14">
        <v>12924657671</v>
      </c>
      <c r="K34" s="14">
        <v>5175000</v>
      </c>
      <c r="M34" s="14">
        <v>46625775030</v>
      </c>
      <c r="O34" s="14">
        <v>33701117359</v>
      </c>
      <c r="Q34" s="14">
        <v>12924657671</v>
      </c>
    </row>
    <row r="35" spans="1:17" ht="21" x14ac:dyDescent="0.65">
      <c r="A35" s="13" t="s">
        <v>70</v>
      </c>
      <c r="C35" s="14">
        <v>200000</v>
      </c>
      <c r="E35" s="14">
        <v>7432102300</v>
      </c>
      <c r="G35" s="14">
        <v>5268953700</v>
      </c>
      <c r="I35" s="14">
        <v>2163148600</v>
      </c>
      <c r="K35" s="14">
        <v>200000</v>
      </c>
      <c r="M35" s="14">
        <v>7432102300</v>
      </c>
      <c r="O35" s="14">
        <v>5268953700</v>
      </c>
      <c r="Q35" s="14">
        <v>2163148600</v>
      </c>
    </row>
    <row r="36" spans="1:17" ht="21" x14ac:dyDescent="0.65">
      <c r="A36" s="13" t="s">
        <v>69</v>
      </c>
      <c r="C36" s="14">
        <v>5500000</v>
      </c>
      <c r="E36" s="14">
        <v>26179555545</v>
      </c>
      <c r="G36" s="14">
        <v>19919820250</v>
      </c>
      <c r="I36" s="14">
        <v>6259735295</v>
      </c>
      <c r="K36" s="14">
        <v>5500000</v>
      </c>
      <c r="M36" s="14">
        <v>26179555545</v>
      </c>
      <c r="O36" s="14">
        <v>19919820250</v>
      </c>
      <c r="Q36" s="14">
        <v>6259735295</v>
      </c>
    </row>
    <row r="37" spans="1:17" ht="21" x14ac:dyDescent="0.65">
      <c r="A37" s="13" t="s">
        <v>68</v>
      </c>
      <c r="C37" s="14">
        <v>1650000</v>
      </c>
      <c r="E37" s="14">
        <v>41962602165</v>
      </c>
      <c r="G37" s="14">
        <v>45826501545</v>
      </c>
      <c r="I37" s="14">
        <v>-3863899380</v>
      </c>
      <c r="K37" s="14">
        <v>1650000</v>
      </c>
      <c r="M37" s="14">
        <v>41962602165</v>
      </c>
      <c r="O37" s="14">
        <v>45826501545</v>
      </c>
      <c r="Q37" s="14">
        <v>-3863899380</v>
      </c>
    </row>
    <row r="38" spans="1:17" ht="21" x14ac:dyDescent="0.65">
      <c r="A38" s="13" t="s">
        <v>155</v>
      </c>
      <c r="C38" s="14">
        <v>2000000</v>
      </c>
      <c r="E38" s="14">
        <v>19567564400</v>
      </c>
      <c r="G38" s="14">
        <v>18890189691</v>
      </c>
      <c r="I38" s="14">
        <v>677374709</v>
      </c>
      <c r="K38" s="14">
        <v>2000000</v>
      </c>
      <c r="M38" s="14">
        <v>19567564400</v>
      </c>
      <c r="O38" s="14">
        <v>18890189691</v>
      </c>
      <c r="Q38" s="14">
        <v>677374709</v>
      </c>
    </row>
    <row r="39" spans="1:17" ht="21" x14ac:dyDescent="0.65">
      <c r="A39" s="13" t="s">
        <v>154</v>
      </c>
      <c r="C39" s="14">
        <v>100454</v>
      </c>
      <c r="E39" s="14">
        <v>6323540002</v>
      </c>
      <c r="G39" s="14">
        <v>4372643222</v>
      </c>
      <c r="I39" s="14">
        <v>1950896780</v>
      </c>
      <c r="K39" s="14">
        <v>100454</v>
      </c>
      <c r="M39" s="14">
        <v>6323540002</v>
      </c>
      <c r="O39" s="14">
        <v>4372643222</v>
      </c>
      <c r="Q39" s="14">
        <v>1950896780</v>
      </c>
    </row>
    <row r="40" spans="1:17" ht="21" x14ac:dyDescent="0.65">
      <c r="A40" s="13" t="s">
        <v>66</v>
      </c>
      <c r="C40" s="14">
        <v>200000</v>
      </c>
      <c r="E40" s="14">
        <v>12014405160</v>
      </c>
      <c r="G40" s="14">
        <v>12095771300</v>
      </c>
      <c r="I40" s="14">
        <v>-81366140</v>
      </c>
      <c r="K40" s="14">
        <v>200000</v>
      </c>
      <c r="M40" s="14">
        <v>12014405160</v>
      </c>
      <c r="O40" s="14">
        <v>12095771300</v>
      </c>
      <c r="Q40" s="14">
        <v>-81366140</v>
      </c>
    </row>
    <row r="41" spans="1:17" ht="21" x14ac:dyDescent="0.65">
      <c r="A41" s="13" t="s">
        <v>65</v>
      </c>
      <c r="C41" s="14">
        <v>800000</v>
      </c>
      <c r="E41" s="14">
        <v>54701860560</v>
      </c>
      <c r="G41" s="14">
        <v>37595201292</v>
      </c>
      <c r="I41" s="14">
        <v>17106659268</v>
      </c>
      <c r="K41" s="14">
        <v>800000</v>
      </c>
      <c r="M41" s="14">
        <v>54701860560</v>
      </c>
      <c r="O41" s="14">
        <v>37595201292</v>
      </c>
      <c r="Q41" s="14">
        <v>17106659268</v>
      </c>
    </row>
    <row r="42" spans="1:17" ht="21" x14ac:dyDescent="0.65">
      <c r="A42" s="13" t="s">
        <v>64</v>
      </c>
      <c r="C42" s="14">
        <v>500000</v>
      </c>
      <c r="E42" s="14">
        <v>30110433150</v>
      </c>
      <c r="G42" s="14">
        <v>25471570900</v>
      </c>
      <c r="I42" s="14">
        <v>4638862250</v>
      </c>
      <c r="K42" s="14">
        <v>500000</v>
      </c>
      <c r="M42" s="14">
        <v>30110433150</v>
      </c>
      <c r="O42" s="14">
        <v>25471570900</v>
      </c>
      <c r="Q42" s="14">
        <v>4638862250</v>
      </c>
    </row>
    <row r="43" spans="1:17" ht="21" x14ac:dyDescent="0.65">
      <c r="A43" s="13" t="s">
        <v>63</v>
      </c>
      <c r="C43" s="14">
        <v>3000000</v>
      </c>
      <c r="E43" s="14">
        <v>11877471900</v>
      </c>
      <c r="G43" s="14">
        <v>9552583290</v>
      </c>
      <c r="I43" s="14">
        <v>2324888610</v>
      </c>
      <c r="K43" s="14">
        <v>3000000</v>
      </c>
      <c r="M43" s="14">
        <v>11877471900</v>
      </c>
      <c r="O43" s="14">
        <v>9552583290</v>
      </c>
      <c r="Q43" s="14">
        <v>2324888610</v>
      </c>
    </row>
    <row r="44" spans="1:17" ht="21" x14ac:dyDescent="0.65">
      <c r="A44" s="13" t="s">
        <v>62</v>
      </c>
      <c r="C44" s="14">
        <v>120000</v>
      </c>
      <c r="E44" s="14">
        <v>72149539332</v>
      </c>
      <c r="G44" s="14">
        <v>47041933068</v>
      </c>
      <c r="I44" s="14">
        <v>25107606264</v>
      </c>
      <c r="K44" s="14">
        <v>120000</v>
      </c>
      <c r="M44" s="14">
        <v>72149539332</v>
      </c>
      <c r="O44" s="14">
        <v>47041933068</v>
      </c>
      <c r="Q44" s="14">
        <v>25107606264</v>
      </c>
    </row>
    <row r="45" spans="1:17" ht="21" x14ac:dyDescent="0.65">
      <c r="A45" s="13" t="s">
        <v>61</v>
      </c>
      <c r="C45" s="14">
        <v>1200000</v>
      </c>
      <c r="E45" s="14">
        <v>32590115880</v>
      </c>
      <c r="G45" s="14">
        <v>26820179544</v>
      </c>
      <c r="I45" s="14">
        <v>5769936336</v>
      </c>
      <c r="K45" s="14">
        <v>1200000</v>
      </c>
      <c r="M45" s="14">
        <v>32590115880</v>
      </c>
      <c r="O45" s="14">
        <v>26820179544</v>
      </c>
      <c r="Q45" s="14">
        <v>5769936336</v>
      </c>
    </row>
    <row r="46" spans="1:17" ht="21" x14ac:dyDescent="0.65">
      <c r="A46" s="13" t="s">
        <v>59</v>
      </c>
      <c r="C46" s="14">
        <v>350000</v>
      </c>
      <c r="E46" s="14">
        <v>35840792400</v>
      </c>
      <c r="G46" s="14">
        <v>34764179450</v>
      </c>
      <c r="I46" s="14">
        <v>1076612950</v>
      </c>
      <c r="K46" s="14">
        <v>350000</v>
      </c>
      <c r="M46" s="14">
        <v>35840792400</v>
      </c>
      <c r="O46" s="14">
        <v>34764179450</v>
      </c>
      <c r="Q46" s="14">
        <v>1076612950</v>
      </c>
    </row>
    <row r="47" spans="1:17" ht="21" x14ac:dyDescent="0.65">
      <c r="A47" s="13" t="s">
        <v>58</v>
      </c>
      <c r="C47" s="14">
        <v>5802960</v>
      </c>
      <c r="E47" s="14">
        <v>17447052451</v>
      </c>
      <c r="G47" s="14">
        <v>17746473813</v>
      </c>
      <c r="I47" s="14">
        <v>-299421362</v>
      </c>
      <c r="K47" s="14">
        <v>5802960</v>
      </c>
      <c r="M47" s="14">
        <v>17447052451</v>
      </c>
      <c r="O47" s="14">
        <v>17746473813</v>
      </c>
      <c r="Q47" s="14">
        <v>-299421362</v>
      </c>
    </row>
    <row r="48" spans="1:17" ht="21" x14ac:dyDescent="0.65">
      <c r="A48" s="13" t="s">
        <v>153</v>
      </c>
      <c r="C48" s="14">
        <v>750000</v>
      </c>
      <c r="E48" s="14">
        <v>8550886725</v>
      </c>
      <c r="G48" s="14">
        <v>6166260600</v>
      </c>
      <c r="I48" s="14">
        <v>2384626125</v>
      </c>
      <c r="K48" s="14">
        <v>750000</v>
      </c>
      <c r="M48" s="14">
        <v>8550886725</v>
      </c>
      <c r="O48" s="14">
        <v>6166260600</v>
      </c>
      <c r="Q48" s="14">
        <v>2384626125</v>
      </c>
    </row>
    <row r="49" spans="1:17" ht="21.6" thickBot="1" x14ac:dyDescent="0.7">
      <c r="A49" s="16" t="s">
        <v>7</v>
      </c>
      <c r="C49" s="22"/>
      <c r="E49" s="16">
        <f>SUM(E9:$E$48)</f>
        <v>1305133413833</v>
      </c>
      <c r="G49" s="16">
        <f>SUM(G9:$G$48)</f>
        <v>1105901359811</v>
      </c>
      <c r="I49" s="16">
        <f>SUM(I9:$I$48)</f>
        <v>203086948351</v>
      </c>
      <c r="K49" s="22"/>
      <c r="M49" s="16">
        <f>SUM(M9:$M$48)</f>
        <v>1305133413833</v>
      </c>
      <c r="O49" s="16">
        <f>SUM(O9:$O$48)</f>
        <v>1105901359811</v>
      </c>
      <c r="Q49" s="16">
        <f>SUM(Q9:$Q$48)</f>
        <v>203086948351</v>
      </c>
    </row>
    <row r="50" spans="1:17" ht="21.6" thickTop="1" x14ac:dyDescent="0.65">
      <c r="C50" s="22"/>
      <c r="E50" s="18"/>
      <c r="G50" s="18"/>
      <c r="I50" s="18"/>
      <c r="K50" s="22"/>
      <c r="M50" s="18"/>
      <c r="O50" s="18"/>
      <c r="Q50" s="18"/>
    </row>
  </sheetData>
  <mergeCells count="6"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'0'!Print_Area</vt:lpstr>
      <vt:lpstr>'1'!Print_Area</vt:lpstr>
      <vt:lpstr>'2'!Print_Area</vt:lpstr>
      <vt:lpstr>'3'!Print_Area</vt:lpstr>
      <vt:lpstr>'4'!Print_Area</vt:lpstr>
      <vt:lpstr>'5'!Print_Area</vt:lpstr>
      <vt:lpstr>'9'!Print_Area</vt:lpstr>
      <vt:lpstr>'1'!Print_Titles</vt:lpstr>
      <vt:lpstr>'11'!Print_Titles</vt:lpstr>
      <vt:lpstr>'4'!Print_Titles</vt:lpstr>
      <vt:lpstr>'5'!Print_Titles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Arash Ranjbar</cp:lastModifiedBy>
  <dcterms:created xsi:type="dcterms:W3CDTF">2025-12-28T19:41:20Z</dcterms:created>
  <dcterms:modified xsi:type="dcterms:W3CDTF">2026-01-28T04:54:06Z</dcterms:modified>
</cp:coreProperties>
</file>