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ahmadi\Desktop\گزارش پرتفوی مهرماه\"/>
    </mc:Choice>
  </mc:AlternateContent>
  <xr:revisionPtr revIDLastSave="0" documentId="13_ncr:1_{95139A6D-F552-4129-9132-EAEC91AA82CD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0" sheetId="1" r:id="rId1"/>
    <sheet name="1" sheetId="2" r:id="rId2"/>
    <sheet name="2" sheetId="6" r:id="rId3"/>
    <sheet name="3" sheetId="8" r:id="rId4"/>
    <sheet name="4" sheetId="13" r:id="rId5"/>
    <sheet name="5" sheetId="14" r:id="rId6"/>
    <sheet name="6" sheetId="15" r:id="rId7"/>
    <sheet name="7" sheetId="16" r:id="rId8"/>
    <sheet name="8" sheetId="9" r:id="rId9"/>
    <sheet name="9" sheetId="10" r:id="rId10"/>
    <sheet name="10" sheetId="17" r:id="rId11"/>
    <sheet name="11" sheetId="11" r:id="rId12"/>
    <sheet name="12" sheetId="12" r:id="rId13"/>
  </sheets>
  <definedNames>
    <definedName name="_xlnm.Print_Area" localSheetId="0">'0'!$A$1:$J$32</definedName>
    <definedName name="_xlnm.Print_Area" localSheetId="1">'1'!$A$1:$W$60</definedName>
    <definedName name="_xlnm.Print_Titles" localSheetId="1">'1'!$1:$10</definedName>
    <definedName name="_xlnm.Print_Titles" localSheetId="4">'4'!$1:$8</definedName>
  </definedNames>
  <calcPr calcId="181029"/>
</workbook>
</file>

<file path=xl/calcChain.xml><?xml version="1.0" encoding="utf-8"?>
<calcChain xmlns="http://schemas.openxmlformats.org/spreadsheetml/2006/main">
  <c r="I45" i="9" l="1"/>
  <c r="K45" i="9"/>
  <c r="M45" i="9"/>
  <c r="O45" i="9"/>
  <c r="Q45" i="9"/>
  <c r="S45" i="9"/>
  <c r="C96" i="13"/>
  <c r="E96" i="13"/>
  <c r="G96" i="13"/>
  <c r="I96" i="13"/>
  <c r="K96" i="13"/>
  <c r="M96" i="13"/>
  <c r="O96" i="13"/>
  <c r="Q96" i="13"/>
  <c r="S96" i="13"/>
  <c r="U96" i="13"/>
  <c r="W59" i="2"/>
  <c r="U59" i="2"/>
  <c r="S59" i="2"/>
  <c r="M59" i="2"/>
  <c r="J59" i="2"/>
  <c r="G59" i="2"/>
  <c r="E59" i="2"/>
  <c r="Q115" i="12"/>
  <c r="O115" i="12"/>
  <c r="M115" i="12"/>
  <c r="I115" i="12"/>
  <c r="G115" i="12"/>
  <c r="E115" i="12"/>
  <c r="O96" i="12"/>
  <c r="O105" i="12" s="1"/>
  <c r="Q32" i="12"/>
  <c r="Q41" i="12" s="1"/>
  <c r="Q64" i="12" s="1"/>
  <c r="Q73" i="12" s="1"/>
  <c r="Q96" i="12" s="1"/>
  <c r="Q105" i="12" s="1"/>
  <c r="O32" i="12"/>
  <c r="O41" i="12" s="1"/>
  <c r="O64" i="12" s="1"/>
  <c r="O73" i="12" s="1"/>
  <c r="M32" i="12"/>
  <c r="M41" i="12" s="1"/>
  <c r="M64" i="12" s="1"/>
  <c r="M73" i="12" s="1"/>
  <c r="M96" i="12" s="1"/>
  <c r="M105" i="12" s="1"/>
  <c r="I32" i="12"/>
  <c r="I41" i="12" s="1"/>
  <c r="I64" i="12" s="1"/>
  <c r="I73" i="12" s="1"/>
  <c r="I96" i="12" s="1"/>
  <c r="I105" i="12" s="1"/>
  <c r="G32" i="12"/>
  <c r="G41" i="12" s="1"/>
  <c r="G64" i="12" s="1"/>
  <c r="G73" i="12" s="1"/>
  <c r="G96" i="12" s="1"/>
  <c r="G105" i="12" s="1"/>
  <c r="E32" i="12"/>
  <c r="E41" i="12" s="1"/>
  <c r="E64" i="12" s="1"/>
  <c r="E73" i="12" s="1"/>
  <c r="E96" i="12" s="1"/>
  <c r="E105" i="12" s="1"/>
  <c r="Q111" i="11"/>
  <c r="O111" i="11"/>
  <c r="M111" i="11"/>
  <c r="I111" i="11"/>
  <c r="G111" i="11"/>
  <c r="E111" i="11"/>
  <c r="Q102" i="11"/>
  <c r="O102" i="11"/>
  <c r="G102" i="11"/>
  <c r="Q31" i="11"/>
  <c r="Q40" i="11" s="1"/>
  <c r="Q62" i="11" s="1"/>
  <c r="Q71" i="11" s="1"/>
  <c r="Q93" i="11" s="1"/>
  <c r="O31" i="11"/>
  <c r="O40" i="11" s="1"/>
  <c r="O62" i="11" s="1"/>
  <c r="O71" i="11" s="1"/>
  <c r="O93" i="11" s="1"/>
  <c r="M31" i="11"/>
  <c r="M40" i="11" s="1"/>
  <c r="I31" i="11"/>
  <c r="I40" i="11" s="1"/>
  <c r="I62" i="11" s="1"/>
  <c r="I71" i="11" s="1"/>
  <c r="I93" i="11" s="1"/>
  <c r="I102" i="11" s="1"/>
  <c r="G31" i="11"/>
  <c r="G40" i="11" s="1"/>
  <c r="G62" i="11" s="1"/>
  <c r="G71" i="11" s="1"/>
  <c r="G93" i="11" s="1"/>
  <c r="M41" i="11"/>
  <c r="M42" i="11"/>
  <c r="M43" i="11"/>
  <c r="M44" i="11"/>
  <c r="M45" i="11"/>
  <c r="M46" i="11"/>
  <c r="M47" i="11"/>
  <c r="M48" i="11"/>
  <c r="E48" i="11"/>
  <c r="E46" i="11"/>
  <c r="E43" i="11"/>
  <c r="E30" i="11"/>
  <c r="E24" i="11"/>
  <c r="E22" i="11"/>
  <c r="E19" i="11"/>
  <c r="E18" i="11"/>
  <c r="E15" i="11"/>
  <c r="E13" i="11"/>
  <c r="E12" i="11"/>
  <c r="S11" i="17"/>
  <c r="Q11" i="17"/>
  <c r="O11" i="17"/>
  <c r="M11" i="17"/>
  <c r="K11" i="17"/>
  <c r="I11" i="17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9" i="9"/>
  <c r="E11" i="16"/>
  <c r="E11" i="8" s="1"/>
  <c r="C11" i="16"/>
  <c r="E10" i="8"/>
  <c r="E9" i="8"/>
  <c r="Q9" i="14"/>
  <c r="I9" i="14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" i="13"/>
  <c r="I81" i="13"/>
  <c r="I79" i="13"/>
  <c r="I94" i="13"/>
  <c r="I86" i="13"/>
  <c r="I88" i="13"/>
  <c r="I71" i="13"/>
  <c r="I69" i="13"/>
  <c r="I77" i="13"/>
  <c r="I64" i="13"/>
  <c r="I65" i="13"/>
  <c r="I66" i="13"/>
  <c r="I67" i="13"/>
  <c r="I68" i="13"/>
  <c r="I70" i="13"/>
  <c r="I72" i="13"/>
  <c r="I73" i="13"/>
  <c r="I74" i="13"/>
  <c r="I75" i="13"/>
  <c r="I76" i="13"/>
  <c r="I78" i="13"/>
  <c r="I80" i="13"/>
  <c r="I82" i="13"/>
  <c r="I83" i="13"/>
  <c r="I84" i="13"/>
  <c r="I85" i="13"/>
  <c r="I87" i="13"/>
  <c r="I89" i="13"/>
  <c r="I90" i="13"/>
  <c r="I91" i="13"/>
  <c r="I92" i="13"/>
  <c r="I93" i="13"/>
  <c r="I95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9" i="13"/>
  <c r="M62" i="11" l="1"/>
  <c r="M71" i="11" s="1"/>
  <c r="M93" i="11" s="1"/>
  <c r="M102" i="11" s="1"/>
  <c r="E31" i="11"/>
  <c r="E40" i="11" l="1"/>
  <c r="E62" i="11" s="1"/>
  <c r="E71" i="11" s="1"/>
  <c r="E93" i="11" s="1"/>
  <c r="E102" i="11" s="1"/>
  <c r="E8" i="8"/>
  <c r="G11" i="15" l="1"/>
  <c r="I9" i="15" s="1"/>
  <c r="C11" i="15"/>
  <c r="E9" i="15" s="1"/>
  <c r="Q10" i="14"/>
  <c r="O10" i="14"/>
  <c r="M10" i="14"/>
  <c r="K10" i="14"/>
  <c r="I10" i="14"/>
  <c r="G10" i="14"/>
  <c r="E10" i="14"/>
  <c r="C10" i="14"/>
  <c r="S10" i="10"/>
  <c r="Q10" i="10"/>
  <c r="O10" i="10"/>
  <c r="M10" i="10"/>
  <c r="K10" i="10"/>
  <c r="I10" i="10"/>
  <c r="E12" i="8"/>
  <c r="K11" i="6"/>
  <c r="I11" i="6"/>
  <c r="G11" i="6"/>
  <c r="E11" i="6"/>
  <c r="C11" i="6"/>
  <c r="G9" i="8" l="1"/>
  <c r="G10" i="8"/>
  <c r="G11" i="8"/>
  <c r="G8" i="8"/>
  <c r="E10" i="15"/>
  <c r="E11" i="15"/>
  <c r="I12" i="8"/>
  <c r="I10" i="15"/>
  <c r="I11" i="15" s="1"/>
  <c r="G12" i="8" l="1"/>
</calcChain>
</file>

<file path=xl/sharedStrings.xml><?xml version="1.0" encoding="utf-8"?>
<sst xmlns="http://schemas.openxmlformats.org/spreadsheetml/2006/main" count="684" uniqueCount="242">
  <si>
    <t>‫سرمایه گذاری قابل معامله شاخصی بازار آشنا</t>
  </si>
  <si>
    <t>‫صورت وضعیت پورتفوی</t>
  </si>
  <si>
    <t>‫برای ماه منتهی به 1403/07/30</t>
  </si>
  <si>
    <t>‫1- سرمایه گذاری ها</t>
  </si>
  <si>
    <t>‫1-1- سرمایه گذاری در سهام و حق تقدم سهام</t>
  </si>
  <si>
    <t>‫1403/06/31</t>
  </si>
  <si>
    <t>‫تغییرات طی دوره</t>
  </si>
  <si>
    <t>‫1403/07/30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</si>
  <si>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</si>
  <si>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</si>
  <si>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</si>
  <si>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</si>
  <si>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</si>
  <si>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</si>
  <si>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</si>
  <si>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</si>
  <si>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</si>
  <si>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‫آلومينيوم ايران</t>
  </si>
  <si>
    <t>‫اختيارخ خساپا-2200-1403/08/30</t>
  </si>
  <si>
    <t>‫اختيارخ خساپا-2400-1403/07/25</t>
  </si>
  <si>
    <t>‫اختيارخ خساپا-2400-1403/08/30</t>
  </si>
  <si>
    <t>‫اختيارخ خساپا-2600-1403/07/25</t>
  </si>
  <si>
    <t>‫اختيارخ خساپا-2600-1403/08/30</t>
  </si>
  <si>
    <t>‫اختيارخ خودرو-2400-1403/09/07</t>
  </si>
  <si>
    <t>‫اختيارخ خودرو-2600-1403/09/07</t>
  </si>
  <si>
    <t>‫اختيارخ خودرو-2800-1403/09/07</t>
  </si>
  <si>
    <t>‫اختيارخ خودرو-2800-1403/10/05</t>
  </si>
  <si>
    <t>‫اختيارخ خگستر-3500-1403/08/02</t>
  </si>
  <si>
    <t>‫اختيارخ خگستر-3750-1403/08/02</t>
  </si>
  <si>
    <t>‫اختيارخ خگستر-4000-1403/08/02</t>
  </si>
  <si>
    <t>‫اختيارخ ذوب-400-1403/09/28</t>
  </si>
  <si>
    <t>‫اختيارخ ذوب-500-1403/09/28</t>
  </si>
  <si>
    <t>‫اختيارخ شستا-1200-1403/07/11</t>
  </si>
  <si>
    <t>‫اختيارخ فولاد-4500-1403/09/21</t>
  </si>
  <si>
    <t>‫اختيارخ فولاد-4600-1403/07/18</t>
  </si>
  <si>
    <t>‫اختيارخ وبصادر-1900-1403/09/21</t>
  </si>
  <si>
    <t>‫اختيارخ وبملت-2200-1403/07/25</t>
  </si>
  <si>
    <t>‫اختيارخ وتجارت-1400-1403/08/16</t>
  </si>
  <si>
    <t>‫اختيارف خودرو-2600-1403/08/02</t>
  </si>
  <si>
    <t>‫ارتباطات سیار</t>
  </si>
  <si>
    <t>‫اقتصاد نوين</t>
  </si>
  <si>
    <t>‫ايران خودرو</t>
  </si>
  <si>
    <t>‫بانك تجارت</t>
  </si>
  <si>
    <t>‫بانك صادرات</t>
  </si>
  <si>
    <t>‫بانك ملت</t>
  </si>
  <si>
    <t>‫بانك پارسيان</t>
  </si>
  <si>
    <t>‫بانك پاسارگاد</t>
  </si>
  <si>
    <t>‫توسعه معادن وص.معدني خاورميانه</t>
  </si>
  <si>
    <t>‫توسعه معادن وص.معدني خاورميانه (تقدم)</t>
  </si>
  <si>
    <t>‫توسعه‌معادن‌وفلزات‌</t>
  </si>
  <si>
    <t>‫دارويي تامين</t>
  </si>
  <si>
    <t>‫ذوب آهن  اصفهان</t>
  </si>
  <si>
    <t>‫سايپا</t>
  </si>
  <si>
    <t>‫سرمايه گذاري تامين اجتماعي</t>
  </si>
  <si>
    <t>‫سرمايه گذاري صدرتامين</t>
  </si>
  <si>
    <t>‫سرمايه گذاري غدير</t>
  </si>
  <si>
    <t>‫صنايع شيميايي كيمياگران امروز</t>
  </si>
  <si>
    <t>‫صنايع پتروشيمي خليج فارس</t>
  </si>
  <si>
    <t>‫صندوق بازنشستگي</t>
  </si>
  <si>
    <t>‫فولاد خوزستان</t>
  </si>
  <si>
    <t>‫فولاد مباركه</t>
  </si>
  <si>
    <t>‫كشتيراني ايران</t>
  </si>
  <si>
    <t>‫مبين انرژي خليج فارس</t>
  </si>
  <si>
    <t>‫مخابرات</t>
  </si>
  <si>
    <t>‫ملي مس</t>
  </si>
  <si>
    <t>‫مپنا</t>
  </si>
  <si>
    <t>‫نفت اصفهان</t>
  </si>
  <si>
    <t>‫نفت بندر عباس</t>
  </si>
  <si>
    <t>‫نفت بهران</t>
  </si>
  <si>
    <t>‫نفت تبريز</t>
  </si>
  <si>
    <t>‫نفت تهران</t>
  </si>
  <si>
    <t>‫نفت و گاز پارسیان</t>
  </si>
  <si>
    <t>‫پتروشيمي بوعلي سينا</t>
  </si>
  <si>
    <t>‫پتروشيمي جم</t>
  </si>
  <si>
    <t>‫پتروشيمي شازند</t>
  </si>
  <si>
    <t>‫پتروشيمي نوري</t>
  </si>
  <si>
    <t>‫پتروشيمي پارس</t>
  </si>
  <si>
    <t>‫پتروشيمی پردیس</t>
  </si>
  <si>
    <t>‫پتروشیمی تامین</t>
  </si>
  <si>
    <t>‫چادرملو</t>
  </si>
  <si>
    <t>‫چادرملو (تقدم)</t>
  </si>
  <si>
    <t>‫گروه بهمن</t>
  </si>
  <si>
    <t>‫گل گهر</t>
  </si>
  <si>
    <t>‫گل گهر (تقدم)</t>
  </si>
  <si>
    <t>‫جمع</t>
  </si>
  <si>
    <t>‫نام سهام</t>
  </si>
  <si>
    <t>‫تاریخ سررسید</t>
  </si>
  <si>
    <t>‫سپرده‌های بانکی</t>
  </si>
  <si>
    <t>‫نرخ سود علی الحساب</t>
  </si>
  <si>
    <t>‫مبلغ</t>
  </si>
  <si>
    <t>‫افزایش</t>
  </si>
  <si>
    <t>‫کاهش</t>
  </si>
  <si>
    <t>‫0</t>
  </si>
  <si>
    <t>‫23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</si>
  <si>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</si>
  <si>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</si>
  <si>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</si>
  <si>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</si>
  <si>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</si>
  <si>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</si>
  <si>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</si>
  <si>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</si>
  <si>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‫2-2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</si>
  <si>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</si>
  <si>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</si>
  <si>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</si>
  <si>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</si>
  <si>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</si>
  <si>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</si>
  <si>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</si>
  <si>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</si>
  <si>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</si>
  <si>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</si>
  <si>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</si>
  <si>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‫1403/04/30</t>
  </si>
  <si>
    <t>‫آنتي بيوتيك سازي ايران</t>
  </si>
  <si>
    <t>‫1403/02/24</t>
  </si>
  <si>
    <t>‫1403/04/13</t>
  </si>
  <si>
    <t>‫1403/03/31</t>
  </si>
  <si>
    <t>‫1403/03/30</t>
  </si>
  <si>
    <t>‫1403/04/31</t>
  </si>
  <si>
    <t>‫1403/03/23</t>
  </si>
  <si>
    <t>‫1403/04/19</t>
  </si>
  <si>
    <t>‫1403/06/18</t>
  </si>
  <si>
    <t>‫1403/05/30</t>
  </si>
  <si>
    <t>‫1403/01/28</t>
  </si>
  <si>
    <t>‫1403/07/11</t>
  </si>
  <si>
    <t>‫1403/07/08</t>
  </si>
  <si>
    <t>‫1403/05/16</t>
  </si>
  <si>
    <t>‫نشاسته و گلوكز آردينه</t>
  </si>
  <si>
    <t>‫1403/03/09</t>
  </si>
  <si>
    <t>‫1403/04/28</t>
  </si>
  <si>
    <t>‫1403/04/24</t>
  </si>
  <si>
    <t>‫1403/04/17</t>
  </si>
  <si>
    <t>‫1403/04/11</t>
  </si>
  <si>
    <t>‫1403/04/29</t>
  </si>
  <si>
    <t>‫1403/04/16</t>
  </si>
  <si>
    <t>‫1402/10/06</t>
  </si>
  <si>
    <t>‫1403/04/06</t>
  </si>
  <si>
    <t>‫گسترش سوخت سبززاگرس(سهامي عام)</t>
  </si>
  <si>
    <t>‫1403/04/20</t>
  </si>
  <si>
    <t>‫تاریخ دریافت سود</t>
  </si>
  <si>
    <t>‫درآمد سود</t>
  </si>
  <si>
    <t>‫خالص درآمد</t>
  </si>
  <si>
    <t>‫كوتاه مدت-1.1270160.9967.132-گردشگري</t>
  </si>
  <si>
    <t>‫1403/07/03</t>
  </si>
  <si>
    <t>‫-</t>
  </si>
  <si>
    <t>‫كوتاه مدت-1.14938708.8100.415-پاسارگاد</t>
  </si>
  <si>
    <t>‫1403/07/01</t>
  </si>
  <si>
    <t>‫اجاره تابان فردا آشنا14060627</t>
  </si>
  <si>
    <t>‫1403/09/27</t>
  </si>
  <si>
    <t>‫1406/06/27</t>
  </si>
  <si>
    <t>‫سود(زیان) حاصل از فروش اوراق بهادار</t>
  </si>
  <si>
    <t>‫ارزش دفتری</t>
  </si>
  <si>
    <t>‫سود و زیان ناشی از فروش</t>
  </si>
  <si>
    <t>‫اختيارخ خساپا-2400-1403/06/28</t>
  </si>
  <si>
    <t>‫اختيارخ خودرو-2200-1403/06/07</t>
  </si>
  <si>
    <t>‫اختيارخ خودرو-2400-1403/06/07</t>
  </si>
  <si>
    <t>‫اختيارخ ذوب-400-1403/07/22</t>
  </si>
  <si>
    <t>‫اختيارخ شستا-1100-1403/05/03</t>
  </si>
  <si>
    <t>‫اختيارخ شپنا-4390-1403/06/21</t>
  </si>
  <si>
    <t>‫اختيارخ وبملت-2400-1403/07/25</t>
  </si>
  <si>
    <t>‫اختيارف خودرو-2600-1403/07/04</t>
  </si>
  <si>
    <t>‫بين المللي توسعه ص. معادن غدير</t>
  </si>
  <si>
    <t>‫تجلي توسعه معادن و فلزات</t>
  </si>
  <si>
    <t>‫دكترعبيدي</t>
  </si>
  <si>
    <t>‫سرمايه گذاري اميد</t>
  </si>
  <si>
    <t>‫فروشگاههاي زنجيره اي افق كوروش</t>
  </si>
  <si>
    <t>‫پاکشو</t>
  </si>
  <si>
    <t>‫پلي پروپيلن جم - جم پيلن</t>
  </si>
  <si>
    <t>‫گروه مالي داتام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</si>
  <si>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</si>
  <si>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</si>
  <si>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</si>
  <si>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</si>
  <si>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</si>
  <si>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</si>
  <si>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</si>
  <si>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</si>
  <si>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‫بانك اقتصاد نوين</t>
  </si>
  <si>
    <t>‫بانك صادرات ايران</t>
  </si>
  <si>
    <t>‫ذوب آهن اصفهان</t>
  </si>
  <si>
    <t>‫س. نفت و گاز و پتروشيمي تامين</t>
  </si>
  <si>
    <t>‫سرمايه گذاري توسعه معادن و فلزات (هلدينگ)</t>
  </si>
  <si>
    <t>‫سرمايه گذاري دارويي تامين</t>
  </si>
  <si>
    <t>‫سرمايه گذاري صندوق بازنشستگي كشوري (هلدينگ)</t>
  </si>
  <si>
    <t>‫سرمايه گذاري غدير (هلدينگ)</t>
  </si>
  <si>
    <t>‫شركت ارتباطات سيار ايران</t>
  </si>
  <si>
    <t>‫شركت مخابرات ايران</t>
  </si>
  <si>
    <t>‫شركت پالايش نفت بندر عباس</t>
  </si>
  <si>
    <t>‫شركت گسترش نفت و گاز پارسيان</t>
  </si>
  <si>
    <t>‫فولاد مباركه اصفهان</t>
  </si>
  <si>
    <t>‫كشتيراني جمهوري اسلامي ايران</t>
  </si>
  <si>
    <t>‫معدني و صنعتي چادر ملو</t>
  </si>
  <si>
    <t>‫معدني و صنعتي گل گهر</t>
  </si>
  <si>
    <t>‫ملي صنايع مس ايران</t>
  </si>
  <si>
    <t>‫پالايش نفت اصفهان</t>
  </si>
  <si>
    <t>‫پالايش نفت تبريز</t>
  </si>
  <si>
    <t>‫پالايش نفت تهران</t>
  </si>
  <si>
    <t>‫پتروشيمي پرديس</t>
  </si>
  <si>
    <t>‫گروه مپنا</t>
  </si>
  <si>
    <t>‫لابراتوار دكتر عبيدي</t>
  </si>
  <si>
    <t>‫گروه صنعتي پاكشو</t>
  </si>
  <si>
    <t>‫گروه مديريت سرمايه گذاري اميد</t>
  </si>
  <si>
    <t>‫2-2- درآمد حاصل از سرمایه گذاری در اوراق بهادار با درآمد ثابت:</t>
  </si>
  <si>
    <t>‫درآمد سود اوراق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</si>
  <si>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</si>
  <si>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</si>
  <si>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</si>
  <si>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</si>
  <si>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‫سپرده بانکی کوتاه مدت - پاسارگاد</t>
  </si>
  <si>
    <t>‫سپرده بانکی کوتاه مدت - گردشگري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</si>
  <si>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</si>
  <si>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</si>
  <si>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</si>
  <si>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</si>
  <si>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</si>
  <si>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</si>
  <si>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</si>
  <si>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نقل به صفحه بعد</t>
  </si>
  <si>
    <t>نقل از صفحه قبل</t>
  </si>
  <si>
    <t>‫1-2- سرمایه گذاری در سپرده بانکی</t>
  </si>
  <si>
    <t>‫سپرده های بانکی نزد بانک پاسارگاد</t>
  </si>
  <si>
    <t>‫سپرده های بانکی نزد بانک گردشگري</t>
  </si>
  <si>
    <t>‫2-1- درآمد حاصل از سرمایه گذاری در سهام و حق تقدم سهام:</t>
  </si>
  <si>
    <t>اختیارخ شستا-1100-1403/08/09</t>
  </si>
  <si>
    <t>اختیارخ شستا-1100-1403/05/03</t>
  </si>
  <si>
    <t>‫اختيارخ فولاد-5500-1403/05/31</t>
  </si>
  <si>
    <t>اختیار ف خودرو-2600-1403/07/04</t>
  </si>
  <si>
    <t>‫اختيارخ شستا-1200-1403/09/14</t>
  </si>
  <si>
    <t>‫اختيارخ شستا-1300-1403/10/12</t>
  </si>
  <si>
    <t>اختیار ف خودرو-2600-1403/08/02</t>
  </si>
  <si>
    <t>‫2-1</t>
  </si>
  <si>
    <t>‫2-3</t>
  </si>
  <si>
    <t>‫2-4</t>
  </si>
  <si>
    <t>‫2-3- درآمد حاصل از سرمایه گذاری در سپرده بانکی و گواهی سپرده:</t>
  </si>
  <si>
    <t>‫2-4- سایر درآمدها:</t>
  </si>
  <si>
    <t>سایر درآمد ها</t>
  </si>
  <si>
    <t>تعدیل کارمزد کارگزاری</t>
  </si>
  <si>
    <t>‫سود اوراق بهادار با درآمد ثابت</t>
  </si>
  <si>
    <t>‫سود سپرده بانکی</t>
  </si>
  <si>
    <t>‫اختيارخ شستا-1100-1403/08/09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</si>
</sst>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6"/>
  </cellStyleXfs>
  <cellXfs count="40">
    <xf numFmtId="0" fontId="0" fillId="0" borderId="0" xfId="0"/>
    <xf numFmtId="0" fontId="3" fillId="0" borderId="0" xfId="0" applyFont="1"/>
    <xf numFmtId="0" fontId="3" fillId="2" borderId="6" xfId="1" applyFont="1"/>
    <xf numFmtId="37" fontId="7" fillId="0" borderId="0" xfId="0" applyNumberFormat="1" applyFont="1" applyAlignment="1">
      <alignment horizontal="right" vertical="center"/>
    </xf>
    <xf numFmtId="37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7" fontId="8" fillId="0" borderId="0" xfId="0" applyNumberFormat="1" applyFont="1" applyAlignment="1">
      <alignment horizontal="center" vertical="center" wrapText="1"/>
    </xf>
    <xf numFmtId="37" fontId="8" fillId="0" borderId="1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horizontal="right" vertical="center" wrapText="1"/>
    </xf>
    <xf numFmtId="37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37" fontId="8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37" fontId="8" fillId="0" borderId="4" xfId="0" applyNumberFormat="1" applyFont="1" applyBorder="1" applyAlignment="1">
      <alignment horizontal="center" vertical="center"/>
    </xf>
    <xf numFmtId="37" fontId="8" fillId="0" borderId="6" xfId="0" applyNumberFormat="1" applyFont="1" applyBorder="1" applyAlignment="1">
      <alignment horizontal="center" vertical="center"/>
    </xf>
    <xf numFmtId="37" fontId="8" fillId="0" borderId="9" xfId="0" applyNumberFormat="1" applyFont="1" applyBorder="1" applyAlignment="1">
      <alignment horizontal="center" vertical="center"/>
    </xf>
    <xf numFmtId="10" fontId="8" fillId="0" borderId="10" xfId="0" applyNumberFormat="1" applyFont="1" applyBorder="1" applyAlignment="1">
      <alignment horizontal="center" vertical="center"/>
    </xf>
    <xf numFmtId="37" fontId="7" fillId="0" borderId="1" xfId="0" applyNumberFormat="1" applyFont="1" applyBorder="1" applyAlignment="1">
      <alignment horizontal="center" vertical="center" wrapText="1"/>
    </xf>
    <xf numFmtId="37" fontId="3" fillId="0" borderId="0" xfId="0" applyNumberFormat="1" applyFont="1"/>
    <xf numFmtId="37" fontId="8" fillId="2" borderId="6" xfId="0" applyNumberFormat="1" applyFont="1" applyFill="1" applyBorder="1" applyAlignment="1">
      <alignment horizontal="center" vertical="center"/>
    </xf>
    <xf numFmtId="37" fontId="7" fillId="0" borderId="11" xfId="0" applyNumberFormat="1" applyFont="1" applyBorder="1" applyAlignment="1">
      <alignment horizontal="center" vertical="center"/>
    </xf>
    <xf numFmtId="37" fontId="7" fillId="0" borderId="6" xfId="0" applyNumberFormat="1" applyFont="1" applyBorder="1" applyAlignment="1">
      <alignment horizontal="center" vertical="center" wrapText="1"/>
    </xf>
    <xf numFmtId="0" fontId="3" fillId="2" borderId="6" xfId="0" applyFont="1" applyFill="1" applyBorder="1"/>
    <xf numFmtId="0" fontId="3" fillId="0" borderId="6" xfId="0" applyFont="1" applyBorder="1"/>
    <xf numFmtId="37" fontId="7" fillId="0" borderId="0" xfId="0" applyNumberFormat="1" applyFont="1" applyAlignment="1">
      <alignment horizontal="center" vertical="center"/>
    </xf>
    <xf numFmtId="0" fontId="5" fillId="2" borderId="6" xfId="1" applyFont="1" applyAlignment="1">
      <alignment horizontal="center" vertical="center" wrapText="1" readingOrder="2"/>
    </xf>
    <xf numFmtId="37" fontId="2" fillId="0" borderId="0" xfId="0" applyNumberFormat="1" applyFont="1" applyAlignment="1">
      <alignment horizontal="center" vertical="center"/>
    </xf>
    <xf numFmtId="0" fontId="3" fillId="0" borderId="0" xfId="0" applyFont="1"/>
    <xf numFmtId="0" fontId="4" fillId="3" borderId="6" xfId="1" applyFont="1" applyFill="1" applyAlignment="1">
      <alignment horizontal="center" vertical="center" wrapText="1" readingOrder="2"/>
    </xf>
    <xf numFmtId="37" fontId="7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/>
    <xf numFmtId="0" fontId="8" fillId="0" borderId="0" xfId="0" applyFont="1" applyAlignment="1">
      <alignment horizontal="center" vertical="center"/>
    </xf>
    <xf numFmtId="37" fontId="8" fillId="0" borderId="1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horizontal="center" vertical="center" wrapText="1"/>
    </xf>
    <xf numFmtId="37" fontId="6" fillId="0" borderId="0" xfId="0" applyNumberFormat="1" applyFont="1" applyAlignment="1">
      <alignment horizontal="center" vertical="center"/>
    </xf>
    <xf numFmtId="37" fontId="7" fillId="0" borderId="0" xfId="0" applyNumberFormat="1" applyFont="1" applyAlignment="1">
      <alignment horizontal="right" vertical="center"/>
    </xf>
    <xf numFmtId="37" fontId="7" fillId="0" borderId="12" xfId="0" applyNumberFormat="1" applyFont="1" applyBorder="1" applyAlignment="1">
      <alignment horizontal="center" vertical="center"/>
    </xf>
    <xf numFmtId="37" fontId="8" fillId="0" borderId="5" xfId="0" applyNumberFormat="1" applyFont="1" applyBorder="1" applyAlignment="1">
      <alignment horizontal="center" vertical="center"/>
    </xf>
    <xf numFmtId="0" fontId="3" fillId="2" borderId="7" xfId="0" applyFont="1" applyFill="1" applyBorder="1"/>
    <xf numFmtId="0" fontId="3" fillId="2" borderId="8" xfId="0" applyFont="1" applyFill="1" applyBorder="1"/>
  </cellXfs>
  <cellStyles count="2">
    <cellStyle name="Normal" xfId="0" builtinId="0"/>
    <cellStyle name="Normal 2" xfId="1" xr:uid="{28C5B444-DE8C-4907-88E2-5A7A2BEBB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406400</xdr:colOff>
      <xdr:row>6</xdr:row>
      <xdr:rowOff>76200</xdr:rowOff>
    </xdr:from>
    <xdr:to>
      <xdr:col>6</xdr:col>
      <xdr:colOff>371448</xdr:colOff>
      <xdr:row>13</xdr:row>
      <xdr:rowOff>155575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E6FFA3-A691-464F-B42E-C5EACAE5E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3660352" y="1524000"/>
          <a:ext cx="1984348" cy="1768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1045028</xdr:colOff>
      <xdr:row>3</xdr:row>
      <xdr:rowOff>180229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124A08-7799-49DC-9E78-22CB8AF7F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7392886" y="1"/>
          <a:ext cx="1045028" cy="9313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1045028</xdr:colOff>
      <xdr:row>3</xdr:row>
      <xdr:rowOff>187848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42E5D6-D286-48DF-9E70-8BB734E8B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600512" y="0"/>
          <a:ext cx="1045028" cy="9422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15240</xdr:rowOff>
    </xdr:from>
    <xdr:to>
      <xdr:col>0</xdr:col>
      <xdr:colOff>947344</xdr:colOff>
      <xdr:row>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E585D-E934-4AA7-A0EC-244B89049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15616" y="15240"/>
          <a:ext cx="947343" cy="8610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1045028</xdr:colOff>
      <xdr:row>3</xdr:row>
      <xdr:rowOff>195468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3DB6D-2E63-4796-81BC-367F9900B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987352" y="0"/>
          <a:ext cx="1045028" cy="9498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964754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A2A79-9BE5-4614-9121-1E412956C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930466" y="0"/>
          <a:ext cx="964754" cy="8839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964754</xdr:colOff>
      <xdr:row>2</xdr:row>
      <xdr:rowOff>219635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ED06C-3C73-4992-BC9C-5350D161A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587566" y="15240"/>
          <a:ext cx="964754" cy="891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809412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FA786-9A2B-4D66-98CA-96B06FBCB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741128" y="0"/>
          <a:ext cx="809412" cy="7543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964754</xdr:colOff>
      <xdr:row>3</xdr:row>
      <xdr:rowOff>147245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989AD-B110-4C3C-9D6C-D3E237EA0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4476946" y="0"/>
          <a:ext cx="964754" cy="8901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964754</xdr:colOff>
      <xdr:row>3</xdr:row>
      <xdr:rowOff>135815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B6335-194A-4FA5-AC66-DB39465F5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741746" y="0"/>
          <a:ext cx="964754" cy="8901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964754</xdr:colOff>
      <xdr:row>3</xdr:row>
      <xdr:rowOff>143435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29774-1A08-42B6-ADB8-469C3FBF1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503746" y="0"/>
          <a:ext cx="964754" cy="89781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0</xdr:col>
      <xdr:colOff>964754</xdr:colOff>
      <xdr:row>3</xdr:row>
      <xdr:rowOff>156135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70583-8E25-44D0-83B8-0AC8BAEC4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159746" y="12700"/>
          <a:ext cx="964754" cy="90543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31</xdr:row>
      <xdr:rowOff>12700</xdr:rowOff>
    </xdr:from>
    <xdr:ext cx="964754" cy="905435"/>
    <xdr:pic>
      <xdr:nvPicPr>
        <xdr:cNvPr id="3" name="Picture 2">
          <a:extLst>
            <a:ext uri="{FF2B5EF4-FFF2-40B4-BE49-F238E27FC236}">
              <a16:creationId xmlns:a16="http://schemas.microsoft.com/office/drawing/2014/main" id="{5165FFD0-EA7D-4313-982F-F63E6E0E6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159746" y="12700"/>
          <a:ext cx="964754" cy="9054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12700</xdr:rowOff>
    </xdr:from>
    <xdr:ext cx="964754" cy="905435"/>
    <xdr:pic>
      <xdr:nvPicPr>
        <xdr:cNvPr id="4" name="Picture 3">
          <a:extLst>
            <a:ext uri="{FF2B5EF4-FFF2-40B4-BE49-F238E27FC236}">
              <a16:creationId xmlns:a16="http://schemas.microsoft.com/office/drawing/2014/main" id="{01442C8D-ADD5-43F8-8756-46F2AABA3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159746" y="8420100"/>
          <a:ext cx="964754" cy="9054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12700</xdr:rowOff>
    </xdr:from>
    <xdr:ext cx="964754" cy="905435"/>
    <xdr:pic>
      <xdr:nvPicPr>
        <xdr:cNvPr id="5" name="Picture 4">
          <a:extLst>
            <a:ext uri="{FF2B5EF4-FFF2-40B4-BE49-F238E27FC236}">
              <a16:creationId xmlns:a16="http://schemas.microsoft.com/office/drawing/2014/main" id="{7FF32C05-3CA3-4F23-9C9D-1A96EC0CD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159746" y="16827500"/>
          <a:ext cx="964754" cy="90543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964754</xdr:colOff>
      <xdr:row>3</xdr:row>
      <xdr:rowOff>158675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7E8518-A320-47FE-9088-C2DB67C34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235266" y="7620"/>
          <a:ext cx="964754" cy="90543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32</xdr:row>
      <xdr:rowOff>7620</xdr:rowOff>
    </xdr:from>
    <xdr:ext cx="964754" cy="913055"/>
    <xdr:pic>
      <xdr:nvPicPr>
        <xdr:cNvPr id="3" name="Picture 2">
          <a:extLst>
            <a:ext uri="{FF2B5EF4-FFF2-40B4-BE49-F238E27FC236}">
              <a16:creationId xmlns:a16="http://schemas.microsoft.com/office/drawing/2014/main" id="{C8180784-3D0D-48DF-A56F-AF8C71B4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756646" y="7620"/>
          <a:ext cx="964754" cy="9130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7620</xdr:rowOff>
    </xdr:from>
    <xdr:ext cx="964754" cy="913055"/>
    <xdr:pic>
      <xdr:nvPicPr>
        <xdr:cNvPr id="4" name="Picture 3">
          <a:extLst>
            <a:ext uri="{FF2B5EF4-FFF2-40B4-BE49-F238E27FC236}">
              <a16:creationId xmlns:a16="http://schemas.microsoft.com/office/drawing/2014/main" id="{706AD3FF-1B19-4BFA-B67D-6AED16827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756646" y="8681720"/>
          <a:ext cx="964754" cy="9130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7620</xdr:rowOff>
    </xdr:from>
    <xdr:ext cx="964754" cy="913055"/>
    <xdr:pic>
      <xdr:nvPicPr>
        <xdr:cNvPr id="5" name="Picture 4">
          <a:extLst>
            <a:ext uri="{FF2B5EF4-FFF2-40B4-BE49-F238E27FC236}">
              <a16:creationId xmlns:a16="http://schemas.microsoft.com/office/drawing/2014/main" id="{469E18A2-9E9C-4081-B75B-D18F64D1E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8756646" y="17355820"/>
          <a:ext cx="964754" cy="9130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9:J28"/>
  <sheetViews>
    <sheetView rightToLeft="1" view="pageBreakPreview" zoomScale="60" zoomScaleNormal="100" workbookViewId="0">
      <selection activeCell="C24" sqref="C24"/>
    </sheetView>
  </sheetViews>
  <sheetFormatPr defaultColWidth="8.85546875" defaultRowHeight="19.5" x14ac:dyDescent="0.55000000000000004"/>
  <cols>
    <col min="1" max="16384" width="8.85546875" style="1"/>
  </cols>
  <sheetData>
    <row r="19" spans="1:10" ht="40.15" customHeight="1" x14ac:dyDescent="0.55000000000000004">
      <c r="A19" s="26" t="s">
        <v>0</v>
      </c>
      <c r="B19" s="27"/>
      <c r="C19" s="27"/>
      <c r="D19" s="27"/>
      <c r="E19" s="27"/>
      <c r="F19" s="27"/>
      <c r="G19" s="27"/>
      <c r="H19" s="27"/>
      <c r="I19" s="27"/>
      <c r="J19" s="27"/>
    </row>
    <row r="20" spans="1:10" ht="40.15" customHeight="1" x14ac:dyDescent="0.55000000000000004">
      <c r="A20" s="26" t="s">
        <v>1</v>
      </c>
      <c r="B20" s="27"/>
      <c r="C20" s="27"/>
      <c r="D20" s="27"/>
      <c r="E20" s="27"/>
      <c r="F20" s="27"/>
      <c r="G20" s="27"/>
      <c r="H20" s="27"/>
      <c r="I20" s="27"/>
      <c r="J20" s="27"/>
    </row>
    <row r="21" spans="1:10" ht="40.15" customHeight="1" x14ac:dyDescent="0.55000000000000004">
      <c r="A21" s="26" t="s">
        <v>2</v>
      </c>
      <c r="B21" s="27"/>
      <c r="C21" s="27"/>
      <c r="D21" s="27"/>
      <c r="E21" s="27"/>
      <c r="F21" s="27"/>
      <c r="G21" s="27"/>
      <c r="H21" s="27"/>
      <c r="I21" s="27"/>
      <c r="J21" s="27"/>
    </row>
    <row r="27" spans="1:10" s="2" customFormat="1" ht="43.5" customHeight="1" x14ac:dyDescent="0.55000000000000004">
      <c r="B27" s="28" t="s">
        <v>212</v>
      </c>
      <c r="C27" s="28"/>
      <c r="D27" s="28" t="s">
        <v>213</v>
      </c>
      <c r="E27" s="28"/>
      <c r="F27" s="28" t="s">
        <v>214</v>
      </c>
      <c r="G27" s="28"/>
      <c r="H27" s="28" t="s">
        <v>215</v>
      </c>
      <c r="I27" s="28"/>
    </row>
    <row r="28" spans="1:10" s="2" customFormat="1" ht="39.75" customHeight="1" x14ac:dyDescent="0.55000000000000004">
      <c r="B28" s="25" t="s">
        <v>216</v>
      </c>
      <c r="C28" s="25"/>
      <c r="D28" s="25" t="s">
        <v>217</v>
      </c>
      <c r="E28" s="25"/>
      <c r="F28" s="25" t="s">
        <v>218</v>
      </c>
      <c r="G28" s="25"/>
      <c r="H28" s="25"/>
      <c r="I28" s="25"/>
    </row>
  </sheetData>
  <mergeCells count="11">
    <mergeCell ref="B28:C28"/>
    <mergeCell ref="D28:E28"/>
    <mergeCell ref="F28:G28"/>
    <mergeCell ref="H28:I28"/>
    <mergeCell ref="A19:J19"/>
    <mergeCell ref="A20:J20"/>
    <mergeCell ref="A21:J21"/>
    <mergeCell ref="B27:C27"/>
    <mergeCell ref="D27:E27"/>
    <mergeCell ref="F27:G27"/>
    <mergeCell ref="H27:I27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60"/>
  <sheetViews>
    <sheetView rightToLeft="1" view="pageBreakPreview" topLeftCell="A31" zoomScale="60" zoomScaleNormal="70" workbookViewId="0">
      <selection activeCell="I69" sqref="I69"/>
    </sheetView>
  </sheetViews>
  <sheetFormatPr defaultColWidth="8.85546875" defaultRowHeight="19.5" x14ac:dyDescent="0.55000000000000004"/>
  <cols>
    <col min="1" max="1" width="27.28515625" style="1" customWidth="1"/>
    <col min="2" max="2" width="1.42578125" style="1" customWidth="1"/>
    <col min="3" max="3" width="12.8554687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1.42578125" style="1" customWidth="1"/>
    <col min="10" max="10" width="17" style="1" customWidth="1"/>
    <col min="11" max="11" width="1.42578125" style="1" customWidth="1"/>
    <col min="12" max="12" width="11.42578125" style="1" customWidth="1"/>
    <col min="13" max="13" width="17" style="1" customWidth="1"/>
    <col min="14" max="14" width="1.42578125" style="1" customWidth="1"/>
    <col min="15" max="15" width="12.85546875" style="1" customWidth="1"/>
    <col min="16" max="16" width="1.42578125" style="1" customWidth="1"/>
    <col min="17" max="17" width="11.42578125" style="1" customWidth="1"/>
    <col min="18" max="18" width="1.42578125" style="1" customWidth="1"/>
    <col min="19" max="19" width="17" style="1" customWidth="1"/>
    <col min="20" max="20" width="1.42578125" style="1" customWidth="1"/>
    <col min="21" max="21" width="17" style="1" customWidth="1"/>
    <col min="22" max="22" width="1.42578125" style="1" customWidth="1"/>
    <col min="23" max="23" width="8.42578125" style="1" customWidth="1"/>
    <col min="24" max="16384" width="8.85546875" style="1"/>
  </cols>
  <sheetData>
    <row r="1" spans="1:23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9.899999999999999" customHeight="1" x14ac:dyDescent="0.55000000000000004">
      <c r="A2" s="34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5" spans="1:23" ht="21" x14ac:dyDescent="0.55000000000000004">
      <c r="A5" s="35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3" ht="21" x14ac:dyDescent="0.55000000000000004">
      <c r="A6" s="35" t="s">
        <v>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8" spans="1:23" ht="21" x14ac:dyDescent="0.55000000000000004">
      <c r="C8" s="29" t="s">
        <v>5</v>
      </c>
      <c r="D8" s="30"/>
      <c r="E8" s="30"/>
      <c r="F8" s="30"/>
      <c r="G8" s="30"/>
      <c r="I8" s="29" t="s">
        <v>6</v>
      </c>
      <c r="J8" s="30"/>
      <c r="K8" s="30"/>
      <c r="L8" s="30"/>
      <c r="M8" s="30"/>
      <c r="O8" s="29" t="s">
        <v>7</v>
      </c>
      <c r="P8" s="30"/>
      <c r="Q8" s="30"/>
      <c r="R8" s="30"/>
      <c r="S8" s="30"/>
      <c r="T8" s="30"/>
      <c r="U8" s="30"/>
      <c r="V8" s="30"/>
      <c r="W8" s="30"/>
    </row>
    <row r="9" spans="1:23" ht="21" x14ac:dyDescent="0.55000000000000004">
      <c r="A9" s="31" t="s">
        <v>8</v>
      </c>
      <c r="C9" s="31" t="s">
        <v>9</v>
      </c>
      <c r="E9" s="31" t="s">
        <v>10</v>
      </c>
      <c r="G9" s="31" t="s">
        <v>11</v>
      </c>
      <c r="I9" s="31" t="s">
        <v>12</v>
      </c>
      <c r="J9" s="27"/>
      <c r="L9" s="31" t="s">
        <v>13</v>
      </c>
      <c r="M9" s="27"/>
      <c r="O9" s="31" t="s">
        <v>9</v>
      </c>
      <c r="Q9" s="33" t="s">
        <v>14</v>
      </c>
      <c r="S9" s="31" t="s">
        <v>10</v>
      </c>
      <c r="U9" s="31" t="s">
        <v>11</v>
      </c>
      <c r="W9" s="33" t="s">
        <v>15</v>
      </c>
    </row>
    <row r="10" spans="1:23" ht="21" x14ac:dyDescent="0.55000000000000004">
      <c r="A10" s="32"/>
      <c r="C10" s="32"/>
      <c r="E10" s="32"/>
      <c r="G10" s="32"/>
      <c r="I10" s="7" t="s">
        <v>9</v>
      </c>
      <c r="J10" s="7" t="s">
        <v>10</v>
      </c>
      <c r="L10" s="7" t="s">
        <v>9</v>
      </c>
      <c r="M10" s="7" t="s">
        <v>16</v>
      </c>
      <c r="O10" s="32"/>
      <c r="Q10" s="32"/>
      <c r="S10" s="32"/>
      <c r="U10" s="32"/>
      <c r="W10" s="32"/>
    </row>
    <row r="11" spans="1:23" ht="21" x14ac:dyDescent="0.55000000000000004">
      <c r="A11" s="8" t="s">
        <v>17</v>
      </c>
      <c r="C11" s="9">
        <v>467651</v>
      </c>
      <c r="E11" s="9">
        <v>2921674505</v>
      </c>
      <c r="G11" s="9">
        <v>2635804262</v>
      </c>
      <c r="I11" s="9">
        <v>0</v>
      </c>
      <c r="J11" s="9">
        <v>0</v>
      </c>
      <c r="L11" s="9">
        <v>0</v>
      </c>
      <c r="M11" s="9">
        <v>0</v>
      </c>
      <c r="N11" s="5"/>
      <c r="O11" s="9">
        <v>467651</v>
      </c>
      <c r="Q11" s="9">
        <v>5760</v>
      </c>
      <c r="S11" s="9">
        <v>2921674505</v>
      </c>
      <c r="U11" s="9">
        <v>2598614784</v>
      </c>
      <c r="W11" s="10">
        <v>2.4921284947700363E-3</v>
      </c>
    </row>
    <row r="12" spans="1:23" ht="21" x14ac:dyDescent="0.55000000000000004">
      <c r="A12" s="8" t="s">
        <v>156</v>
      </c>
      <c r="C12" s="9">
        <v>0</v>
      </c>
      <c r="D12" s="9"/>
      <c r="E12" s="9">
        <v>0</v>
      </c>
      <c r="G12" s="9">
        <v>6099261</v>
      </c>
      <c r="H12" s="5"/>
      <c r="I12" s="9">
        <v>0</v>
      </c>
      <c r="J12" s="9">
        <v>0</v>
      </c>
      <c r="L12" s="9">
        <v>7700000</v>
      </c>
      <c r="M12" s="9">
        <v>927644132</v>
      </c>
      <c r="O12" s="9">
        <v>0</v>
      </c>
      <c r="Q12" s="9">
        <v>0</v>
      </c>
      <c r="S12" s="9">
        <v>0</v>
      </c>
      <c r="U12" s="9">
        <v>0</v>
      </c>
      <c r="W12" s="10">
        <v>0</v>
      </c>
    </row>
    <row r="13" spans="1:23" ht="21" x14ac:dyDescent="0.55000000000000004">
      <c r="A13" s="8" t="s">
        <v>157</v>
      </c>
      <c r="C13" s="9">
        <v>0</v>
      </c>
      <c r="D13" s="9"/>
      <c r="E13" s="9">
        <v>0</v>
      </c>
      <c r="G13" s="9">
        <v>13941909</v>
      </c>
      <c r="H13" s="5"/>
      <c r="I13" s="9">
        <v>30000000</v>
      </c>
      <c r="J13" s="9">
        <v>2799075432</v>
      </c>
      <c r="L13" s="9">
        <v>30000000</v>
      </c>
      <c r="M13" s="9">
        <v>3509194274</v>
      </c>
      <c r="O13" s="9">
        <v>0</v>
      </c>
      <c r="Q13" s="9">
        <v>0</v>
      </c>
      <c r="S13" s="9">
        <v>0</v>
      </c>
      <c r="U13" s="9">
        <v>0</v>
      </c>
      <c r="W13" s="10">
        <v>0</v>
      </c>
    </row>
    <row r="14" spans="1:23" ht="21" x14ac:dyDescent="0.55000000000000004">
      <c r="A14" s="8" t="s">
        <v>39</v>
      </c>
      <c r="C14" s="9">
        <v>2000000</v>
      </c>
      <c r="E14" s="9">
        <v>8799272430</v>
      </c>
      <c r="G14" s="9">
        <v>7588577700</v>
      </c>
      <c r="I14" s="9">
        <v>0</v>
      </c>
      <c r="J14" s="9">
        <v>0</v>
      </c>
      <c r="L14" s="9">
        <v>0</v>
      </c>
      <c r="M14" s="9">
        <v>0</v>
      </c>
      <c r="N14" s="5"/>
      <c r="O14" s="9">
        <v>2000000</v>
      </c>
      <c r="Q14" s="9">
        <v>3673</v>
      </c>
      <c r="S14" s="9">
        <v>8799272430</v>
      </c>
      <c r="U14" s="9">
        <v>7099505100</v>
      </c>
      <c r="W14" s="10">
        <v>6.8085808898696682E-3</v>
      </c>
    </row>
    <row r="15" spans="1:23" ht="21" x14ac:dyDescent="0.55000000000000004">
      <c r="A15" s="8" t="s">
        <v>40</v>
      </c>
      <c r="C15" s="9">
        <v>2800000</v>
      </c>
      <c r="E15" s="9">
        <v>8781891946</v>
      </c>
      <c r="G15" s="9">
        <v>9688806540</v>
      </c>
      <c r="I15" s="9">
        <v>0</v>
      </c>
      <c r="J15" s="9">
        <v>0</v>
      </c>
      <c r="L15" s="9">
        <v>2800000</v>
      </c>
      <c r="M15" s="9">
        <v>10776993132</v>
      </c>
      <c r="O15" s="9">
        <v>0</v>
      </c>
      <c r="Q15" s="9">
        <v>0</v>
      </c>
      <c r="S15" s="9">
        <v>0</v>
      </c>
      <c r="U15" s="9">
        <v>0</v>
      </c>
      <c r="W15" s="10">
        <v>0</v>
      </c>
    </row>
    <row r="16" spans="1:23" ht="21" x14ac:dyDescent="0.55000000000000004">
      <c r="A16" s="8" t="s">
        <v>41</v>
      </c>
      <c r="C16" s="9">
        <v>7726948</v>
      </c>
      <c r="E16" s="9">
        <v>17704787532</v>
      </c>
      <c r="G16" s="9">
        <v>19663290008</v>
      </c>
      <c r="I16" s="9">
        <v>0</v>
      </c>
      <c r="J16" s="9">
        <v>0</v>
      </c>
      <c r="L16" s="9">
        <v>0</v>
      </c>
      <c r="M16" s="9">
        <v>0</v>
      </c>
      <c r="N16" s="5"/>
      <c r="O16" s="9">
        <v>7726948</v>
      </c>
      <c r="Q16" s="9">
        <v>2159</v>
      </c>
      <c r="S16" s="9">
        <v>17704787532</v>
      </c>
      <c r="U16" s="9">
        <v>16652348726</v>
      </c>
      <c r="W16" s="10">
        <v>1.5969967161131995E-2</v>
      </c>
    </row>
    <row r="17" spans="1:23" ht="21" x14ac:dyDescent="0.55000000000000004">
      <c r="A17" s="8" t="s">
        <v>42</v>
      </c>
      <c r="C17" s="9">
        <v>10000000</v>
      </c>
      <c r="E17" s="9">
        <v>14560081342</v>
      </c>
      <c r="G17" s="9">
        <v>13946521500</v>
      </c>
      <c r="I17" s="9">
        <v>0</v>
      </c>
      <c r="J17" s="9">
        <v>0</v>
      </c>
      <c r="L17" s="9">
        <v>0</v>
      </c>
      <c r="M17" s="9">
        <v>0</v>
      </c>
      <c r="N17" s="5"/>
      <c r="O17" s="9">
        <v>10000000</v>
      </c>
      <c r="Q17" s="9">
        <v>1388</v>
      </c>
      <c r="S17" s="9">
        <v>14560081342</v>
      </c>
      <c r="U17" s="9">
        <v>13449496500</v>
      </c>
      <c r="W17" s="10">
        <v>1.2898361724998125E-2</v>
      </c>
    </row>
    <row r="18" spans="1:23" ht="21" x14ac:dyDescent="0.55000000000000004">
      <c r="A18" s="8" t="s">
        <v>43</v>
      </c>
      <c r="C18" s="9">
        <v>1339175</v>
      </c>
      <c r="E18" s="9">
        <v>2842458949</v>
      </c>
      <c r="G18" s="9">
        <v>2180516917</v>
      </c>
      <c r="I18" s="9">
        <v>0</v>
      </c>
      <c r="J18" s="9">
        <v>0</v>
      </c>
      <c r="L18" s="9">
        <v>0</v>
      </c>
      <c r="M18" s="9">
        <v>0</v>
      </c>
      <c r="N18" s="5"/>
      <c r="O18" s="9">
        <v>1339175</v>
      </c>
      <c r="Q18" s="9">
        <v>1536</v>
      </c>
      <c r="S18" s="9">
        <v>2842458949</v>
      </c>
      <c r="U18" s="9">
        <v>2063370709</v>
      </c>
      <c r="W18" s="10">
        <v>1.9788177035064357E-3</v>
      </c>
    </row>
    <row r="19" spans="1:23" ht="21" x14ac:dyDescent="0.55000000000000004">
      <c r="A19" s="8" t="s">
        <v>44</v>
      </c>
      <c r="C19" s="9">
        <v>13300000</v>
      </c>
      <c r="E19" s="9">
        <v>17656503651</v>
      </c>
      <c r="G19" s="9">
        <v>28028233800</v>
      </c>
      <c r="I19" s="9">
        <v>0</v>
      </c>
      <c r="J19" s="9">
        <v>0</v>
      </c>
      <c r="L19" s="9">
        <v>0</v>
      </c>
      <c r="M19" s="9">
        <v>0</v>
      </c>
      <c r="N19" s="5"/>
      <c r="O19" s="9">
        <v>13300000</v>
      </c>
      <c r="Q19" s="9">
        <v>1851</v>
      </c>
      <c r="S19" s="9">
        <v>17656503651</v>
      </c>
      <c r="U19" s="9">
        <v>24498262845</v>
      </c>
      <c r="W19" s="10">
        <v>2.3494370648662697E-2</v>
      </c>
    </row>
    <row r="20" spans="1:23" ht="21" x14ac:dyDescent="0.55000000000000004">
      <c r="A20" s="8" t="s">
        <v>45</v>
      </c>
      <c r="C20" s="9">
        <v>3000000</v>
      </c>
      <c r="E20" s="9">
        <v>6899902441</v>
      </c>
      <c r="G20" s="9">
        <v>5487156000</v>
      </c>
      <c r="I20" s="9">
        <v>1500000</v>
      </c>
      <c r="J20" s="9">
        <v>3442191357</v>
      </c>
      <c r="L20" s="9">
        <v>0</v>
      </c>
      <c r="M20" s="9">
        <v>0</v>
      </c>
      <c r="O20" s="9">
        <v>4500000</v>
      </c>
      <c r="Q20" s="9">
        <v>2257</v>
      </c>
      <c r="S20" s="9">
        <v>10342093798</v>
      </c>
      <c r="U20" s="9">
        <v>10096068825</v>
      </c>
      <c r="W20" s="10">
        <v>9.6823511352508093E-3</v>
      </c>
    </row>
    <row r="21" spans="1:23" ht="21" x14ac:dyDescent="0.55000000000000004">
      <c r="A21" s="8" t="s">
        <v>46</v>
      </c>
      <c r="C21" s="9">
        <v>1650000</v>
      </c>
      <c r="E21" s="9">
        <v>3940903732</v>
      </c>
      <c r="G21" s="9">
        <v>3590359492</v>
      </c>
      <c r="I21" s="9">
        <v>0</v>
      </c>
      <c r="J21" s="9">
        <v>0</v>
      </c>
      <c r="L21" s="9">
        <v>0</v>
      </c>
      <c r="M21" s="9">
        <v>0</v>
      </c>
      <c r="N21" s="5"/>
      <c r="O21" s="9">
        <v>1650000</v>
      </c>
      <c r="Q21" s="9">
        <v>2047</v>
      </c>
      <c r="S21" s="9">
        <v>3940903732</v>
      </c>
      <c r="U21" s="9">
        <v>3290206095</v>
      </c>
      <c r="W21" s="10">
        <v>3.1553797097983219E-3</v>
      </c>
    </row>
    <row r="22" spans="1:23" ht="21" x14ac:dyDescent="0.55000000000000004">
      <c r="A22" s="8" t="s">
        <v>47</v>
      </c>
      <c r="C22" s="9">
        <v>3221825</v>
      </c>
      <c r="E22" s="9">
        <v>16157611302</v>
      </c>
      <c r="G22" s="9">
        <v>17326364314</v>
      </c>
      <c r="I22" s="9">
        <v>612146</v>
      </c>
      <c r="J22" s="9">
        <v>612146000</v>
      </c>
      <c r="L22" s="9">
        <v>0</v>
      </c>
      <c r="M22" s="9">
        <v>0</v>
      </c>
      <c r="O22" s="9">
        <v>3833971</v>
      </c>
      <c r="Q22" s="9">
        <v>5270</v>
      </c>
      <c r="S22" s="9">
        <v>16769757302</v>
      </c>
      <c r="U22" s="9">
        <v>19551245016</v>
      </c>
      <c r="W22" s="10">
        <v>1.8750072197158813E-2</v>
      </c>
    </row>
    <row r="23" spans="1:23" ht="42" x14ac:dyDescent="0.55000000000000004">
      <c r="A23" s="8" t="s">
        <v>48</v>
      </c>
      <c r="C23" s="9">
        <v>644365</v>
      </c>
      <c r="E23" s="9">
        <v>2587157261</v>
      </c>
      <c r="G23" s="9">
        <v>2466044459</v>
      </c>
      <c r="I23" s="9">
        <v>0</v>
      </c>
      <c r="J23" s="9">
        <v>0</v>
      </c>
      <c r="L23" s="9">
        <v>644365</v>
      </c>
      <c r="M23" s="9">
        <v>122821227</v>
      </c>
      <c r="O23" s="9">
        <v>0</v>
      </c>
      <c r="Q23" s="9">
        <v>0</v>
      </c>
      <c r="S23" s="9">
        <v>0</v>
      </c>
      <c r="U23" s="9">
        <v>0</v>
      </c>
      <c r="W23" s="10">
        <v>0</v>
      </c>
    </row>
    <row r="24" spans="1:23" ht="21" x14ac:dyDescent="0.55000000000000004">
      <c r="A24" s="8" t="s">
        <v>49</v>
      </c>
      <c r="C24" s="9">
        <v>5800000</v>
      </c>
      <c r="E24" s="9">
        <v>16350923338</v>
      </c>
      <c r="G24" s="9">
        <v>15895455930</v>
      </c>
      <c r="I24" s="9">
        <v>0</v>
      </c>
      <c r="J24" s="9">
        <v>0</v>
      </c>
      <c r="L24" s="9">
        <v>0</v>
      </c>
      <c r="M24" s="9">
        <v>0</v>
      </c>
      <c r="N24" s="5"/>
      <c r="O24" s="9">
        <v>5800000</v>
      </c>
      <c r="Q24" s="9">
        <v>2671</v>
      </c>
      <c r="S24" s="9">
        <v>16350923338</v>
      </c>
      <c r="U24" s="9">
        <v>15451513200</v>
      </c>
      <c r="W24" s="10">
        <v>1.4818339590049584E-2</v>
      </c>
    </row>
    <row r="25" spans="1:23" ht="21" x14ac:dyDescent="0.55000000000000004">
      <c r="A25" s="8" t="s">
        <v>50</v>
      </c>
      <c r="C25" s="9">
        <v>310000</v>
      </c>
      <c r="E25" s="9">
        <v>7981854649</v>
      </c>
      <c r="G25" s="9">
        <v>6163110000</v>
      </c>
      <c r="I25" s="9">
        <v>0</v>
      </c>
      <c r="J25" s="9">
        <v>0</v>
      </c>
      <c r="L25" s="9">
        <v>0</v>
      </c>
      <c r="M25" s="9">
        <v>0</v>
      </c>
      <c r="N25" s="5"/>
      <c r="O25" s="9">
        <v>310000</v>
      </c>
      <c r="Q25" s="9">
        <v>20440</v>
      </c>
      <c r="S25" s="9">
        <v>7981854649</v>
      </c>
      <c r="U25" s="9">
        <v>6135376005</v>
      </c>
      <c r="W25" s="10">
        <v>5.8839599706475183E-3</v>
      </c>
    </row>
    <row r="26" spans="1:23" ht="21" x14ac:dyDescent="0.55000000000000004">
      <c r="A26" s="8" t="s">
        <v>51</v>
      </c>
      <c r="C26" s="9">
        <v>10900000</v>
      </c>
      <c r="E26" s="9">
        <v>4983019745</v>
      </c>
      <c r="G26" s="9">
        <v>4594101480</v>
      </c>
      <c r="I26" s="9">
        <v>0</v>
      </c>
      <c r="J26" s="9">
        <v>0</v>
      </c>
      <c r="L26" s="9">
        <v>0</v>
      </c>
      <c r="M26" s="9">
        <v>0</v>
      </c>
      <c r="N26" s="5"/>
      <c r="O26" s="9">
        <v>10900000</v>
      </c>
      <c r="Q26" s="9">
        <v>364</v>
      </c>
      <c r="S26" s="9">
        <v>4983019745</v>
      </c>
      <c r="U26" s="9">
        <v>3965663070</v>
      </c>
      <c r="W26" s="10">
        <v>3.8031577432156333E-3</v>
      </c>
    </row>
    <row r="27" spans="1:23" ht="21" x14ac:dyDescent="0.55000000000000004">
      <c r="A27" s="8" t="s">
        <v>52</v>
      </c>
      <c r="C27" s="9">
        <v>6600000</v>
      </c>
      <c r="E27" s="9">
        <v>13488862871</v>
      </c>
      <c r="G27" s="9">
        <v>15909770250</v>
      </c>
      <c r="I27" s="9">
        <v>0</v>
      </c>
      <c r="J27" s="9">
        <v>0</v>
      </c>
      <c r="L27" s="9">
        <v>0</v>
      </c>
      <c r="M27" s="9">
        <v>0</v>
      </c>
      <c r="N27" s="5"/>
      <c r="O27" s="9">
        <v>6600000</v>
      </c>
      <c r="Q27" s="9">
        <v>2143</v>
      </c>
      <c r="S27" s="9">
        <v>13488862871</v>
      </c>
      <c r="U27" s="9">
        <v>14059644390</v>
      </c>
      <c r="W27" s="10">
        <v>1.3483506915449259E-2</v>
      </c>
    </row>
    <row r="28" spans="1:23" ht="21" x14ac:dyDescent="0.55000000000000004">
      <c r="A28" s="8" t="s">
        <v>53</v>
      </c>
      <c r="C28" s="9">
        <v>21541699</v>
      </c>
      <c r="E28" s="9">
        <v>24202740359</v>
      </c>
      <c r="G28" s="9">
        <v>24604141249</v>
      </c>
      <c r="I28" s="9">
        <v>26800000</v>
      </c>
      <c r="J28" s="9">
        <v>31116849207</v>
      </c>
      <c r="L28" s="9">
        <v>0</v>
      </c>
      <c r="M28" s="9">
        <v>0</v>
      </c>
      <c r="O28" s="9">
        <v>48341699</v>
      </c>
      <c r="Q28" s="9">
        <v>1091</v>
      </c>
      <c r="S28" s="9">
        <v>55319589566</v>
      </c>
      <c r="U28" s="9">
        <v>52378931821</v>
      </c>
      <c r="W28" s="10">
        <v>5.0232542861085749E-2</v>
      </c>
    </row>
    <row r="29" spans="1:23" ht="21" x14ac:dyDescent="0.55000000000000004">
      <c r="A29" s="8" t="s">
        <v>54</v>
      </c>
      <c r="C29" s="9">
        <v>288004</v>
      </c>
      <c r="E29" s="9">
        <v>2499578702</v>
      </c>
      <c r="G29" s="9">
        <v>2516492407</v>
      </c>
      <c r="I29" s="9">
        <v>0</v>
      </c>
      <c r="J29" s="9">
        <v>0</v>
      </c>
      <c r="L29" s="9">
        <v>0</v>
      </c>
      <c r="M29" s="9">
        <v>0</v>
      </c>
      <c r="N29" s="5"/>
      <c r="O29" s="9">
        <v>288004</v>
      </c>
      <c r="Q29" s="9">
        <v>9020</v>
      </c>
      <c r="S29" s="9">
        <v>2499578702</v>
      </c>
      <c r="U29" s="9">
        <v>2547984348</v>
      </c>
      <c r="W29" s="10">
        <v>2.4435727976982262E-3</v>
      </c>
    </row>
    <row r="30" spans="1:23" ht="21" x14ac:dyDescent="0.55000000000000004">
      <c r="A30" s="8" t="s">
        <v>55</v>
      </c>
      <c r="C30" s="9">
        <v>3279048</v>
      </c>
      <c r="E30" s="9">
        <v>19971482566</v>
      </c>
      <c r="G30" s="9">
        <v>22751572898</v>
      </c>
      <c r="I30" s="9">
        <v>0</v>
      </c>
      <c r="J30" s="9">
        <v>0</v>
      </c>
      <c r="L30" s="9">
        <v>0</v>
      </c>
      <c r="M30" s="9">
        <v>0</v>
      </c>
      <c r="N30" s="5"/>
      <c r="O30" s="9">
        <v>3279048</v>
      </c>
      <c r="Q30" s="9">
        <v>6790</v>
      </c>
      <c r="S30" s="9">
        <v>19971482566</v>
      </c>
      <c r="U30" s="9">
        <v>21838902351</v>
      </c>
      <c r="W30" s="10">
        <v>2.094398568750213E-2</v>
      </c>
    </row>
    <row r="31" spans="1:23" ht="21" x14ac:dyDescent="0.55000000000000004">
      <c r="A31" s="8" t="s">
        <v>56</v>
      </c>
      <c r="C31" s="9">
        <v>0</v>
      </c>
      <c r="E31" s="9">
        <v>0</v>
      </c>
      <c r="G31" s="9">
        <v>0</v>
      </c>
      <c r="H31" s="5"/>
      <c r="I31" s="9">
        <v>7800000</v>
      </c>
      <c r="J31" s="9">
        <v>25845245830</v>
      </c>
      <c r="L31" s="9">
        <v>0</v>
      </c>
      <c r="M31" s="9">
        <v>0</v>
      </c>
      <c r="O31" s="9">
        <v>7800000</v>
      </c>
      <c r="Q31" s="9">
        <v>3052</v>
      </c>
      <c r="S31" s="9">
        <v>25845245830</v>
      </c>
      <c r="U31" s="9">
        <v>23601927960</v>
      </c>
      <c r="W31" s="10">
        <v>2.2634765861712897E-2</v>
      </c>
    </row>
    <row r="32" spans="1:23" ht="21" x14ac:dyDescent="0.55000000000000004">
      <c r="A32" s="8" t="s">
        <v>57</v>
      </c>
      <c r="C32" s="9">
        <v>11399204</v>
      </c>
      <c r="E32" s="9">
        <v>71901725476</v>
      </c>
      <c r="G32" s="9">
        <v>75693609958</v>
      </c>
      <c r="I32" s="9">
        <v>0</v>
      </c>
      <c r="J32" s="9">
        <v>0</v>
      </c>
      <c r="L32" s="9">
        <v>0</v>
      </c>
      <c r="M32" s="9">
        <v>0</v>
      </c>
      <c r="N32" s="5"/>
      <c r="O32" s="9">
        <v>11399204</v>
      </c>
      <c r="Q32" s="9">
        <v>6480</v>
      </c>
      <c r="S32" s="9">
        <v>71901725476</v>
      </c>
      <c r="U32" s="9">
        <v>72860765274</v>
      </c>
      <c r="W32" s="10">
        <v>6.9875069751810723E-2</v>
      </c>
    </row>
    <row r="33" spans="1:23" ht="21" x14ac:dyDescent="0.55000000000000004">
      <c r="A33" s="8" t="s">
        <v>58</v>
      </c>
      <c r="C33" s="9">
        <v>1092665</v>
      </c>
      <c r="E33" s="9">
        <v>20222828436</v>
      </c>
      <c r="G33" s="9">
        <v>18790631028</v>
      </c>
      <c r="I33" s="9">
        <v>0</v>
      </c>
      <c r="J33" s="9">
        <v>0</v>
      </c>
      <c r="L33" s="9">
        <v>0</v>
      </c>
      <c r="M33" s="9">
        <v>0</v>
      </c>
      <c r="N33" s="5"/>
      <c r="O33" s="9">
        <v>1092665</v>
      </c>
      <c r="Q33" s="9">
        <v>16790</v>
      </c>
      <c r="S33" s="9">
        <v>20222828436</v>
      </c>
      <c r="U33" s="9">
        <v>17813083749</v>
      </c>
      <c r="W33" s="10">
        <v>1.7083137471524509E-2</v>
      </c>
    </row>
    <row r="34" spans="1:23" ht="21" x14ac:dyDescent="0.55000000000000004">
      <c r="A34" s="8" t="s">
        <v>59</v>
      </c>
      <c r="C34" s="9">
        <v>4500000</v>
      </c>
      <c r="E34" s="9">
        <v>16025515173</v>
      </c>
      <c r="G34" s="9">
        <v>11710903050</v>
      </c>
      <c r="I34" s="9">
        <v>0</v>
      </c>
      <c r="J34" s="9">
        <v>0</v>
      </c>
      <c r="L34" s="9">
        <v>0</v>
      </c>
      <c r="M34" s="9">
        <v>0</v>
      </c>
      <c r="N34" s="5"/>
      <c r="O34" s="9">
        <v>4500000</v>
      </c>
      <c r="Q34" s="9">
        <v>2337</v>
      </c>
      <c r="S34" s="9">
        <v>16025515173</v>
      </c>
      <c r="U34" s="9">
        <v>10516551975</v>
      </c>
      <c r="W34" s="10">
        <v>1.0085603685854963E-2</v>
      </c>
    </row>
    <row r="35" spans="1:23" ht="21" x14ac:dyDescent="0.55000000000000004">
      <c r="A35" s="8" t="s">
        <v>60</v>
      </c>
      <c r="C35" s="9">
        <v>18449752</v>
      </c>
      <c r="E35" s="9">
        <v>75481345217</v>
      </c>
      <c r="G35" s="9">
        <v>77101259001</v>
      </c>
      <c r="I35" s="9">
        <v>0</v>
      </c>
      <c r="J35" s="9">
        <v>0</v>
      </c>
      <c r="L35" s="9">
        <v>0</v>
      </c>
      <c r="M35" s="9">
        <v>0</v>
      </c>
      <c r="N35" s="5"/>
      <c r="O35" s="9">
        <v>18449752</v>
      </c>
      <c r="Q35" s="9">
        <v>3849</v>
      </c>
      <c r="S35" s="9">
        <v>75481345217</v>
      </c>
      <c r="U35" s="9">
        <v>70425507746</v>
      </c>
      <c r="W35" s="10">
        <v>6.7539604443524359E-2</v>
      </c>
    </row>
    <row r="36" spans="1:23" ht="21" x14ac:dyDescent="0.55000000000000004">
      <c r="A36" s="8" t="s">
        <v>61</v>
      </c>
      <c r="C36" s="9">
        <v>1341844</v>
      </c>
      <c r="E36" s="9">
        <v>11432747846</v>
      </c>
      <c r="G36" s="9">
        <v>12751701870</v>
      </c>
      <c r="I36" s="9">
        <v>0</v>
      </c>
      <c r="J36" s="9">
        <v>0</v>
      </c>
      <c r="L36" s="9">
        <v>0</v>
      </c>
      <c r="M36" s="9">
        <v>0</v>
      </c>
      <c r="N36" s="5"/>
      <c r="O36" s="9">
        <v>1341844</v>
      </c>
      <c r="Q36" s="9">
        <v>8030</v>
      </c>
      <c r="S36" s="9">
        <v>11432747846</v>
      </c>
      <c r="U36" s="9">
        <v>10764250428</v>
      </c>
      <c r="W36" s="10">
        <v>1.0323151927569177E-2</v>
      </c>
    </row>
    <row r="37" spans="1:23" ht="21" x14ac:dyDescent="0.55000000000000004">
      <c r="A37" s="8" t="s">
        <v>62</v>
      </c>
      <c r="C37" s="9">
        <v>0</v>
      </c>
      <c r="E37" s="9">
        <v>0</v>
      </c>
      <c r="G37" s="9">
        <v>0</v>
      </c>
      <c r="H37" s="5"/>
      <c r="I37" s="9">
        <v>1642919</v>
      </c>
      <c r="J37" s="9">
        <v>13408659346</v>
      </c>
      <c r="L37" s="9">
        <v>402919</v>
      </c>
      <c r="M37" s="9">
        <v>2825395997</v>
      </c>
      <c r="O37" s="9">
        <v>1240000</v>
      </c>
      <c r="Q37" s="9">
        <v>7040</v>
      </c>
      <c r="S37" s="9">
        <v>10120241831</v>
      </c>
      <c r="U37" s="9">
        <v>8677658880</v>
      </c>
      <c r="W37" s="10">
        <v>8.3220649308605784E-3</v>
      </c>
    </row>
    <row r="38" spans="1:23" ht="21" x14ac:dyDescent="0.55000000000000004">
      <c r="A38" s="8" t="s">
        <v>63</v>
      </c>
      <c r="C38" s="9">
        <v>1250000</v>
      </c>
      <c r="E38" s="9">
        <v>8819935931</v>
      </c>
      <c r="G38" s="9">
        <v>10201438125</v>
      </c>
      <c r="I38" s="9">
        <v>0</v>
      </c>
      <c r="J38" s="9">
        <v>0</v>
      </c>
      <c r="L38" s="9">
        <v>0</v>
      </c>
      <c r="M38" s="9">
        <v>0</v>
      </c>
      <c r="N38" s="5"/>
      <c r="O38" s="9">
        <v>1250000</v>
      </c>
      <c r="Q38" s="9">
        <v>7460</v>
      </c>
      <c r="S38" s="9">
        <v>8819935931</v>
      </c>
      <c r="U38" s="9">
        <v>9008578125</v>
      </c>
      <c r="W38" s="10">
        <v>8.6394237348703263E-3</v>
      </c>
    </row>
    <row r="39" spans="1:23" ht="21" x14ac:dyDescent="0.55000000000000004">
      <c r="A39" s="8" t="s">
        <v>64</v>
      </c>
      <c r="C39" s="9">
        <v>11520000</v>
      </c>
      <c r="E39" s="9">
        <v>61978291929</v>
      </c>
      <c r="G39" s="9">
        <v>70999027200</v>
      </c>
      <c r="I39" s="9">
        <v>800000</v>
      </c>
      <c r="J39" s="9">
        <v>5002638093</v>
      </c>
      <c r="L39" s="9">
        <v>0</v>
      </c>
      <c r="M39" s="9">
        <v>0</v>
      </c>
      <c r="O39" s="9">
        <v>12320000</v>
      </c>
      <c r="Q39" s="9">
        <v>5760</v>
      </c>
      <c r="S39" s="9">
        <v>66980930022</v>
      </c>
      <c r="U39" s="9">
        <v>70418502000</v>
      </c>
      <c r="W39" s="10">
        <v>6.7532885779664986E-2</v>
      </c>
    </row>
    <row r="40" spans="1:23" ht="21" x14ac:dyDescent="0.55000000000000004">
      <c r="A40" s="8" t="s">
        <v>65</v>
      </c>
      <c r="C40" s="9">
        <v>910000</v>
      </c>
      <c r="E40" s="9">
        <v>13303123191</v>
      </c>
      <c r="G40" s="9">
        <v>10457008380</v>
      </c>
      <c r="I40" s="9">
        <v>0</v>
      </c>
      <c r="J40" s="9">
        <v>0</v>
      </c>
      <c r="L40" s="9">
        <v>0</v>
      </c>
      <c r="M40" s="9">
        <v>0</v>
      </c>
      <c r="N40" s="5"/>
      <c r="O40" s="9">
        <v>910000</v>
      </c>
      <c r="Q40" s="9">
        <v>10930</v>
      </c>
      <c r="S40" s="9">
        <v>13303123191</v>
      </c>
      <c r="U40" s="9">
        <v>9606698010</v>
      </c>
      <c r="W40" s="10">
        <v>9.2130338050795922E-3</v>
      </c>
    </row>
    <row r="41" spans="1:23" ht="21" x14ac:dyDescent="0.55000000000000004">
      <c r="A41" s="8" t="s">
        <v>66</v>
      </c>
      <c r="C41" s="9">
        <v>7255540</v>
      </c>
      <c r="E41" s="9">
        <v>24634586470</v>
      </c>
      <c r="G41" s="9">
        <v>29318282168</v>
      </c>
      <c r="I41" s="9">
        <v>4744460</v>
      </c>
      <c r="J41" s="9">
        <v>19788924768</v>
      </c>
      <c r="L41" s="9">
        <v>0</v>
      </c>
      <c r="M41" s="9">
        <v>0</v>
      </c>
      <c r="O41" s="9">
        <v>12000000</v>
      </c>
      <c r="Q41" s="9">
        <v>3271</v>
      </c>
      <c r="S41" s="9">
        <v>44423511238</v>
      </c>
      <c r="U41" s="9">
        <v>38994593400</v>
      </c>
      <c r="W41" s="10">
        <v>3.7396669160992345E-2</v>
      </c>
    </row>
    <row r="42" spans="1:23" ht="21" x14ac:dyDescent="0.55000000000000004">
      <c r="A42" s="8" t="s">
        <v>67</v>
      </c>
      <c r="C42" s="9">
        <v>2574124</v>
      </c>
      <c r="E42" s="9">
        <v>18304802709</v>
      </c>
      <c r="G42" s="9">
        <v>20061054424</v>
      </c>
      <c r="I42" s="9">
        <v>0</v>
      </c>
      <c r="J42" s="9">
        <v>0</v>
      </c>
      <c r="L42" s="9">
        <v>0</v>
      </c>
      <c r="M42" s="9">
        <v>0</v>
      </c>
      <c r="N42" s="5"/>
      <c r="O42" s="9">
        <v>2574124</v>
      </c>
      <c r="Q42" s="9">
        <v>6760</v>
      </c>
      <c r="S42" s="9">
        <v>18304802709</v>
      </c>
      <c r="U42" s="9">
        <v>16964896789</v>
      </c>
      <c r="W42" s="10">
        <v>1.6269707599223599E-2</v>
      </c>
    </row>
    <row r="43" spans="1:23" ht="21" x14ac:dyDescent="0.55000000000000004">
      <c r="A43" s="8" t="s">
        <v>68</v>
      </c>
      <c r="C43" s="9">
        <v>500000</v>
      </c>
      <c r="E43" s="9">
        <v>8492517918</v>
      </c>
      <c r="G43" s="9">
        <v>6376830750</v>
      </c>
      <c r="I43" s="9">
        <v>0</v>
      </c>
      <c r="J43" s="9">
        <v>0</v>
      </c>
      <c r="L43" s="9">
        <v>0</v>
      </c>
      <c r="M43" s="9">
        <v>0</v>
      </c>
      <c r="N43" s="5"/>
      <c r="O43" s="9">
        <v>500000</v>
      </c>
      <c r="Q43" s="9">
        <v>11850</v>
      </c>
      <c r="S43" s="9">
        <v>8492517918</v>
      </c>
      <c r="U43" s="9">
        <v>5800281750</v>
      </c>
      <c r="W43" s="10">
        <v>5.5625972406034042E-3</v>
      </c>
    </row>
    <row r="44" spans="1:23" ht="21" x14ac:dyDescent="0.55000000000000004">
      <c r="A44" s="8" t="s">
        <v>69</v>
      </c>
      <c r="C44" s="9">
        <v>650000</v>
      </c>
      <c r="E44" s="9">
        <v>10060967998</v>
      </c>
      <c r="G44" s="9">
        <v>7365910500</v>
      </c>
      <c r="I44" s="9">
        <v>0</v>
      </c>
      <c r="J44" s="9">
        <v>0</v>
      </c>
      <c r="L44" s="9">
        <v>0</v>
      </c>
      <c r="M44" s="9">
        <v>0</v>
      </c>
      <c r="N44" s="5"/>
      <c r="O44" s="9">
        <v>650000</v>
      </c>
      <c r="Q44" s="9">
        <v>10510</v>
      </c>
      <c r="S44" s="9">
        <v>10060967998</v>
      </c>
      <c r="U44" s="9">
        <v>6668087400</v>
      </c>
      <c r="W44" s="10">
        <v>6.3948418663183609E-3</v>
      </c>
    </row>
    <row r="45" spans="1:23" ht="21" x14ac:dyDescent="0.55000000000000004">
      <c r="A45" s="8" t="s">
        <v>70</v>
      </c>
      <c r="C45" s="9">
        <v>8288661</v>
      </c>
      <c r="E45" s="9">
        <v>21827637733</v>
      </c>
      <c r="G45" s="9">
        <v>18456129366</v>
      </c>
      <c r="I45" s="9">
        <v>0</v>
      </c>
      <c r="J45" s="9">
        <v>0</v>
      </c>
      <c r="L45" s="9">
        <v>0</v>
      </c>
      <c r="M45" s="9">
        <v>0</v>
      </c>
      <c r="N45" s="5"/>
      <c r="O45" s="9">
        <v>8288661</v>
      </c>
      <c r="Q45" s="9">
        <v>1978</v>
      </c>
      <c r="S45" s="9">
        <v>21827637733</v>
      </c>
      <c r="U45" s="9">
        <v>16033762387</v>
      </c>
      <c r="W45" s="10">
        <v>1.5376729313264283E-2</v>
      </c>
    </row>
    <row r="46" spans="1:23" ht="21" x14ac:dyDescent="0.55000000000000004">
      <c r="A46" s="8" t="s">
        <v>71</v>
      </c>
      <c r="C46" s="9">
        <v>607000</v>
      </c>
      <c r="E46" s="9">
        <v>21314456002</v>
      </c>
      <c r="G46" s="9">
        <v>22759808562</v>
      </c>
      <c r="I46" s="9">
        <v>0</v>
      </c>
      <c r="J46" s="9">
        <v>0</v>
      </c>
      <c r="L46" s="9">
        <v>0</v>
      </c>
      <c r="M46" s="9">
        <v>0</v>
      </c>
      <c r="N46" s="5"/>
      <c r="O46" s="9">
        <v>607000</v>
      </c>
      <c r="Q46" s="9">
        <v>36240</v>
      </c>
      <c r="S46" s="9">
        <v>21314456002</v>
      </c>
      <c r="U46" s="9">
        <v>21589235163</v>
      </c>
      <c r="W46" s="10">
        <v>2.0704549385802129E-2</v>
      </c>
    </row>
    <row r="47" spans="1:23" ht="21" x14ac:dyDescent="0.55000000000000004">
      <c r="A47" s="8" t="s">
        <v>72</v>
      </c>
      <c r="C47" s="9">
        <v>200000</v>
      </c>
      <c r="E47" s="9">
        <v>11554712809</v>
      </c>
      <c r="G47" s="9">
        <v>12195005400</v>
      </c>
      <c r="I47" s="9">
        <v>0</v>
      </c>
      <c r="J47" s="9">
        <v>0</v>
      </c>
      <c r="L47" s="9">
        <v>0</v>
      </c>
      <c r="M47" s="9">
        <v>0</v>
      </c>
      <c r="N47" s="5"/>
      <c r="O47" s="9">
        <v>200000</v>
      </c>
      <c r="Q47" s="9">
        <v>53010</v>
      </c>
      <c r="S47" s="9">
        <v>11554712809</v>
      </c>
      <c r="U47" s="9">
        <v>10505120400</v>
      </c>
      <c r="W47" s="10">
        <v>1.0074640555046577E-2</v>
      </c>
    </row>
    <row r="48" spans="1:23" ht="21" x14ac:dyDescent="0.55000000000000004">
      <c r="A48" s="8" t="s">
        <v>73</v>
      </c>
      <c r="C48" s="9">
        <v>285000</v>
      </c>
      <c r="E48" s="9">
        <v>12204019862</v>
      </c>
      <c r="G48" s="9">
        <v>13371960600</v>
      </c>
      <c r="I48" s="9">
        <v>0</v>
      </c>
      <c r="J48" s="9">
        <v>0</v>
      </c>
      <c r="L48" s="9">
        <v>0</v>
      </c>
      <c r="M48" s="9">
        <v>0</v>
      </c>
      <c r="N48" s="5"/>
      <c r="O48" s="9">
        <v>285000</v>
      </c>
      <c r="Q48" s="9">
        <v>48550</v>
      </c>
      <c r="S48" s="9">
        <v>12204019862</v>
      </c>
      <c r="U48" s="9">
        <v>13394624940</v>
      </c>
      <c r="W48" s="10">
        <v>1.2845738697117868E-2</v>
      </c>
    </row>
    <row r="49" spans="1:23" ht="21" x14ac:dyDescent="0.55000000000000004">
      <c r="A49" s="8" t="s">
        <v>74</v>
      </c>
      <c r="C49" s="9">
        <v>320000</v>
      </c>
      <c r="E49" s="9">
        <v>9880160257</v>
      </c>
      <c r="G49" s="9">
        <v>7586589600</v>
      </c>
      <c r="I49" s="9">
        <v>0</v>
      </c>
      <c r="J49" s="9">
        <v>0</v>
      </c>
      <c r="L49" s="9">
        <v>320000</v>
      </c>
      <c r="M49" s="9">
        <v>7721234555</v>
      </c>
      <c r="O49" s="9">
        <v>0</v>
      </c>
      <c r="Q49" s="9">
        <v>0</v>
      </c>
      <c r="S49" s="9">
        <v>0</v>
      </c>
      <c r="U49" s="9">
        <v>0</v>
      </c>
      <c r="W49" s="10">
        <v>0</v>
      </c>
    </row>
    <row r="50" spans="1:23" ht="21" x14ac:dyDescent="0.55000000000000004">
      <c r="A50" s="8" t="s">
        <v>75</v>
      </c>
      <c r="C50" s="9">
        <v>113500</v>
      </c>
      <c r="E50" s="9">
        <v>17986494619</v>
      </c>
      <c r="G50" s="9">
        <v>21239245069</v>
      </c>
      <c r="I50" s="9">
        <v>0</v>
      </c>
      <c r="J50" s="9">
        <v>0</v>
      </c>
      <c r="L50" s="9">
        <v>0</v>
      </c>
      <c r="M50" s="9">
        <v>0</v>
      </c>
      <c r="N50" s="5"/>
      <c r="O50" s="9">
        <v>113500</v>
      </c>
      <c r="Q50" s="9">
        <v>173510</v>
      </c>
      <c r="S50" s="9">
        <v>17986494619</v>
      </c>
      <c r="U50" s="9">
        <v>19482564879</v>
      </c>
      <c r="W50" s="10">
        <v>1.8684206441489191E-2</v>
      </c>
    </row>
    <row r="51" spans="1:23" ht="21" x14ac:dyDescent="0.55000000000000004">
      <c r="A51" s="8" t="s">
        <v>76</v>
      </c>
      <c r="C51" s="9">
        <v>3000000</v>
      </c>
      <c r="E51" s="9">
        <v>6520206627</v>
      </c>
      <c r="G51" s="9">
        <v>6915605850</v>
      </c>
      <c r="I51" s="9">
        <v>0</v>
      </c>
      <c r="J51" s="9">
        <v>0</v>
      </c>
      <c r="L51" s="9">
        <v>0</v>
      </c>
      <c r="M51" s="9">
        <v>0</v>
      </c>
      <c r="N51" s="5"/>
      <c r="O51" s="9">
        <v>3000000</v>
      </c>
      <c r="Q51" s="9">
        <v>2315</v>
      </c>
      <c r="S51" s="9">
        <v>6520206627</v>
      </c>
      <c r="U51" s="9">
        <v>6769480500</v>
      </c>
      <c r="W51" s="10">
        <v>6.4920800700101425E-3</v>
      </c>
    </row>
    <row r="52" spans="1:23" ht="21" x14ac:dyDescent="0.55000000000000004">
      <c r="A52" s="8" t="s">
        <v>77</v>
      </c>
      <c r="C52" s="9">
        <v>128000</v>
      </c>
      <c r="E52" s="9">
        <v>17760573980</v>
      </c>
      <c r="G52" s="9">
        <v>24770771712</v>
      </c>
      <c r="I52" s="9">
        <v>0</v>
      </c>
      <c r="J52" s="9">
        <v>0</v>
      </c>
      <c r="L52" s="9">
        <v>0</v>
      </c>
      <c r="M52" s="9">
        <v>0</v>
      </c>
      <c r="N52" s="5"/>
      <c r="O52" s="9">
        <v>128000</v>
      </c>
      <c r="Q52" s="9">
        <v>201750</v>
      </c>
      <c r="S52" s="9">
        <v>17760573980</v>
      </c>
      <c r="U52" s="9">
        <v>25358613120</v>
      </c>
      <c r="W52" s="10">
        <v>2.4319465406459139E-2</v>
      </c>
    </row>
    <row r="53" spans="1:23" ht="21" x14ac:dyDescent="0.55000000000000004">
      <c r="A53" s="8" t="s">
        <v>78</v>
      </c>
      <c r="C53" s="9">
        <v>1018099</v>
      </c>
      <c r="E53" s="9">
        <v>11094465334</v>
      </c>
      <c r="G53" s="9">
        <v>13945929265</v>
      </c>
      <c r="I53" s="9">
        <v>200000</v>
      </c>
      <c r="J53" s="9">
        <v>2757764902</v>
      </c>
      <c r="L53" s="9">
        <v>0</v>
      </c>
      <c r="M53" s="9">
        <v>0</v>
      </c>
      <c r="O53" s="9">
        <v>1218099</v>
      </c>
      <c r="Q53" s="9">
        <v>12800</v>
      </c>
      <c r="S53" s="9">
        <v>13852230236</v>
      </c>
      <c r="U53" s="9">
        <v>15111424361</v>
      </c>
      <c r="W53" s="10">
        <v>1.4492186944554144E-2</v>
      </c>
    </row>
    <row r="54" spans="1:23" ht="21" x14ac:dyDescent="0.55000000000000004">
      <c r="A54" s="8" t="s">
        <v>79</v>
      </c>
      <c r="C54" s="9">
        <v>5547863</v>
      </c>
      <c r="E54" s="9">
        <v>21659638939</v>
      </c>
      <c r="G54" s="9">
        <v>15860717847</v>
      </c>
      <c r="I54" s="9">
        <v>800000</v>
      </c>
      <c r="J54" s="9">
        <v>2380206771</v>
      </c>
      <c r="L54" s="9">
        <v>400000</v>
      </c>
      <c r="M54" s="9">
        <v>1199619548</v>
      </c>
      <c r="O54" s="9">
        <v>5947863</v>
      </c>
      <c r="Q54" s="9">
        <v>3011</v>
      </c>
      <c r="S54" s="9">
        <v>22525014926</v>
      </c>
      <c r="U54" s="9">
        <v>17778806958</v>
      </c>
      <c r="W54" s="10">
        <v>1.705026527819815E-2</v>
      </c>
    </row>
    <row r="55" spans="1:23" ht="21" x14ac:dyDescent="0.55000000000000004">
      <c r="A55" s="8" t="s">
        <v>80</v>
      </c>
      <c r="C55" s="9">
        <v>813344</v>
      </c>
      <c r="E55" s="9">
        <v>2362065590</v>
      </c>
      <c r="G55" s="9">
        <v>1401138477</v>
      </c>
      <c r="I55" s="9">
        <v>0</v>
      </c>
      <c r="J55" s="9">
        <v>0</v>
      </c>
      <c r="L55" s="9">
        <v>813344</v>
      </c>
      <c r="M55" s="9">
        <v>1325397094</v>
      </c>
      <c r="O55" s="9">
        <v>0</v>
      </c>
      <c r="Q55" s="9">
        <v>0</v>
      </c>
      <c r="S55" s="9">
        <v>0</v>
      </c>
      <c r="U55" s="9">
        <v>0</v>
      </c>
      <c r="W55" s="10">
        <v>0</v>
      </c>
    </row>
    <row r="56" spans="1:23" ht="21" x14ac:dyDescent="0.55000000000000004">
      <c r="A56" s="8" t="s">
        <v>81</v>
      </c>
      <c r="C56" s="9">
        <v>2550000</v>
      </c>
      <c r="E56" s="9">
        <v>5847335214</v>
      </c>
      <c r="G56" s="9">
        <v>4073467792</v>
      </c>
      <c r="I56" s="9">
        <v>0</v>
      </c>
      <c r="J56" s="9">
        <v>0</v>
      </c>
      <c r="L56" s="9">
        <v>2550000</v>
      </c>
      <c r="M56" s="9">
        <v>4111490254</v>
      </c>
      <c r="O56" s="9">
        <v>0</v>
      </c>
      <c r="Q56" s="9">
        <v>0</v>
      </c>
      <c r="S56" s="9">
        <v>0</v>
      </c>
      <c r="U56" s="9">
        <v>0</v>
      </c>
      <c r="W56" s="10">
        <v>0</v>
      </c>
    </row>
    <row r="57" spans="1:23" ht="21" x14ac:dyDescent="0.55000000000000004">
      <c r="A57" s="8" t="s">
        <v>82</v>
      </c>
      <c r="C57" s="9">
        <v>5194335</v>
      </c>
      <c r="E57" s="9">
        <v>12662344710</v>
      </c>
      <c r="G57" s="9">
        <v>15128846111</v>
      </c>
      <c r="I57" s="9">
        <v>1200000</v>
      </c>
      <c r="J57" s="9">
        <v>3717446562</v>
      </c>
      <c r="L57" s="9">
        <v>108071</v>
      </c>
      <c r="M57" s="9">
        <v>108071</v>
      </c>
      <c r="O57" s="9">
        <v>6286264</v>
      </c>
      <c r="Q57" s="9">
        <v>2873</v>
      </c>
      <c r="S57" s="9">
        <v>16102955538</v>
      </c>
      <c r="U57" s="9">
        <v>17803004217</v>
      </c>
      <c r="W57" s="10">
        <v>1.7073470979566633E-2</v>
      </c>
    </row>
    <row r="58" spans="1:23" ht="21" x14ac:dyDescent="0.55000000000000004">
      <c r="A58" s="8" t="s">
        <v>83</v>
      </c>
      <c r="C58" s="9">
        <v>683465</v>
      </c>
      <c r="E58" s="9">
        <v>982632667</v>
      </c>
      <c r="G58" s="9">
        <v>1311238880</v>
      </c>
      <c r="I58" s="9">
        <v>0</v>
      </c>
      <c r="J58" s="9">
        <v>0</v>
      </c>
      <c r="L58" s="9">
        <v>683465</v>
      </c>
      <c r="M58" s="9">
        <v>1202738755</v>
      </c>
      <c r="O58" s="9">
        <v>0</v>
      </c>
      <c r="Q58" s="9">
        <v>0</v>
      </c>
      <c r="S58" s="9">
        <v>0</v>
      </c>
      <c r="U58" s="9">
        <v>0</v>
      </c>
      <c r="W58" s="10">
        <v>0</v>
      </c>
    </row>
    <row r="59" spans="1:23" ht="21.75" thickBot="1" x14ac:dyDescent="0.6">
      <c r="A59" s="11" t="s">
        <v>84</v>
      </c>
      <c r="C59" s="14"/>
      <c r="E59" s="11">
        <f>SUM(E11:E58)</f>
        <v>706645839958</v>
      </c>
      <c r="G59" s="11">
        <f>SUM(G11:G58)</f>
        <v>734900471361</v>
      </c>
      <c r="I59" s="14"/>
      <c r="J59" s="11">
        <f>SUM(J11:J58)</f>
        <v>110871148268</v>
      </c>
      <c r="L59" s="14"/>
      <c r="M59" s="11">
        <f>SUM(M11:M58)</f>
        <v>33722637039</v>
      </c>
      <c r="O59" s="14"/>
      <c r="Q59" s="14"/>
      <c r="S59" s="11">
        <f>SUM(S11:S58)</f>
        <v>779196585826</v>
      </c>
      <c r="U59" s="11">
        <f>SUM(U11:U58)</f>
        <v>751625154196</v>
      </c>
      <c r="W59" s="16">
        <f>SUM(W11:W58)</f>
        <v>0.7208249855619131</v>
      </c>
    </row>
    <row r="60" spans="1:23" ht="21.75" thickTop="1" x14ac:dyDescent="0.55000000000000004">
      <c r="C60" s="14"/>
      <c r="E60" s="13"/>
      <c r="G60" s="13"/>
      <c r="I60" s="14"/>
      <c r="J60" s="13"/>
      <c r="L60" s="14"/>
      <c r="M60" s="13"/>
      <c r="O60" s="14"/>
      <c r="Q60" s="14"/>
      <c r="S60" s="13"/>
      <c r="U60" s="13"/>
      <c r="W60" s="13"/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33" right="0.27" top="0.51" bottom="0.52" header="0.3" footer="0.3"/>
  <pageSetup paperSize="9" scale="6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2"/>
  <sheetViews>
    <sheetView rightToLeft="1" view="pageBreakPreview" zoomScale="60" zoomScaleNormal="100" workbookViewId="0">
      <selection activeCell="A12" sqref="A12:A13"/>
    </sheetView>
  </sheetViews>
  <sheetFormatPr defaultColWidth="8.85546875" defaultRowHeight="19.5" x14ac:dyDescent="0.55000000000000004"/>
  <cols>
    <col min="1" max="1" width="27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8.42578125" style="1" customWidth="1"/>
    <col min="6" max="6" width="1.42578125" style="1" customWidth="1"/>
    <col min="7" max="7" width="18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0.5703125" style="1" customWidth="1"/>
    <col min="12" max="16384" width="8.85546875" style="1"/>
  </cols>
  <sheetData>
    <row r="1" spans="1:11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9.899999999999999" customHeight="1" x14ac:dyDescent="0.55000000000000004">
      <c r="A2" s="34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5" spans="1:11" ht="21" x14ac:dyDescent="0.55000000000000004">
      <c r="A5" s="35" t="s">
        <v>221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7" spans="1:11" ht="21" x14ac:dyDescent="0.55000000000000004">
      <c r="C7" s="4" t="s">
        <v>5</v>
      </c>
      <c r="E7" s="29" t="s">
        <v>6</v>
      </c>
      <c r="F7" s="30"/>
      <c r="G7" s="30"/>
      <c r="I7" s="29" t="s">
        <v>7</v>
      </c>
      <c r="J7" s="30"/>
      <c r="K7" s="30"/>
    </row>
    <row r="8" spans="1:11" ht="63" x14ac:dyDescent="0.55000000000000004">
      <c r="A8" s="4" t="s">
        <v>87</v>
      </c>
      <c r="C8" s="4" t="s">
        <v>89</v>
      </c>
      <c r="E8" s="4" t="s">
        <v>90</v>
      </c>
      <c r="G8" s="4" t="s">
        <v>91</v>
      </c>
      <c r="I8" s="4" t="s">
        <v>89</v>
      </c>
      <c r="K8" s="17" t="s">
        <v>15</v>
      </c>
    </row>
    <row r="9" spans="1:11" ht="21" x14ac:dyDescent="0.55000000000000004">
      <c r="A9" s="8" t="s">
        <v>222</v>
      </c>
      <c r="C9" s="9">
        <v>10005723114</v>
      </c>
      <c r="E9" s="9">
        <v>82099523613</v>
      </c>
      <c r="G9" s="9">
        <v>88021758335</v>
      </c>
      <c r="I9" s="9">
        <v>4083488392</v>
      </c>
      <c r="K9" s="10">
        <v>3.9161548077169235E-3</v>
      </c>
    </row>
    <row r="10" spans="1:11" ht="42" x14ac:dyDescent="0.55000000000000004">
      <c r="A10" s="8" t="s">
        <v>223</v>
      </c>
      <c r="C10" s="9">
        <v>286910325668</v>
      </c>
      <c r="E10" s="9">
        <v>3482153284</v>
      </c>
      <c r="F10" s="9"/>
      <c r="G10" s="9">
        <v>60001704000</v>
      </c>
      <c r="H10" s="5"/>
      <c r="I10" s="9">
        <v>230390774952</v>
      </c>
      <c r="K10" s="10">
        <v>0.22094979937974135</v>
      </c>
    </row>
    <row r="11" spans="1:11" ht="21.75" thickBot="1" x14ac:dyDescent="0.6">
      <c r="A11" s="11" t="s">
        <v>84</v>
      </c>
      <c r="C11" s="11">
        <f>SUM(C9:$C$10)</f>
        <v>296916048782</v>
      </c>
      <c r="E11" s="11">
        <f>SUM(E9:$E$10)</f>
        <v>85581676897</v>
      </c>
      <c r="G11" s="11">
        <f>SUM(G9:$G$10)</f>
        <v>148023462335</v>
      </c>
      <c r="I11" s="11">
        <f>SUM(I9:$I$10)</f>
        <v>234474263344</v>
      </c>
      <c r="K11" s="12">
        <f>SUM(K9:$K$10)</f>
        <v>0.22486595418745828</v>
      </c>
    </row>
    <row r="12" spans="1:11" ht="21.75" thickTop="1" x14ac:dyDescent="0.55000000000000004">
      <c r="C12" s="13"/>
      <c r="E12" s="13"/>
      <c r="G12" s="13"/>
      <c r="I12" s="13"/>
      <c r="K12" s="13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3"/>
  <sheetViews>
    <sheetView rightToLeft="1" view="pageBreakPreview" zoomScale="85" zoomScaleNormal="100" zoomScaleSheetLayoutView="85" workbookViewId="0">
      <selection activeCell="A12" sqref="A12:A13"/>
    </sheetView>
  </sheetViews>
  <sheetFormatPr defaultColWidth="8.85546875" defaultRowHeight="19.5" x14ac:dyDescent="0.55000000000000004"/>
  <cols>
    <col min="1" max="1" width="49.710937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21.285156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6384" width="8.85546875" style="1"/>
  </cols>
  <sheetData>
    <row r="1" spans="1:9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</row>
    <row r="2" spans="1:9" ht="19.899999999999999" customHeight="1" x14ac:dyDescent="0.55000000000000004">
      <c r="A2" s="34" t="s">
        <v>94</v>
      </c>
      <c r="B2" s="27"/>
      <c r="C2" s="27"/>
      <c r="D2" s="27"/>
      <c r="E2" s="27"/>
      <c r="F2" s="27"/>
      <c r="G2" s="27"/>
      <c r="H2" s="27"/>
      <c r="I2" s="27"/>
    </row>
    <row r="3" spans="1:9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</row>
    <row r="5" spans="1:9" ht="21" x14ac:dyDescent="0.55000000000000004">
      <c r="A5" s="35" t="s">
        <v>95</v>
      </c>
      <c r="B5" s="27"/>
      <c r="C5" s="27"/>
      <c r="D5" s="27"/>
      <c r="E5" s="27"/>
      <c r="F5" s="27"/>
      <c r="G5" s="27"/>
      <c r="H5" s="27"/>
      <c r="I5" s="27"/>
    </row>
    <row r="7" spans="1:9" ht="63" x14ac:dyDescent="0.55000000000000004">
      <c r="A7" s="4" t="s">
        <v>96</v>
      </c>
      <c r="C7" s="4" t="s">
        <v>97</v>
      </c>
      <c r="E7" s="4" t="s">
        <v>89</v>
      </c>
      <c r="G7" s="17" t="s">
        <v>98</v>
      </c>
      <c r="I7" s="17" t="s">
        <v>99</v>
      </c>
    </row>
    <row r="8" spans="1:9" ht="21" x14ac:dyDescent="0.55000000000000004">
      <c r="A8" s="3" t="s">
        <v>100</v>
      </c>
      <c r="C8" s="5" t="s">
        <v>232</v>
      </c>
      <c r="E8" s="9">
        <f>'4'!S96</f>
        <v>-87049549031</v>
      </c>
      <c r="G8" s="10">
        <f>E8/$E$12</f>
        <v>1.1517112180144211</v>
      </c>
      <c r="I8" s="10">
        <v>-8.348242414872542E-2</v>
      </c>
    </row>
    <row r="9" spans="1:9" ht="21" x14ac:dyDescent="0.55000000000000004">
      <c r="A9" s="3" t="s">
        <v>101</v>
      </c>
      <c r="C9" s="5" t="s">
        <v>102</v>
      </c>
      <c r="E9" s="9">
        <f>'5'!$Q$10</f>
        <v>3380671363</v>
      </c>
      <c r="G9" s="10">
        <f t="shared" ref="G9:G11" si="0">E9/$E$12</f>
        <v>-4.4728056337208971E-2</v>
      </c>
      <c r="I9" s="10">
        <v>3.2421378832520938E-3</v>
      </c>
    </row>
    <row r="10" spans="1:9" ht="21" x14ac:dyDescent="0.55000000000000004">
      <c r="A10" s="3" t="s">
        <v>103</v>
      </c>
      <c r="C10" s="5" t="s">
        <v>233</v>
      </c>
      <c r="E10" s="9">
        <f>'6'!$G$11</f>
        <v>7933163589</v>
      </c>
      <c r="G10" s="10">
        <f t="shared" si="0"/>
        <v>-0.10495991767333669</v>
      </c>
      <c r="I10" s="10">
        <v>7.6080776402675269E-3</v>
      </c>
    </row>
    <row r="11" spans="1:9" ht="21" x14ac:dyDescent="0.55000000000000004">
      <c r="A11" s="3" t="s">
        <v>104</v>
      </c>
      <c r="C11" s="5" t="s">
        <v>234</v>
      </c>
      <c r="E11" s="9">
        <f>'7'!$E$11</f>
        <v>152922430</v>
      </c>
      <c r="G11" s="10">
        <f t="shared" si="0"/>
        <v>-2.0232440038753614E-3</v>
      </c>
      <c r="I11" s="10">
        <v>1.4665473800397414E-4</v>
      </c>
    </row>
    <row r="12" spans="1:9" ht="21.75" thickBot="1" x14ac:dyDescent="0.6">
      <c r="A12" s="20" t="s">
        <v>84</v>
      </c>
      <c r="E12" s="11">
        <f>SUM(E8:$E$11)</f>
        <v>-75582791649</v>
      </c>
      <c r="G12" s="12">
        <f>SUM(G8:$G$11)</f>
        <v>1</v>
      </c>
      <c r="I12" s="12">
        <f>SUM(I8:$I$11)</f>
        <v>-7.2485553887201834E-2</v>
      </c>
    </row>
    <row r="13" spans="1:9" ht="21.75" thickTop="1" x14ac:dyDescent="0.55000000000000004">
      <c r="E13" s="13"/>
      <c r="G13" s="13"/>
      <c r="I13" s="13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97"/>
  <sheetViews>
    <sheetView rightToLeft="1" view="pageBreakPreview" zoomScale="60" zoomScaleNormal="70" workbookViewId="0">
      <selection activeCell="G106" sqref="G106"/>
    </sheetView>
  </sheetViews>
  <sheetFormatPr defaultColWidth="8.85546875" defaultRowHeight="19.5" x14ac:dyDescent="0.55000000000000004"/>
  <cols>
    <col min="1" max="1" width="34.285156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0.570312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8" width="1.42578125" style="1" customWidth="1"/>
    <col min="19" max="19" width="17" style="1" customWidth="1"/>
    <col min="20" max="20" width="1.42578125" style="1" customWidth="1"/>
    <col min="21" max="21" width="10.5703125" style="1" customWidth="1"/>
    <col min="22" max="23" width="8.85546875" style="1"/>
    <col min="24" max="24" width="9.7109375" style="1" bestFit="1" customWidth="1"/>
    <col min="25" max="16384" width="8.85546875" style="1"/>
  </cols>
  <sheetData>
    <row r="1" spans="1:21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ht="19.899999999999999" customHeight="1" x14ac:dyDescent="0.55000000000000004">
      <c r="A2" s="34" t="s">
        <v>94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5" spans="1:21" ht="21" x14ac:dyDescent="0.55000000000000004">
      <c r="A5" s="35" t="s">
        <v>224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35"/>
      <c r="M5" s="27"/>
      <c r="N5" s="27"/>
      <c r="O5" s="27"/>
      <c r="P5" s="27"/>
      <c r="Q5" s="27"/>
      <c r="R5" s="27"/>
      <c r="S5" s="27"/>
      <c r="T5" s="27"/>
      <c r="U5" s="27"/>
    </row>
    <row r="7" spans="1:21" ht="21" x14ac:dyDescent="0.55000000000000004">
      <c r="C7" s="29" t="s">
        <v>107</v>
      </c>
      <c r="D7" s="30"/>
      <c r="E7" s="30"/>
      <c r="F7" s="30"/>
      <c r="G7" s="30"/>
      <c r="H7" s="30"/>
      <c r="I7" s="30"/>
      <c r="J7" s="30"/>
      <c r="K7" s="30"/>
      <c r="M7" s="29" t="s">
        <v>7</v>
      </c>
      <c r="N7" s="30"/>
      <c r="O7" s="30"/>
      <c r="P7" s="30"/>
      <c r="Q7" s="30"/>
      <c r="R7" s="30"/>
      <c r="S7" s="30"/>
      <c r="T7" s="30"/>
      <c r="U7" s="30"/>
    </row>
    <row r="8" spans="1:21" ht="63" x14ac:dyDescent="0.55000000000000004">
      <c r="A8" s="4" t="s">
        <v>174</v>
      </c>
      <c r="C8" s="17" t="s">
        <v>105</v>
      </c>
      <c r="E8" s="17" t="s">
        <v>175</v>
      </c>
      <c r="G8" s="17" t="s">
        <v>176</v>
      </c>
      <c r="I8" s="17" t="s">
        <v>177</v>
      </c>
      <c r="K8" s="17" t="s">
        <v>178</v>
      </c>
      <c r="M8" s="17" t="s">
        <v>105</v>
      </c>
      <c r="O8" s="17" t="s">
        <v>175</v>
      </c>
      <c r="Q8" s="17" t="s">
        <v>176</v>
      </c>
      <c r="S8" s="17" t="s">
        <v>177</v>
      </c>
      <c r="U8" s="17" t="s">
        <v>178</v>
      </c>
    </row>
    <row r="9" spans="1:21" ht="21" x14ac:dyDescent="0.55000000000000004">
      <c r="A9" s="6" t="s">
        <v>17</v>
      </c>
      <c r="C9" s="9">
        <v>0</v>
      </c>
      <c r="E9" s="9">
        <v>-37189478</v>
      </c>
      <c r="G9" s="9">
        <v>0</v>
      </c>
      <c r="I9" s="9">
        <f>C9+E9+G9</f>
        <v>-37189478</v>
      </c>
      <c r="K9" s="10">
        <v>8.0782490447407296E-4</v>
      </c>
      <c r="M9" s="9">
        <v>140295300</v>
      </c>
      <c r="O9" s="9">
        <v>-323059721</v>
      </c>
      <c r="Q9" s="9">
        <v>0</v>
      </c>
      <c r="S9" s="9">
        <f>M9+O9+Q9</f>
        <v>-182764421</v>
      </c>
      <c r="U9" s="10">
        <v>2.4180692061328232E-3</v>
      </c>
    </row>
    <row r="10" spans="1:21" ht="21" x14ac:dyDescent="0.55000000000000004">
      <c r="A10" s="6" t="s">
        <v>41</v>
      </c>
      <c r="C10" s="9">
        <v>0</v>
      </c>
      <c r="E10" s="9">
        <v>-3010941282</v>
      </c>
      <c r="G10" s="9">
        <v>0</v>
      </c>
      <c r="I10" s="9">
        <f t="shared" ref="I10:I81" si="0">C10+E10+G10</f>
        <v>-3010941282</v>
      </c>
      <c r="K10" s="10">
        <v>6.5403266846302405E-2</v>
      </c>
      <c r="M10" s="9">
        <v>0</v>
      </c>
      <c r="O10" s="9">
        <v>-4823650830</v>
      </c>
      <c r="Q10" s="9">
        <v>-666318163</v>
      </c>
      <c r="S10" s="9">
        <f t="shared" ref="S10:S73" si="1">M10+O10+Q10</f>
        <v>-5489968993</v>
      </c>
      <c r="U10" s="10">
        <v>7.263517095921708E-2</v>
      </c>
    </row>
    <row r="11" spans="1:21" ht="21" x14ac:dyDescent="0.55000000000000004">
      <c r="A11" s="6" t="s">
        <v>179</v>
      </c>
      <c r="C11" s="9">
        <v>0</v>
      </c>
      <c r="E11" s="9">
        <v>-906914594</v>
      </c>
      <c r="G11" s="9">
        <v>2059608054</v>
      </c>
      <c r="I11" s="9">
        <f t="shared" si="0"/>
        <v>1152693460</v>
      </c>
      <c r="K11" s="10">
        <v>-2.5038654326161518E-2</v>
      </c>
      <c r="M11" s="9">
        <v>229600000</v>
      </c>
      <c r="O11" s="9">
        <v>0</v>
      </c>
      <c r="Q11" s="9">
        <v>2059608054</v>
      </c>
      <c r="S11" s="9">
        <f t="shared" si="1"/>
        <v>2289208054</v>
      </c>
      <c r="U11" s="10">
        <v>-3.0287423950029337E-2</v>
      </c>
    </row>
    <row r="12" spans="1:21" ht="21" x14ac:dyDescent="0.55000000000000004">
      <c r="A12" s="6" t="s">
        <v>42</v>
      </c>
      <c r="C12" s="9">
        <v>0</v>
      </c>
      <c r="E12" s="9">
        <v>-497025000</v>
      </c>
      <c r="G12" s="9">
        <v>0</v>
      </c>
      <c r="I12" s="9">
        <f t="shared" si="0"/>
        <v>-497025000</v>
      </c>
      <c r="K12" s="10">
        <v>1.0796311073423135E-2</v>
      </c>
      <c r="M12" s="9">
        <v>660000000</v>
      </c>
      <c r="O12" s="9">
        <v>-2760145500</v>
      </c>
      <c r="Q12" s="9">
        <v>-1069344414</v>
      </c>
      <c r="S12" s="9">
        <f t="shared" si="1"/>
        <v>-3169489914</v>
      </c>
      <c r="U12" s="10">
        <v>4.1934014937141238E-2</v>
      </c>
    </row>
    <row r="13" spans="1:21" ht="21" x14ac:dyDescent="0.55000000000000004">
      <c r="A13" s="6" t="s">
        <v>180</v>
      </c>
      <c r="C13" s="9">
        <v>0</v>
      </c>
      <c r="E13" s="9">
        <v>-117146208</v>
      </c>
      <c r="G13" s="9">
        <v>0</v>
      </c>
      <c r="I13" s="9">
        <f t="shared" si="0"/>
        <v>-117146208</v>
      </c>
      <c r="K13" s="10">
        <v>2.5446343798399074E-3</v>
      </c>
      <c r="M13" s="9">
        <v>22765975</v>
      </c>
      <c r="O13" s="9">
        <v>-370572250</v>
      </c>
      <c r="Q13" s="9">
        <v>534832494</v>
      </c>
      <c r="S13" s="9">
        <f t="shared" si="1"/>
        <v>187026219</v>
      </c>
      <c r="U13" s="10">
        <v>-2.4744550303001998E-3</v>
      </c>
    </row>
    <row r="14" spans="1:21" ht="21" x14ac:dyDescent="0.55000000000000004">
      <c r="A14" s="6" t="s">
        <v>44</v>
      </c>
      <c r="C14" s="9">
        <v>0</v>
      </c>
      <c r="E14" s="9">
        <v>-3529970955</v>
      </c>
      <c r="G14" s="9">
        <v>0</v>
      </c>
      <c r="I14" s="9">
        <f t="shared" si="0"/>
        <v>-3529970955</v>
      </c>
      <c r="K14" s="10">
        <v>7.6677560505665793E-2</v>
      </c>
      <c r="M14" s="9">
        <v>1090603045</v>
      </c>
      <c r="O14" s="9">
        <v>-7114069729</v>
      </c>
      <c r="Q14" s="9">
        <v>0</v>
      </c>
      <c r="S14" s="9">
        <f t="shared" si="1"/>
        <v>-6023466684</v>
      </c>
      <c r="U14" s="10">
        <v>7.9693625395215129E-2</v>
      </c>
    </row>
    <row r="15" spans="1:21" ht="21" x14ac:dyDescent="0.55000000000000004">
      <c r="A15" s="6" t="s">
        <v>45</v>
      </c>
      <c r="C15" s="9">
        <v>0</v>
      </c>
      <c r="E15" s="9">
        <v>1166721468</v>
      </c>
      <c r="G15" s="9">
        <v>0</v>
      </c>
      <c r="I15" s="9">
        <f t="shared" si="0"/>
        <v>1166721468</v>
      </c>
      <c r="K15" s="10">
        <v>-2.5343368853818011E-2</v>
      </c>
      <c r="M15" s="9">
        <v>0</v>
      </c>
      <c r="O15" s="9">
        <v>773077668</v>
      </c>
      <c r="Q15" s="9">
        <v>227510450</v>
      </c>
      <c r="S15" s="9">
        <f t="shared" si="1"/>
        <v>1000588118</v>
      </c>
      <c r="U15" s="10">
        <v>-1.3238305918186316E-2</v>
      </c>
    </row>
    <row r="16" spans="1:21" ht="21" x14ac:dyDescent="0.55000000000000004">
      <c r="A16" s="6" t="s">
        <v>46</v>
      </c>
      <c r="C16" s="9">
        <v>0</v>
      </c>
      <c r="E16" s="9">
        <v>-300153397</v>
      </c>
      <c r="G16" s="9">
        <v>0</v>
      </c>
      <c r="I16" s="9">
        <f t="shared" si="0"/>
        <v>-300153397</v>
      </c>
      <c r="K16" s="10">
        <v>6.5198922463792983E-3</v>
      </c>
      <c r="M16" s="9">
        <v>369600000</v>
      </c>
      <c r="O16" s="9">
        <v>-650697637</v>
      </c>
      <c r="Q16" s="9">
        <v>-968264280</v>
      </c>
      <c r="S16" s="9">
        <f t="shared" si="1"/>
        <v>-1249361917</v>
      </c>
      <c r="U16" s="10">
        <v>1.6529713837534998E-2</v>
      </c>
    </row>
    <row r="17" spans="1:21" ht="21" x14ac:dyDescent="0.55000000000000004">
      <c r="A17" s="6" t="s">
        <v>47</v>
      </c>
      <c r="C17" s="9">
        <v>0</v>
      </c>
      <c r="E17" s="9">
        <v>1733847504</v>
      </c>
      <c r="G17" s="9">
        <v>-2462856374</v>
      </c>
      <c r="I17" s="9">
        <f t="shared" si="0"/>
        <v>-729008870</v>
      </c>
      <c r="K17" s="10">
        <v>1.5835433903334212E-2</v>
      </c>
      <c r="M17" s="9">
        <v>612146750</v>
      </c>
      <c r="O17" s="9">
        <v>-6817241723</v>
      </c>
      <c r="Q17" s="9">
        <v>-2462856374</v>
      </c>
      <c r="S17" s="9">
        <f t="shared" si="1"/>
        <v>-8667951347</v>
      </c>
      <c r="U17" s="10">
        <v>0.11468154533446213</v>
      </c>
    </row>
    <row r="18" spans="1:21" ht="21" x14ac:dyDescent="0.55000000000000004">
      <c r="A18" s="6" t="s">
        <v>181</v>
      </c>
      <c r="C18" s="9">
        <v>0</v>
      </c>
      <c r="E18" s="9">
        <v>-628438410</v>
      </c>
      <c r="G18" s="9">
        <v>0</v>
      </c>
      <c r="I18" s="9">
        <f t="shared" si="0"/>
        <v>-628438410</v>
      </c>
      <c r="K18" s="10">
        <v>1.3650855721236213E-2</v>
      </c>
      <c r="M18" s="9">
        <v>0</v>
      </c>
      <c r="O18" s="9">
        <v>-1017356675</v>
      </c>
      <c r="Q18" s="9">
        <v>0</v>
      </c>
      <c r="S18" s="9">
        <f t="shared" si="1"/>
        <v>-1017356675</v>
      </c>
      <c r="U18" s="10">
        <v>1.3460162727575836E-2</v>
      </c>
    </row>
    <row r="19" spans="1:21" ht="21" x14ac:dyDescent="0.55000000000000004">
      <c r="A19" s="6" t="s">
        <v>182</v>
      </c>
      <c r="C19" s="9">
        <v>0</v>
      </c>
      <c r="E19" s="9">
        <v>-1592269806</v>
      </c>
      <c r="G19" s="9">
        <v>0</v>
      </c>
      <c r="I19" s="9">
        <f t="shared" si="0"/>
        <v>-1592269806</v>
      </c>
      <c r="K19" s="10">
        <v>3.4587073363301864E-2</v>
      </c>
      <c r="M19" s="9">
        <v>2036198000</v>
      </c>
      <c r="O19" s="9">
        <v>-7077533711</v>
      </c>
      <c r="Q19" s="9">
        <v>-2884761030</v>
      </c>
      <c r="S19" s="9">
        <f t="shared" si="1"/>
        <v>-7926096741</v>
      </c>
      <c r="U19" s="10">
        <v>0.10486641956555552</v>
      </c>
    </row>
    <row r="20" spans="1:21" ht="21" x14ac:dyDescent="0.55000000000000004">
      <c r="A20" s="6" t="s">
        <v>52</v>
      </c>
      <c r="C20" s="9">
        <v>0</v>
      </c>
      <c r="E20" s="9">
        <v>-1850125860</v>
      </c>
      <c r="G20" s="9">
        <v>0</v>
      </c>
      <c r="I20" s="9">
        <f t="shared" si="0"/>
        <v>-1850125860</v>
      </c>
      <c r="K20" s="10">
        <v>4.018818833971028E-2</v>
      </c>
      <c r="M20" s="9">
        <v>0</v>
      </c>
      <c r="O20" s="9">
        <v>-2899842660</v>
      </c>
      <c r="Q20" s="9">
        <v>239492070</v>
      </c>
      <c r="S20" s="9">
        <f t="shared" si="1"/>
        <v>-2660350590</v>
      </c>
      <c r="U20" s="10">
        <v>3.5197834480028736E-2</v>
      </c>
    </row>
    <row r="21" spans="1:21" ht="21" x14ac:dyDescent="0.55000000000000004">
      <c r="A21" s="6" t="s">
        <v>53</v>
      </c>
      <c r="C21" s="9">
        <v>0</v>
      </c>
      <c r="E21" s="9">
        <v>-3342058635</v>
      </c>
      <c r="G21" s="9">
        <v>0</v>
      </c>
      <c r="I21" s="9">
        <f t="shared" si="0"/>
        <v>-3342058635</v>
      </c>
      <c r="K21" s="10">
        <v>7.2595754034666088E-2</v>
      </c>
      <c r="M21" s="9">
        <v>0</v>
      </c>
      <c r="O21" s="9">
        <v>-6219065925</v>
      </c>
      <c r="Q21" s="9">
        <v>-2672639188</v>
      </c>
      <c r="S21" s="9">
        <f t="shared" si="1"/>
        <v>-8891705113</v>
      </c>
      <c r="U21" s="10">
        <v>0.11764192508649741</v>
      </c>
    </row>
    <row r="22" spans="1:21" ht="42" x14ac:dyDescent="0.55000000000000004">
      <c r="A22" s="6" t="s">
        <v>183</v>
      </c>
      <c r="C22" s="9">
        <v>0</v>
      </c>
      <c r="E22" s="9">
        <v>-443942730</v>
      </c>
      <c r="G22" s="9">
        <v>0</v>
      </c>
      <c r="I22" s="9">
        <f t="shared" si="0"/>
        <v>-443942730</v>
      </c>
      <c r="K22" s="10">
        <v>9.6432650507815455E-3</v>
      </c>
      <c r="M22" s="9">
        <v>2088000000</v>
      </c>
      <c r="O22" s="9">
        <v>-4481458542</v>
      </c>
      <c r="Q22" s="9">
        <v>-1058802300</v>
      </c>
      <c r="S22" s="9">
        <f t="shared" si="1"/>
        <v>-3452260842</v>
      </c>
      <c r="U22" s="10">
        <v>4.5675222715138693E-2</v>
      </c>
    </row>
    <row r="23" spans="1:21" ht="21" x14ac:dyDescent="0.55000000000000004">
      <c r="A23" s="6" t="s">
        <v>184</v>
      </c>
      <c r="C23" s="9">
        <v>0</v>
      </c>
      <c r="E23" s="9">
        <v>-27733995</v>
      </c>
      <c r="G23" s="9">
        <v>0</v>
      </c>
      <c r="I23" s="9">
        <f t="shared" si="0"/>
        <v>-27733995</v>
      </c>
      <c r="K23" s="10">
        <v>6.02434157897011E-4</v>
      </c>
      <c r="M23" s="9">
        <v>930000000</v>
      </c>
      <c r="O23" s="9">
        <v>-1846478644</v>
      </c>
      <c r="Q23" s="9">
        <v>-728288941</v>
      </c>
      <c r="S23" s="9">
        <f t="shared" si="1"/>
        <v>-1644767585</v>
      </c>
      <c r="U23" s="10">
        <v>2.1761138337389806E-2</v>
      </c>
    </row>
    <row r="24" spans="1:21" ht="21" x14ac:dyDescent="0.55000000000000004">
      <c r="A24" s="6" t="s">
        <v>54</v>
      </c>
      <c r="C24" s="9">
        <v>0</v>
      </c>
      <c r="E24" s="9">
        <v>31491941</v>
      </c>
      <c r="G24" s="9">
        <v>0</v>
      </c>
      <c r="I24" s="9">
        <f t="shared" si="0"/>
        <v>31491941</v>
      </c>
      <c r="K24" s="10">
        <v>-6.8406376206808122E-4</v>
      </c>
      <c r="M24" s="9">
        <v>273603800</v>
      </c>
      <c r="O24" s="9">
        <v>-14314519</v>
      </c>
      <c r="Q24" s="9">
        <v>-158383982</v>
      </c>
      <c r="S24" s="9">
        <f t="shared" si="1"/>
        <v>100905299</v>
      </c>
      <c r="U24" s="10">
        <v>-1.3350300617182222E-3</v>
      </c>
    </row>
    <row r="25" spans="1:21" ht="42" x14ac:dyDescent="0.55000000000000004">
      <c r="A25" s="6" t="s">
        <v>185</v>
      </c>
      <c r="C25" s="9">
        <v>0</v>
      </c>
      <c r="E25" s="9">
        <v>-977547279</v>
      </c>
      <c r="G25" s="9">
        <v>0</v>
      </c>
      <c r="I25" s="9">
        <f t="shared" si="0"/>
        <v>-977547279</v>
      </c>
      <c r="K25" s="10">
        <v>2.1234152231904543E-2</v>
      </c>
      <c r="M25" s="9">
        <v>3190581800</v>
      </c>
      <c r="O25" s="9">
        <v>-2409744687</v>
      </c>
      <c r="Q25" s="9">
        <v>0</v>
      </c>
      <c r="S25" s="9">
        <f t="shared" si="1"/>
        <v>780837113</v>
      </c>
      <c r="U25" s="10">
        <v>-1.0330884794863632E-2</v>
      </c>
    </row>
    <row r="26" spans="1:21" ht="21" x14ac:dyDescent="0.55000000000000004">
      <c r="A26" s="6" t="s">
        <v>186</v>
      </c>
      <c r="C26" s="9">
        <v>0</v>
      </c>
      <c r="E26" s="9">
        <v>-912670547</v>
      </c>
      <c r="G26" s="9">
        <v>0</v>
      </c>
      <c r="I26" s="9">
        <f t="shared" si="0"/>
        <v>-912670547</v>
      </c>
      <c r="K26" s="10">
        <v>1.9824908471330921E-2</v>
      </c>
      <c r="M26" s="9">
        <v>7366293000</v>
      </c>
      <c r="O26" s="9">
        <v>-4361413883</v>
      </c>
      <c r="Q26" s="9">
        <v>-4246775433</v>
      </c>
      <c r="S26" s="9">
        <f t="shared" si="1"/>
        <v>-1241896316</v>
      </c>
      <c r="U26" s="10">
        <v>1.6430940018294905E-2</v>
      </c>
    </row>
    <row r="27" spans="1:21" ht="21" x14ac:dyDescent="0.55000000000000004">
      <c r="A27" s="6" t="s">
        <v>187</v>
      </c>
      <c r="C27" s="9">
        <v>0</v>
      </c>
      <c r="E27" s="9">
        <v>-489072600</v>
      </c>
      <c r="G27" s="9">
        <v>0</v>
      </c>
      <c r="I27" s="9">
        <f t="shared" si="0"/>
        <v>-489072600</v>
      </c>
      <c r="K27" s="10">
        <v>1.0623570096248366E-2</v>
      </c>
      <c r="M27" s="9">
        <v>1181400000</v>
      </c>
      <c r="O27" s="9">
        <v>-1699767330</v>
      </c>
      <c r="Q27" s="9">
        <v>-1271313720</v>
      </c>
      <c r="S27" s="9">
        <f t="shared" si="1"/>
        <v>-1789681050</v>
      </c>
      <c r="U27" s="10">
        <v>2.3678419531143084E-2</v>
      </c>
    </row>
    <row r="28" spans="1:21" ht="21" x14ac:dyDescent="0.55000000000000004">
      <c r="A28" s="6" t="s">
        <v>188</v>
      </c>
      <c r="C28" s="9">
        <v>0</v>
      </c>
      <c r="E28" s="9">
        <v>-1192860000</v>
      </c>
      <c r="G28" s="9">
        <v>0</v>
      </c>
      <c r="I28" s="9">
        <f t="shared" si="0"/>
        <v>-1192860000</v>
      </c>
      <c r="K28" s="10">
        <v>2.5911146576215526E-2</v>
      </c>
      <c r="M28" s="9">
        <v>621215130</v>
      </c>
      <c r="O28" s="9">
        <v>-5939448750</v>
      </c>
      <c r="Q28" s="9">
        <v>-6939629287</v>
      </c>
      <c r="S28" s="9">
        <f t="shared" si="1"/>
        <v>-12257862907</v>
      </c>
      <c r="U28" s="10">
        <v>0.16217795928899351</v>
      </c>
    </row>
    <row r="29" spans="1:21" ht="21" x14ac:dyDescent="0.55000000000000004">
      <c r="A29" s="6" t="s">
        <v>189</v>
      </c>
      <c r="C29" s="9">
        <v>0</v>
      </c>
      <c r="E29" s="9">
        <v>-3096157635</v>
      </c>
      <c r="G29" s="9">
        <v>0</v>
      </c>
      <c r="I29" s="9">
        <f t="shared" si="0"/>
        <v>-3096157635</v>
      </c>
      <c r="K29" s="10">
        <v>6.7254325154296232E-2</v>
      </c>
      <c r="M29" s="9">
        <v>3861186000</v>
      </c>
      <c r="O29" s="9">
        <v>-9339649062</v>
      </c>
      <c r="Q29" s="9">
        <v>0</v>
      </c>
      <c r="S29" s="9">
        <f t="shared" si="1"/>
        <v>-5478463062</v>
      </c>
      <c r="U29" s="10">
        <v>7.2482941453677868E-2</v>
      </c>
    </row>
    <row r="30" spans="1:21" ht="21" x14ac:dyDescent="0.55000000000000004">
      <c r="A30" s="6" t="s">
        <v>190</v>
      </c>
      <c r="C30" s="9">
        <v>0</v>
      </c>
      <c r="E30" s="9">
        <v>-1170573399</v>
      </c>
      <c r="G30" s="9">
        <v>0</v>
      </c>
      <c r="I30" s="9">
        <f t="shared" si="0"/>
        <v>-1170573399</v>
      </c>
      <c r="K30" s="10">
        <v>2.5427039987683232E-2</v>
      </c>
      <c r="M30" s="9">
        <v>0</v>
      </c>
      <c r="O30" s="9">
        <v>274779161</v>
      </c>
      <c r="Q30" s="9">
        <v>0</v>
      </c>
      <c r="S30" s="9">
        <f t="shared" si="1"/>
        <v>274779161</v>
      </c>
      <c r="U30" s="10">
        <v>-3.6354725064410274E-3</v>
      </c>
    </row>
    <row r="31" spans="1:21" ht="21" x14ac:dyDescent="0.55000000000000004">
      <c r="A31" s="6" t="s">
        <v>56</v>
      </c>
      <c r="C31" s="9">
        <v>0</v>
      </c>
      <c r="E31" s="9">
        <v>-2243317870</v>
      </c>
      <c r="G31" s="9">
        <v>0</v>
      </c>
      <c r="I31" s="9">
        <f t="shared" si="0"/>
        <v>-2243317870</v>
      </c>
      <c r="K31" s="10">
        <v>4.872905298745335E-2</v>
      </c>
      <c r="M31" s="9">
        <v>0</v>
      </c>
      <c r="O31" s="9">
        <v>-2243317870</v>
      </c>
      <c r="Q31" s="9">
        <v>0</v>
      </c>
      <c r="S31" s="9">
        <f t="shared" si="1"/>
        <v>-2243317870</v>
      </c>
      <c r="U31" s="10">
        <v>2.9680272732155431E-2</v>
      </c>
    </row>
    <row r="32" spans="1:21" ht="21" x14ac:dyDescent="0.55000000000000004">
      <c r="A32" s="6" t="s">
        <v>57</v>
      </c>
      <c r="C32" s="9">
        <v>0</v>
      </c>
      <c r="E32" s="9">
        <v>-2832844684</v>
      </c>
      <c r="G32" s="9">
        <v>0</v>
      </c>
      <c r="I32" s="9">
        <f t="shared" si="0"/>
        <v>-2832844684</v>
      </c>
      <c r="K32" s="10">
        <v>6.1534676185618559E-2</v>
      </c>
      <c r="M32" s="9">
        <v>0</v>
      </c>
      <c r="O32" s="9">
        <v>-11984926054</v>
      </c>
      <c r="Q32" s="9">
        <v>0</v>
      </c>
      <c r="S32" s="9">
        <f t="shared" si="1"/>
        <v>-11984926054</v>
      </c>
      <c r="U32" s="10">
        <v>0.15856686148425117</v>
      </c>
    </row>
    <row r="33" spans="1:21" ht="21" x14ac:dyDescent="0.55000000000000004">
      <c r="A33" s="6" t="s">
        <v>59</v>
      </c>
      <c r="C33" s="9">
        <v>0</v>
      </c>
      <c r="E33" s="9">
        <v>-1194351075</v>
      </c>
      <c r="G33" s="9">
        <v>0</v>
      </c>
      <c r="I33" s="9">
        <f t="shared" si="0"/>
        <v>-1194351075</v>
      </c>
      <c r="K33" s="10">
        <v>2.5943535509435796E-2</v>
      </c>
      <c r="M33" s="9">
        <v>1147500000</v>
      </c>
      <c r="O33" s="9">
        <v>-5394709349</v>
      </c>
      <c r="Q33" s="9">
        <v>3724158520</v>
      </c>
      <c r="S33" s="9">
        <f t="shared" si="1"/>
        <v>-523050829</v>
      </c>
      <c r="U33" s="10">
        <v>6.9202369691371444E-3</v>
      </c>
    </row>
    <row r="34" spans="1:21" ht="21" x14ac:dyDescent="0.55000000000000004">
      <c r="A34" s="6" t="s">
        <v>191</v>
      </c>
      <c r="C34" s="9">
        <v>0</v>
      </c>
      <c r="E34" s="9">
        <v>-6675751255</v>
      </c>
      <c r="G34" s="9">
        <v>0</v>
      </c>
      <c r="I34" s="9">
        <f t="shared" si="0"/>
        <v>-6675751255</v>
      </c>
      <c r="K34" s="10">
        <v>0.14500978260203187</v>
      </c>
      <c r="M34" s="9">
        <v>8240000000</v>
      </c>
      <c r="O34" s="9">
        <v>-16621707369</v>
      </c>
      <c r="Q34" s="9">
        <v>-1110122353</v>
      </c>
      <c r="S34" s="9">
        <f t="shared" si="1"/>
        <v>-9491829722</v>
      </c>
      <c r="U34" s="10">
        <v>0.12558188861400149</v>
      </c>
    </row>
    <row r="35" spans="1:21" ht="21" x14ac:dyDescent="0.55000000000000004">
      <c r="A35" s="6" t="s">
        <v>192</v>
      </c>
      <c r="C35" s="9">
        <v>1476028400</v>
      </c>
      <c r="E35" s="9">
        <v>-1987451442</v>
      </c>
      <c r="G35" s="9">
        <v>0</v>
      </c>
      <c r="I35" s="9">
        <f t="shared" si="0"/>
        <v>-511423042</v>
      </c>
      <c r="K35" s="10">
        <v>1.1109063430508215E-2</v>
      </c>
      <c r="M35" s="9">
        <v>1476028400</v>
      </c>
      <c r="O35" s="9">
        <v>-1311995816</v>
      </c>
      <c r="Q35" s="9">
        <v>-936644980</v>
      </c>
      <c r="S35" s="9">
        <f t="shared" si="1"/>
        <v>-772612396</v>
      </c>
      <c r="U35" s="10">
        <v>1.0222067472553087E-2</v>
      </c>
    </row>
    <row r="36" spans="1:21" ht="21" x14ac:dyDescent="0.55000000000000004">
      <c r="A36" s="6" t="s">
        <v>62</v>
      </c>
      <c r="C36" s="9">
        <v>2957254200</v>
      </c>
      <c r="E36" s="9">
        <v>-1442582951</v>
      </c>
      <c r="G36" s="9">
        <v>-446109805</v>
      </c>
      <c r="I36" s="9">
        <f t="shared" si="0"/>
        <v>1068561444</v>
      </c>
      <c r="K36" s="10">
        <v>-2.3211149842543567E-2</v>
      </c>
      <c r="M36" s="9">
        <v>2957254200</v>
      </c>
      <c r="O36" s="9">
        <v>-1442582951</v>
      </c>
      <c r="Q36" s="9">
        <v>-446109805</v>
      </c>
      <c r="S36" s="9">
        <f t="shared" si="1"/>
        <v>1068561444</v>
      </c>
      <c r="U36" s="10">
        <v>-1.4137628694138578E-2</v>
      </c>
    </row>
    <row r="37" spans="1:21" ht="21" x14ac:dyDescent="0.55000000000000004">
      <c r="A37" s="6" t="s">
        <v>193</v>
      </c>
      <c r="C37" s="9">
        <v>0</v>
      </c>
      <c r="E37" s="9">
        <v>2183088137</v>
      </c>
      <c r="G37" s="9">
        <v>-1498340018</v>
      </c>
      <c r="I37" s="9">
        <f t="shared" si="0"/>
        <v>684748119</v>
      </c>
      <c r="K37" s="10">
        <v>-1.4874007745415951E-2</v>
      </c>
      <c r="M37" s="9">
        <v>3439675060</v>
      </c>
      <c r="O37" s="9">
        <v>-7265840202</v>
      </c>
      <c r="Q37" s="9">
        <v>-1498340018</v>
      </c>
      <c r="S37" s="9">
        <f t="shared" si="1"/>
        <v>-5324505160</v>
      </c>
      <c r="U37" s="10">
        <v>7.0445997611818106E-2</v>
      </c>
    </row>
    <row r="38" spans="1:21" ht="21" x14ac:dyDescent="0.55000000000000004">
      <c r="A38" s="6" t="s">
        <v>194</v>
      </c>
      <c r="C38" s="9">
        <v>0</v>
      </c>
      <c r="E38" s="9">
        <v>-889910614</v>
      </c>
      <c r="G38" s="9">
        <v>85922324</v>
      </c>
      <c r="I38" s="9">
        <f t="shared" si="0"/>
        <v>-803988290</v>
      </c>
      <c r="K38" s="10">
        <v>1.7464126911582983E-2</v>
      </c>
      <c r="M38" s="9">
        <v>1973847300</v>
      </c>
      <c r="O38" s="9">
        <v>-10232999983</v>
      </c>
      <c r="Q38" s="9">
        <v>85922324</v>
      </c>
      <c r="S38" s="9">
        <f t="shared" si="1"/>
        <v>-8173230359</v>
      </c>
      <c r="U38" s="10">
        <v>0.10813612702949343</v>
      </c>
    </row>
    <row r="39" spans="1:21" ht="21" x14ac:dyDescent="0.55000000000000004">
      <c r="A39" s="6" t="s">
        <v>195</v>
      </c>
      <c r="C39" s="9">
        <v>0</v>
      </c>
      <c r="E39" s="9">
        <v>-5583163293</v>
      </c>
      <c r="G39" s="9">
        <v>0</v>
      </c>
      <c r="I39" s="9">
        <f t="shared" si="0"/>
        <v>-5583163293</v>
      </c>
      <c r="K39" s="10">
        <v>0.12127673192484378</v>
      </c>
      <c r="M39" s="9">
        <v>4262400000</v>
      </c>
      <c r="O39" s="9">
        <v>-9327705808</v>
      </c>
      <c r="Q39" s="9">
        <v>0</v>
      </c>
      <c r="S39" s="9">
        <f t="shared" si="1"/>
        <v>-5065305808</v>
      </c>
      <c r="U39" s="10">
        <v>6.7016654154861674E-2</v>
      </c>
    </row>
    <row r="40" spans="1:21" ht="21" x14ac:dyDescent="0.55000000000000004">
      <c r="A40" s="6" t="s">
        <v>68</v>
      </c>
      <c r="C40" s="9">
        <v>0</v>
      </c>
      <c r="E40" s="9">
        <v>-576549000</v>
      </c>
      <c r="G40" s="9">
        <v>0</v>
      </c>
      <c r="I40" s="9">
        <f t="shared" si="0"/>
        <v>-576549000</v>
      </c>
      <c r="K40" s="10">
        <v>1.2523720845170838E-2</v>
      </c>
      <c r="M40" s="9">
        <v>2512500760</v>
      </c>
      <c r="O40" s="9">
        <v>-1739520286</v>
      </c>
      <c r="Q40" s="9">
        <v>-4495866151</v>
      </c>
      <c r="S40" s="9">
        <f t="shared" si="1"/>
        <v>-3722885677</v>
      </c>
      <c r="U40" s="10">
        <v>4.9255731308374552E-2</v>
      </c>
    </row>
    <row r="41" spans="1:21" ht="21" x14ac:dyDescent="0.55000000000000004">
      <c r="A41" s="6" t="s">
        <v>196</v>
      </c>
      <c r="C41" s="9">
        <v>0</v>
      </c>
      <c r="E41" s="9">
        <v>-10112613536</v>
      </c>
      <c r="G41" s="9">
        <v>0</v>
      </c>
      <c r="I41" s="9">
        <f t="shared" si="0"/>
        <v>-10112613536</v>
      </c>
      <c r="K41" s="10">
        <v>0.21966484885059201</v>
      </c>
      <c r="M41" s="9">
        <v>4425879400</v>
      </c>
      <c r="O41" s="9">
        <v>-18493164993</v>
      </c>
      <c r="Q41" s="9">
        <v>0</v>
      </c>
      <c r="S41" s="9">
        <f t="shared" si="1"/>
        <v>-14067285593</v>
      </c>
      <c r="U41" s="10">
        <v>0.18611757102499293</v>
      </c>
    </row>
    <row r="42" spans="1:21" ht="21" x14ac:dyDescent="0.55000000000000004">
      <c r="A42" s="6" t="s">
        <v>197</v>
      </c>
      <c r="C42" s="9">
        <v>0</v>
      </c>
      <c r="E42" s="9">
        <v>-697823100</v>
      </c>
      <c r="G42" s="9">
        <v>0</v>
      </c>
      <c r="I42" s="9">
        <f t="shared" si="0"/>
        <v>-697823100</v>
      </c>
      <c r="K42" s="10">
        <v>1.5158020747086082E-2</v>
      </c>
      <c r="M42" s="9">
        <v>2711538480</v>
      </c>
      <c r="O42" s="9">
        <v>-1822093650</v>
      </c>
      <c r="Q42" s="9">
        <v>-2580275242</v>
      </c>
      <c r="S42" s="9">
        <f t="shared" si="1"/>
        <v>-1690830412</v>
      </c>
      <c r="U42" s="10">
        <v>2.2370573712758208E-2</v>
      </c>
    </row>
    <row r="43" spans="1:21" ht="21" x14ac:dyDescent="0.55000000000000004">
      <c r="A43" s="6" t="s">
        <v>198</v>
      </c>
      <c r="C43" s="9">
        <v>0</v>
      </c>
      <c r="E43" s="9">
        <v>-2422366979</v>
      </c>
      <c r="G43" s="9">
        <v>0</v>
      </c>
      <c r="I43" s="9">
        <f t="shared" si="0"/>
        <v>-2422366979</v>
      </c>
      <c r="K43" s="10">
        <v>5.2618333965640057E-2</v>
      </c>
      <c r="M43" s="9">
        <v>2155051860</v>
      </c>
      <c r="O43" s="9">
        <v>-9769840789</v>
      </c>
      <c r="Q43" s="9">
        <v>-2918135760</v>
      </c>
      <c r="S43" s="9">
        <f t="shared" si="1"/>
        <v>-10532924689</v>
      </c>
      <c r="U43" s="10">
        <v>0.1393561214027923</v>
      </c>
    </row>
    <row r="44" spans="1:21" ht="21" x14ac:dyDescent="0.55000000000000004">
      <c r="A44" s="6" t="s">
        <v>72</v>
      </c>
      <c r="C44" s="9">
        <v>0</v>
      </c>
      <c r="E44" s="9">
        <v>-1689885000</v>
      </c>
      <c r="G44" s="9">
        <v>0</v>
      </c>
      <c r="I44" s="9">
        <f t="shared" si="0"/>
        <v>-1689885000</v>
      </c>
      <c r="K44" s="10">
        <v>3.6707457649638661E-2</v>
      </c>
      <c r="M44" s="9">
        <v>0</v>
      </c>
      <c r="O44" s="9">
        <v>-1049592409</v>
      </c>
      <c r="Q44" s="9">
        <v>1064326375</v>
      </c>
      <c r="S44" s="9">
        <f t="shared" si="1"/>
        <v>14733966</v>
      </c>
      <c r="U44" s="10">
        <v>-1.9493810268907867E-4</v>
      </c>
    </row>
    <row r="45" spans="1:21" ht="21" x14ac:dyDescent="0.55000000000000004">
      <c r="A45" s="6" t="s">
        <v>73</v>
      </c>
      <c r="C45" s="9">
        <v>0</v>
      </c>
      <c r="E45" s="9">
        <v>22664340</v>
      </c>
      <c r="G45" s="9">
        <v>0</v>
      </c>
      <c r="I45" s="9">
        <f t="shared" si="0"/>
        <v>22664340</v>
      </c>
      <c r="K45" s="10">
        <v>-4.9231178494809496E-4</v>
      </c>
      <c r="M45" s="9">
        <v>1864000000</v>
      </c>
      <c r="O45" s="9">
        <v>1190605078</v>
      </c>
      <c r="Q45" s="9">
        <v>2663767254</v>
      </c>
      <c r="S45" s="9">
        <f t="shared" si="1"/>
        <v>5718372332</v>
      </c>
      <c r="U45" s="10">
        <v>-7.5657067002177295E-2</v>
      </c>
    </row>
    <row r="46" spans="1:21" ht="21" x14ac:dyDescent="0.55000000000000004">
      <c r="A46" s="6" t="s">
        <v>74</v>
      </c>
      <c r="C46" s="9">
        <v>0</v>
      </c>
      <c r="E46" s="9">
        <v>2293570657</v>
      </c>
      <c r="G46" s="9">
        <v>-2112709377</v>
      </c>
      <c r="I46" s="9">
        <f t="shared" si="0"/>
        <v>180861280</v>
      </c>
      <c r="K46" s="10">
        <v>-3.9286447160957342E-3</v>
      </c>
      <c r="M46" s="9">
        <v>425600000</v>
      </c>
      <c r="O46" s="9">
        <v>0</v>
      </c>
      <c r="Q46" s="9">
        <v>-2112709377</v>
      </c>
      <c r="S46" s="9">
        <f t="shared" si="1"/>
        <v>-1687109377</v>
      </c>
      <c r="U46" s="10">
        <v>2.2321342466877794E-2</v>
      </c>
    </row>
    <row r="47" spans="1:21" ht="21" x14ac:dyDescent="0.55000000000000004">
      <c r="A47" s="6" t="s">
        <v>75</v>
      </c>
      <c r="C47" s="9">
        <v>0</v>
      </c>
      <c r="E47" s="9">
        <v>-1756680190</v>
      </c>
      <c r="G47" s="9">
        <v>0</v>
      </c>
      <c r="I47" s="9">
        <f t="shared" si="0"/>
        <v>-1756680190</v>
      </c>
      <c r="K47" s="10">
        <v>3.8158373900226465E-2</v>
      </c>
      <c r="M47" s="9">
        <v>3509680000</v>
      </c>
      <c r="O47" s="9">
        <v>-138035965</v>
      </c>
      <c r="Q47" s="9">
        <v>5777609211</v>
      </c>
      <c r="S47" s="9">
        <f t="shared" si="1"/>
        <v>9149253246</v>
      </c>
      <c r="U47" s="10">
        <v>-0.12104942204951025</v>
      </c>
    </row>
    <row r="48" spans="1:21" ht="21" x14ac:dyDescent="0.55000000000000004">
      <c r="A48" s="6" t="s">
        <v>76</v>
      </c>
      <c r="C48" s="9">
        <v>0</v>
      </c>
      <c r="E48" s="9">
        <v>-146125350</v>
      </c>
      <c r="G48" s="9">
        <v>0</v>
      </c>
      <c r="I48" s="9">
        <f t="shared" si="0"/>
        <v>-146125350</v>
      </c>
      <c r="K48" s="10">
        <v>3.1741154555864019E-3</v>
      </c>
      <c r="M48" s="9">
        <v>0</v>
      </c>
      <c r="O48" s="9">
        <v>249273873</v>
      </c>
      <c r="Q48" s="9">
        <v>0</v>
      </c>
      <c r="S48" s="9">
        <f t="shared" si="1"/>
        <v>249273873</v>
      </c>
      <c r="U48" s="10">
        <v>-3.298024160811716E-3</v>
      </c>
    </row>
    <row r="49" spans="1:21" ht="21" x14ac:dyDescent="0.55000000000000004">
      <c r="A49" s="6" t="s">
        <v>199</v>
      </c>
      <c r="C49" s="9">
        <v>0</v>
      </c>
      <c r="E49" s="9">
        <v>587841408</v>
      </c>
      <c r="G49" s="9">
        <v>0</v>
      </c>
      <c r="I49" s="9">
        <f t="shared" si="0"/>
        <v>587841408</v>
      </c>
      <c r="K49" s="10">
        <v>-1.2769013032759012E-2</v>
      </c>
      <c r="M49" s="9">
        <v>4509477500</v>
      </c>
      <c r="O49" s="9">
        <v>3194956224</v>
      </c>
      <c r="Q49" s="9">
        <v>562923426</v>
      </c>
      <c r="S49" s="9">
        <f t="shared" si="1"/>
        <v>8267357150</v>
      </c>
      <c r="U49" s="10">
        <v>-0.10938147387295374</v>
      </c>
    </row>
    <row r="50" spans="1:21" ht="21" x14ac:dyDescent="0.55000000000000004">
      <c r="A50" s="6" t="s">
        <v>81</v>
      </c>
      <c r="C50" s="9">
        <v>0</v>
      </c>
      <c r="E50" s="9">
        <v>920142383</v>
      </c>
      <c r="G50" s="9">
        <v>-857510175</v>
      </c>
      <c r="I50" s="9">
        <f t="shared" si="0"/>
        <v>62632208</v>
      </c>
      <c r="K50" s="10">
        <v>-1.3604885081904151E-3</v>
      </c>
      <c r="M50" s="9">
        <v>178500000</v>
      </c>
      <c r="O50" s="9">
        <v>0</v>
      </c>
      <c r="Q50" s="9">
        <v>-3240818970</v>
      </c>
      <c r="S50" s="9">
        <f t="shared" si="1"/>
        <v>-3062318970</v>
      </c>
      <c r="U50" s="10">
        <v>4.0516087103809904E-2</v>
      </c>
    </row>
    <row r="51" spans="1:21" ht="21" x14ac:dyDescent="0.55000000000000004">
      <c r="A51" s="6" t="s">
        <v>200</v>
      </c>
      <c r="C51" s="9">
        <v>0</v>
      </c>
      <c r="E51" s="9">
        <v>-850310370</v>
      </c>
      <c r="G51" s="9">
        <v>0</v>
      </c>
      <c r="I51" s="9">
        <f t="shared" si="0"/>
        <v>-850310370</v>
      </c>
      <c r="K51" s="10">
        <v>1.8470328984412299E-2</v>
      </c>
      <c r="M51" s="9">
        <v>455000000</v>
      </c>
      <c r="O51" s="9">
        <v>-3070233967</v>
      </c>
      <c r="Q51" s="9">
        <v>-7770636373</v>
      </c>
      <c r="S51" s="9">
        <f t="shared" si="1"/>
        <v>-10385870340</v>
      </c>
      <c r="U51" s="10">
        <v>0.13741051519016512</v>
      </c>
    </row>
    <row r="52" spans="1:21" ht="21" x14ac:dyDescent="0.55000000000000004">
      <c r="A52" s="6" t="s">
        <v>115</v>
      </c>
      <c r="C52" s="9">
        <v>0</v>
      </c>
      <c r="E52" s="9">
        <v>0</v>
      </c>
      <c r="G52" s="9">
        <v>0</v>
      </c>
      <c r="I52" s="9">
        <f t="shared" si="0"/>
        <v>0</v>
      </c>
      <c r="K52" s="10">
        <v>0</v>
      </c>
      <c r="L52" s="5"/>
      <c r="M52" s="9">
        <v>616627200</v>
      </c>
      <c r="O52" s="9">
        <v>0</v>
      </c>
      <c r="Q52" s="9">
        <v>2743890294</v>
      </c>
      <c r="S52" s="9">
        <f t="shared" si="1"/>
        <v>3360517494</v>
      </c>
      <c r="U52" s="10">
        <v>-4.4461410073419291E-2</v>
      </c>
    </row>
    <row r="53" spans="1:21" ht="21" x14ac:dyDescent="0.55000000000000004">
      <c r="A53" s="6" t="s">
        <v>163</v>
      </c>
      <c r="C53" s="9">
        <v>0</v>
      </c>
      <c r="E53" s="9">
        <v>0</v>
      </c>
      <c r="G53" s="9">
        <v>0</v>
      </c>
      <c r="I53" s="9">
        <f t="shared" si="0"/>
        <v>0</v>
      </c>
      <c r="K53" s="10">
        <v>0</v>
      </c>
      <c r="L53" s="5"/>
      <c r="M53" s="9">
        <v>0</v>
      </c>
      <c r="O53" s="9">
        <v>0</v>
      </c>
      <c r="Q53" s="9">
        <v>1127860371</v>
      </c>
      <c r="S53" s="9">
        <f t="shared" si="1"/>
        <v>1127860371</v>
      </c>
      <c r="U53" s="10">
        <v>-1.4922184618923402E-2</v>
      </c>
    </row>
    <row r="54" spans="1:21" ht="21" x14ac:dyDescent="0.55000000000000004">
      <c r="A54" s="6" t="s">
        <v>164</v>
      </c>
      <c r="C54" s="9">
        <v>0</v>
      </c>
      <c r="E54" s="9">
        <v>0</v>
      </c>
      <c r="G54" s="9">
        <v>0</v>
      </c>
      <c r="I54" s="9">
        <f t="shared" si="0"/>
        <v>0</v>
      </c>
      <c r="K54" s="10">
        <v>0</v>
      </c>
      <c r="L54" s="5"/>
      <c r="M54" s="9">
        <v>0</v>
      </c>
      <c r="O54" s="9">
        <v>0</v>
      </c>
      <c r="Q54" s="9">
        <v>24909200024</v>
      </c>
      <c r="S54" s="9">
        <f t="shared" si="1"/>
        <v>24909200024</v>
      </c>
      <c r="U54" s="10">
        <v>-0.32956178887485643</v>
      </c>
    </row>
    <row r="55" spans="1:21" ht="21" x14ac:dyDescent="0.55000000000000004">
      <c r="A55" s="6" t="s">
        <v>167</v>
      </c>
      <c r="C55" s="9">
        <v>0</v>
      </c>
      <c r="E55" s="9">
        <v>0</v>
      </c>
      <c r="G55" s="9">
        <v>0</v>
      </c>
      <c r="I55" s="9">
        <f t="shared" si="0"/>
        <v>0</v>
      </c>
      <c r="K55" s="10">
        <v>0</v>
      </c>
      <c r="L55" s="5"/>
      <c r="M55" s="9">
        <v>0</v>
      </c>
      <c r="O55" s="9">
        <v>0</v>
      </c>
      <c r="Q55" s="9">
        <v>3589617595</v>
      </c>
      <c r="S55" s="9">
        <f t="shared" si="1"/>
        <v>3589617595</v>
      </c>
      <c r="U55" s="10">
        <v>-4.7492524643306062E-2</v>
      </c>
    </row>
    <row r="56" spans="1:21" ht="21" x14ac:dyDescent="0.55000000000000004">
      <c r="A56" s="6" t="s">
        <v>201</v>
      </c>
      <c r="C56" s="9">
        <v>0</v>
      </c>
      <c r="E56" s="9">
        <v>0</v>
      </c>
      <c r="G56" s="9">
        <v>0</v>
      </c>
      <c r="I56" s="9">
        <f t="shared" si="0"/>
        <v>0</v>
      </c>
      <c r="K56" s="10">
        <v>0</v>
      </c>
      <c r="L56" s="5"/>
      <c r="M56" s="9">
        <v>0</v>
      </c>
      <c r="O56" s="9">
        <v>0</v>
      </c>
      <c r="Q56" s="9">
        <v>-543685264</v>
      </c>
      <c r="S56" s="9">
        <f t="shared" si="1"/>
        <v>-543685264</v>
      </c>
      <c r="U56" s="10">
        <v>7.1932413733119E-3</v>
      </c>
    </row>
    <row r="57" spans="1:21" ht="21" x14ac:dyDescent="0.55000000000000004">
      <c r="A57" s="6" t="s">
        <v>129</v>
      </c>
      <c r="C57" s="9">
        <v>0</v>
      </c>
      <c r="E57" s="9">
        <v>0</v>
      </c>
      <c r="G57" s="9">
        <v>0</v>
      </c>
      <c r="I57" s="9">
        <f t="shared" si="0"/>
        <v>0</v>
      </c>
      <c r="K57" s="10">
        <v>0</v>
      </c>
      <c r="L57" s="5"/>
      <c r="M57" s="9">
        <v>772875000</v>
      </c>
      <c r="O57" s="9">
        <v>0</v>
      </c>
      <c r="Q57" s="9">
        <v>2443155390</v>
      </c>
      <c r="S57" s="9">
        <f t="shared" si="1"/>
        <v>3216030390</v>
      </c>
      <c r="U57" s="10">
        <v>-4.2549769859453843E-2</v>
      </c>
    </row>
    <row r="58" spans="1:21" ht="21" x14ac:dyDescent="0.55000000000000004">
      <c r="A58" s="6" t="s">
        <v>169</v>
      </c>
      <c r="C58" s="9">
        <v>0</v>
      </c>
      <c r="E58" s="9">
        <v>0</v>
      </c>
      <c r="G58" s="9">
        <v>0</v>
      </c>
      <c r="I58" s="9">
        <f t="shared" si="0"/>
        <v>0</v>
      </c>
      <c r="K58" s="10">
        <v>0</v>
      </c>
      <c r="L58" s="5"/>
      <c r="M58" s="9">
        <v>0</v>
      </c>
      <c r="O58" s="9">
        <v>0</v>
      </c>
      <c r="Q58" s="9">
        <v>-318900341</v>
      </c>
      <c r="S58" s="9">
        <f t="shared" si="1"/>
        <v>-318900341</v>
      </c>
      <c r="U58" s="10">
        <v>4.2192188730067791E-3</v>
      </c>
    </row>
    <row r="59" spans="1:21" ht="21" x14ac:dyDescent="0.55000000000000004">
      <c r="A59" s="6" t="s">
        <v>202</v>
      </c>
      <c r="C59" s="9">
        <v>0</v>
      </c>
      <c r="E59" s="9">
        <v>0</v>
      </c>
      <c r="G59" s="9">
        <v>0</v>
      </c>
      <c r="I59" s="9">
        <f t="shared" si="0"/>
        <v>0</v>
      </c>
      <c r="K59" s="10">
        <v>0</v>
      </c>
      <c r="L59" s="5"/>
      <c r="M59" s="9">
        <v>0</v>
      </c>
      <c r="O59" s="9">
        <v>0</v>
      </c>
      <c r="Q59" s="9">
        <v>-471040044</v>
      </c>
      <c r="S59" s="9">
        <f t="shared" si="1"/>
        <v>-471040044</v>
      </c>
      <c r="U59" s="10">
        <v>6.232106987890439E-3</v>
      </c>
    </row>
    <row r="60" spans="1:21" ht="21" x14ac:dyDescent="0.55000000000000004">
      <c r="A60" s="6" t="s">
        <v>170</v>
      </c>
      <c r="C60" s="9">
        <v>0</v>
      </c>
      <c r="E60" s="9">
        <v>0</v>
      </c>
      <c r="G60" s="9">
        <v>0</v>
      </c>
      <c r="I60" s="9">
        <f t="shared" si="0"/>
        <v>0</v>
      </c>
      <c r="K60" s="10">
        <v>0</v>
      </c>
      <c r="L60" s="5"/>
      <c r="M60" s="9">
        <v>0</v>
      </c>
      <c r="O60" s="9">
        <v>0</v>
      </c>
      <c r="Q60" s="9">
        <v>937550</v>
      </c>
      <c r="S60" s="9">
        <f t="shared" si="1"/>
        <v>937550</v>
      </c>
      <c r="U60" s="10">
        <v>-1.2404278534112656E-5</v>
      </c>
    </row>
    <row r="61" spans="1:21" ht="21" x14ac:dyDescent="0.55000000000000004">
      <c r="A61" s="6" t="s">
        <v>203</v>
      </c>
      <c r="C61" s="9">
        <v>0</v>
      </c>
      <c r="E61" s="9">
        <v>0</v>
      </c>
      <c r="G61" s="9">
        <v>0</v>
      </c>
      <c r="I61" s="9">
        <f t="shared" si="0"/>
        <v>0</v>
      </c>
      <c r="K61" s="10">
        <v>0</v>
      </c>
      <c r="L61" s="5"/>
      <c r="M61" s="9">
        <v>0</v>
      </c>
      <c r="O61" s="9">
        <v>0</v>
      </c>
      <c r="Q61" s="9">
        <v>-309749722</v>
      </c>
      <c r="S61" s="9">
        <f t="shared" si="1"/>
        <v>-309749722</v>
      </c>
      <c r="U61" s="10">
        <v>4.0981513813150901E-3</v>
      </c>
    </row>
    <row r="62" spans="1:21" ht="21" x14ac:dyDescent="0.55000000000000004">
      <c r="A62" s="6" t="s">
        <v>139</v>
      </c>
      <c r="C62" s="9">
        <v>0</v>
      </c>
      <c r="E62" s="9">
        <v>0</v>
      </c>
      <c r="G62" s="9">
        <v>0</v>
      </c>
      <c r="I62" s="9">
        <f t="shared" si="0"/>
        <v>0</v>
      </c>
      <c r="K62" s="10">
        <v>0</v>
      </c>
      <c r="L62" s="5"/>
      <c r="M62" s="9">
        <v>4800000</v>
      </c>
      <c r="O62" s="9">
        <v>0</v>
      </c>
      <c r="Q62" s="9">
        <v>119241876</v>
      </c>
      <c r="S62" s="9">
        <f t="shared" si="1"/>
        <v>124041876</v>
      </c>
      <c r="U62" s="10">
        <v>-1.6411391176981108E-3</v>
      </c>
    </row>
    <row r="63" spans="1:21" ht="21" x14ac:dyDescent="0.55000000000000004">
      <c r="A63" s="6" t="s">
        <v>156</v>
      </c>
      <c r="C63" s="9">
        <v>0</v>
      </c>
      <c r="E63" s="9">
        <v>-6099261</v>
      </c>
      <c r="F63" s="9"/>
      <c r="G63" s="9">
        <v>0</v>
      </c>
      <c r="H63" s="9"/>
      <c r="I63" s="9">
        <f t="shared" si="0"/>
        <v>-6099261</v>
      </c>
      <c r="K63" s="10">
        <v>1.3248733780795306E-4</v>
      </c>
      <c r="L63" s="5"/>
      <c r="M63" s="9">
        <v>0</v>
      </c>
      <c r="O63" s="9">
        <v>0</v>
      </c>
      <c r="Q63" s="9">
        <v>10759680</v>
      </c>
      <c r="S63" s="9">
        <f t="shared" si="1"/>
        <v>10759680</v>
      </c>
      <c r="U63" s="10">
        <v>-1.4235621317041359E-4</v>
      </c>
    </row>
    <row r="64" spans="1:21" ht="21" x14ac:dyDescent="0.55000000000000004">
      <c r="A64" s="6" t="s">
        <v>157</v>
      </c>
      <c r="C64" s="9">
        <v>0</v>
      </c>
      <c r="E64" s="9">
        <v>115978627</v>
      </c>
      <c r="F64" s="9"/>
      <c r="G64" s="9">
        <v>0</v>
      </c>
      <c r="H64" s="9"/>
      <c r="I64" s="9">
        <f t="shared" si="0"/>
        <v>115978627</v>
      </c>
      <c r="K64" s="10">
        <v>-2.519272340346082E-3</v>
      </c>
      <c r="L64" s="5"/>
      <c r="M64" s="9">
        <v>0</v>
      </c>
      <c r="O64" s="9">
        <v>0</v>
      </c>
      <c r="Q64" s="9">
        <v>-365759802</v>
      </c>
      <c r="S64" s="9">
        <f t="shared" si="1"/>
        <v>-365759802</v>
      </c>
      <c r="U64" s="10">
        <v>4.8391941342753935E-3</v>
      </c>
    </row>
    <row r="65" spans="1:24" ht="21" x14ac:dyDescent="0.55000000000000004">
      <c r="A65" s="6" t="s">
        <v>23</v>
      </c>
      <c r="C65" s="9">
        <v>0</v>
      </c>
      <c r="E65" s="9">
        <v>589170241</v>
      </c>
      <c r="F65" s="9"/>
      <c r="G65" s="9">
        <v>0</v>
      </c>
      <c r="H65" s="9"/>
      <c r="I65" s="9">
        <f t="shared" si="0"/>
        <v>589170241</v>
      </c>
      <c r="K65" s="10">
        <v>-1.2797877766791766E-2</v>
      </c>
      <c r="L65" s="5"/>
      <c r="M65" s="9">
        <v>0</v>
      </c>
      <c r="O65" s="9">
        <v>589170241</v>
      </c>
      <c r="Q65" s="9">
        <v>0</v>
      </c>
      <c r="S65" s="9">
        <f t="shared" si="1"/>
        <v>589170241</v>
      </c>
      <c r="U65" s="10">
        <v>-7.7950314899197697E-3</v>
      </c>
    </row>
    <row r="66" spans="1:24" ht="21" x14ac:dyDescent="0.55000000000000004">
      <c r="A66" s="6" t="s">
        <v>24</v>
      </c>
      <c r="C66" s="9">
        <v>0</v>
      </c>
      <c r="E66" s="9">
        <v>-84678189</v>
      </c>
      <c r="F66" s="9"/>
      <c r="G66" s="9">
        <v>711022568</v>
      </c>
      <c r="H66" s="9"/>
      <c r="I66" s="9">
        <f t="shared" si="0"/>
        <v>626344379</v>
      </c>
      <c r="K66" s="10">
        <v>-1.3605369457822116E-2</v>
      </c>
      <c r="L66" s="5"/>
      <c r="M66" s="9">
        <v>0</v>
      </c>
      <c r="O66" s="9">
        <v>-84678189</v>
      </c>
      <c r="Q66" s="9">
        <v>711022568</v>
      </c>
      <c r="S66" s="9">
        <f t="shared" si="1"/>
        <v>626344379</v>
      </c>
      <c r="U66" s="10">
        <v>-8.2868648449595447E-3</v>
      </c>
    </row>
    <row r="67" spans="1:24" ht="21" x14ac:dyDescent="0.55000000000000004">
      <c r="A67" s="6" t="s">
        <v>25</v>
      </c>
      <c r="C67" s="9">
        <v>0</v>
      </c>
      <c r="E67" s="9">
        <v>7698018</v>
      </c>
      <c r="F67" s="9"/>
      <c r="G67" s="9">
        <v>28948875</v>
      </c>
      <c r="H67" s="9"/>
      <c r="I67" s="9">
        <f t="shared" si="0"/>
        <v>36646893</v>
      </c>
      <c r="K67" s="10">
        <v>-7.9603894512841964E-4</v>
      </c>
      <c r="L67" s="5"/>
      <c r="M67" s="9">
        <v>0</v>
      </c>
      <c r="O67" s="9">
        <v>7698018</v>
      </c>
      <c r="Q67" s="9">
        <v>28948875</v>
      </c>
      <c r="S67" s="9">
        <f t="shared" si="1"/>
        <v>36646893</v>
      </c>
      <c r="U67" s="10">
        <v>-4.8485762698717225E-4</v>
      </c>
    </row>
    <row r="68" spans="1:24" ht="21" x14ac:dyDescent="0.55000000000000004">
      <c r="A68" s="6" t="s">
        <v>26</v>
      </c>
      <c r="C68" s="9">
        <v>0</v>
      </c>
      <c r="E68" s="9">
        <v>226447850</v>
      </c>
      <c r="F68" s="9"/>
      <c r="G68" s="9">
        <v>0</v>
      </c>
      <c r="H68" s="9"/>
      <c r="I68" s="9">
        <f t="shared" si="0"/>
        <v>226447850</v>
      </c>
      <c r="K68" s="10">
        <v>-4.9188701383388383E-3</v>
      </c>
      <c r="L68" s="5"/>
      <c r="M68" s="9">
        <v>0</v>
      </c>
      <c r="O68" s="9">
        <v>226447850</v>
      </c>
      <c r="Q68" s="9">
        <v>0</v>
      </c>
      <c r="S68" s="9">
        <f t="shared" si="1"/>
        <v>226447850</v>
      </c>
      <c r="U68" s="10">
        <v>-2.9960238972331745E-3</v>
      </c>
    </row>
    <row r="69" spans="1:24" ht="21" x14ac:dyDescent="0.55000000000000004">
      <c r="A69" s="6" t="s">
        <v>226</v>
      </c>
      <c r="C69" s="9">
        <v>0</v>
      </c>
      <c r="E69" s="9">
        <v>0</v>
      </c>
      <c r="F69" s="9"/>
      <c r="G69" s="9">
        <v>0</v>
      </c>
      <c r="H69" s="9"/>
      <c r="I69" s="9">
        <f t="shared" si="0"/>
        <v>0</v>
      </c>
      <c r="K69" s="10">
        <v>0</v>
      </c>
      <c r="L69" s="5"/>
      <c r="M69" s="9">
        <v>0</v>
      </c>
      <c r="O69" s="9">
        <v>-29992275</v>
      </c>
      <c r="Q69" s="9">
        <v>507100000</v>
      </c>
      <c r="S69" s="9">
        <f t="shared" si="1"/>
        <v>477107725</v>
      </c>
      <c r="U69" s="10">
        <v>-6.3123855918903781E-3</v>
      </c>
    </row>
    <row r="70" spans="1:24" ht="21" x14ac:dyDescent="0.55000000000000004">
      <c r="A70" s="6" t="s">
        <v>225</v>
      </c>
      <c r="C70" s="9">
        <v>0</v>
      </c>
      <c r="E70" s="14">
        <v>736422913</v>
      </c>
      <c r="G70" s="14">
        <v>681355651</v>
      </c>
      <c r="H70" s="9"/>
      <c r="I70" s="9">
        <f t="shared" si="0"/>
        <v>1417778564</v>
      </c>
      <c r="K70" s="10">
        <v>-3.0796797767064336E-2</v>
      </c>
      <c r="L70" s="5"/>
      <c r="M70" s="9">
        <v>0</v>
      </c>
      <c r="O70" s="9">
        <v>45432298</v>
      </c>
      <c r="Q70" s="9">
        <v>681355651</v>
      </c>
      <c r="S70" s="9">
        <f t="shared" si="1"/>
        <v>726787949</v>
      </c>
      <c r="U70" s="10">
        <v>-9.6157859896885117E-3</v>
      </c>
      <c r="X70" s="18"/>
    </row>
    <row r="71" spans="1:24" ht="21" x14ac:dyDescent="0.55000000000000004">
      <c r="A71" s="6" t="s">
        <v>158</v>
      </c>
      <c r="C71" s="9">
        <v>0</v>
      </c>
      <c r="E71" s="9">
        <v>0</v>
      </c>
      <c r="F71" s="9"/>
      <c r="G71" s="9">
        <v>0</v>
      </c>
      <c r="H71" s="9"/>
      <c r="I71" s="9">
        <f t="shared" si="0"/>
        <v>0</v>
      </c>
      <c r="K71" s="10">
        <v>0</v>
      </c>
      <c r="L71" s="5"/>
      <c r="M71" s="9">
        <v>0</v>
      </c>
      <c r="O71" s="9">
        <v>-24793613</v>
      </c>
      <c r="Q71" s="9">
        <v>41773444</v>
      </c>
      <c r="S71" s="9">
        <f t="shared" si="1"/>
        <v>16979831</v>
      </c>
      <c r="U71" s="10">
        <v>-2.2465207528788933E-4</v>
      </c>
    </row>
    <row r="72" spans="1:24" ht="21" x14ac:dyDescent="0.55000000000000004">
      <c r="A72" s="6" t="s">
        <v>30</v>
      </c>
      <c r="C72" s="9">
        <v>0</v>
      </c>
      <c r="E72" s="14">
        <v>65029613</v>
      </c>
      <c r="G72" s="9">
        <v>0</v>
      </c>
      <c r="H72" s="9"/>
      <c r="I72" s="9">
        <f t="shared" si="0"/>
        <v>65029613</v>
      </c>
      <c r="K72" s="10">
        <v>-1.4125646213617447E-3</v>
      </c>
      <c r="L72" s="5"/>
      <c r="M72" s="9">
        <v>0</v>
      </c>
      <c r="O72" s="9">
        <v>65029613</v>
      </c>
      <c r="Q72" s="9">
        <v>0</v>
      </c>
      <c r="S72" s="9">
        <f t="shared" si="1"/>
        <v>65029613</v>
      </c>
      <c r="U72" s="10">
        <v>-8.6037590807695947E-4</v>
      </c>
    </row>
    <row r="73" spans="1:24" ht="21" x14ac:dyDescent="0.55000000000000004">
      <c r="A73" s="6" t="s">
        <v>31</v>
      </c>
      <c r="C73" s="9">
        <v>0</v>
      </c>
      <c r="E73" s="14">
        <v>-999743</v>
      </c>
      <c r="G73" s="9">
        <v>-8844588</v>
      </c>
      <c r="H73" s="9"/>
      <c r="I73" s="9">
        <f t="shared" si="0"/>
        <v>-9844331</v>
      </c>
      <c r="K73" s="10">
        <v>2.1383725121622182E-4</v>
      </c>
      <c r="L73" s="5"/>
      <c r="M73" s="9">
        <v>0</v>
      </c>
      <c r="O73" s="9">
        <v>-999743</v>
      </c>
      <c r="Q73" s="9">
        <v>-8844588</v>
      </c>
      <c r="S73" s="9">
        <f t="shared" si="1"/>
        <v>-9844331</v>
      </c>
      <c r="U73" s="10">
        <v>1.3024566551757215E-4</v>
      </c>
    </row>
    <row r="74" spans="1:24" ht="21" x14ac:dyDescent="0.55000000000000004">
      <c r="A74" s="6" t="s">
        <v>32</v>
      </c>
      <c r="C74" s="9">
        <v>0</v>
      </c>
      <c r="E74" s="14">
        <v>-29213888</v>
      </c>
      <c r="G74" s="9">
        <v>85916769</v>
      </c>
      <c r="H74" s="9"/>
      <c r="I74" s="9">
        <f t="shared" si="0"/>
        <v>56702881</v>
      </c>
      <c r="K74" s="10">
        <v>-1.2316924541729175E-3</v>
      </c>
      <c r="L74" s="5"/>
      <c r="M74" s="9">
        <v>0</v>
      </c>
      <c r="O74" s="9">
        <v>22366239</v>
      </c>
      <c r="Q74" s="9">
        <v>143859698</v>
      </c>
      <c r="S74" s="9">
        <f t="shared" ref="S74:S95" si="2">M74+O74+Q74</f>
        <v>166225937</v>
      </c>
      <c r="U74" s="10">
        <v>-2.1992563832775452E-3</v>
      </c>
    </row>
    <row r="75" spans="1:24" ht="21" x14ac:dyDescent="0.55000000000000004">
      <c r="A75" s="6" t="s">
        <v>229</v>
      </c>
      <c r="C75" s="9">
        <v>0</v>
      </c>
      <c r="E75" s="14">
        <v>99974250</v>
      </c>
      <c r="G75" s="9">
        <v>617621429</v>
      </c>
      <c r="H75" s="9"/>
      <c r="I75" s="9">
        <f t="shared" si="0"/>
        <v>717595679</v>
      </c>
      <c r="K75" s="10">
        <v>-1.5587518083453133E-2</v>
      </c>
      <c r="L75" s="5"/>
      <c r="M75" s="9">
        <v>0</v>
      </c>
      <c r="O75" s="9">
        <v>99974250</v>
      </c>
      <c r="Q75" s="9">
        <v>617621429</v>
      </c>
      <c r="S75" s="9">
        <f t="shared" si="2"/>
        <v>717595679</v>
      </c>
      <c r="U75" s="10">
        <v>-9.4941674334080278E-3</v>
      </c>
    </row>
    <row r="76" spans="1:24" ht="21" x14ac:dyDescent="0.55000000000000004">
      <c r="A76" s="6" t="s">
        <v>230</v>
      </c>
      <c r="C76" s="9">
        <v>0</v>
      </c>
      <c r="E76" s="14">
        <v>175083688</v>
      </c>
      <c r="G76" s="9">
        <v>0</v>
      </c>
      <c r="H76" s="9"/>
      <c r="I76" s="9">
        <f t="shared" si="0"/>
        <v>175083688</v>
      </c>
      <c r="K76" s="10">
        <v>-3.8031446296064812E-3</v>
      </c>
      <c r="L76" s="5"/>
      <c r="M76" s="9">
        <v>0</v>
      </c>
      <c r="O76" s="9">
        <v>175083688</v>
      </c>
      <c r="Q76" s="9">
        <v>0</v>
      </c>
      <c r="S76" s="9">
        <f t="shared" si="2"/>
        <v>175083688</v>
      </c>
      <c r="U76" s="10">
        <v>-2.3164490776296492E-3</v>
      </c>
    </row>
    <row r="77" spans="1:24" ht="21" x14ac:dyDescent="0.55000000000000004">
      <c r="A77" s="6" t="s">
        <v>33</v>
      </c>
      <c r="C77" s="9">
        <v>0</v>
      </c>
      <c r="E77" s="14">
        <v>0</v>
      </c>
      <c r="G77" s="9">
        <v>65983520</v>
      </c>
      <c r="H77" s="9"/>
      <c r="I77" s="9">
        <f t="shared" si="0"/>
        <v>65983520</v>
      </c>
      <c r="K77" s="10">
        <v>-1.4332852625912921E-3</v>
      </c>
      <c r="L77" s="5"/>
      <c r="M77" s="9">
        <v>0</v>
      </c>
      <c r="O77" s="9">
        <v>0</v>
      </c>
      <c r="Q77" s="9">
        <v>65983520</v>
      </c>
      <c r="S77" s="9">
        <f t="shared" si="2"/>
        <v>65983520</v>
      </c>
      <c r="U77" s="10">
        <v>-8.7299659830536306E-4</v>
      </c>
    </row>
    <row r="78" spans="1:24" ht="21" x14ac:dyDescent="0.55000000000000004">
      <c r="A78" s="6" t="s">
        <v>34</v>
      </c>
      <c r="C78" s="9">
        <v>0</v>
      </c>
      <c r="E78" s="19">
        <v>-1843270500</v>
      </c>
      <c r="G78" s="14">
        <v>2023213897</v>
      </c>
      <c r="H78" s="9"/>
      <c r="I78" s="9">
        <f t="shared" si="0"/>
        <v>179943397</v>
      </c>
      <c r="K78" s="10">
        <v>-3.9087065834122539E-3</v>
      </c>
      <c r="L78" s="5"/>
      <c r="M78" s="9">
        <v>0</v>
      </c>
      <c r="O78" s="9">
        <v>0</v>
      </c>
      <c r="Q78" s="9">
        <v>2023213897</v>
      </c>
      <c r="S78" s="9">
        <f t="shared" si="2"/>
        <v>2023213897</v>
      </c>
      <c r="U78" s="10">
        <v>-2.6768181656952179E-2</v>
      </c>
    </row>
    <row r="79" spans="1:24" ht="21" x14ac:dyDescent="0.55000000000000004">
      <c r="A79" s="6" t="s">
        <v>227</v>
      </c>
      <c r="C79" s="9">
        <v>0</v>
      </c>
      <c r="E79" s="19">
        <v>0</v>
      </c>
      <c r="G79" s="14">
        <v>0</v>
      </c>
      <c r="H79" s="9"/>
      <c r="I79" s="9">
        <f t="shared" si="0"/>
        <v>0</v>
      </c>
      <c r="K79" s="10">
        <v>0</v>
      </c>
      <c r="L79" s="5"/>
      <c r="M79" s="9">
        <v>0</v>
      </c>
      <c r="O79" s="9">
        <v>0</v>
      </c>
      <c r="Q79" s="9">
        <v>736509952</v>
      </c>
      <c r="S79" s="9">
        <f t="shared" si="2"/>
        <v>736509952</v>
      </c>
      <c r="U79" s="10">
        <v>-9.7444131915673214E-3</v>
      </c>
    </row>
    <row r="80" spans="1:24" ht="21" x14ac:dyDescent="0.55000000000000004">
      <c r="A80" s="6" t="s">
        <v>36</v>
      </c>
      <c r="C80" s="9">
        <v>0</v>
      </c>
      <c r="E80" s="19">
        <v>40596729</v>
      </c>
      <c r="G80" s="9">
        <v>62249727</v>
      </c>
      <c r="H80" s="9"/>
      <c r="I80" s="9">
        <f t="shared" si="0"/>
        <v>102846456</v>
      </c>
      <c r="K80" s="10">
        <v>-2.2340170650875213E-3</v>
      </c>
      <c r="L80" s="5"/>
      <c r="M80" s="9">
        <v>0</v>
      </c>
      <c r="O80" s="9">
        <v>53354258</v>
      </c>
      <c r="Q80" s="9">
        <v>176369348</v>
      </c>
      <c r="S80" s="9">
        <f t="shared" si="2"/>
        <v>229723606</v>
      </c>
      <c r="U80" s="10">
        <v>-3.0393638682574297E-3</v>
      </c>
    </row>
    <row r="81" spans="1:21" ht="21" x14ac:dyDescent="0.55000000000000004">
      <c r="A81" s="6" t="s">
        <v>161</v>
      </c>
      <c r="C81" s="9">
        <v>0</v>
      </c>
      <c r="E81" s="19">
        <v>0</v>
      </c>
      <c r="G81" s="9">
        <v>0</v>
      </c>
      <c r="H81" s="9"/>
      <c r="I81" s="9">
        <f t="shared" si="0"/>
        <v>0</v>
      </c>
      <c r="K81" s="10">
        <v>0</v>
      </c>
      <c r="L81" s="5"/>
      <c r="M81" s="9">
        <v>0</v>
      </c>
      <c r="O81" s="9">
        <v>0</v>
      </c>
      <c r="Q81" s="9">
        <v>49774611</v>
      </c>
      <c r="S81" s="9">
        <f t="shared" si="2"/>
        <v>49774611</v>
      </c>
      <c r="U81" s="10">
        <v>-6.5854422566381278E-4</v>
      </c>
    </row>
    <row r="82" spans="1:21" ht="21" x14ac:dyDescent="0.55000000000000004">
      <c r="A82" s="6" t="s">
        <v>35</v>
      </c>
      <c r="C82" s="9">
        <v>0</v>
      </c>
      <c r="E82" s="19">
        <v>-3590076</v>
      </c>
      <c r="G82" s="9">
        <v>70547755</v>
      </c>
      <c r="H82" s="9"/>
      <c r="I82" s="9">
        <f t="shared" ref="I82:I95" si="3">C82+E82+G82</f>
        <v>66957679</v>
      </c>
      <c r="K82" s="10">
        <v>-1.4544458150765288E-3</v>
      </c>
      <c r="L82" s="5"/>
      <c r="M82" s="9">
        <v>0</v>
      </c>
      <c r="O82" s="9">
        <v>-3590076</v>
      </c>
      <c r="Q82" s="9">
        <v>70547755</v>
      </c>
      <c r="S82" s="9">
        <f t="shared" si="2"/>
        <v>66957679</v>
      </c>
      <c r="U82" s="10">
        <v>-8.8588523312218626E-4</v>
      </c>
    </row>
    <row r="83" spans="1:21" ht="21" x14ac:dyDescent="0.55000000000000004">
      <c r="A83" s="6" t="s">
        <v>37</v>
      </c>
      <c r="C83" s="9">
        <v>0</v>
      </c>
      <c r="E83" s="19">
        <v>115313905</v>
      </c>
      <c r="G83" s="9">
        <v>130289959</v>
      </c>
      <c r="H83" s="9"/>
      <c r="I83" s="9">
        <f t="shared" si="3"/>
        <v>245603864</v>
      </c>
      <c r="K83" s="10">
        <v>-5.3349745316205619E-3</v>
      </c>
      <c r="L83" s="5"/>
      <c r="M83" s="9">
        <v>0</v>
      </c>
      <c r="O83" s="9">
        <v>115313905</v>
      </c>
      <c r="Q83" s="9">
        <v>130289959</v>
      </c>
      <c r="S83" s="9">
        <f t="shared" si="2"/>
        <v>245603864</v>
      </c>
      <c r="U83" s="10">
        <v>-3.2494680156901754E-3</v>
      </c>
    </row>
    <row r="84" spans="1:21" ht="21" x14ac:dyDescent="0.55000000000000004">
      <c r="A84" s="6" t="s">
        <v>27</v>
      </c>
      <c r="C84" s="9">
        <v>0</v>
      </c>
      <c r="E84" s="19">
        <v>6765017</v>
      </c>
      <c r="G84" s="14">
        <v>156876184</v>
      </c>
      <c r="H84" s="9"/>
      <c r="I84" s="9">
        <f t="shared" si="3"/>
        <v>163641201</v>
      </c>
      <c r="K84" s="10">
        <v>-3.5545924459022406E-3</v>
      </c>
      <c r="L84" s="5"/>
      <c r="M84" s="9">
        <v>0</v>
      </c>
      <c r="O84" s="9">
        <v>11996910</v>
      </c>
      <c r="Q84" s="14">
        <v>156876184</v>
      </c>
      <c r="S84" s="9">
        <f t="shared" si="2"/>
        <v>168873094</v>
      </c>
      <c r="U84" s="10">
        <v>-2.2342796596377672E-3</v>
      </c>
    </row>
    <row r="85" spans="1:21" ht="21" x14ac:dyDescent="0.55000000000000004">
      <c r="A85" s="6" t="s">
        <v>29</v>
      </c>
      <c r="C85" s="9">
        <v>0</v>
      </c>
      <c r="E85" s="19">
        <v>-76067574</v>
      </c>
      <c r="G85" s="14">
        <v>147509784</v>
      </c>
      <c r="H85" s="9"/>
      <c r="I85" s="9">
        <f t="shared" si="3"/>
        <v>71442210</v>
      </c>
      <c r="K85" s="10">
        <v>-1.5518582021685451E-3</v>
      </c>
      <c r="L85" s="5"/>
      <c r="M85" s="9">
        <v>0</v>
      </c>
      <c r="O85" s="9">
        <v>0</v>
      </c>
      <c r="Q85" s="14">
        <v>147509784</v>
      </c>
      <c r="S85" s="9">
        <f t="shared" si="2"/>
        <v>147509784</v>
      </c>
      <c r="U85" s="10">
        <v>-1.9516318566932904E-3</v>
      </c>
    </row>
    <row r="86" spans="1:21" ht="21" x14ac:dyDescent="0.55000000000000004">
      <c r="A86" s="6" t="s">
        <v>160</v>
      </c>
      <c r="C86" s="9">
        <v>0</v>
      </c>
      <c r="E86" s="19">
        <v>0</v>
      </c>
      <c r="G86" s="14">
        <v>0</v>
      </c>
      <c r="H86" s="9"/>
      <c r="I86" s="9">
        <f t="shared" si="3"/>
        <v>0</v>
      </c>
      <c r="K86" s="10">
        <v>0</v>
      </c>
      <c r="L86" s="5"/>
      <c r="M86" s="9">
        <v>0</v>
      </c>
      <c r="O86" s="9">
        <v>5339838</v>
      </c>
      <c r="Q86" s="9">
        <v>5148118</v>
      </c>
      <c r="S86" s="9">
        <f t="shared" si="2"/>
        <v>10487956</v>
      </c>
      <c r="U86" s="10">
        <v>-1.3876116204737671E-4</v>
      </c>
    </row>
    <row r="87" spans="1:21" ht="21" x14ac:dyDescent="0.55000000000000004">
      <c r="A87" s="6" t="s">
        <v>18</v>
      </c>
      <c r="C87" s="9">
        <v>0</v>
      </c>
      <c r="E87" s="19">
        <v>464207473</v>
      </c>
      <c r="G87" s="14">
        <v>0</v>
      </c>
      <c r="H87" s="9"/>
      <c r="I87" s="9">
        <f t="shared" si="3"/>
        <v>464207473</v>
      </c>
      <c r="K87" s="10">
        <v>-1.0083453108225282E-2</v>
      </c>
      <c r="L87" s="5"/>
      <c r="M87" s="9">
        <v>0</v>
      </c>
      <c r="O87" s="9">
        <v>464207473</v>
      </c>
      <c r="Q87" s="9">
        <v>0</v>
      </c>
      <c r="S87" s="9">
        <f t="shared" si="2"/>
        <v>464207473</v>
      </c>
      <c r="U87" s="10">
        <v>-6.1417084877698046E-3</v>
      </c>
    </row>
    <row r="88" spans="1:21" ht="21" x14ac:dyDescent="0.55000000000000004">
      <c r="A88" s="6" t="s">
        <v>155</v>
      </c>
      <c r="C88" s="9">
        <v>0</v>
      </c>
      <c r="E88" s="19">
        <v>0</v>
      </c>
      <c r="G88" s="14">
        <v>0</v>
      </c>
      <c r="H88" s="9"/>
      <c r="I88" s="9">
        <f t="shared" si="3"/>
        <v>0</v>
      </c>
      <c r="K88" s="10">
        <v>0</v>
      </c>
      <c r="L88" s="5"/>
      <c r="M88" s="9">
        <v>0</v>
      </c>
      <c r="O88" s="9">
        <v>-27640881</v>
      </c>
      <c r="Q88" s="9">
        <v>101661689</v>
      </c>
      <c r="S88" s="9">
        <f t="shared" si="2"/>
        <v>74020808</v>
      </c>
      <c r="U88" s="10">
        <v>-9.7933413658159488E-4</v>
      </c>
    </row>
    <row r="89" spans="1:21" ht="21" x14ac:dyDescent="0.55000000000000004">
      <c r="A89" s="6" t="s">
        <v>19</v>
      </c>
      <c r="C89" s="9">
        <v>0</v>
      </c>
      <c r="E89" s="19">
        <v>5440598</v>
      </c>
      <c r="G89" s="14">
        <v>116747229</v>
      </c>
      <c r="H89" s="9"/>
      <c r="I89" s="9">
        <f t="shared" si="3"/>
        <v>122187827</v>
      </c>
      <c r="K89" s="10">
        <v>-2.6541477585184051E-3</v>
      </c>
      <c r="L89" s="5"/>
      <c r="M89" s="9">
        <v>0</v>
      </c>
      <c r="O89" s="9">
        <v>5440598</v>
      </c>
      <c r="Q89" s="14">
        <v>116747229</v>
      </c>
      <c r="S89" s="9">
        <f t="shared" si="2"/>
        <v>122187827</v>
      </c>
      <c r="U89" s="10">
        <v>-1.6166090764076272E-3</v>
      </c>
    </row>
    <row r="90" spans="1:21" ht="21" x14ac:dyDescent="0.55000000000000004">
      <c r="A90" s="6" t="s">
        <v>20</v>
      </c>
      <c r="C90" s="9">
        <v>0</v>
      </c>
      <c r="E90" s="19">
        <v>7738007</v>
      </c>
      <c r="G90" s="14">
        <v>133594104</v>
      </c>
      <c r="H90" s="9"/>
      <c r="I90" s="9">
        <f t="shared" si="3"/>
        <v>141332111</v>
      </c>
      <c r="K90" s="10">
        <v>-3.0699973542972041E-3</v>
      </c>
      <c r="L90" s="5"/>
      <c r="M90" s="9">
        <v>0</v>
      </c>
      <c r="O90" s="9">
        <v>7738007</v>
      </c>
      <c r="Q90" s="14">
        <v>133594104</v>
      </c>
      <c r="S90" s="9">
        <f t="shared" si="2"/>
        <v>141332111</v>
      </c>
      <c r="U90" s="10">
        <v>-1.8698980008086258E-3</v>
      </c>
    </row>
    <row r="91" spans="1:21" ht="21" x14ac:dyDescent="0.55000000000000004">
      <c r="A91" s="6" t="s">
        <v>21</v>
      </c>
      <c r="C91" s="9">
        <v>0</v>
      </c>
      <c r="E91" s="19">
        <v>-67046587</v>
      </c>
      <c r="G91" s="14">
        <v>39927467</v>
      </c>
      <c r="H91" s="9"/>
      <c r="I91" s="9">
        <f t="shared" si="3"/>
        <v>-27119120</v>
      </c>
      <c r="K91" s="10">
        <v>5.8907792476734736E-4</v>
      </c>
      <c r="L91" s="5"/>
      <c r="M91" s="9">
        <v>0</v>
      </c>
      <c r="O91" s="9">
        <v>-1779542</v>
      </c>
      <c r="Q91" s="14">
        <v>39927467</v>
      </c>
      <c r="S91" s="9">
        <f t="shared" si="2"/>
        <v>38147925</v>
      </c>
      <c r="U91" s="10">
        <v>-5.0471706810137004E-4</v>
      </c>
    </row>
    <row r="92" spans="1:21" ht="21" x14ac:dyDescent="0.55000000000000004">
      <c r="A92" s="6" t="s">
        <v>22</v>
      </c>
      <c r="C92" s="9">
        <v>0</v>
      </c>
      <c r="E92" s="19">
        <v>8787737</v>
      </c>
      <c r="G92" s="14">
        <v>100161565</v>
      </c>
      <c r="H92" s="9"/>
      <c r="I92" s="9">
        <f t="shared" si="3"/>
        <v>108949302</v>
      </c>
      <c r="K92" s="10">
        <v>-2.3665822757895907E-3</v>
      </c>
      <c r="L92" s="5"/>
      <c r="M92" s="9">
        <v>0</v>
      </c>
      <c r="O92" s="9">
        <v>8787737</v>
      </c>
      <c r="Q92" s="9">
        <v>100161565</v>
      </c>
      <c r="S92" s="9">
        <f t="shared" si="2"/>
        <v>108949302</v>
      </c>
      <c r="U92" s="10">
        <v>-1.4414564429685425E-3</v>
      </c>
    </row>
    <row r="93" spans="1:21" ht="21" x14ac:dyDescent="0.55000000000000004">
      <c r="A93" s="6" t="s">
        <v>28</v>
      </c>
      <c r="C93" s="9">
        <v>0</v>
      </c>
      <c r="E93" s="19">
        <v>-86955785</v>
      </c>
      <c r="G93" s="14">
        <v>84996712</v>
      </c>
      <c r="H93" s="9"/>
      <c r="I93" s="9">
        <f t="shared" si="3"/>
        <v>-1959073</v>
      </c>
      <c r="K93" s="10">
        <v>4.2554723652822859E-5</v>
      </c>
      <c r="L93" s="5"/>
      <c r="M93" s="9">
        <v>0</v>
      </c>
      <c r="O93" s="9">
        <v>44988</v>
      </c>
      <c r="Q93" s="14">
        <v>84996712</v>
      </c>
      <c r="S93" s="9">
        <f t="shared" si="2"/>
        <v>85041700</v>
      </c>
      <c r="U93" s="10">
        <v>-1.1251463215982596E-3</v>
      </c>
    </row>
    <row r="94" spans="1:21" ht="21" x14ac:dyDescent="0.55000000000000004">
      <c r="A94" s="6" t="s">
        <v>228</v>
      </c>
      <c r="C94" s="9">
        <v>0</v>
      </c>
      <c r="E94" s="19">
        <v>0</v>
      </c>
      <c r="G94" s="14">
        <v>0</v>
      </c>
      <c r="H94" s="9"/>
      <c r="I94" s="9">
        <f t="shared" si="3"/>
        <v>0</v>
      </c>
      <c r="K94" s="10">
        <v>0</v>
      </c>
      <c r="L94" s="5"/>
      <c r="M94" s="9">
        <v>0</v>
      </c>
      <c r="O94" s="9">
        <v>-5833792</v>
      </c>
      <c r="Q94" s="9">
        <v>714792729</v>
      </c>
      <c r="S94" s="9">
        <f t="shared" si="2"/>
        <v>708958937</v>
      </c>
      <c r="U94" s="10">
        <v>-9.3798988041133031E-3</v>
      </c>
    </row>
    <row r="95" spans="1:21" ht="21" x14ac:dyDescent="0.55000000000000004">
      <c r="A95" s="6" t="s">
        <v>231</v>
      </c>
      <c r="C95" s="9">
        <v>0</v>
      </c>
      <c r="E95" s="19">
        <v>17377524</v>
      </c>
      <c r="G95" s="9">
        <v>72735576</v>
      </c>
      <c r="H95" s="9"/>
      <c r="I95" s="9">
        <f t="shared" si="3"/>
        <v>90113100</v>
      </c>
      <c r="K95" s="10">
        <v>-1.9574247963190712E-3</v>
      </c>
      <c r="L95" s="5"/>
      <c r="M95" s="9">
        <v>0</v>
      </c>
      <c r="O95" s="9">
        <v>17377524</v>
      </c>
      <c r="Q95" s="9">
        <v>72735576</v>
      </c>
      <c r="S95" s="9">
        <f t="shared" si="2"/>
        <v>90113100</v>
      </c>
      <c r="U95" s="10">
        <v>-1.1922436051115643E-3</v>
      </c>
    </row>
    <row r="96" spans="1:21" ht="21.75" thickBot="1" x14ac:dyDescent="0.6">
      <c r="A96" s="11" t="s">
        <v>84</v>
      </c>
      <c r="C96" s="11">
        <f>SUM(C9:C95)</f>
        <v>4433282600</v>
      </c>
      <c r="E96" s="11">
        <f>SUM(E9:E95)</f>
        <v>-55801040094</v>
      </c>
      <c r="G96" s="11">
        <f>SUM(G9:G95)</f>
        <v>88858812</v>
      </c>
      <c r="I96" s="11">
        <f>SUM(I9:I95)</f>
        <v>-51278898682</v>
      </c>
      <c r="K96" s="16">
        <f>SUM(K9:K95)</f>
        <v>1.1138734302568685</v>
      </c>
      <c r="M96" s="11">
        <f>SUM(M9:M95)</f>
        <v>72311723960</v>
      </c>
      <c r="O96" s="11">
        <f>SUM(O9:O95)</f>
        <v>-164649591911</v>
      </c>
      <c r="Q96" s="11">
        <f>SUM(Q9:Q95)</f>
        <v>5288318920</v>
      </c>
      <c r="S96" s="11">
        <f>SUM(S9:S95)</f>
        <v>-87049549031</v>
      </c>
      <c r="U96" s="16">
        <f>SUM(U9:U95)</f>
        <v>1.1517112180144213</v>
      </c>
    </row>
    <row r="97" spans="3:21" ht="21.75" thickTop="1" x14ac:dyDescent="0.55000000000000004">
      <c r="C97" s="13"/>
      <c r="E97" s="13"/>
      <c r="G97" s="13"/>
      <c r="I97" s="13"/>
      <c r="K97" s="13"/>
      <c r="M97" s="13"/>
      <c r="O97" s="13"/>
      <c r="Q97" s="13"/>
      <c r="S97" s="13"/>
      <c r="U97" s="13"/>
    </row>
  </sheetData>
  <mergeCells count="7">
    <mergeCell ref="A1:U1"/>
    <mergeCell ref="A2:U2"/>
    <mergeCell ref="A3:U3"/>
    <mergeCell ref="C7:K7"/>
    <mergeCell ref="M7:U7"/>
    <mergeCell ref="A5:K5"/>
    <mergeCell ref="L5:U5"/>
  </mergeCells>
  <pageMargins left="0.25" right="0.35" top="0.4" bottom="0.43" header="0.3" footer="0.3"/>
  <pageSetup paperSize="9" scale="68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1"/>
  <sheetViews>
    <sheetView rightToLeft="1" view="pageBreakPreview" zoomScale="85" zoomScaleNormal="100" zoomScaleSheetLayoutView="85" workbookViewId="0">
      <selection activeCell="E14" sqref="E14"/>
    </sheetView>
  </sheetViews>
  <sheetFormatPr defaultColWidth="8.85546875" defaultRowHeight="19.5" x14ac:dyDescent="0.55000000000000004"/>
  <cols>
    <col min="1" max="1" width="23.28515625" style="1" customWidth="1"/>
    <col min="2" max="2" width="1.42578125" style="1" customWidth="1"/>
    <col min="3" max="3" width="16.140625" style="1" bestFit="1" customWidth="1"/>
    <col min="4" max="4" width="1.42578125" style="1" customWidth="1"/>
    <col min="5" max="5" width="16.5703125" style="1" bestFit="1" customWidth="1"/>
    <col min="6" max="6" width="1.42578125" style="1" customWidth="1"/>
    <col min="7" max="7" width="12.28515625" style="1" bestFit="1" customWidth="1"/>
    <col min="8" max="8" width="1.42578125" style="1" customWidth="1"/>
    <col min="9" max="9" width="5.28515625" style="1" bestFit="1" customWidth="1"/>
    <col min="10" max="10" width="1.42578125" style="1" customWidth="1"/>
    <col min="11" max="11" width="16.140625" style="1" bestFit="1" customWidth="1"/>
    <col min="12" max="12" width="1.42578125" style="1" customWidth="1"/>
    <col min="13" max="13" width="16.5703125" style="1" bestFit="1" customWidth="1"/>
    <col min="14" max="14" width="1.42578125" style="1" customWidth="1"/>
    <col min="15" max="15" width="12.28515625" style="1" bestFit="1" customWidth="1"/>
    <col min="16" max="16" width="1.42578125" style="1" customWidth="1"/>
    <col min="17" max="17" width="14.140625" style="1" bestFit="1" customWidth="1"/>
    <col min="18" max="16384" width="8.85546875" style="1"/>
  </cols>
  <sheetData>
    <row r="1" spans="1:17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19.899999999999999" customHeight="1" x14ac:dyDescent="0.55000000000000004">
      <c r="A2" s="34" t="s">
        <v>94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5" spans="1:17" ht="21" x14ac:dyDescent="0.55000000000000004">
      <c r="A5" s="35" t="s">
        <v>204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7" spans="1:17" ht="21" x14ac:dyDescent="0.55000000000000004">
      <c r="C7" s="36" t="s">
        <v>107</v>
      </c>
      <c r="D7" s="36"/>
      <c r="E7" s="36"/>
      <c r="F7" s="36"/>
      <c r="G7" s="36"/>
      <c r="H7" s="36"/>
      <c r="I7" s="36"/>
      <c r="J7" s="22"/>
      <c r="K7" s="36" t="s">
        <v>7</v>
      </c>
      <c r="L7" s="36"/>
      <c r="M7" s="36"/>
      <c r="N7" s="36"/>
      <c r="O7" s="36"/>
      <c r="P7" s="36"/>
      <c r="Q7" s="36"/>
    </row>
    <row r="8" spans="1:17" ht="21" x14ac:dyDescent="0.55000000000000004">
      <c r="C8" s="17" t="s">
        <v>205</v>
      </c>
      <c r="E8" s="17" t="s">
        <v>175</v>
      </c>
      <c r="G8" s="17" t="s">
        <v>176</v>
      </c>
      <c r="I8" s="17" t="s">
        <v>84</v>
      </c>
      <c r="J8" s="23"/>
      <c r="K8" s="17" t="s">
        <v>205</v>
      </c>
      <c r="M8" s="17" t="s">
        <v>175</v>
      </c>
      <c r="O8" s="17" t="s">
        <v>176</v>
      </c>
      <c r="Q8" s="17" t="s">
        <v>84</v>
      </c>
    </row>
    <row r="9" spans="1:17" ht="21" x14ac:dyDescent="0.55000000000000004">
      <c r="A9" s="6" t="s">
        <v>149</v>
      </c>
      <c r="C9" s="9">
        <v>0</v>
      </c>
      <c r="D9" s="9"/>
      <c r="E9" s="9">
        <v>0</v>
      </c>
      <c r="F9" s="9"/>
      <c r="G9" s="9">
        <v>0</v>
      </c>
      <c r="I9" s="9">
        <f>C9+E9+G9</f>
        <v>0</v>
      </c>
      <c r="J9" s="5"/>
      <c r="K9" s="9">
        <v>3415108863</v>
      </c>
      <c r="M9" s="9">
        <v>0</v>
      </c>
      <c r="O9" s="9">
        <v>-34437500</v>
      </c>
      <c r="Q9" s="9">
        <f>K9+M9+O9</f>
        <v>3380671363</v>
      </c>
    </row>
    <row r="10" spans="1:17" ht="21" x14ac:dyDescent="0.55000000000000004">
      <c r="A10" s="11" t="s">
        <v>84</v>
      </c>
      <c r="C10" s="11">
        <f>SUM(C9:$C$9)</f>
        <v>0</v>
      </c>
      <c r="E10" s="11">
        <f>SUM(E9:$E$9)</f>
        <v>0</v>
      </c>
      <c r="G10" s="11">
        <f>SUM(G9:$G$9)</f>
        <v>0</v>
      </c>
      <c r="I10" s="11">
        <f>SUM(I9:$I$9)</f>
        <v>0</v>
      </c>
      <c r="K10" s="11">
        <f>SUM(K9:$K$9)</f>
        <v>3415108863</v>
      </c>
      <c r="M10" s="11">
        <f>SUM(M9:$M$9)</f>
        <v>0</v>
      </c>
      <c r="O10" s="11">
        <f>SUM(O9:$O$9)</f>
        <v>-34437500</v>
      </c>
      <c r="Q10" s="11">
        <f>SUM(Q9:$Q$9)</f>
        <v>3380671363</v>
      </c>
    </row>
    <row r="11" spans="1:17" ht="21" x14ac:dyDescent="0.55000000000000004">
      <c r="C11" s="13"/>
      <c r="E11" s="13"/>
      <c r="G11" s="13"/>
      <c r="I11" s="13"/>
      <c r="K11" s="13"/>
      <c r="M11" s="13"/>
      <c r="O11" s="13"/>
      <c r="Q11" s="13"/>
    </row>
  </sheetData>
  <mergeCells count="6">
    <mergeCell ref="A1:Q1"/>
    <mergeCell ref="A2:Q2"/>
    <mergeCell ref="A3:Q3"/>
    <mergeCell ref="A5:Q5"/>
    <mergeCell ref="C7:I7"/>
    <mergeCell ref="K7:Q7"/>
  </mergeCells>
  <pageMargins left="0.24" right="0.22" top="0.47" bottom="0.75" header="0.3" footer="0.3"/>
  <pageSetup paperSize="9" scale="9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2"/>
  <sheetViews>
    <sheetView rightToLeft="1" view="pageBreakPreview" zoomScale="85" zoomScaleNormal="100" zoomScaleSheetLayoutView="85" workbookViewId="0">
      <selection activeCell="C17" sqref="C17"/>
    </sheetView>
  </sheetViews>
  <sheetFormatPr defaultColWidth="8.85546875" defaultRowHeight="19.5" x14ac:dyDescent="0.55000000000000004"/>
  <cols>
    <col min="1" max="1" width="28.5703125" style="1" bestFit="1" customWidth="1"/>
    <col min="2" max="2" width="1.42578125" style="1" customWidth="1"/>
    <col min="3" max="3" width="17" style="1" customWidth="1"/>
    <col min="4" max="4" width="1.42578125" style="1" customWidth="1"/>
    <col min="5" max="5" width="12.85546875" style="1" bestFit="1" customWidth="1"/>
    <col min="6" max="6" width="1.42578125" style="1" customWidth="1"/>
    <col min="7" max="7" width="17" style="1" customWidth="1"/>
    <col min="8" max="8" width="1.42578125" style="1" customWidth="1"/>
    <col min="9" max="9" width="12.85546875" style="1" bestFit="1" customWidth="1"/>
    <col min="10" max="16384" width="8.85546875" style="1"/>
  </cols>
  <sheetData>
    <row r="1" spans="1:9" ht="26.25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</row>
    <row r="2" spans="1:9" ht="26.25" x14ac:dyDescent="0.55000000000000004">
      <c r="A2" s="34" t="s">
        <v>94</v>
      </c>
      <c r="B2" s="27"/>
      <c r="C2" s="27"/>
      <c r="D2" s="27"/>
      <c r="E2" s="27"/>
      <c r="F2" s="27"/>
      <c r="G2" s="27"/>
      <c r="H2" s="27"/>
      <c r="I2" s="27"/>
    </row>
    <row r="3" spans="1:9" ht="26.25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</row>
    <row r="5" spans="1:9" ht="21" x14ac:dyDescent="0.55000000000000004">
      <c r="A5" s="35" t="s">
        <v>235</v>
      </c>
      <c r="B5" s="27"/>
      <c r="C5" s="27"/>
      <c r="D5" s="27"/>
      <c r="E5" s="27"/>
      <c r="F5" s="27"/>
      <c r="G5" s="27"/>
      <c r="H5" s="27"/>
      <c r="I5" s="27"/>
    </row>
    <row r="7" spans="1:9" ht="21" x14ac:dyDescent="0.55000000000000004">
      <c r="A7" s="29" t="s">
        <v>206</v>
      </c>
      <c r="B7" s="30"/>
      <c r="C7" s="29" t="s">
        <v>107</v>
      </c>
      <c r="D7" s="30"/>
      <c r="E7" s="30"/>
      <c r="G7" s="29" t="s">
        <v>7</v>
      </c>
      <c r="H7" s="30"/>
      <c r="I7" s="30"/>
    </row>
    <row r="8" spans="1:9" ht="42" x14ac:dyDescent="0.55000000000000004">
      <c r="A8" s="17" t="s">
        <v>207</v>
      </c>
      <c r="C8" s="17" t="s">
        <v>208</v>
      </c>
      <c r="E8" s="17" t="s">
        <v>209</v>
      </c>
      <c r="G8" s="17" t="s">
        <v>208</v>
      </c>
      <c r="I8" s="17" t="s">
        <v>209</v>
      </c>
    </row>
    <row r="9" spans="1:9" ht="21" x14ac:dyDescent="0.55000000000000004">
      <c r="A9" s="6" t="s">
        <v>210</v>
      </c>
      <c r="C9" s="9">
        <v>575276</v>
      </c>
      <c r="E9" s="10">
        <f>C9/C11</f>
        <v>1.0994136807553645E-4</v>
      </c>
      <c r="G9" s="9">
        <v>198416805</v>
      </c>
      <c r="I9" s="10">
        <f>G9/G11</f>
        <v>2.5011056783843664E-2</v>
      </c>
    </row>
    <row r="10" spans="1:9" ht="21" x14ac:dyDescent="0.55000000000000004">
      <c r="A10" s="6" t="s">
        <v>211</v>
      </c>
      <c r="C10" s="9">
        <v>5231995594</v>
      </c>
      <c r="E10" s="10">
        <f>C10/C11</f>
        <v>0.99989005863192448</v>
      </c>
      <c r="G10" s="9">
        <v>7734746784</v>
      </c>
      <c r="I10" s="10">
        <f>G10/G11</f>
        <v>0.97498894321615637</v>
      </c>
    </row>
    <row r="11" spans="1:9" ht="21.75" thickBot="1" x14ac:dyDescent="0.6">
      <c r="A11" s="11" t="s">
        <v>84</v>
      </c>
      <c r="C11" s="11">
        <f>SUM(C9:$C$10)</f>
        <v>5232570870</v>
      </c>
      <c r="E11" s="12">
        <f>SUM(E9:$E$10)</f>
        <v>1</v>
      </c>
      <c r="G11" s="11">
        <f>SUM(G9:$G$10)</f>
        <v>7933163589</v>
      </c>
      <c r="I11" s="12">
        <f>SUM(I9:$I$10)</f>
        <v>1</v>
      </c>
    </row>
    <row r="12" spans="1:9" ht="21.75" thickTop="1" x14ac:dyDescent="0.55000000000000004">
      <c r="C12" s="13"/>
      <c r="E12" s="13"/>
      <c r="G12" s="13"/>
      <c r="I12" s="13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21" right="0.21" top="0.75" bottom="0.75" header="0.3" footer="0.3"/>
  <pageSetup paperSize="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2"/>
  <sheetViews>
    <sheetView rightToLeft="1" view="pageBreakPreview" zoomScale="85" zoomScaleNormal="100" zoomScaleSheetLayoutView="85" workbookViewId="0">
      <selection activeCell="A12" sqref="A12:A13"/>
    </sheetView>
  </sheetViews>
  <sheetFormatPr defaultColWidth="8.85546875" defaultRowHeight="19.5" x14ac:dyDescent="0.55000000000000004"/>
  <cols>
    <col min="1" max="1" width="31.710937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8.42578125" style="1" customWidth="1"/>
    <col min="6" max="16384" width="8.85546875" style="1"/>
  </cols>
  <sheetData>
    <row r="1" spans="1:5" ht="19.899999999999999" customHeight="1" x14ac:dyDescent="0.55000000000000004">
      <c r="A1" s="34" t="s">
        <v>0</v>
      </c>
      <c r="B1" s="27"/>
      <c r="C1" s="27"/>
      <c r="D1" s="27"/>
      <c r="E1" s="27"/>
    </row>
    <row r="2" spans="1:5" ht="19.899999999999999" customHeight="1" x14ac:dyDescent="0.55000000000000004">
      <c r="A2" s="34" t="s">
        <v>94</v>
      </c>
      <c r="B2" s="27"/>
      <c r="C2" s="27"/>
      <c r="D2" s="27"/>
      <c r="E2" s="27"/>
    </row>
    <row r="3" spans="1:5" ht="19.899999999999999" customHeight="1" x14ac:dyDescent="0.55000000000000004">
      <c r="A3" s="34" t="s">
        <v>2</v>
      </c>
      <c r="B3" s="27"/>
      <c r="C3" s="27"/>
      <c r="D3" s="27"/>
      <c r="E3" s="27"/>
    </row>
    <row r="5" spans="1:5" ht="21" x14ac:dyDescent="0.55000000000000004">
      <c r="A5" s="35" t="s">
        <v>236</v>
      </c>
      <c r="B5" s="27"/>
      <c r="C5" s="27"/>
      <c r="D5" s="27"/>
      <c r="E5" s="27"/>
    </row>
    <row r="7" spans="1:5" ht="21" x14ac:dyDescent="0.55000000000000004">
      <c r="C7" s="4" t="s">
        <v>107</v>
      </c>
      <c r="E7" s="4" t="s">
        <v>7</v>
      </c>
    </row>
    <row r="8" spans="1:5" ht="21" x14ac:dyDescent="0.55000000000000004">
      <c r="A8" s="17" t="s">
        <v>104</v>
      </c>
      <c r="C8" s="17" t="s">
        <v>89</v>
      </c>
      <c r="E8" s="17" t="s">
        <v>89</v>
      </c>
    </row>
    <row r="9" spans="1:5" ht="21" x14ac:dyDescent="0.55000000000000004">
      <c r="A9" s="6" t="s">
        <v>238</v>
      </c>
      <c r="C9" s="9">
        <v>202379520</v>
      </c>
      <c r="E9" s="9">
        <v>152921156</v>
      </c>
    </row>
    <row r="10" spans="1:5" ht="21" x14ac:dyDescent="0.55000000000000004">
      <c r="A10" s="6" t="s">
        <v>237</v>
      </c>
      <c r="C10" s="9">
        <v>759124</v>
      </c>
      <c r="E10" s="9">
        <v>1274</v>
      </c>
    </row>
    <row r="11" spans="1:5" ht="21" x14ac:dyDescent="0.55000000000000004">
      <c r="A11" s="11" t="s">
        <v>84</v>
      </c>
      <c r="C11" s="11">
        <f>SUM(C9:C10)</f>
        <v>203138644</v>
      </c>
      <c r="E11" s="11">
        <f>SUM(E9:E10)</f>
        <v>152922430</v>
      </c>
    </row>
    <row r="12" spans="1:5" ht="21" x14ac:dyDescent="0.55000000000000004">
      <c r="C12" s="13"/>
      <c r="E12" s="13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46"/>
  <sheetViews>
    <sheetView rightToLeft="1" tabSelected="1" view="pageBreakPreview" zoomScale="70" zoomScaleNormal="100" zoomScaleSheetLayoutView="70" workbookViewId="0">
      <selection activeCell="I12" sqref="I12"/>
    </sheetView>
  </sheetViews>
  <sheetFormatPr defaultColWidth="8.85546875" defaultRowHeight="19.5" x14ac:dyDescent="0.55000000000000004"/>
  <cols>
    <col min="1" max="1" width="29.140625" style="1" bestFit="1" customWidth="1"/>
    <col min="2" max="2" width="1.42578125" style="1" customWidth="1"/>
    <col min="3" max="3" width="11.42578125" style="1" customWidth="1"/>
    <col min="4" max="4" width="1.42578125" style="1" customWidth="1"/>
    <col min="5" max="5" width="15.42578125" style="1" bestFit="1" customWidth="1"/>
    <col min="6" max="6" width="1.42578125" style="1" customWidth="1"/>
    <col min="7" max="7" width="10.140625" style="1" bestFit="1" customWidth="1"/>
    <col min="8" max="8" width="1.42578125" style="1" customWidth="1"/>
    <col min="9" max="9" width="15.7109375" style="1" bestFit="1" customWidth="1"/>
    <col min="10" max="10" width="1.42578125" style="1" customWidth="1"/>
    <col min="11" max="11" width="13" style="1" bestFit="1" customWidth="1"/>
    <col min="12" max="12" width="1.42578125" style="1" customWidth="1"/>
    <col min="13" max="13" width="16.7109375" style="1" bestFit="1" customWidth="1"/>
    <col min="14" max="14" width="1.42578125" style="1" customWidth="1"/>
    <col min="15" max="15" width="15.7109375" style="1" bestFit="1" customWidth="1"/>
    <col min="16" max="16" width="1.42578125" style="1" customWidth="1"/>
    <col min="17" max="17" width="14.5703125" style="1" bestFit="1" customWidth="1"/>
    <col min="18" max="18" width="1.42578125" style="1" customWidth="1"/>
    <col min="19" max="19" width="16.7109375" style="1" bestFit="1" customWidth="1"/>
    <col min="20" max="16384" width="8.85546875" style="1"/>
  </cols>
  <sheetData>
    <row r="1" spans="1:19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9.899999999999999" customHeight="1" x14ac:dyDescent="0.55000000000000004">
      <c r="A2" s="34" t="s">
        <v>94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5" spans="1:19" ht="21" x14ac:dyDescent="0.55000000000000004">
      <c r="A5" s="35" t="s">
        <v>105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7" spans="1:19" ht="21" x14ac:dyDescent="0.55000000000000004">
      <c r="C7" s="29" t="s">
        <v>106</v>
      </c>
      <c r="D7" s="30"/>
      <c r="E7" s="30"/>
      <c r="F7" s="30"/>
      <c r="G7" s="30"/>
      <c r="I7" s="29" t="s">
        <v>107</v>
      </c>
      <c r="J7" s="30"/>
      <c r="K7" s="30"/>
      <c r="L7" s="30"/>
      <c r="M7" s="30"/>
      <c r="O7" s="29" t="s">
        <v>7</v>
      </c>
      <c r="P7" s="30"/>
      <c r="Q7" s="30"/>
      <c r="R7" s="30"/>
      <c r="S7" s="30"/>
    </row>
    <row r="8" spans="1:19" ht="63" x14ac:dyDescent="0.55000000000000004">
      <c r="A8" s="4" t="s">
        <v>85</v>
      </c>
      <c r="C8" s="17" t="s">
        <v>108</v>
      </c>
      <c r="E8" s="17" t="s">
        <v>109</v>
      </c>
      <c r="G8" s="17" t="s">
        <v>110</v>
      </c>
      <c r="I8" s="17" t="s">
        <v>111</v>
      </c>
      <c r="K8" s="17" t="s">
        <v>112</v>
      </c>
      <c r="M8" s="17" t="s">
        <v>113</v>
      </c>
      <c r="O8" s="17" t="s">
        <v>111</v>
      </c>
      <c r="Q8" s="17" t="s">
        <v>112</v>
      </c>
      <c r="S8" s="17" t="s">
        <v>113</v>
      </c>
    </row>
    <row r="9" spans="1:19" ht="21" x14ac:dyDescent="0.55000000000000004">
      <c r="A9" s="6" t="s">
        <v>17</v>
      </c>
      <c r="C9" s="5" t="s">
        <v>114</v>
      </c>
      <c r="E9" s="9">
        <v>467651</v>
      </c>
      <c r="G9" s="9">
        <v>300</v>
      </c>
      <c r="I9" s="9">
        <v>0</v>
      </c>
      <c r="J9" s="9"/>
      <c r="K9" s="9">
        <v>0</v>
      </c>
      <c r="M9" s="9">
        <f>I9+K9</f>
        <v>0</v>
      </c>
      <c r="N9" s="5"/>
      <c r="O9" s="9">
        <v>140295300</v>
      </c>
      <c r="Q9" s="9">
        <v>0</v>
      </c>
      <c r="S9" s="9">
        <f>O9+Q9</f>
        <v>140295300</v>
      </c>
    </row>
    <row r="10" spans="1:19" ht="21" x14ac:dyDescent="0.55000000000000004">
      <c r="A10" s="6" t="s">
        <v>115</v>
      </c>
      <c r="C10" s="5" t="s">
        <v>116</v>
      </c>
      <c r="E10" s="9">
        <v>321160</v>
      </c>
      <c r="G10" s="9">
        <v>1920</v>
      </c>
      <c r="I10" s="9">
        <v>0</v>
      </c>
      <c r="J10" s="9"/>
      <c r="K10" s="9">
        <v>0</v>
      </c>
      <c r="M10" s="9">
        <f t="shared" ref="M10:M44" si="0">I10+K10</f>
        <v>0</v>
      </c>
      <c r="N10" s="5"/>
      <c r="O10" s="9">
        <v>616627200</v>
      </c>
      <c r="Q10" s="9">
        <v>-31652728</v>
      </c>
      <c r="S10" s="9">
        <f t="shared" ref="S10:S44" si="1">O10+Q10</f>
        <v>584974472</v>
      </c>
    </row>
    <row r="11" spans="1:19" ht="21" x14ac:dyDescent="0.55000000000000004">
      <c r="A11" s="6" t="s">
        <v>39</v>
      </c>
      <c r="C11" s="5" t="s">
        <v>114</v>
      </c>
      <c r="E11" s="9">
        <v>2200000</v>
      </c>
      <c r="G11" s="9">
        <v>537</v>
      </c>
      <c r="I11" s="9">
        <v>0</v>
      </c>
      <c r="J11" s="9"/>
      <c r="K11" s="9">
        <v>0</v>
      </c>
      <c r="M11" s="9">
        <f t="shared" si="0"/>
        <v>0</v>
      </c>
      <c r="N11" s="5"/>
      <c r="O11" s="9">
        <v>1181400000</v>
      </c>
      <c r="Q11" s="9">
        <v>0</v>
      </c>
      <c r="S11" s="9">
        <f t="shared" si="1"/>
        <v>1181400000</v>
      </c>
    </row>
    <row r="12" spans="1:19" ht="21" x14ac:dyDescent="0.55000000000000004">
      <c r="A12" s="6" t="s">
        <v>40</v>
      </c>
      <c r="C12" s="5" t="s">
        <v>117</v>
      </c>
      <c r="E12" s="9">
        <v>2800000</v>
      </c>
      <c r="G12" s="9">
        <v>82</v>
      </c>
      <c r="I12" s="9">
        <v>0</v>
      </c>
      <c r="J12" s="9"/>
      <c r="K12" s="9">
        <v>0</v>
      </c>
      <c r="M12" s="9">
        <f t="shared" si="0"/>
        <v>0</v>
      </c>
      <c r="N12" s="5"/>
      <c r="O12" s="9">
        <v>229600000</v>
      </c>
      <c r="Q12" s="9">
        <v>0</v>
      </c>
      <c r="S12" s="9">
        <f t="shared" si="1"/>
        <v>229600000</v>
      </c>
    </row>
    <row r="13" spans="1:19" ht="21" x14ac:dyDescent="0.55000000000000004">
      <c r="A13" s="6" t="s">
        <v>42</v>
      </c>
      <c r="C13" s="5" t="s">
        <v>118</v>
      </c>
      <c r="E13" s="9">
        <v>10000000</v>
      </c>
      <c r="G13" s="9">
        <v>66</v>
      </c>
      <c r="I13" s="9">
        <v>0</v>
      </c>
      <c r="J13" s="9"/>
      <c r="K13" s="9">
        <v>0</v>
      </c>
      <c r="M13" s="9">
        <f t="shared" si="0"/>
        <v>0</v>
      </c>
      <c r="N13" s="5"/>
      <c r="O13" s="9">
        <v>660000000</v>
      </c>
      <c r="Q13" s="9">
        <v>0</v>
      </c>
      <c r="S13" s="9">
        <f t="shared" si="1"/>
        <v>660000000</v>
      </c>
    </row>
    <row r="14" spans="1:19" ht="21" x14ac:dyDescent="0.55000000000000004">
      <c r="A14" s="6" t="s">
        <v>43</v>
      </c>
      <c r="C14" s="5" t="s">
        <v>119</v>
      </c>
      <c r="E14" s="9">
        <v>1339175</v>
      </c>
      <c r="G14" s="9">
        <v>17</v>
      </c>
      <c r="I14" s="9">
        <v>0</v>
      </c>
      <c r="J14" s="9"/>
      <c r="K14" s="9">
        <v>0</v>
      </c>
      <c r="M14" s="9">
        <f t="shared" si="0"/>
        <v>0</v>
      </c>
      <c r="N14" s="5"/>
      <c r="O14" s="9">
        <v>22765975</v>
      </c>
      <c r="Q14" s="9">
        <v>0</v>
      </c>
      <c r="S14" s="9">
        <f t="shared" si="1"/>
        <v>22765975</v>
      </c>
    </row>
    <row r="15" spans="1:19" ht="21" x14ac:dyDescent="0.55000000000000004">
      <c r="A15" s="6" t="s">
        <v>44</v>
      </c>
      <c r="C15" s="5" t="s">
        <v>119</v>
      </c>
      <c r="E15" s="9">
        <v>13300000</v>
      </c>
      <c r="G15" s="9">
        <v>82</v>
      </c>
      <c r="I15" s="9">
        <v>0</v>
      </c>
      <c r="J15" s="9"/>
      <c r="K15" s="9">
        <v>0</v>
      </c>
      <c r="M15" s="9">
        <f t="shared" si="0"/>
        <v>0</v>
      </c>
      <c r="N15" s="5"/>
      <c r="O15" s="9">
        <v>1090603045</v>
      </c>
      <c r="Q15" s="9">
        <v>0</v>
      </c>
      <c r="S15" s="9">
        <f t="shared" si="1"/>
        <v>1090603045</v>
      </c>
    </row>
    <row r="16" spans="1:19" ht="21" x14ac:dyDescent="0.55000000000000004">
      <c r="A16" s="6" t="s">
        <v>46</v>
      </c>
      <c r="C16" s="5" t="s">
        <v>120</v>
      </c>
      <c r="E16" s="9">
        <v>1650000</v>
      </c>
      <c r="G16" s="9">
        <v>224</v>
      </c>
      <c r="I16" s="9">
        <v>0</v>
      </c>
      <c r="J16" s="9"/>
      <c r="K16" s="9">
        <v>0</v>
      </c>
      <c r="M16" s="9">
        <f t="shared" si="0"/>
        <v>0</v>
      </c>
      <c r="N16" s="5"/>
      <c r="O16" s="9">
        <v>369600000</v>
      </c>
      <c r="Q16" s="9">
        <v>0</v>
      </c>
      <c r="S16" s="9">
        <f t="shared" si="1"/>
        <v>369600000</v>
      </c>
    </row>
    <row r="17" spans="1:19" ht="21" x14ac:dyDescent="0.55000000000000004">
      <c r="A17" s="6" t="s">
        <v>47</v>
      </c>
      <c r="C17" s="5" t="s">
        <v>121</v>
      </c>
      <c r="E17" s="9">
        <v>3221825</v>
      </c>
      <c r="G17" s="9">
        <v>190</v>
      </c>
      <c r="I17" s="9">
        <v>0</v>
      </c>
      <c r="J17" s="9"/>
      <c r="K17" s="9">
        <v>0</v>
      </c>
      <c r="M17" s="9">
        <f t="shared" si="0"/>
        <v>0</v>
      </c>
      <c r="N17" s="5"/>
      <c r="O17" s="9">
        <v>612146750</v>
      </c>
      <c r="Q17" s="9">
        <v>0</v>
      </c>
      <c r="S17" s="9">
        <f t="shared" si="1"/>
        <v>612146750</v>
      </c>
    </row>
    <row r="18" spans="1:19" ht="21" x14ac:dyDescent="0.55000000000000004">
      <c r="A18" s="6" t="s">
        <v>49</v>
      </c>
      <c r="C18" s="5" t="s">
        <v>122</v>
      </c>
      <c r="E18" s="9">
        <v>5800000</v>
      </c>
      <c r="G18" s="9">
        <v>360</v>
      </c>
      <c r="I18" s="9">
        <v>0</v>
      </c>
      <c r="J18" s="9"/>
      <c r="K18" s="9">
        <v>0</v>
      </c>
      <c r="M18" s="9">
        <f t="shared" si="0"/>
        <v>0</v>
      </c>
      <c r="N18" s="5"/>
      <c r="O18" s="9">
        <v>2088000000</v>
      </c>
      <c r="Q18" s="9">
        <v>0</v>
      </c>
      <c r="S18" s="9">
        <f t="shared" si="1"/>
        <v>2088000000</v>
      </c>
    </row>
    <row r="19" spans="1:19" ht="21" x14ac:dyDescent="0.55000000000000004">
      <c r="A19" s="6" t="s">
        <v>50</v>
      </c>
      <c r="C19" s="5" t="s">
        <v>123</v>
      </c>
      <c r="E19" s="9">
        <v>310000</v>
      </c>
      <c r="G19" s="9">
        <v>3000</v>
      </c>
      <c r="I19" s="9">
        <v>0</v>
      </c>
      <c r="J19" s="9"/>
      <c r="K19" s="9">
        <v>0</v>
      </c>
      <c r="M19" s="9">
        <f t="shared" si="0"/>
        <v>0</v>
      </c>
      <c r="N19" s="5"/>
      <c r="O19" s="9">
        <v>930000000</v>
      </c>
      <c r="Q19" s="9">
        <v>0</v>
      </c>
      <c r="S19" s="9">
        <f t="shared" si="1"/>
        <v>930000000</v>
      </c>
    </row>
    <row r="20" spans="1:19" ht="21" x14ac:dyDescent="0.55000000000000004">
      <c r="A20" s="6" t="s">
        <v>54</v>
      </c>
      <c r="C20" s="5" t="s">
        <v>124</v>
      </c>
      <c r="E20" s="9">
        <v>288004</v>
      </c>
      <c r="G20" s="9">
        <v>950</v>
      </c>
      <c r="I20" s="9">
        <v>0</v>
      </c>
      <c r="J20" s="9"/>
      <c r="K20" s="9">
        <v>0</v>
      </c>
      <c r="M20" s="9">
        <f t="shared" si="0"/>
        <v>0</v>
      </c>
      <c r="N20" s="5"/>
      <c r="O20" s="9">
        <v>273603800</v>
      </c>
      <c r="Q20" s="9">
        <v>-29732281</v>
      </c>
      <c r="S20" s="9">
        <f t="shared" si="1"/>
        <v>243871519</v>
      </c>
    </row>
    <row r="21" spans="1:19" ht="21" x14ac:dyDescent="0.55000000000000004">
      <c r="A21" s="6" t="s">
        <v>55</v>
      </c>
      <c r="C21" s="5" t="s">
        <v>125</v>
      </c>
      <c r="E21" s="9">
        <v>2455431</v>
      </c>
      <c r="G21" s="9">
        <v>3000</v>
      </c>
      <c r="I21" s="9">
        <v>0</v>
      </c>
      <c r="J21" s="9"/>
      <c r="K21" s="9">
        <v>0</v>
      </c>
      <c r="M21" s="9">
        <f t="shared" si="0"/>
        <v>0</v>
      </c>
      <c r="N21" s="5"/>
      <c r="O21" s="9">
        <v>7366293000</v>
      </c>
      <c r="Q21" s="9">
        <v>0</v>
      </c>
      <c r="S21" s="9">
        <f t="shared" si="1"/>
        <v>7366293000</v>
      </c>
    </row>
    <row r="22" spans="1:19" ht="21" x14ac:dyDescent="0.55000000000000004">
      <c r="A22" s="6" t="s">
        <v>58</v>
      </c>
      <c r="C22" s="5" t="s">
        <v>114</v>
      </c>
      <c r="E22" s="9">
        <v>1092665</v>
      </c>
      <c r="G22" s="9">
        <v>2920</v>
      </c>
      <c r="I22" s="9">
        <v>0</v>
      </c>
      <c r="J22" s="9"/>
      <c r="K22" s="9">
        <v>0</v>
      </c>
      <c r="M22" s="9">
        <f t="shared" si="0"/>
        <v>0</v>
      </c>
      <c r="N22" s="5"/>
      <c r="O22" s="9">
        <v>3190581800</v>
      </c>
      <c r="Q22" s="9">
        <v>0</v>
      </c>
      <c r="S22" s="9">
        <f t="shared" si="1"/>
        <v>3190581800</v>
      </c>
    </row>
    <row r="23" spans="1:19" ht="21" x14ac:dyDescent="0.55000000000000004">
      <c r="A23" s="6" t="s">
        <v>59</v>
      </c>
      <c r="C23" s="5" t="s">
        <v>114</v>
      </c>
      <c r="E23" s="9">
        <v>4500000</v>
      </c>
      <c r="G23" s="9">
        <v>255</v>
      </c>
      <c r="I23" s="9">
        <v>0</v>
      </c>
      <c r="J23" s="9"/>
      <c r="K23" s="9">
        <v>0</v>
      </c>
      <c r="M23" s="9">
        <f t="shared" si="0"/>
        <v>0</v>
      </c>
      <c r="N23" s="5"/>
      <c r="O23" s="9">
        <v>1147500000</v>
      </c>
      <c r="Q23" s="9">
        <v>0</v>
      </c>
      <c r="S23" s="9">
        <f t="shared" si="1"/>
        <v>1147500000</v>
      </c>
    </row>
    <row r="24" spans="1:19" ht="21" x14ac:dyDescent="0.55000000000000004">
      <c r="A24" s="6" t="s">
        <v>60</v>
      </c>
      <c r="C24" s="5" t="s">
        <v>114</v>
      </c>
      <c r="E24" s="9">
        <v>20600000</v>
      </c>
      <c r="G24" s="9">
        <v>400</v>
      </c>
      <c r="I24" s="9">
        <v>0</v>
      </c>
      <c r="J24" s="9"/>
      <c r="K24" s="9">
        <v>0</v>
      </c>
      <c r="M24" s="9">
        <f t="shared" si="0"/>
        <v>0</v>
      </c>
      <c r="N24" s="5"/>
      <c r="O24" s="9">
        <v>8240000000</v>
      </c>
      <c r="Q24" s="9">
        <v>0</v>
      </c>
      <c r="S24" s="9">
        <f t="shared" si="1"/>
        <v>8240000000</v>
      </c>
    </row>
    <row r="25" spans="1:19" ht="21" x14ac:dyDescent="0.55000000000000004">
      <c r="A25" s="6" t="s">
        <v>61</v>
      </c>
      <c r="C25" s="5" t="s">
        <v>126</v>
      </c>
      <c r="E25" s="9">
        <v>1341844</v>
      </c>
      <c r="G25" s="9">
        <v>1100</v>
      </c>
      <c r="I25" s="9">
        <v>1476028400</v>
      </c>
      <c r="K25" s="9">
        <v>-205390744</v>
      </c>
      <c r="M25" s="9">
        <f t="shared" si="0"/>
        <v>1270637656</v>
      </c>
      <c r="O25" s="9">
        <v>1476028400</v>
      </c>
      <c r="Q25" s="9">
        <v>-194052514</v>
      </c>
      <c r="S25" s="9">
        <f t="shared" si="1"/>
        <v>1281975886</v>
      </c>
    </row>
    <row r="26" spans="1:19" ht="21" x14ac:dyDescent="0.55000000000000004">
      <c r="A26" s="6" t="s">
        <v>62</v>
      </c>
      <c r="C26" s="5" t="s">
        <v>127</v>
      </c>
      <c r="E26" s="9">
        <v>1642919</v>
      </c>
      <c r="G26" s="9">
        <v>1800</v>
      </c>
      <c r="I26" s="9">
        <v>2957254200</v>
      </c>
      <c r="K26" s="9">
        <v>-408499104</v>
      </c>
      <c r="M26" s="9">
        <f t="shared" si="0"/>
        <v>2548755096</v>
      </c>
      <c r="O26" s="9">
        <v>2957254200</v>
      </c>
      <c r="Q26" s="9">
        <v>-384196314</v>
      </c>
      <c r="S26" s="9">
        <f t="shared" si="1"/>
        <v>2573057886</v>
      </c>
    </row>
    <row r="27" spans="1:19" ht="21" x14ac:dyDescent="0.55000000000000004">
      <c r="A27" s="6" t="s">
        <v>63</v>
      </c>
      <c r="C27" s="5" t="s">
        <v>120</v>
      </c>
      <c r="E27" s="9">
        <v>1754845</v>
      </c>
      <c r="G27" s="9">
        <v>354</v>
      </c>
      <c r="I27" s="9">
        <v>0</v>
      </c>
      <c r="J27" s="9"/>
      <c r="K27" s="9">
        <v>0</v>
      </c>
      <c r="M27" s="9">
        <f t="shared" si="0"/>
        <v>0</v>
      </c>
      <c r="N27" s="5"/>
      <c r="O27" s="9">
        <v>621215130</v>
      </c>
      <c r="Q27" s="9">
        <v>-57176517</v>
      </c>
      <c r="S27" s="9">
        <f t="shared" si="1"/>
        <v>564038613</v>
      </c>
    </row>
    <row r="28" spans="1:19" ht="21" x14ac:dyDescent="0.55000000000000004">
      <c r="A28" s="6" t="s">
        <v>64</v>
      </c>
      <c r="C28" s="5" t="s">
        <v>120</v>
      </c>
      <c r="E28" s="9">
        <v>11520000</v>
      </c>
      <c r="G28" s="9">
        <v>370</v>
      </c>
      <c r="I28" s="9">
        <v>0</v>
      </c>
      <c r="J28" s="9"/>
      <c r="K28" s="9">
        <v>0</v>
      </c>
      <c r="M28" s="9">
        <f t="shared" si="0"/>
        <v>0</v>
      </c>
      <c r="N28" s="5"/>
      <c r="O28" s="9">
        <v>4262400000</v>
      </c>
      <c r="Q28" s="9">
        <v>0</v>
      </c>
      <c r="S28" s="9">
        <f t="shared" si="1"/>
        <v>4262400000</v>
      </c>
    </row>
    <row r="29" spans="1:19" ht="21" x14ac:dyDescent="0.55000000000000004">
      <c r="A29" s="6" t="s">
        <v>65</v>
      </c>
      <c r="C29" s="5" t="s">
        <v>128</v>
      </c>
      <c r="E29" s="9">
        <v>910000</v>
      </c>
      <c r="G29" s="9">
        <v>500</v>
      </c>
      <c r="I29" s="9">
        <v>0</v>
      </c>
      <c r="J29" s="9"/>
      <c r="K29" s="9">
        <v>0</v>
      </c>
      <c r="M29" s="9">
        <f t="shared" si="0"/>
        <v>0</v>
      </c>
      <c r="N29" s="5"/>
      <c r="O29" s="9">
        <v>455000000</v>
      </c>
      <c r="Q29" s="9">
        <v>0</v>
      </c>
      <c r="S29" s="9">
        <f t="shared" si="1"/>
        <v>455000000</v>
      </c>
    </row>
    <row r="30" spans="1:19" ht="21" x14ac:dyDescent="0.55000000000000004">
      <c r="A30" s="6" t="s">
        <v>129</v>
      </c>
      <c r="C30" s="5" t="s">
        <v>130</v>
      </c>
      <c r="E30" s="9">
        <v>572500</v>
      </c>
      <c r="G30" s="9">
        <v>1350</v>
      </c>
      <c r="I30" s="9">
        <v>0</v>
      </c>
      <c r="J30" s="9"/>
      <c r="K30" s="9">
        <v>0</v>
      </c>
      <c r="M30" s="9">
        <f t="shared" si="0"/>
        <v>0</v>
      </c>
      <c r="N30" s="5"/>
      <c r="O30" s="9">
        <v>772875000</v>
      </c>
      <c r="Q30" s="9">
        <v>0</v>
      </c>
      <c r="S30" s="9">
        <f t="shared" si="1"/>
        <v>772875000</v>
      </c>
    </row>
    <row r="31" spans="1:19" ht="21" x14ac:dyDescent="0.55000000000000004">
      <c r="A31" s="6" t="s">
        <v>66</v>
      </c>
      <c r="C31" s="5" t="s">
        <v>131</v>
      </c>
      <c r="E31" s="9">
        <v>7255540</v>
      </c>
      <c r="G31" s="9">
        <v>610</v>
      </c>
      <c r="I31" s="9">
        <v>0</v>
      </c>
      <c r="J31" s="9"/>
      <c r="K31" s="9">
        <v>0</v>
      </c>
      <c r="M31" s="9">
        <f t="shared" si="0"/>
        <v>0</v>
      </c>
      <c r="N31" s="5"/>
      <c r="O31" s="9">
        <v>4425879400</v>
      </c>
      <c r="Q31" s="9">
        <v>0</v>
      </c>
      <c r="S31" s="9">
        <f t="shared" si="1"/>
        <v>4425879400</v>
      </c>
    </row>
    <row r="32" spans="1:19" ht="21" x14ac:dyDescent="0.55000000000000004">
      <c r="A32" s="6" t="s">
        <v>67</v>
      </c>
      <c r="C32" s="5" t="s">
        <v>132</v>
      </c>
      <c r="E32" s="9">
        <v>2574124</v>
      </c>
      <c r="G32" s="9">
        <v>1500</v>
      </c>
      <c r="I32" s="9">
        <v>0</v>
      </c>
      <c r="J32" s="9"/>
      <c r="K32" s="9">
        <v>0</v>
      </c>
      <c r="M32" s="9">
        <f t="shared" si="0"/>
        <v>0</v>
      </c>
      <c r="N32" s="5"/>
      <c r="O32" s="9">
        <v>3861186000</v>
      </c>
      <c r="Q32" s="9">
        <v>-340054482</v>
      </c>
      <c r="S32" s="9">
        <f t="shared" si="1"/>
        <v>3521131518</v>
      </c>
    </row>
    <row r="33" spans="1:19" ht="21" x14ac:dyDescent="0.55000000000000004">
      <c r="A33" s="6" t="s">
        <v>68</v>
      </c>
      <c r="C33" s="5" t="s">
        <v>133</v>
      </c>
      <c r="E33" s="9">
        <v>1631494</v>
      </c>
      <c r="G33" s="9">
        <v>1540</v>
      </c>
      <c r="I33" s="9">
        <v>0</v>
      </c>
      <c r="J33" s="9"/>
      <c r="K33" s="9">
        <v>0</v>
      </c>
      <c r="M33" s="9">
        <f t="shared" si="0"/>
        <v>0</v>
      </c>
      <c r="N33" s="5"/>
      <c r="O33" s="9">
        <v>2512500760</v>
      </c>
      <c r="Q33" s="9">
        <v>0</v>
      </c>
      <c r="S33" s="9">
        <f t="shared" si="1"/>
        <v>2512500760</v>
      </c>
    </row>
    <row r="34" spans="1:19" ht="21" x14ac:dyDescent="0.55000000000000004">
      <c r="A34" s="6" t="s">
        <v>69</v>
      </c>
      <c r="C34" s="5" t="s">
        <v>131</v>
      </c>
      <c r="E34" s="9">
        <v>1614011</v>
      </c>
      <c r="G34" s="9">
        <v>1680</v>
      </c>
      <c r="I34" s="9">
        <v>0</v>
      </c>
      <c r="J34" s="9"/>
      <c r="K34" s="9">
        <v>0</v>
      </c>
      <c r="M34" s="9">
        <f t="shared" si="0"/>
        <v>0</v>
      </c>
      <c r="N34" s="5"/>
      <c r="O34" s="9">
        <v>2711538480</v>
      </c>
      <c r="Q34" s="9">
        <v>-244967651</v>
      </c>
      <c r="S34" s="9">
        <f t="shared" si="1"/>
        <v>2466570829</v>
      </c>
    </row>
    <row r="35" spans="1:19" ht="21" x14ac:dyDescent="0.55000000000000004">
      <c r="A35" s="6" t="s">
        <v>70</v>
      </c>
      <c r="C35" s="5" t="s">
        <v>120</v>
      </c>
      <c r="E35" s="9">
        <v>8288661</v>
      </c>
      <c r="G35" s="9">
        <v>260</v>
      </c>
      <c r="I35" s="9">
        <v>0</v>
      </c>
      <c r="J35" s="9"/>
      <c r="K35" s="9">
        <v>0</v>
      </c>
      <c r="M35" s="9">
        <f t="shared" si="0"/>
        <v>0</v>
      </c>
      <c r="N35" s="5"/>
      <c r="O35" s="9">
        <v>2155051860</v>
      </c>
      <c r="Q35" s="9">
        <v>0</v>
      </c>
      <c r="S35" s="9">
        <f t="shared" si="1"/>
        <v>2155051860</v>
      </c>
    </row>
    <row r="36" spans="1:19" ht="21" x14ac:dyDescent="0.55000000000000004">
      <c r="A36" s="6" t="s">
        <v>73</v>
      </c>
      <c r="C36" s="5" t="s">
        <v>134</v>
      </c>
      <c r="E36" s="9">
        <v>400000</v>
      </c>
      <c r="G36" s="9">
        <v>4660</v>
      </c>
      <c r="I36" s="9">
        <v>0</v>
      </c>
      <c r="J36" s="9"/>
      <c r="K36" s="9">
        <v>0</v>
      </c>
      <c r="M36" s="9">
        <f t="shared" si="0"/>
        <v>0</v>
      </c>
      <c r="N36" s="5"/>
      <c r="O36" s="9">
        <v>1864000000</v>
      </c>
      <c r="Q36" s="9">
        <v>0</v>
      </c>
      <c r="S36" s="9">
        <f t="shared" si="1"/>
        <v>1864000000</v>
      </c>
    </row>
    <row r="37" spans="1:19" ht="21" x14ac:dyDescent="0.55000000000000004">
      <c r="A37" s="6" t="s">
        <v>74</v>
      </c>
      <c r="C37" s="5" t="s">
        <v>135</v>
      </c>
      <c r="E37" s="9">
        <v>320000</v>
      </c>
      <c r="G37" s="9">
        <v>1330</v>
      </c>
      <c r="I37" s="9">
        <v>0</v>
      </c>
      <c r="J37" s="9"/>
      <c r="K37" s="9">
        <v>0</v>
      </c>
      <c r="M37" s="9">
        <f t="shared" si="0"/>
        <v>0</v>
      </c>
      <c r="N37" s="5"/>
      <c r="O37" s="9">
        <v>425600000</v>
      </c>
      <c r="Q37" s="9">
        <v>0</v>
      </c>
      <c r="S37" s="9">
        <f t="shared" si="1"/>
        <v>425600000</v>
      </c>
    </row>
    <row r="38" spans="1:19" ht="21" x14ac:dyDescent="0.55000000000000004">
      <c r="A38" s="6" t="s">
        <v>75</v>
      </c>
      <c r="C38" s="5" t="s">
        <v>136</v>
      </c>
      <c r="E38" s="9">
        <v>175484</v>
      </c>
      <c r="G38" s="9">
        <v>20000</v>
      </c>
      <c r="I38" s="9">
        <v>0</v>
      </c>
      <c r="J38" s="9"/>
      <c r="K38" s="9">
        <v>0</v>
      </c>
      <c r="M38" s="9">
        <f t="shared" si="0"/>
        <v>0</v>
      </c>
      <c r="N38" s="5"/>
      <c r="O38" s="9">
        <v>3509680000</v>
      </c>
      <c r="Q38" s="9">
        <v>0</v>
      </c>
      <c r="S38" s="9">
        <f t="shared" si="1"/>
        <v>3509680000</v>
      </c>
    </row>
    <row r="39" spans="1:19" ht="21" x14ac:dyDescent="0.55000000000000004">
      <c r="A39" s="6" t="s">
        <v>77</v>
      </c>
      <c r="C39" s="5" t="s">
        <v>137</v>
      </c>
      <c r="E39" s="9">
        <v>163981</v>
      </c>
      <c r="G39" s="9">
        <v>27500</v>
      </c>
      <c r="I39" s="9">
        <v>0</v>
      </c>
      <c r="J39" s="9"/>
      <c r="K39" s="9">
        <v>0</v>
      </c>
      <c r="M39" s="9">
        <f t="shared" si="0"/>
        <v>0</v>
      </c>
      <c r="N39" s="5"/>
      <c r="O39" s="9">
        <v>4509477500</v>
      </c>
      <c r="Q39" s="9">
        <v>0</v>
      </c>
      <c r="S39" s="9">
        <f t="shared" si="1"/>
        <v>4509477500</v>
      </c>
    </row>
    <row r="40" spans="1:19" ht="21" x14ac:dyDescent="0.55000000000000004">
      <c r="A40" s="6" t="s">
        <v>78</v>
      </c>
      <c r="C40" s="5" t="s">
        <v>123</v>
      </c>
      <c r="E40" s="9">
        <v>1018099</v>
      </c>
      <c r="G40" s="9">
        <v>2000</v>
      </c>
      <c r="I40" s="9">
        <v>0</v>
      </c>
      <c r="J40" s="9"/>
      <c r="K40" s="9">
        <v>0</v>
      </c>
      <c r="M40" s="9">
        <f t="shared" si="0"/>
        <v>0</v>
      </c>
      <c r="N40" s="5"/>
      <c r="O40" s="9">
        <v>2036198000</v>
      </c>
      <c r="Q40" s="9">
        <v>0</v>
      </c>
      <c r="S40" s="9">
        <f t="shared" si="1"/>
        <v>2036198000</v>
      </c>
    </row>
    <row r="41" spans="1:19" ht="21" x14ac:dyDescent="0.55000000000000004">
      <c r="A41" s="6" t="s">
        <v>79</v>
      </c>
      <c r="C41" s="5" t="s">
        <v>138</v>
      </c>
      <c r="E41" s="9">
        <v>5547863</v>
      </c>
      <c r="G41" s="9">
        <v>620</v>
      </c>
      <c r="I41" s="9">
        <v>0</v>
      </c>
      <c r="J41" s="9"/>
      <c r="K41" s="9">
        <v>0</v>
      </c>
      <c r="M41" s="9">
        <f t="shared" si="0"/>
        <v>0</v>
      </c>
      <c r="N41" s="5"/>
      <c r="O41" s="9">
        <v>3439675060</v>
      </c>
      <c r="Q41" s="9">
        <v>0</v>
      </c>
      <c r="S41" s="9">
        <f t="shared" si="1"/>
        <v>3439675060</v>
      </c>
    </row>
    <row r="42" spans="1:19" ht="21" x14ac:dyDescent="0.55000000000000004">
      <c r="A42" s="6" t="s">
        <v>81</v>
      </c>
      <c r="C42" s="5" t="s">
        <v>114</v>
      </c>
      <c r="E42" s="9">
        <v>2550000</v>
      </c>
      <c r="G42" s="9">
        <v>70</v>
      </c>
      <c r="I42" s="9">
        <v>0</v>
      </c>
      <c r="J42" s="9"/>
      <c r="K42" s="9">
        <v>0</v>
      </c>
      <c r="M42" s="9">
        <f t="shared" si="0"/>
        <v>0</v>
      </c>
      <c r="N42" s="5"/>
      <c r="O42" s="9">
        <v>178500000</v>
      </c>
      <c r="Q42" s="9">
        <v>-16328251</v>
      </c>
      <c r="S42" s="9">
        <f t="shared" si="1"/>
        <v>162171749</v>
      </c>
    </row>
    <row r="43" spans="1:19" ht="21" x14ac:dyDescent="0.55000000000000004">
      <c r="A43" s="6" t="s">
        <v>139</v>
      </c>
      <c r="C43" s="5" t="s">
        <v>140</v>
      </c>
      <c r="E43" s="9">
        <v>800000</v>
      </c>
      <c r="G43" s="9">
        <v>6</v>
      </c>
      <c r="I43" s="9">
        <v>0</v>
      </c>
      <c r="J43" s="9"/>
      <c r="K43" s="9">
        <v>0</v>
      </c>
      <c r="M43" s="9">
        <f t="shared" si="0"/>
        <v>0</v>
      </c>
      <c r="N43" s="5"/>
      <c r="O43" s="9">
        <v>4800000</v>
      </c>
      <c r="Q43" s="9">
        <v>-411772</v>
      </c>
      <c r="S43" s="9">
        <f t="shared" si="1"/>
        <v>4388228</v>
      </c>
    </row>
    <row r="44" spans="1:19" ht="21" x14ac:dyDescent="0.55000000000000004">
      <c r="A44" s="6" t="s">
        <v>82</v>
      </c>
      <c r="C44" s="5" t="s">
        <v>138</v>
      </c>
      <c r="E44" s="9">
        <v>5194335</v>
      </c>
      <c r="G44" s="9">
        <v>380</v>
      </c>
      <c r="I44" s="9">
        <v>0</v>
      </c>
      <c r="J44" s="9"/>
      <c r="K44" s="9">
        <v>0</v>
      </c>
      <c r="M44" s="9">
        <f t="shared" si="0"/>
        <v>0</v>
      </c>
      <c r="N44" s="5"/>
      <c r="O44" s="9">
        <v>1973847300</v>
      </c>
      <c r="Q44" s="9">
        <v>-77697805</v>
      </c>
      <c r="S44" s="9">
        <f t="shared" si="1"/>
        <v>1896149495</v>
      </c>
    </row>
    <row r="45" spans="1:19" ht="21" x14ac:dyDescent="0.55000000000000004">
      <c r="A45" s="11" t="s">
        <v>84</v>
      </c>
      <c r="I45" s="11">
        <f>SUM(I9:I44)</f>
        <v>4433282600</v>
      </c>
      <c r="K45" s="11">
        <f>SUM(K9:K44)</f>
        <v>-613889848</v>
      </c>
      <c r="M45" s="11">
        <f>SUM(M9:M44)</f>
        <v>3819392752</v>
      </c>
      <c r="O45" s="11">
        <f>SUM(O9:O44)</f>
        <v>72311723960</v>
      </c>
      <c r="Q45" s="11">
        <f>SUM(Q9:Q44)</f>
        <v>-1376270315</v>
      </c>
      <c r="S45" s="11">
        <f>SUM(S9:S44)</f>
        <v>70935453645</v>
      </c>
    </row>
    <row r="46" spans="1:19" ht="21" x14ac:dyDescent="0.55000000000000004">
      <c r="I46" s="13"/>
      <c r="K46" s="13"/>
      <c r="M46" s="13"/>
      <c r="O46" s="13"/>
      <c r="Q46" s="13"/>
      <c r="S46" s="13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32" right="0.28000000000000003" top="0.75" bottom="0.75" header="0.3" footer="0.3"/>
  <pageSetup paperSize="9" scale="82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1"/>
  <sheetViews>
    <sheetView rightToLeft="1" view="pageBreakPreview" zoomScale="60" zoomScaleNormal="100" workbookViewId="0">
      <selection activeCell="A12" sqref="A12:A13"/>
    </sheetView>
  </sheetViews>
  <sheetFormatPr defaultColWidth="8.85546875" defaultRowHeight="19.5" x14ac:dyDescent="0.55000000000000004"/>
  <cols>
    <col min="1" max="1" width="21.2851562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4.140625" style="1" customWidth="1"/>
    <col min="18" max="18" width="1.42578125" style="1" customWidth="1"/>
    <col min="19" max="19" width="18.42578125" style="1" customWidth="1"/>
    <col min="20" max="16384" width="8.85546875" style="1"/>
  </cols>
  <sheetData>
    <row r="1" spans="1:19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9.899999999999999" customHeight="1" x14ac:dyDescent="0.55000000000000004">
      <c r="A2" s="34" t="s">
        <v>94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5" spans="1:19" ht="21" x14ac:dyDescent="0.55000000000000004">
      <c r="A5" s="35" t="s">
        <v>239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7" spans="1:19" ht="21" x14ac:dyDescent="0.55000000000000004">
      <c r="I7" s="29" t="s">
        <v>107</v>
      </c>
      <c r="J7" s="30"/>
      <c r="K7" s="30"/>
      <c r="L7" s="30"/>
      <c r="M7" s="30"/>
      <c r="O7" s="29" t="s">
        <v>7</v>
      </c>
      <c r="P7" s="30"/>
      <c r="Q7" s="30"/>
      <c r="R7" s="30"/>
      <c r="S7" s="30"/>
    </row>
    <row r="8" spans="1:19" ht="42" x14ac:dyDescent="0.55000000000000004">
      <c r="A8" s="24" t="s">
        <v>96</v>
      </c>
      <c r="C8" s="17" t="s">
        <v>141</v>
      </c>
      <c r="E8" s="17" t="s">
        <v>86</v>
      </c>
      <c r="G8" s="17" t="s">
        <v>88</v>
      </c>
      <c r="I8" s="17" t="s">
        <v>142</v>
      </c>
      <c r="K8" s="17" t="s">
        <v>112</v>
      </c>
      <c r="M8" s="17" t="s">
        <v>143</v>
      </c>
      <c r="O8" s="17" t="s">
        <v>142</v>
      </c>
      <c r="Q8" s="17" t="s">
        <v>112</v>
      </c>
      <c r="S8" s="17" t="s">
        <v>143</v>
      </c>
    </row>
    <row r="9" spans="1:19" ht="42" x14ac:dyDescent="0.55000000000000004">
      <c r="A9" s="6" t="s">
        <v>149</v>
      </c>
      <c r="C9" s="5" t="s">
        <v>150</v>
      </c>
      <c r="E9" s="5" t="s">
        <v>151</v>
      </c>
      <c r="G9" s="5" t="s">
        <v>93</v>
      </c>
      <c r="I9" s="9">
        <v>0</v>
      </c>
      <c r="K9" s="9">
        <v>0</v>
      </c>
      <c r="M9" s="9">
        <v>0</v>
      </c>
      <c r="N9" s="5"/>
      <c r="O9" s="9">
        <v>3415108863</v>
      </c>
      <c r="Q9" s="9">
        <v>0</v>
      </c>
      <c r="S9" s="9">
        <v>3415108863</v>
      </c>
    </row>
    <row r="10" spans="1:19" ht="21" x14ac:dyDescent="0.55000000000000004">
      <c r="A10" s="11" t="s">
        <v>84</v>
      </c>
      <c r="I10" s="11">
        <f>SUM(I9:$I$9)</f>
        <v>0</v>
      </c>
      <c r="K10" s="11">
        <f>SUM(K9:$K$9)</f>
        <v>0</v>
      </c>
      <c r="M10" s="11">
        <f>SUM(M9:$M$9)</f>
        <v>0</v>
      </c>
      <c r="O10" s="11">
        <f>SUM(O9:$O$9)</f>
        <v>3415108863</v>
      </c>
      <c r="Q10" s="11">
        <f>SUM(Q9:$Q$9)</f>
        <v>0</v>
      </c>
      <c r="S10" s="11">
        <f>SUM(S9:$S$9)</f>
        <v>3415108863</v>
      </c>
    </row>
    <row r="11" spans="1:19" ht="21" x14ac:dyDescent="0.55000000000000004">
      <c r="I11" s="13"/>
      <c r="K11" s="13"/>
      <c r="M11" s="13"/>
      <c r="O11" s="13"/>
      <c r="Q11" s="13"/>
      <c r="S11" s="13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6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8035-545A-4712-A209-D4570357831E}">
  <sheetPr>
    <pageSetUpPr fitToPage="1"/>
  </sheetPr>
  <dimension ref="A1:S12"/>
  <sheetViews>
    <sheetView rightToLeft="1" view="pageBreakPreview" zoomScale="60" zoomScaleNormal="100" workbookViewId="0">
      <selection activeCell="A12" sqref="A12:A13"/>
    </sheetView>
  </sheetViews>
  <sheetFormatPr defaultColWidth="8.85546875" defaultRowHeight="19.5" x14ac:dyDescent="0.55000000000000004"/>
  <cols>
    <col min="1" max="1" width="31.2851562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4.140625" style="1" customWidth="1"/>
    <col min="18" max="18" width="1.42578125" style="1" customWidth="1"/>
    <col min="19" max="19" width="18.42578125" style="1" customWidth="1"/>
    <col min="20" max="16384" width="8.85546875" style="1"/>
  </cols>
  <sheetData>
    <row r="1" spans="1:19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9.899999999999999" customHeight="1" x14ac:dyDescent="0.55000000000000004">
      <c r="A2" s="34" t="s">
        <v>94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5" spans="1:19" ht="21" x14ac:dyDescent="0.55000000000000004">
      <c r="A5" s="35" t="s">
        <v>240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7" spans="1:19" ht="21" x14ac:dyDescent="0.55000000000000004">
      <c r="I7" s="29" t="s">
        <v>107</v>
      </c>
      <c r="J7" s="30"/>
      <c r="K7" s="30"/>
      <c r="L7" s="30"/>
      <c r="M7" s="30"/>
      <c r="O7" s="29" t="s">
        <v>7</v>
      </c>
      <c r="P7" s="30"/>
      <c r="Q7" s="30"/>
      <c r="R7" s="30"/>
      <c r="S7" s="30"/>
    </row>
    <row r="8" spans="1:19" ht="42" x14ac:dyDescent="0.55000000000000004">
      <c r="A8" s="24" t="s">
        <v>96</v>
      </c>
      <c r="C8" s="17" t="s">
        <v>141</v>
      </c>
      <c r="E8" s="17" t="s">
        <v>86</v>
      </c>
      <c r="G8" s="17" t="s">
        <v>88</v>
      </c>
      <c r="I8" s="17" t="s">
        <v>142</v>
      </c>
      <c r="K8" s="17" t="s">
        <v>112</v>
      </c>
      <c r="M8" s="17" t="s">
        <v>143</v>
      </c>
      <c r="O8" s="17" t="s">
        <v>142</v>
      </c>
      <c r="Q8" s="17" t="s">
        <v>112</v>
      </c>
      <c r="S8" s="17" t="s">
        <v>143</v>
      </c>
    </row>
    <row r="9" spans="1:19" ht="42" x14ac:dyDescent="0.55000000000000004">
      <c r="A9" s="6" t="s">
        <v>144</v>
      </c>
      <c r="C9" s="5" t="s">
        <v>145</v>
      </c>
      <c r="E9" s="5" t="s">
        <v>146</v>
      </c>
      <c r="G9" s="5" t="s">
        <v>93</v>
      </c>
      <c r="I9" s="9">
        <v>5231995594</v>
      </c>
      <c r="K9" s="9">
        <v>-69219881</v>
      </c>
      <c r="M9" s="9">
        <v>5162775713</v>
      </c>
      <c r="O9" s="9">
        <v>7734746784</v>
      </c>
      <c r="Q9" s="9">
        <v>-7465072</v>
      </c>
      <c r="S9" s="9">
        <v>7727281712</v>
      </c>
    </row>
    <row r="10" spans="1:19" ht="42" x14ac:dyDescent="0.55000000000000004">
      <c r="A10" s="6" t="s">
        <v>147</v>
      </c>
      <c r="C10" s="5" t="s">
        <v>148</v>
      </c>
      <c r="E10" s="5" t="s">
        <v>146</v>
      </c>
      <c r="G10" s="5" t="s">
        <v>92</v>
      </c>
      <c r="I10" s="9">
        <v>575276</v>
      </c>
      <c r="K10" s="9">
        <v>0</v>
      </c>
      <c r="M10" s="9">
        <v>575276</v>
      </c>
      <c r="O10" s="9">
        <v>198416805</v>
      </c>
      <c r="Q10" s="9">
        <v>0</v>
      </c>
      <c r="S10" s="9">
        <v>198416805</v>
      </c>
    </row>
    <row r="11" spans="1:19" ht="21.75" thickBot="1" x14ac:dyDescent="0.6">
      <c r="A11" s="11" t="s">
        <v>84</v>
      </c>
      <c r="I11" s="11">
        <f>SUM(I9:$I$10)</f>
        <v>5232570870</v>
      </c>
      <c r="K11" s="11">
        <f>SUM(K9:$K$10)</f>
        <v>-69219881</v>
      </c>
      <c r="M11" s="11">
        <f>SUM(M9:$M$10)</f>
        <v>5163350989</v>
      </c>
      <c r="O11" s="11">
        <f>SUM(O9:$O$10)</f>
        <v>7933163589</v>
      </c>
      <c r="Q11" s="11">
        <f>SUM(Q9:$Q$10)</f>
        <v>-7465072</v>
      </c>
      <c r="S11" s="11">
        <f>SUM(S9:$S$10)</f>
        <v>7925698517</v>
      </c>
    </row>
    <row r="12" spans="1:19" ht="21.75" thickTop="1" x14ac:dyDescent="0.55000000000000004">
      <c r="I12" s="13"/>
      <c r="K12" s="13"/>
      <c r="M12" s="13"/>
      <c r="O12" s="13"/>
      <c r="Q12" s="13"/>
      <c r="S12" s="13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2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14"/>
  <sheetViews>
    <sheetView rightToLeft="1" view="pageBreakPreview" zoomScale="60" zoomScaleNormal="100" workbookViewId="0">
      <selection activeCell="A12" sqref="A12:A13"/>
    </sheetView>
  </sheetViews>
  <sheetFormatPr defaultColWidth="8.85546875" defaultRowHeight="19.5" x14ac:dyDescent="0.55000000000000004"/>
  <cols>
    <col min="1" max="1" width="25.7109375" style="1" customWidth="1"/>
    <col min="2" max="2" width="1.42578125" style="1" customWidth="1"/>
    <col min="3" max="3" width="12.8554687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2.8554687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8.85546875" style="1"/>
  </cols>
  <sheetData>
    <row r="1" spans="1:17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19.899999999999999" customHeight="1" x14ac:dyDescent="0.55000000000000004">
      <c r="A2" s="34" t="s">
        <v>94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5" spans="1:17" ht="21" x14ac:dyDescent="0.55000000000000004">
      <c r="A5" s="35" t="s">
        <v>152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7" spans="1:17" ht="21" x14ac:dyDescent="0.55000000000000004">
      <c r="C7" s="29" t="s">
        <v>107</v>
      </c>
      <c r="D7" s="30"/>
      <c r="E7" s="30"/>
      <c r="F7" s="30"/>
      <c r="G7" s="30"/>
      <c r="H7" s="30"/>
      <c r="I7" s="30"/>
      <c r="K7" s="29" t="s">
        <v>7</v>
      </c>
      <c r="L7" s="30"/>
      <c r="M7" s="30"/>
      <c r="N7" s="30"/>
      <c r="O7" s="30"/>
      <c r="P7" s="30"/>
      <c r="Q7" s="30"/>
    </row>
    <row r="8" spans="1:17" ht="42" x14ac:dyDescent="0.55000000000000004">
      <c r="A8" s="24" t="s">
        <v>96</v>
      </c>
      <c r="C8" s="17" t="s">
        <v>9</v>
      </c>
      <c r="E8" s="17" t="s">
        <v>11</v>
      </c>
      <c r="G8" s="17" t="s">
        <v>153</v>
      </c>
      <c r="I8" s="17" t="s">
        <v>154</v>
      </c>
      <c r="K8" s="17" t="s">
        <v>9</v>
      </c>
      <c r="M8" s="17" t="s">
        <v>11</v>
      </c>
      <c r="O8" s="17" t="s">
        <v>153</v>
      </c>
      <c r="Q8" s="17" t="s">
        <v>154</v>
      </c>
    </row>
    <row r="9" spans="1:17" ht="21" x14ac:dyDescent="0.55000000000000004">
      <c r="A9" s="6" t="s">
        <v>115</v>
      </c>
      <c r="C9" s="14">
        <v>0</v>
      </c>
      <c r="E9" s="14">
        <v>0</v>
      </c>
      <c r="G9" s="14">
        <v>0</v>
      </c>
      <c r="I9" s="14">
        <v>0</v>
      </c>
      <c r="J9" s="5"/>
      <c r="K9" s="9">
        <v>642320</v>
      </c>
      <c r="M9" s="9">
        <v>15667422360</v>
      </c>
      <c r="O9" s="9">
        <v>12923532066</v>
      </c>
      <c r="Q9" s="9">
        <v>2743890294</v>
      </c>
    </row>
    <row r="10" spans="1:17" ht="21" x14ac:dyDescent="0.55000000000000004">
      <c r="A10" s="6" t="s">
        <v>149</v>
      </c>
      <c r="C10" s="14">
        <v>0</v>
      </c>
      <c r="E10" s="14">
        <v>0</v>
      </c>
      <c r="G10" s="14">
        <v>0</v>
      </c>
      <c r="I10" s="14">
        <v>0</v>
      </c>
      <c r="J10" s="5"/>
      <c r="K10" s="9">
        <v>190000</v>
      </c>
      <c r="M10" s="9">
        <v>189981562500</v>
      </c>
      <c r="O10" s="9">
        <v>190016000000</v>
      </c>
      <c r="Q10" s="9">
        <v>-34437500</v>
      </c>
    </row>
    <row r="11" spans="1:17" ht="42" x14ac:dyDescent="0.55000000000000004">
      <c r="A11" s="6" t="s">
        <v>155</v>
      </c>
      <c r="C11" s="14">
        <v>0</v>
      </c>
      <c r="E11" s="14">
        <v>0</v>
      </c>
      <c r="G11" s="14">
        <v>0</v>
      </c>
      <c r="I11" s="14">
        <v>0</v>
      </c>
      <c r="J11" s="5"/>
      <c r="K11" s="9">
        <v>18268000</v>
      </c>
      <c r="M11" s="9">
        <v>896066167</v>
      </c>
      <c r="O11" s="9">
        <v>794404478</v>
      </c>
      <c r="Q11" s="9">
        <v>101661689</v>
      </c>
    </row>
    <row r="12" spans="1:17" ht="42" x14ac:dyDescent="0.55000000000000004">
      <c r="A12" s="6" t="s">
        <v>19</v>
      </c>
      <c r="C12" s="9">
        <v>18016000</v>
      </c>
      <c r="E12" s="9">
        <f>G12+I12</f>
        <v>625194326</v>
      </c>
      <c r="G12" s="9">
        <v>508447097</v>
      </c>
      <c r="I12" s="14">
        <v>116747229</v>
      </c>
      <c r="K12" s="9">
        <v>18016000</v>
      </c>
      <c r="M12" s="9">
        <v>625194326</v>
      </c>
      <c r="O12" s="9">
        <v>508447097</v>
      </c>
      <c r="Q12" s="14">
        <v>116747229</v>
      </c>
    </row>
    <row r="13" spans="1:17" ht="42" x14ac:dyDescent="0.55000000000000004">
      <c r="A13" s="6" t="s">
        <v>20</v>
      </c>
      <c r="C13" s="9">
        <v>12651000</v>
      </c>
      <c r="E13" s="9">
        <f>G13+I13</f>
        <v>1171787761</v>
      </c>
      <c r="G13" s="9">
        <v>1038193657</v>
      </c>
      <c r="I13" s="14">
        <v>133594104</v>
      </c>
      <c r="K13" s="9">
        <v>12651000</v>
      </c>
      <c r="M13" s="9">
        <v>1171787761</v>
      </c>
      <c r="O13" s="9">
        <v>1038193657</v>
      </c>
      <c r="Q13" s="14">
        <v>133594104</v>
      </c>
    </row>
    <row r="14" spans="1:17" ht="42" x14ac:dyDescent="0.55000000000000004">
      <c r="A14" s="6" t="s">
        <v>21</v>
      </c>
      <c r="C14" s="14">
        <v>0</v>
      </c>
      <c r="E14" s="14">
        <v>0</v>
      </c>
      <c r="G14" s="14">
        <v>0</v>
      </c>
      <c r="I14" s="14">
        <v>39927467</v>
      </c>
      <c r="J14" s="5"/>
      <c r="K14" s="9">
        <v>3890000</v>
      </c>
      <c r="M14" s="9">
        <v>210153635</v>
      </c>
      <c r="O14" s="9">
        <v>170226168</v>
      </c>
      <c r="Q14" s="14">
        <v>39927467</v>
      </c>
    </row>
    <row r="15" spans="1:17" ht="42" x14ac:dyDescent="0.55000000000000004">
      <c r="A15" s="6" t="s">
        <v>22</v>
      </c>
      <c r="C15" s="9">
        <v>5501000</v>
      </c>
      <c r="E15" s="9">
        <f>G15+I15</f>
        <v>272109320</v>
      </c>
      <c r="G15" s="9">
        <v>171947755</v>
      </c>
      <c r="I15" s="14">
        <v>100161565</v>
      </c>
      <c r="K15" s="9">
        <v>5501000</v>
      </c>
      <c r="M15" s="9">
        <v>272109320</v>
      </c>
      <c r="O15" s="9">
        <v>171947755</v>
      </c>
      <c r="Q15" s="9">
        <v>100161565</v>
      </c>
    </row>
    <row r="16" spans="1:17" ht="42" x14ac:dyDescent="0.55000000000000004">
      <c r="A16" s="6" t="s">
        <v>156</v>
      </c>
      <c r="C16" s="14">
        <v>0</v>
      </c>
      <c r="E16" s="14">
        <v>0</v>
      </c>
      <c r="G16" s="14">
        <v>0</v>
      </c>
      <c r="I16" s="14">
        <v>0</v>
      </c>
      <c r="J16" s="5"/>
      <c r="K16" s="9">
        <v>2594000</v>
      </c>
      <c r="M16" s="9">
        <v>539302559</v>
      </c>
      <c r="O16" s="9">
        <v>528542879</v>
      </c>
      <c r="Q16" s="9">
        <v>10759680</v>
      </c>
    </row>
    <row r="17" spans="1:17" ht="42" x14ac:dyDescent="0.55000000000000004">
      <c r="A17" s="6" t="s">
        <v>157</v>
      </c>
      <c r="C17" s="14">
        <v>0</v>
      </c>
      <c r="E17" s="14">
        <v>0</v>
      </c>
      <c r="G17" s="14">
        <v>0</v>
      </c>
      <c r="I17" s="14">
        <v>0</v>
      </c>
      <c r="J17" s="5"/>
      <c r="K17" s="9">
        <v>83726000</v>
      </c>
      <c r="M17" s="9">
        <v>1222669472</v>
      </c>
      <c r="O17" s="9">
        <v>1588429274</v>
      </c>
      <c r="Q17" s="9">
        <v>-365759802</v>
      </c>
    </row>
    <row r="18" spans="1:17" ht="42" x14ac:dyDescent="0.55000000000000004">
      <c r="A18" s="6" t="s">
        <v>24</v>
      </c>
      <c r="C18" s="9">
        <v>30000000</v>
      </c>
      <c r="E18" s="9">
        <f>G18+I18</f>
        <v>4220216842</v>
      </c>
      <c r="G18" s="9">
        <v>3509194274</v>
      </c>
      <c r="I18" s="14">
        <v>711022568</v>
      </c>
      <c r="K18" s="9">
        <v>30000000</v>
      </c>
      <c r="M18" s="9">
        <v>4220216842</v>
      </c>
      <c r="O18" s="9">
        <v>3509194274</v>
      </c>
      <c r="Q18" s="9">
        <v>711022568</v>
      </c>
    </row>
    <row r="19" spans="1:17" ht="42" x14ac:dyDescent="0.55000000000000004">
      <c r="A19" s="6" t="s">
        <v>25</v>
      </c>
      <c r="C19" s="9">
        <v>2150000</v>
      </c>
      <c r="E19" s="9">
        <f>G19+I19</f>
        <v>97230300</v>
      </c>
      <c r="G19" s="9">
        <v>68281425</v>
      </c>
      <c r="I19" s="14">
        <v>28948875</v>
      </c>
      <c r="K19" s="9">
        <v>2150000</v>
      </c>
      <c r="M19" s="9">
        <v>97230300</v>
      </c>
      <c r="O19" s="9">
        <v>68281425</v>
      </c>
      <c r="Q19" s="9">
        <v>28948875</v>
      </c>
    </row>
    <row r="20" spans="1:17" ht="42" x14ac:dyDescent="0.55000000000000004">
      <c r="A20" s="6" t="s">
        <v>27</v>
      </c>
      <c r="C20" s="14">
        <v>0</v>
      </c>
      <c r="E20" s="14">
        <v>0</v>
      </c>
      <c r="G20" s="14">
        <v>0</v>
      </c>
      <c r="I20" s="14">
        <v>156876184</v>
      </c>
      <c r="J20" s="5"/>
      <c r="K20" s="9">
        <v>1519000</v>
      </c>
      <c r="M20" s="9">
        <v>351883963</v>
      </c>
      <c r="O20" s="9">
        <v>195007779</v>
      </c>
      <c r="Q20" s="14">
        <v>156876184</v>
      </c>
    </row>
    <row r="21" spans="1:17" ht="42" x14ac:dyDescent="0.55000000000000004">
      <c r="A21" s="6" t="s">
        <v>28</v>
      </c>
      <c r="C21" s="14">
        <v>0</v>
      </c>
      <c r="E21" s="14">
        <v>0</v>
      </c>
      <c r="G21" s="14">
        <v>0</v>
      </c>
      <c r="I21" s="14">
        <v>84996712</v>
      </c>
      <c r="J21" s="5"/>
      <c r="K21" s="9">
        <v>1001000</v>
      </c>
      <c r="M21" s="9">
        <v>174976537</v>
      </c>
      <c r="O21" s="9">
        <v>89979825</v>
      </c>
      <c r="Q21" s="14">
        <v>84996712</v>
      </c>
    </row>
    <row r="22" spans="1:17" ht="42" x14ac:dyDescent="0.55000000000000004">
      <c r="A22" s="6" t="s">
        <v>29</v>
      </c>
      <c r="C22" s="9">
        <v>199000</v>
      </c>
      <c r="E22" s="9">
        <f>G22+I22</f>
        <v>155467736</v>
      </c>
      <c r="G22" s="9">
        <v>7957952</v>
      </c>
      <c r="I22" s="14">
        <v>147509784</v>
      </c>
      <c r="K22" s="9">
        <v>4749000</v>
      </c>
      <c r="M22" s="9">
        <v>299730580</v>
      </c>
      <c r="O22" s="9">
        <v>152220796</v>
      </c>
      <c r="Q22" s="14">
        <v>147509784</v>
      </c>
    </row>
    <row r="23" spans="1:17" ht="21" x14ac:dyDescent="0.55000000000000004">
      <c r="A23" s="6" t="s">
        <v>158</v>
      </c>
      <c r="C23" s="14">
        <v>0</v>
      </c>
      <c r="E23" s="14">
        <v>0</v>
      </c>
      <c r="G23" s="14">
        <v>0</v>
      </c>
      <c r="I23" s="14">
        <v>0</v>
      </c>
      <c r="J23" s="5"/>
      <c r="K23" s="9">
        <v>10900000</v>
      </c>
      <c r="M23" s="9">
        <v>447089106</v>
      </c>
      <c r="O23" s="9">
        <v>405315662</v>
      </c>
      <c r="Q23" s="9">
        <v>41773444</v>
      </c>
    </row>
    <row r="24" spans="1:17" ht="21" x14ac:dyDescent="0.55000000000000004">
      <c r="A24" s="6" t="s">
        <v>31</v>
      </c>
      <c r="C24" s="9">
        <v>23900000</v>
      </c>
      <c r="E24" s="9">
        <f>G24+I24</f>
        <v>155513119</v>
      </c>
      <c r="G24" s="9">
        <v>164357707</v>
      </c>
      <c r="I24" s="14">
        <v>-8844588</v>
      </c>
      <c r="K24" s="9">
        <v>23900000</v>
      </c>
      <c r="M24" s="9">
        <v>155513119</v>
      </c>
      <c r="O24" s="9">
        <v>164357707</v>
      </c>
      <c r="Q24" s="9">
        <v>-8844588</v>
      </c>
    </row>
    <row r="25" spans="1:17" ht="21" x14ac:dyDescent="0.55000000000000004">
      <c r="A25" s="6" t="s">
        <v>159</v>
      </c>
      <c r="C25" s="14">
        <v>0</v>
      </c>
      <c r="E25" s="14">
        <v>0</v>
      </c>
      <c r="G25" s="14">
        <v>0</v>
      </c>
      <c r="I25" s="14">
        <v>0</v>
      </c>
      <c r="J25" s="5"/>
      <c r="K25" s="9">
        <v>10000000</v>
      </c>
      <c r="M25" s="9">
        <v>1014069427</v>
      </c>
      <c r="O25" s="9">
        <v>506969427</v>
      </c>
      <c r="Q25" s="9">
        <v>507100000</v>
      </c>
    </row>
    <row r="26" spans="1:17" ht="21" x14ac:dyDescent="0.55000000000000004">
      <c r="A26" s="6" t="s">
        <v>241</v>
      </c>
      <c r="C26" s="14">
        <v>0</v>
      </c>
      <c r="E26" s="14">
        <v>0</v>
      </c>
      <c r="G26" s="14">
        <v>0</v>
      </c>
      <c r="I26" s="14">
        <v>681355651</v>
      </c>
      <c r="J26" s="5"/>
      <c r="K26" s="14">
        <v>0</v>
      </c>
      <c r="M26" s="14">
        <v>0</v>
      </c>
      <c r="O26" s="14">
        <v>0</v>
      </c>
      <c r="Q26" s="9">
        <v>681355651</v>
      </c>
    </row>
    <row r="27" spans="1:17" ht="21" x14ac:dyDescent="0.55000000000000004">
      <c r="A27" s="6" t="s">
        <v>32</v>
      </c>
      <c r="C27" s="14">
        <v>0</v>
      </c>
      <c r="E27" s="14">
        <v>0</v>
      </c>
      <c r="G27" s="14">
        <v>0</v>
      </c>
      <c r="I27" s="14">
        <v>85916769</v>
      </c>
      <c r="J27" s="5"/>
      <c r="K27" s="9">
        <v>28593000</v>
      </c>
      <c r="M27" s="9">
        <v>561240270</v>
      </c>
      <c r="O27" s="9">
        <v>417380572</v>
      </c>
      <c r="Q27" s="9">
        <v>143859698</v>
      </c>
    </row>
    <row r="28" spans="1:17" ht="21" x14ac:dyDescent="0.55000000000000004">
      <c r="A28" s="6" t="s">
        <v>229</v>
      </c>
      <c r="C28" s="14">
        <v>0</v>
      </c>
      <c r="E28" s="14">
        <v>0</v>
      </c>
      <c r="G28" s="14">
        <v>0</v>
      </c>
      <c r="I28" s="14">
        <v>617621429</v>
      </c>
      <c r="J28" s="5"/>
      <c r="K28" s="14">
        <v>0</v>
      </c>
      <c r="M28" s="14">
        <v>0</v>
      </c>
      <c r="O28" s="14">
        <v>0</v>
      </c>
      <c r="Q28" s="9">
        <v>617621429</v>
      </c>
    </row>
    <row r="29" spans="1:17" ht="21" x14ac:dyDescent="0.55000000000000004">
      <c r="A29" s="6" t="s">
        <v>160</v>
      </c>
      <c r="C29" s="14">
        <v>0</v>
      </c>
      <c r="E29" s="14">
        <v>0</v>
      </c>
      <c r="G29" s="14">
        <v>0</v>
      </c>
      <c r="I29" s="14">
        <v>0</v>
      </c>
      <c r="J29" s="5"/>
      <c r="K29" s="9">
        <v>184000</v>
      </c>
      <c r="M29" s="9">
        <v>25382910</v>
      </c>
      <c r="O29" s="9">
        <v>20234792</v>
      </c>
      <c r="Q29" s="9">
        <v>5148118</v>
      </c>
    </row>
    <row r="30" spans="1:17" ht="42" x14ac:dyDescent="0.55000000000000004">
      <c r="A30" s="6" t="s">
        <v>33</v>
      </c>
      <c r="C30" s="9">
        <v>1000000</v>
      </c>
      <c r="E30" s="9">
        <f>G30+I30</f>
        <v>195950045</v>
      </c>
      <c r="G30" s="9">
        <v>129966525</v>
      </c>
      <c r="I30" s="14">
        <v>65983520</v>
      </c>
      <c r="K30" s="9">
        <v>1000000</v>
      </c>
      <c r="M30" s="9">
        <v>195950045</v>
      </c>
      <c r="O30" s="9">
        <v>129966525</v>
      </c>
      <c r="Q30" s="9">
        <v>65983520</v>
      </c>
    </row>
    <row r="31" spans="1:17" ht="21" x14ac:dyDescent="0.55000000000000004">
      <c r="A31" s="6" t="s">
        <v>219</v>
      </c>
      <c r="C31" s="9"/>
      <c r="E31" s="15">
        <f>SUM(E9:E30)</f>
        <v>6893469449</v>
      </c>
      <c r="G31" s="15">
        <f>SUM(G9:G30)</f>
        <v>5598346392</v>
      </c>
      <c r="I31" s="15">
        <f>SUM(I9:I30)</f>
        <v>2961817269</v>
      </c>
      <c r="K31" s="9"/>
      <c r="M31" s="15">
        <f>SUM(M9:M30)</f>
        <v>218129551199</v>
      </c>
      <c r="O31" s="15">
        <f>SUM(O9:O30)</f>
        <v>213398632158</v>
      </c>
      <c r="Q31" s="15">
        <f>SUM(Q9:Q30)</f>
        <v>6029896121</v>
      </c>
    </row>
    <row r="32" spans="1:17" ht="19.899999999999999" customHeight="1" x14ac:dyDescent="0.55000000000000004">
      <c r="A32" s="34" t="s">
        <v>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9.899999999999999" customHeight="1" x14ac:dyDescent="0.55000000000000004">
      <c r="A33" s="34" t="s">
        <v>94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9.899999999999999" customHeight="1" x14ac:dyDescent="0.55000000000000004">
      <c r="A34" s="34" t="s">
        <v>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6" spans="1:17" ht="21" x14ac:dyDescent="0.55000000000000004">
      <c r="A36" s="35" t="s">
        <v>152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8" spans="1:17" ht="21" x14ac:dyDescent="0.55000000000000004">
      <c r="C38" s="29" t="s">
        <v>107</v>
      </c>
      <c r="D38" s="30"/>
      <c r="E38" s="30"/>
      <c r="F38" s="30"/>
      <c r="G38" s="30"/>
      <c r="H38" s="30"/>
      <c r="I38" s="30"/>
      <c r="K38" s="29" t="s">
        <v>7</v>
      </c>
      <c r="L38" s="30"/>
      <c r="M38" s="30"/>
      <c r="N38" s="30"/>
      <c r="O38" s="30"/>
      <c r="P38" s="30"/>
      <c r="Q38" s="30"/>
    </row>
    <row r="39" spans="1:17" ht="42" x14ac:dyDescent="0.55000000000000004">
      <c r="A39" s="24" t="s">
        <v>96</v>
      </c>
      <c r="C39" s="17" t="s">
        <v>9</v>
      </c>
      <c r="E39" s="17" t="s">
        <v>11</v>
      </c>
      <c r="G39" s="17" t="s">
        <v>153</v>
      </c>
      <c r="I39" s="17" t="s">
        <v>154</v>
      </c>
      <c r="K39" s="17" t="s">
        <v>9</v>
      </c>
      <c r="M39" s="17" t="s">
        <v>11</v>
      </c>
      <c r="O39" s="17" t="s">
        <v>153</v>
      </c>
      <c r="Q39" s="17" t="s">
        <v>154</v>
      </c>
    </row>
    <row r="40" spans="1:17" ht="21" x14ac:dyDescent="0.55000000000000004">
      <c r="A40" s="6" t="s">
        <v>220</v>
      </c>
      <c r="C40" s="21"/>
      <c r="E40" s="9">
        <f>E31</f>
        <v>6893469449</v>
      </c>
      <c r="F40" s="9"/>
      <c r="G40" s="9">
        <f>G31</f>
        <v>5598346392</v>
      </c>
      <c r="H40" s="9"/>
      <c r="I40" s="9">
        <f>I31</f>
        <v>2961817269</v>
      </c>
      <c r="J40" s="9"/>
      <c r="K40" s="9"/>
      <c r="L40" s="9"/>
      <c r="M40" s="9">
        <f>M31</f>
        <v>218129551199</v>
      </c>
      <c r="N40" s="9"/>
      <c r="O40" s="9">
        <f>O31</f>
        <v>213398632158</v>
      </c>
      <c r="P40" s="9"/>
      <c r="Q40" s="9">
        <f>Q31</f>
        <v>6029896121</v>
      </c>
    </row>
    <row r="41" spans="1:17" ht="42" x14ac:dyDescent="0.55000000000000004">
      <c r="A41" s="6" t="s">
        <v>34</v>
      </c>
      <c r="C41" s="14">
        <v>0</v>
      </c>
      <c r="E41" s="14">
        <v>0</v>
      </c>
      <c r="G41" s="14">
        <v>0</v>
      </c>
      <c r="I41" s="14">
        <v>2023213897</v>
      </c>
      <c r="J41" s="5"/>
      <c r="K41" s="9">
        <v>20000000</v>
      </c>
      <c r="M41" s="9">
        <f t="shared" ref="M41:M47" si="0">O41+Q41</f>
        <v>4065906782</v>
      </c>
      <c r="O41" s="9">
        <v>2042692885</v>
      </c>
      <c r="Q41" s="9">
        <v>2023213897</v>
      </c>
    </row>
    <row r="42" spans="1:17" ht="42" x14ac:dyDescent="0.55000000000000004">
      <c r="A42" s="6" t="s">
        <v>227</v>
      </c>
      <c r="C42" s="14">
        <v>0</v>
      </c>
      <c r="E42" s="14">
        <v>0</v>
      </c>
      <c r="G42" s="14">
        <v>0</v>
      </c>
      <c r="I42" s="14">
        <v>0</v>
      </c>
      <c r="J42" s="5"/>
      <c r="K42" s="9">
        <v>16000000</v>
      </c>
      <c r="M42" s="9">
        <f t="shared" si="0"/>
        <v>1488830222</v>
      </c>
      <c r="O42" s="9">
        <v>752320270</v>
      </c>
      <c r="Q42" s="9">
        <v>736509952</v>
      </c>
    </row>
    <row r="43" spans="1:17" ht="42" x14ac:dyDescent="0.55000000000000004">
      <c r="A43" s="6" t="s">
        <v>35</v>
      </c>
      <c r="C43" s="9">
        <v>1399000</v>
      </c>
      <c r="E43" s="9">
        <f>G43+I43</f>
        <v>161461342</v>
      </c>
      <c r="G43" s="9">
        <v>90913587</v>
      </c>
      <c r="I43" s="14">
        <v>70547755</v>
      </c>
      <c r="K43" s="9">
        <v>1399000</v>
      </c>
      <c r="M43" s="9">
        <f t="shared" si="0"/>
        <v>161461342</v>
      </c>
      <c r="O43" s="9">
        <v>90913587</v>
      </c>
      <c r="Q43" s="9">
        <v>70547755</v>
      </c>
    </row>
    <row r="44" spans="1:17" ht="42" x14ac:dyDescent="0.55000000000000004">
      <c r="A44" s="6" t="s">
        <v>36</v>
      </c>
      <c r="C44" s="14">
        <v>0</v>
      </c>
      <c r="E44" s="14">
        <v>0</v>
      </c>
      <c r="G44" s="14">
        <v>0</v>
      </c>
      <c r="I44" s="14">
        <v>62249727</v>
      </c>
      <c r="J44" s="5"/>
      <c r="K44" s="9">
        <v>10100000</v>
      </c>
      <c r="M44" s="9">
        <f t="shared" si="0"/>
        <v>603859267</v>
      </c>
      <c r="O44" s="9">
        <v>427489919</v>
      </c>
      <c r="Q44" s="9">
        <v>176369348</v>
      </c>
    </row>
    <row r="45" spans="1:17" ht="42" x14ac:dyDescent="0.55000000000000004">
      <c r="A45" s="6" t="s">
        <v>161</v>
      </c>
      <c r="C45" s="14">
        <v>0</v>
      </c>
      <c r="E45" s="14">
        <v>0</v>
      </c>
      <c r="G45" s="14">
        <v>0</v>
      </c>
      <c r="I45" s="14">
        <v>0</v>
      </c>
      <c r="J45" s="5"/>
      <c r="K45" s="9">
        <v>6200000</v>
      </c>
      <c r="M45" s="9">
        <f t="shared" si="0"/>
        <v>198136401</v>
      </c>
      <c r="O45" s="9">
        <v>148361790</v>
      </c>
      <c r="Q45" s="9">
        <v>49774611</v>
      </c>
    </row>
    <row r="46" spans="1:17" ht="42" x14ac:dyDescent="0.55000000000000004">
      <c r="A46" s="6" t="s">
        <v>37</v>
      </c>
      <c r="C46" s="9">
        <v>6000000</v>
      </c>
      <c r="E46" s="9">
        <f>G46+I46</f>
        <v>468802776</v>
      </c>
      <c r="G46" s="9">
        <v>338512817</v>
      </c>
      <c r="I46" s="14">
        <v>130289959</v>
      </c>
      <c r="K46" s="9">
        <v>6000000</v>
      </c>
      <c r="M46" s="9">
        <f t="shared" si="0"/>
        <v>468802776</v>
      </c>
      <c r="O46" s="9">
        <v>338512817</v>
      </c>
      <c r="Q46" s="9">
        <v>130289959</v>
      </c>
    </row>
    <row r="47" spans="1:17" ht="42" x14ac:dyDescent="0.55000000000000004">
      <c r="A47" s="6" t="s">
        <v>162</v>
      </c>
      <c r="C47" s="14">
        <v>0</v>
      </c>
      <c r="E47" s="14">
        <v>0</v>
      </c>
      <c r="G47" s="14">
        <v>0</v>
      </c>
      <c r="I47" s="14">
        <v>0</v>
      </c>
      <c r="J47" s="5"/>
      <c r="K47" s="9">
        <v>21446000</v>
      </c>
      <c r="M47" s="9">
        <f t="shared" si="0"/>
        <v>3620871267</v>
      </c>
      <c r="O47" s="9">
        <v>2906078538</v>
      </c>
      <c r="Q47" s="9">
        <v>714792729</v>
      </c>
    </row>
    <row r="48" spans="1:17" ht="42" x14ac:dyDescent="0.55000000000000004">
      <c r="A48" s="6" t="s">
        <v>38</v>
      </c>
      <c r="C48" s="9">
        <v>13000000</v>
      </c>
      <c r="E48" s="9">
        <f>G48+I48</f>
        <v>1592056302</v>
      </c>
      <c r="G48" s="9">
        <v>1519320726</v>
      </c>
      <c r="I48" s="14">
        <v>72735576</v>
      </c>
      <c r="K48" s="9">
        <v>13000000</v>
      </c>
      <c r="M48" s="9">
        <f>O48+Q48</f>
        <v>1592056302</v>
      </c>
      <c r="O48" s="9">
        <v>1519320726</v>
      </c>
      <c r="Q48" s="9">
        <v>72735576</v>
      </c>
    </row>
    <row r="49" spans="1:17" ht="21" x14ac:dyDescent="0.55000000000000004">
      <c r="A49" s="6" t="s">
        <v>39</v>
      </c>
      <c r="C49" s="14">
        <v>0</v>
      </c>
      <c r="E49" s="14">
        <v>0</v>
      </c>
      <c r="G49" s="14">
        <v>0</v>
      </c>
      <c r="I49" s="14">
        <v>0</v>
      </c>
      <c r="J49" s="5"/>
      <c r="K49" s="9">
        <v>3456382</v>
      </c>
      <c r="M49" s="9">
        <v>13852593617</v>
      </c>
      <c r="O49" s="9">
        <v>15123907337</v>
      </c>
      <c r="Q49" s="9">
        <v>-1271313720</v>
      </c>
    </row>
    <row r="50" spans="1:17" ht="21" x14ac:dyDescent="0.55000000000000004">
      <c r="A50" s="6" t="s">
        <v>40</v>
      </c>
      <c r="C50" s="9">
        <v>2800000</v>
      </c>
      <c r="E50" s="9">
        <v>10776993132</v>
      </c>
      <c r="G50" s="9">
        <v>8717385078</v>
      </c>
      <c r="I50" s="9">
        <v>2059608054</v>
      </c>
      <c r="K50" s="9">
        <v>2800000</v>
      </c>
      <c r="M50" s="9">
        <v>10776993132</v>
      </c>
      <c r="O50" s="9">
        <v>8717385078</v>
      </c>
      <c r="Q50" s="9">
        <v>2059608054</v>
      </c>
    </row>
    <row r="51" spans="1:17" ht="21" x14ac:dyDescent="0.55000000000000004">
      <c r="A51" s="6" t="s">
        <v>41</v>
      </c>
      <c r="C51" s="14">
        <v>0</v>
      </c>
      <c r="E51" s="14">
        <v>0</v>
      </c>
      <c r="G51" s="14">
        <v>0</v>
      </c>
      <c r="I51" s="14">
        <v>0</v>
      </c>
      <c r="J51" s="5"/>
      <c r="K51" s="9">
        <v>2000000</v>
      </c>
      <c r="M51" s="9">
        <v>4863299816</v>
      </c>
      <c r="O51" s="9">
        <v>5529617979</v>
      </c>
      <c r="Q51" s="9">
        <v>-666318163</v>
      </c>
    </row>
    <row r="52" spans="1:17" ht="21" x14ac:dyDescent="0.55000000000000004">
      <c r="A52" s="6" t="s">
        <v>42</v>
      </c>
      <c r="C52" s="14">
        <v>0</v>
      </c>
      <c r="E52" s="14">
        <v>0</v>
      </c>
      <c r="G52" s="14">
        <v>0</v>
      </c>
      <c r="I52" s="14">
        <v>0</v>
      </c>
      <c r="J52" s="5"/>
      <c r="K52" s="9">
        <v>7324703</v>
      </c>
      <c r="M52" s="9">
        <v>10739454802</v>
      </c>
      <c r="O52" s="9">
        <v>11808799216</v>
      </c>
      <c r="Q52" s="9">
        <v>-1069344414</v>
      </c>
    </row>
    <row r="53" spans="1:17" ht="21" x14ac:dyDescent="0.55000000000000004">
      <c r="A53" s="6" t="s">
        <v>43</v>
      </c>
      <c r="C53" s="14">
        <v>0</v>
      </c>
      <c r="E53" s="14">
        <v>0</v>
      </c>
      <c r="G53" s="14">
        <v>0</v>
      </c>
      <c r="I53" s="14">
        <v>0</v>
      </c>
      <c r="J53" s="5"/>
      <c r="K53" s="9">
        <v>12777497</v>
      </c>
      <c r="M53" s="9">
        <v>23616502086</v>
      </c>
      <c r="O53" s="9">
        <v>23081669592</v>
      </c>
      <c r="Q53" s="9">
        <v>534832494</v>
      </c>
    </row>
    <row r="54" spans="1:17" ht="21" x14ac:dyDescent="0.55000000000000004">
      <c r="A54" s="6" t="s">
        <v>45</v>
      </c>
      <c r="C54" s="14">
        <v>0</v>
      </c>
      <c r="E54" s="14">
        <v>0</v>
      </c>
      <c r="G54" s="14">
        <v>0</v>
      </c>
      <c r="I54" s="14">
        <v>0</v>
      </c>
      <c r="J54" s="5"/>
      <c r="K54" s="9">
        <v>11717402</v>
      </c>
      <c r="M54" s="9">
        <v>23058721990</v>
      </c>
      <c r="O54" s="9">
        <v>22831211540</v>
      </c>
      <c r="Q54" s="9">
        <v>227510450</v>
      </c>
    </row>
    <row r="55" spans="1:17" ht="21" x14ac:dyDescent="0.55000000000000004">
      <c r="A55" s="6" t="s">
        <v>46</v>
      </c>
      <c r="C55" s="14">
        <v>0</v>
      </c>
      <c r="E55" s="14">
        <v>0</v>
      </c>
      <c r="G55" s="14">
        <v>0</v>
      </c>
      <c r="I55" s="14">
        <v>0</v>
      </c>
      <c r="J55" s="5"/>
      <c r="K55" s="9">
        <v>10876338</v>
      </c>
      <c r="M55" s="9">
        <v>31709273214</v>
      </c>
      <c r="O55" s="9">
        <v>32677537494</v>
      </c>
      <c r="Q55" s="9">
        <v>-968264280</v>
      </c>
    </row>
    <row r="56" spans="1:17" ht="21" x14ac:dyDescent="0.55000000000000004">
      <c r="A56" s="6" t="s">
        <v>163</v>
      </c>
      <c r="C56" s="14">
        <v>0</v>
      </c>
      <c r="E56" s="14">
        <v>0</v>
      </c>
      <c r="G56" s="14">
        <v>0</v>
      </c>
      <c r="I56" s="14">
        <v>0</v>
      </c>
      <c r="J56" s="5"/>
      <c r="K56" s="9">
        <v>3801725</v>
      </c>
      <c r="M56" s="9">
        <v>55967788545</v>
      </c>
      <c r="O56" s="9">
        <v>54839928174</v>
      </c>
      <c r="Q56" s="9">
        <v>1127860371</v>
      </c>
    </row>
    <row r="57" spans="1:17" ht="21" x14ac:dyDescent="0.55000000000000004">
      <c r="A57" s="6" t="s">
        <v>164</v>
      </c>
      <c r="C57" s="14">
        <v>0</v>
      </c>
      <c r="E57" s="14">
        <v>0</v>
      </c>
      <c r="G57" s="14">
        <v>0</v>
      </c>
      <c r="I57" s="14">
        <v>0</v>
      </c>
      <c r="J57" s="5"/>
      <c r="K57" s="9">
        <v>100000000</v>
      </c>
      <c r="M57" s="9">
        <v>223682250000</v>
      </c>
      <c r="O57" s="9">
        <v>198773049976</v>
      </c>
      <c r="Q57" s="9">
        <v>24909200024</v>
      </c>
    </row>
    <row r="58" spans="1:17" ht="21" x14ac:dyDescent="0.55000000000000004">
      <c r="A58" s="6" t="s">
        <v>47</v>
      </c>
      <c r="C58" s="9">
        <v>644365</v>
      </c>
      <c r="E58" s="9">
        <v>122821227</v>
      </c>
      <c r="G58" s="9">
        <v>2585677601</v>
      </c>
      <c r="I58" s="9">
        <v>-2462856374</v>
      </c>
      <c r="K58" s="9">
        <v>644365</v>
      </c>
      <c r="M58" s="9">
        <v>122821227</v>
      </c>
      <c r="O58" s="9">
        <v>2585677601</v>
      </c>
      <c r="Q58" s="9">
        <v>-2462856374</v>
      </c>
    </row>
    <row r="59" spans="1:17" ht="21" x14ac:dyDescent="0.55000000000000004">
      <c r="A59" s="6" t="s">
        <v>49</v>
      </c>
      <c r="C59" s="14">
        <v>0</v>
      </c>
      <c r="E59" s="14">
        <v>0</v>
      </c>
      <c r="G59" s="14">
        <v>0</v>
      </c>
      <c r="I59" s="14">
        <v>0</v>
      </c>
      <c r="J59" s="5"/>
      <c r="K59" s="9">
        <v>2820364</v>
      </c>
      <c r="M59" s="9">
        <v>8582624846</v>
      </c>
      <c r="O59" s="9">
        <v>9641427146</v>
      </c>
      <c r="Q59" s="9">
        <v>-1058802300</v>
      </c>
    </row>
    <row r="60" spans="1:17" ht="21" x14ac:dyDescent="0.55000000000000004">
      <c r="A60" s="6" t="s">
        <v>50</v>
      </c>
      <c r="C60" s="14">
        <v>0</v>
      </c>
      <c r="E60" s="14">
        <v>0</v>
      </c>
      <c r="G60" s="14">
        <v>0</v>
      </c>
      <c r="I60" s="14">
        <v>0</v>
      </c>
      <c r="J60" s="5"/>
      <c r="K60" s="9">
        <v>801187</v>
      </c>
      <c r="M60" s="9">
        <v>24158586249</v>
      </c>
      <c r="O60" s="9">
        <v>24886875190</v>
      </c>
      <c r="Q60" s="9">
        <v>-728288941</v>
      </c>
    </row>
    <row r="61" spans="1:17" ht="21" x14ac:dyDescent="0.55000000000000004">
      <c r="A61" s="6" t="s">
        <v>165</v>
      </c>
      <c r="C61" s="14">
        <v>0</v>
      </c>
      <c r="E61" s="14">
        <v>0</v>
      </c>
      <c r="G61" s="14">
        <v>0</v>
      </c>
      <c r="I61" s="14">
        <v>0</v>
      </c>
      <c r="J61" s="5"/>
      <c r="K61" s="9">
        <v>1730887</v>
      </c>
      <c r="M61" s="9">
        <v>27953993244</v>
      </c>
      <c r="O61" s="9">
        <v>28497678508</v>
      </c>
      <c r="Q61" s="9">
        <v>-543685264</v>
      </c>
    </row>
    <row r="62" spans="1:17" ht="21" x14ac:dyDescent="0.55000000000000004">
      <c r="A62" s="6" t="s">
        <v>219</v>
      </c>
      <c r="C62" s="9"/>
      <c r="E62" s="15">
        <f>SUM(E40:E61)</f>
        <v>20015604228</v>
      </c>
      <c r="G62" s="15">
        <f>SUM(G40:G61)</f>
        <v>18850156201</v>
      </c>
      <c r="I62" s="15">
        <f>SUM(I40:I61)</f>
        <v>4917605863</v>
      </c>
      <c r="K62" s="9"/>
      <c r="M62" s="15">
        <f>SUM(M40:M61)</f>
        <v>689414378326</v>
      </c>
      <c r="O62" s="15">
        <f>SUM(O40:O61)</f>
        <v>660619087521</v>
      </c>
      <c r="Q62" s="15">
        <f>SUM(Q40:Q61)</f>
        <v>30094267885</v>
      </c>
    </row>
    <row r="63" spans="1:17" ht="19.899999999999999" customHeight="1" x14ac:dyDescent="0.55000000000000004">
      <c r="A63" s="34" t="s">
        <v>0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ht="19.899999999999999" customHeight="1" x14ac:dyDescent="0.55000000000000004">
      <c r="A64" s="34" t="s">
        <v>94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spans="1:17" ht="19.899999999999999" customHeight="1" x14ac:dyDescent="0.55000000000000004">
      <c r="A65" s="34" t="s">
        <v>2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7" spans="1:17" ht="21" x14ac:dyDescent="0.55000000000000004">
      <c r="A67" s="35" t="s">
        <v>152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9" spans="1:17" ht="21" x14ac:dyDescent="0.55000000000000004">
      <c r="C69" s="29" t="s">
        <v>107</v>
      </c>
      <c r="D69" s="30"/>
      <c r="E69" s="30"/>
      <c r="F69" s="30"/>
      <c r="G69" s="30"/>
      <c r="H69" s="30"/>
      <c r="I69" s="30"/>
      <c r="K69" s="29" t="s">
        <v>7</v>
      </c>
      <c r="L69" s="30"/>
      <c r="M69" s="30"/>
      <c r="N69" s="30"/>
      <c r="O69" s="30"/>
      <c r="P69" s="30"/>
      <c r="Q69" s="30"/>
    </row>
    <row r="70" spans="1:17" ht="42" x14ac:dyDescent="0.55000000000000004">
      <c r="A70" s="24" t="s">
        <v>96</v>
      </c>
      <c r="C70" s="17" t="s">
        <v>9</v>
      </c>
      <c r="E70" s="17" t="s">
        <v>11</v>
      </c>
      <c r="G70" s="17" t="s">
        <v>153</v>
      </c>
      <c r="I70" s="17" t="s">
        <v>154</v>
      </c>
      <c r="K70" s="17" t="s">
        <v>9</v>
      </c>
      <c r="M70" s="17" t="s">
        <v>11</v>
      </c>
      <c r="O70" s="17" t="s">
        <v>153</v>
      </c>
      <c r="Q70" s="17" t="s">
        <v>154</v>
      </c>
    </row>
    <row r="71" spans="1:17" ht="21" x14ac:dyDescent="0.55000000000000004">
      <c r="A71" s="6" t="s">
        <v>220</v>
      </c>
      <c r="C71" s="21"/>
      <c r="E71" s="9">
        <f>E62</f>
        <v>20015604228</v>
      </c>
      <c r="F71" s="9"/>
      <c r="G71" s="9">
        <f>G62</f>
        <v>18850156201</v>
      </c>
      <c r="H71" s="9"/>
      <c r="I71" s="9">
        <f>I62</f>
        <v>4917605863</v>
      </c>
      <c r="J71" s="9"/>
      <c r="K71" s="9"/>
      <c r="L71" s="9"/>
      <c r="M71" s="9">
        <f>M62</f>
        <v>689414378326</v>
      </c>
      <c r="N71" s="9"/>
      <c r="O71" s="9">
        <f>O62</f>
        <v>660619087521</v>
      </c>
      <c r="P71" s="9"/>
      <c r="Q71" s="9">
        <f>Q62</f>
        <v>30094267885</v>
      </c>
    </row>
    <row r="72" spans="1:17" ht="21" x14ac:dyDescent="0.55000000000000004">
      <c r="A72" s="6" t="s">
        <v>52</v>
      </c>
      <c r="C72" s="14">
        <v>0</v>
      </c>
      <c r="E72" s="14">
        <v>0</v>
      </c>
      <c r="G72" s="14">
        <v>0</v>
      </c>
      <c r="I72" s="14">
        <v>0</v>
      </c>
      <c r="J72" s="5"/>
      <c r="K72" s="9">
        <v>4562873</v>
      </c>
      <c r="M72" s="9">
        <v>11893150710</v>
      </c>
      <c r="O72" s="9">
        <v>11653658640</v>
      </c>
      <c r="Q72" s="9">
        <v>239492070</v>
      </c>
    </row>
    <row r="73" spans="1:17" ht="21" x14ac:dyDescent="0.55000000000000004">
      <c r="A73" s="6" t="s">
        <v>166</v>
      </c>
      <c r="C73" s="14">
        <v>0</v>
      </c>
      <c r="E73" s="14">
        <v>0</v>
      </c>
      <c r="G73" s="14">
        <v>0</v>
      </c>
      <c r="I73" s="14">
        <v>0</v>
      </c>
      <c r="J73" s="5"/>
      <c r="K73" s="9">
        <v>2023503</v>
      </c>
      <c r="M73" s="9">
        <v>27705018172</v>
      </c>
      <c r="O73" s="9">
        <v>28014767894</v>
      </c>
      <c r="Q73" s="9">
        <v>-309749722</v>
      </c>
    </row>
    <row r="74" spans="1:17" ht="21" x14ac:dyDescent="0.55000000000000004">
      <c r="A74" s="6" t="s">
        <v>53</v>
      </c>
      <c r="C74" s="14">
        <v>0</v>
      </c>
      <c r="E74" s="14">
        <v>0</v>
      </c>
      <c r="G74" s="14">
        <v>0</v>
      </c>
      <c r="I74" s="14">
        <v>0</v>
      </c>
      <c r="J74" s="5"/>
      <c r="K74" s="9">
        <v>21899000</v>
      </c>
      <c r="M74" s="9">
        <v>25118803459</v>
      </c>
      <c r="O74" s="9">
        <v>27791442647</v>
      </c>
      <c r="Q74" s="9">
        <v>-2672639188</v>
      </c>
    </row>
    <row r="75" spans="1:17" ht="21" x14ac:dyDescent="0.55000000000000004">
      <c r="A75" s="6" t="s">
        <v>54</v>
      </c>
      <c r="C75" s="14">
        <v>0</v>
      </c>
      <c r="E75" s="14">
        <v>0</v>
      </c>
      <c r="G75" s="14">
        <v>0</v>
      </c>
      <c r="I75" s="14">
        <v>0</v>
      </c>
      <c r="J75" s="5"/>
      <c r="K75" s="9">
        <v>349096</v>
      </c>
      <c r="M75" s="9">
        <v>2600332320</v>
      </c>
      <c r="O75" s="9">
        <v>2758716302</v>
      </c>
      <c r="Q75" s="9">
        <v>-158383982</v>
      </c>
    </row>
    <row r="76" spans="1:17" ht="21" x14ac:dyDescent="0.55000000000000004">
      <c r="A76" s="6" t="s">
        <v>55</v>
      </c>
      <c r="C76" s="14">
        <v>0</v>
      </c>
      <c r="E76" s="14">
        <v>0</v>
      </c>
      <c r="G76" s="14">
        <v>0</v>
      </c>
      <c r="I76" s="14">
        <v>0</v>
      </c>
      <c r="J76" s="5"/>
      <c r="K76" s="9">
        <v>1362415</v>
      </c>
      <c r="M76" s="9">
        <v>28242166465</v>
      </c>
      <c r="O76" s="9">
        <v>32488941898</v>
      </c>
      <c r="Q76" s="9">
        <v>-4246775433</v>
      </c>
    </row>
    <row r="77" spans="1:17" ht="42" x14ac:dyDescent="0.55000000000000004">
      <c r="A77" s="6" t="s">
        <v>167</v>
      </c>
      <c r="C77" s="14">
        <v>0</v>
      </c>
      <c r="E77" s="14">
        <v>0</v>
      </c>
      <c r="G77" s="14">
        <v>0</v>
      </c>
      <c r="I77" s="14">
        <v>0</v>
      </c>
      <c r="J77" s="5"/>
      <c r="K77" s="9">
        <v>2068936</v>
      </c>
      <c r="M77" s="9">
        <v>38547753846</v>
      </c>
      <c r="O77" s="9">
        <v>34958136251</v>
      </c>
      <c r="Q77" s="9">
        <v>3589617595</v>
      </c>
    </row>
    <row r="78" spans="1:17" ht="21" x14ac:dyDescent="0.55000000000000004">
      <c r="A78" s="6" t="s">
        <v>59</v>
      </c>
      <c r="C78" s="14">
        <v>0</v>
      </c>
      <c r="E78" s="14">
        <v>0</v>
      </c>
      <c r="G78" s="14">
        <v>0</v>
      </c>
      <c r="I78" s="14">
        <v>0</v>
      </c>
      <c r="J78" s="5"/>
      <c r="K78" s="9">
        <v>11602698</v>
      </c>
      <c r="M78" s="9">
        <v>44483135862</v>
      </c>
      <c r="O78" s="9">
        <v>40758977342</v>
      </c>
      <c r="Q78" s="9">
        <v>3724158520</v>
      </c>
    </row>
    <row r="79" spans="1:17" ht="21" x14ac:dyDescent="0.55000000000000004">
      <c r="A79" s="6" t="s">
        <v>60</v>
      </c>
      <c r="C79" s="14">
        <v>0</v>
      </c>
      <c r="E79" s="14">
        <v>0</v>
      </c>
      <c r="G79" s="14">
        <v>0</v>
      </c>
      <c r="I79" s="14">
        <v>0</v>
      </c>
      <c r="J79" s="5"/>
      <c r="K79" s="9">
        <v>2150248</v>
      </c>
      <c r="M79" s="9">
        <v>8981140049</v>
      </c>
      <c r="O79" s="9">
        <v>10091262402</v>
      </c>
      <c r="Q79" s="9">
        <v>-1110122353</v>
      </c>
    </row>
    <row r="80" spans="1:17" ht="21" x14ac:dyDescent="0.55000000000000004">
      <c r="A80" s="6" t="s">
        <v>61</v>
      </c>
      <c r="C80" s="14">
        <v>0</v>
      </c>
      <c r="E80" s="14">
        <v>0</v>
      </c>
      <c r="G80" s="14">
        <v>0</v>
      </c>
      <c r="I80" s="14">
        <v>0</v>
      </c>
      <c r="J80" s="5"/>
      <c r="K80" s="9">
        <v>2127045</v>
      </c>
      <c r="M80" s="9">
        <v>18097878761</v>
      </c>
      <c r="O80" s="9">
        <v>19034523741</v>
      </c>
      <c r="Q80" s="9">
        <v>-936644980</v>
      </c>
    </row>
    <row r="81" spans="1:17" ht="21" x14ac:dyDescent="0.55000000000000004">
      <c r="A81" s="6" t="s">
        <v>62</v>
      </c>
      <c r="C81" s="9">
        <v>402919</v>
      </c>
      <c r="E81" s="9">
        <v>2825395997</v>
      </c>
      <c r="G81" s="9">
        <v>3271505802</v>
      </c>
      <c r="I81" s="9">
        <v>-446109805</v>
      </c>
      <c r="K81" s="9">
        <v>402919</v>
      </c>
      <c r="M81" s="9">
        <v>2825395997</v>
      </c>
      <c r="O81" s="9">
        <v>3271505802</v>
      </c>
      <c r="Q81" s="9">
        <v>-446109805</v>
      </c>
    </row>
    <row r="82" spans="1:17" ht="21" x14ac:dyDescent="0.55000000000000004">
      <c r="A82" s="6" t="s">
        <v>63</v>
      </c>
      <c r="C82" s="14">
        <v>0</v>
      </c>
      <c r="E82" s="14">
        <v>0</v>
      </c>
      <c r="G82" s="14">
        <v>0</v>
      </c>
      <c r="I82" s="14">
        <v>0</v>
      </c>
      <c r="J82" s="5"/>
      <c r="K82" s="9">
        <v>1554845</v>
      </c>
      <c r="M82" s="9">
        <v>11584522316</v>
      </c>
      <c r="O82" s="9">
        <v>18524151603</v>
      </c>
      <c r="Q82" s="9">
        <v>-6939629287</v>
      </c>
    </row>
    <row r="83" spans="1:17" ht="21" x14ac:dyDescent="0.55000000000000004">
      <c r="A83" s="6" t="s">
        <v>65</v>
      </c>
      <c r="C83" s="14">
        <v>0</v>
      </c>
      <c r="E83" s="14">
        <v>0</v>
      </c>
      <c r="G83" s="14">
        <v>0</v>
      </c>
      <c r="I83" s="14">
        <v>0</v>
      </c>
      <c r="J83" s="5"/>
      <c r="K83" s="9">
        <v>3252105</v>
      </c>
      <c r="M83" s="9">
        <v>37310121172</v>
      </c>
      <c r="O83" s="9">
        <v>45080757545</v>
      </c>
      <c r="Q83" s="9">
        <v>-7770636373</v>
      </c>
    </row>
    <row r="84" spans="1:17" ht="21" x14ac:dyDescent="0.55000000000000004">
      <c r="A84" s="6" t="s">
        <v>129</v>
      </c>
      <c r="C84" s="14">
        <v>0</v>
      </c>
      <c r="E84" s="14">
        <v>0</v>
      </c>
      <c r="G84" s="14">
        <v>0</v>
      </c>
      <c r="I84" s="14">
        <v>0</v>
      </c>
      <c r="J84" s="5"/>
      <c r="K84" s="9">
        <v>687000</v>
      </c>
      <c r="M84" s="9">
        <v>17010644331</v>
      </c>
      <c r="O84" s="9">
        <v>14567488941</v>
      </c>
      <c r="Q84" s="9">
        <v>2443155390</v>
      </c>
    </row>
    <row r="85" spans="1:17" ht="21" x14ac:dyDescent="0.55000000000000004">
      <c r="A85" s="6" t="s">
        <v>68</v>
      </c>
      <c r="C85" s="14">
        <v>0</v>
      </c>
      <c r="E85" s="14">
        <v>0</v>
      </c>
      <c r="G85" s="14">
        <v>0</v>
      </c>
      <c r="I85" s="14">
        <v>0</v>
      </c>
      <c r="J85" s="5"/>
      <c r="K85" s="9">
        <v>1131494</v>
      </c>
      <c r="M85" s="9">
        <v>12491844322</v>
      </c>
      <c r="O85" s="9">
        <v>16987710473</v>
      </c>
      <c r="Q85" s="9">
        <v>-4495866151</v>
      </c>
    </row>
    <row r="86" spans="1:17" ht="21" x14ac:dyDescent="0.55000000000000004">
      <c r="A86" s="6" t="s">
        <v>69</v>
      </c>
      <c r="C86" s="14">
        <v>0</v>
      </c>
      <c r="E86" s="14">
        <v>0</v>
      </c>
      <c r="G86" s="14">
        <v>0</v>
      </c>
      <c r="I86" s="14">
        <v>0</v>
      </c>
      <c r="J86" s="5"/>
      <c r="K86" s="9">
        <v>1545202</v>
      </c>
      <c r="M86" s="9">
        <v>17498133570</v>
      </c>
      <c r="O86" s="9">
        <v>20078408812</v>
      </c>
      <c r="Q86" s="9">
        <v>-2580275242</v>
      </c>
    </row>
    <row r="87" spans="1:17" ht="21" x14ac:dyDescent="0.55000000000000004">
      <c r="A87" s="6" t="s">
        <v>70</v>
      </c>
      <c r="C87" s="14">
        <v>0</v>
      </c>
      <c r="E87" s="14">
        <v>0</v>
      </c>
      <c r="G87" s="14">
        <v>0</v>
      </c>
      <c r="I87" s="14">
        <v>0</v>
      </c>
      <c r="J87" s="5"/>
      <c r="K87" s="9">
        <v>9400000</v>
      </c>
      <c r="M87" s="9">
        <v>26188446298</v>
      </c>
      <c r="O87" s="9">
        <v>29106582058</v>
      </c>
      <c r="Q87" s="9">
        <v>-2918135760</v>
      </c>
    </row>
    <row r="88" spans="1:17" ht="21" x14ac:dyDescent="0.55000000000000004">
      <c r="A88" s="6" t="s">
        <v>168</v>
      </c>
      <c r="C88" s="14">
        <v>0</v>
      </c>
      <c r="E88" s="14">
        <v>0</v>
      </c>
      <c r="G88" s="14">
        <v>0</v>
      </c>
      <c r="I88" s="14">
        <v>0</v>
      </c>
      <c r="J88" s="5"/>
      <c r="K88" s="9">
        <v>4017263</v>
      </c>
      <c r="M88" s="9">
        <v>24778418173</v>
      </c>
      <c r="O88" s="9">
        <v>25249458217</v>
      </c>
      <c r="Q88" s="9">
        <v>-471040044</v>
      </c>
    </row>
    <row r="89" spans="1:17" ht="21" x14ac:dyDescent="0.55000000000000004">
      <c r="A89" s="6" t="s">
        <v>72</v>
      </c>
      <c r="C89" s="14">
        <v>0</v>
      </c>
      <c r="E89" s="14">
        <v>0</v>
      </c>
      <c r="G89" s="14">
        <v>0</v>
      </c>
      <c r="I89" s="14">
        <v>0</v>
      </c>
      <c r="J89" s="5"/>
      <c r="K89" s="9">
        <v>554815</v>
      </c>
      <c r="M89" s="9">
        <v>33951935002</v>
      </c>
      <c r="O89" s="9">
        <v>32887608627</v>
      </c>
      <c r="Q89" s="9">
        <v>1064326375</v>
      </c>
    </row>
    <row r="90" spans="1:17" ht="21" x14ac:dyDescent="0.55000000000000004">
      <c r="A90" s="6" t="s">
        <v>73</v>
      </c>
      <c r="C90" s="14">
        <v>0</v>
      </c>
      <c r="E90" s="14">
        <v>0</v>
      </c>
      <c r="G90" s="14">
        <v>0</v>
      </c>
      <c r="I90" s="14">
        <v>0</v>
      </c>
      <c r="J90" s="5"/>
      <c r="K90" s="9">
        <v>374096</v>
      </c>
      <c r="M90" s="9">
        <v>18571814326</v>
      </c>
      <c r="O90" s="9">
        <v>15908047072</v>
      </c>
      <c r="Q90" s="9">
        <v>2663767254</v>
      </c>
    </row>
    <row r="91" spans="1:17" ht="21" x14ac:dyDescent="0.55000000000000004">
      <c r="A91" s="6" t="s">
        <v>74</v>
      </c>
      <c r="C91" s="9">
        <v>320000</v>
      </c>
      <c r="E91" s="9">
        <v>7721234555</v>
      </c>
      <c r="G91" s="9">
        <v>9833943932</v>
      </c>
      <c r="I91" s="9">
        <v>-2112709377</v>
      </c>
      <c r="K91" s="9">
        <v>320000</v>
      </c>
      <c r="M91" s="9">
        <v>7721234555</v>
      </c>
      <c r="O91" s="9">
        <v>9833943932</v>
      </c>
      <c r="Q91" s="9">
        <v>-2112709377</v>
      </c>
    </row>
    <row r="92" spans="1:17" ht="21" x14ac:dyDescent="0.55000000000000004">
      <c r="A92" s="6" t="s">
        <v>75</v>
      </c>
      <c r="C92" s="14">
        <v>0</v>
      </c>
      <c r="E92" s="14">
        <v>0</v>
      </c>
      <c r="G92" s="14">
        <v>0</v>
      </c>
      <c r="I92" s="14">
        <v>0</v>
      </c>
      <c r="J92" s="5"/>
      <c r="K92" s="9">
        <v>243136</v>
      </c>
      <c r="M92" s="9">
        <v>43980333416</v>
      </c>
      <c r="O92" s="9">
        <v>38202724205</v>
      </c>
      <c r="Q92" s="9">
        <v>5777609211</v>
      </c>
    </row>
    <row r="93" spans="1:17" ht="21" x14ac:dyDescent="0.55000000000000004">
      <c r="A93" s="6" t="s">
        <v>219</v>
      </c>
      <c r="C93" s="9"/>
      <c r="E93" s="15">
        <f>SUM(E71:E92)</f>
        <v>30562234780</v>
      </c>
      <c r="G93" s="15">
        <f>SUM(G71:G92)</f>
        <v>31955605935</v>
      </c>
      <c r="I93" s="15">
        <f>SUM(I71:I92)</f>
        <v>2358786681</v>
      </c>
      <c r="K93" s="9"/>
      <c r="M93" s="15">
        <f>SUM(M71:M92)</f>
        <v>1148996601448</v>
      </c>
      <c r="O93" s="15">
        <f>SUM(O71:O92)</f>
        <v>1137867901925</v>
      </c>
      <c r="Q93" s="15">
        <f>SUM(Q71:Q92)</f>
        <v>12427676603</v>
      </c>
    </row>
    <row r="94" spans="1:17" ht="19.899999999999999" customHeight="1" x14ac:dyDescent="0.55000000000000004">
      <c r="A94" s="34" t="s">
        <v>0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</row>
    <row r="95" spans="1:17" ht="19.899999999999999" customHeight="1" x14ac:dyDescent="0.55000000000000004">
      <c r="A95" s="34" t="s">
        <v>94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</row>
    <row r="96" spans="1:17" ht="19.899999999999999" customHeight="1" x14ac:dyDescent="0.55000000000000004">
      <c r="A96" s="34" t="s">
        <v>2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</row>
    <row r="98" spans="1:17" ht="21" x14ac:dyDescent="0.55000000000000004">
      <c r="A98" s="35" t="s">
        <v>152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</row>
    <row r="100" spans="1:17" ht="21" x14ac:dyDescent="0.55000000000000004">
      <c r="C100" s="29" t="s">
        <v>107</v>
      </c>
      <c r="D100" s="30"/>
      <c r="E100" s="30"/>
      <c r="F100" s="30"/>
      <c r="G100" s="30"/>
      <c r="H100" s="30"/>
      <c r="I100" s="30"/>
      <c r="K100" s="29" t="s">
        <v>7</v>
      </c>
      <c r="L100" s="30"/>
      <c r="M100" s="30"/>
      <c r="N100" s="30"/>
      <c r="O100" s="30"/>
      <c r="P100" s="30"/>
      <c r="Q100" s="30"/>
    </row>
    <row r="101" spans="1:17" ht="42" x14ac:dyDescent="0.55000000000000004">
      <c r="A101" s="24" t="s">
        <v>96</v>
      </c>
      <c r="C101" s="17" t="s">
        <v>9</v>
      </c>
      <c r="E101" s="17" t="s">
        <v>11</v>
      </c>
      <c r="G101" s="17" t="s">
        <v>153</v>
      </c>
      <c r="I101" s="17" t="s">
        <v>154</v>
      </c>
      <c r="K101" s="17" t="s">
        <v>9</v>
      </c>
      <c r="M101" s="17" t="s">
        <v>11</v>
      </c>
      <c r="O101" s="17" t="s">
        <v>153</v>
      </c>
      <c r="Q101" s="17" t="s">
        <v>154</v>
      </c>
    </row>
    <row r="102" spans="1:17" ht="21" x14ac:dyDescent="0.55000000000000004">
      <c r="A102" s="6" t="s">
        <v>220</v>
      </c>
      <c r="C102" s="21"/>
      <c r="E102" s="9">
        <f>E93</f>
        <v>30562234780</v>
      </c>
      <c r="F102" s="9"/>
      <c r="G102" s="9">
        <f>G93</f>
        <v>31955605935</v>
      </c>
      <c r="H102" s="9"/>
      <c r="I102" s="9">
        <f>I93</f>
        <v>2358786681</v>
      </c>
      <c r="J102" s="9"/>
      <c r="K102" s="9"/>
      <c r="L102" s="9"/>
      <c r="M102" s="9">
        <f>M93</f>
        <v>1148996601448</v>
      </c>
      <c r="N102" s="9"/>
      <c r="O102" s="9">
        <f>O93</f>
        <v>1137867901925</v>
      </c>
      <c r="P102" s="9"/>
      <c r="Q102" s="9">
        <f>Q93</f>
        <v>12427676603</v>
      </c>
    </row>
    <row r="103" spans="1:17" ht="21" x14ac:dyDescent="0.55000000000000004">
      <c r="A103" s="6" t="s">
        <v>77</v>
      </c>
      <c r="C103" s="14">
        <v>0</v>
      </c>
      <c r="E103" s="14">
        <v>0</v>
      </c>
      <c r="G103" s="14">
        <v>0</v>
      </c>
      <c r="I103" s="14">
        <v>0</v>
      </c>
      <c r="J103" s="5"/>
      <c r="K103" s="9">
        <v>35981</v>
      </c>
      <c r="M103" s="9">
        <v>6752742831</v>
      </c>
      <c r="O103" s="9">
        <v>6189819405</v>
      </c>
      <c r="Q103" s="9">
        <v>562923426</v>
      </c>
    </row>
    <row r="104" spans="1:17" ht="21" x14ac:dyDescent="0.55000000000000004">
      <c r="A104" s="6" t="s">
        <v>78</v>
      </c>
      <c r="C104" s="14">
        <v>0</v>
      </c>
      <c r="E104" s="14">
        <v>0</v>
      </c>
      <c r="G104" s="14">
        <v>0</v>
      </c>
      <c r="I104" s="14">
        <v>0</v>
      </c>
      <c r="J104" s="5"/>
      <c r="K104" s="9">
        <v>411779</v>
      </c>
      <c r="M104" s="9">
        <v>5739357350</v>
      </c>
      <c r="O104" s="9">
        <v>8624118380</v>
      </c>
      <c r="Q104" s="9">
        <v>-2884761030</v>
      </c>
    </row>
    <row r="105" spans="1:17" ht="21" x14ac:dyDescent="0.55000000000000004">
      <c r="A105" s="6" t="s">
        <v>169</v>
      </c>
      <c r="C105" s="14">
        <v>0</v>
      </c>
      <c r="E105" s="14">
        <v>0</v>
      </c>
      <c r="G105" s="14">
        <v>0</v>
      </c>
      <c r="I105" s="14">
        <v>0</v>
      </c>
      <c r="J105" s="5"/>
      <c r="K105" s="9">
        <v>153902</v>
      </c>
      <c r="M105" s="9">
        <v>27573741535</v>
      </c>
      <c r="O105" s="9">
        <v>27892641876</v>
      </c>
      <c r="Q105" s="9">
        <v>-318900341</v>
      </c>
    </row>
    <row r="106" spans="1:17" ht="21" x14ac:dyDescent="0.55000000000000004">
      <c r="A106" s="6" t="s">
        <v>79</v>
      </c>
      <c r="C106" s="9">
        <v>813344</v>
      </c>
      <c r="E106" s="9">
        <v>1325397094</v>
      </c>
      <c r="G106" s="9">
        <v>2823737112</v>
      </c>
      <c r="I106" s="9">
        <v>-1498340018</v>
      </c>
      <c r="K106" s="9">
        <v>813344</v>
      </c>
      <c r="M106" s="9">
        <v>1325397094</v>
      </c>
      <c r="O106" s="9">
        <v>2823737112</v>
      </c>
      <c r="Q106" s="9">
        <v>-1498340018</v>
      </c>
    </row>
    <row r="107" spans="1:17" ht="21" x14ac:dyDescent="0.55000000000000004">
      <c r="A107" s="6" t="s">
        <v>81</v>
      </c>
      <c r="C107" s="9">
        <v>2550000</v>
      </c>
      <c r="E107" s="9">
        <v>4111490254</v>
      </c>
      <c r="G107" s="9">
        <v>4969000429</v>
      </c>
      <c r="I107" s="9">
        <v>-857510175</v>
      </c>
      <c r="K107" s="9">
        <v>14262615</v>
      </c>
      <c r="M107" s="9">
        <v>24542452114</v>
      </c>
      <c r="O107" s="9">
        <v>27783271084</v>
      </c>
      <c r="Q107" s="9">
        <v>-3240818970</v>
      </c>
    </row>
    <row r="108" spans="1:17" ht="21" x14ac:dyDescent="0.55000000000000004">
      <c r="A108" s="6" t="s">
        <v>170</v>
      </c>
      <c r="C108" s="14">
        <v>0</v>
      </c>
      <c r="E108" s="14">
        <v>0</v>
      </c>
      <c r="G108" s="14">
        <v>0</v>
      </c>
      <c r="I108" s="14">
        <v>0</v>
      </c>
      <c r="J108" s="5"/>
      <c r="K108" s="9">
        <v>901</v>
      </c>
      <c r="M108" s="9">
        <v>2321499</v>
      </c>
      <c r="O108" s="9">
        <v>1383949</v>
      </c>
      <c r="Q108" s="9">
        <v>937550</v>
      </c>
    </row>
    <row r="109" spans="1:17" ht="42" x14ac:dyDescent="0.55000000000000004">
      <c r="A109" s="6" t="s">
        <v>139</v>
      </c>
      <c r="C109" s="14">
        <v>0</v>
      </c>
      <c r="E109" s="14">
        <v>0</v>
      </c>
      <c r="G109" s="14">
        <v>0</v>
      </c>
      <c r="I109" s="14">
        <v>0</v>
      </c>
      <c r="J109" s="5"/>
      <c r="K109" s="9">
        <v>800000</v>
      </c>
      <c r="M109" s="9">
        <v>1360258032</v>
      </c>
      <c r="O109" s="9">
        <v>1241016156</v>
      </c>
      <c r="Q109" s="9">
        <v>119241876</v>
      </c>
    </row>
    <row r="110" spans="1:17" ht="21" x14ac:dyDescent="0.55000000000000004">
      <c r="A110" s="6" t="s">
        <v>82</v>
      </c>
      <c r="C110" s="9">
        <v>108071</v>
      </c>
      <c r="E110" s="9">
        <v>108071</v>
      </c>
      <c r="G110" s="9">
        <v>-85814253</v>
      </c>
      <c r="I110" s="9">
        <v>85922324</v>
      </c>
      <c r="K110" s="9">
        <v>108071</v>
      </c>
      <c r="M110" s="9">
        <v>108071</v>
      </c>
      <c r="O110" s="9">
        <v>-85814253</v>
      </c>
      <c r="Q110" s="9">
        <v>85922324</v>
      </c>
    </row>
    <row r="111" spans="1:17" ht="21" x14ac:dyDescent="0.55000000000000004">
      <c r="A111" s="11" t="s">
        <v>84</v>
      </c>
      <c r="C111" s="14"/>
      <c r="E111" s="11">
        <f>SUM(E102:E110)</f>
        <v>35999230199</v>
      </c>
      <c r="G111" s="11">
        <f>SUM(G102:G110)</f>
        <v>39662529223</v>
      </c>
      <c r="I111" s="11">
        <f>SUM(I102:I110)</f>
        <v>88858812</v>
      </c>
      <c r="K111" s="14"/>
      <c r="M111" s="11">
        <f>SUM(M102:M110)</f>
        <v>1216292979974</v>
      </c>
      <c r="O111" s="11">
        <f>SUM(O102:O110)</f>
        <v>1212338075634</v>
      </c>
      <c r="Q111" s="11">
        <f>SUM(Q102:Q110)</f>
        <v>5253881420</v>
      </c>
    </row>
    <row r="112" spans="1:17" ht="21" x14ac:dyDescent="0.55000000000000004">
      <c r="C112" s="14"/>
      <c r="E112" s="13"/>
      <c r="G112" s="13"/>
      <c r="I112" s="13"/>
      <c r="K112" s="14"/>
      <c r="M112" s="13"/>
      <c r="O112" s="13"/>
      <c r="Q112" s="13"/>
    </row>
    <row r="114" spans="1:17" ht="21" x14ac:dyDescent="0.55000000000000004">
      <c r="A114" s="37" t="s">
        <v>171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9"/>
    </row>
  </sheetData>
  <mergeCells count="25">
    <mergeCell ref="A94:Q94"/>
    <mergeCell ref="A95:Q95"/>
    <mergeCell ref="A96:Q96"/>
    <mergeCell ref="A1:Q1"/>
    <mergeCell ref="A2:Q2"/>
    <mergeCell ref="A3:Q3"/>
    <mergeCell ref="A5:Q5"/>
    <mergeCell ref="C7:I7"/>
    <mergeCell ref="K7:Q7"/>
    <mergeCell ref="A98:Q98"/>
    <mergeCell ref="C100:I100"/>
    <mergeCell ref="K100:Q100"/>
    <mergeCell ref="A114:Q114"/>
    <mergeCell ref="A32:Q32"/>
    <mergeCell ref="A33:Q33"/>
    <mergeCell ref="A34:Q34"/>
    <mergeCell ref="A36:Q36"/>
    <mergeCell ref="C38:I38"/>
    <mergeCell ref="K38:Q38"/>
    <mergeCell ref="A63:Q63"/>
    <mergeCell ref="A64:Q64"/>
    <mergeCell ref="A65:Q65"/>
    <mergeCell ref="A67:Q67"/>
    <mergeCell ref="C69:I69"/>
    <mergeCell ref="K69:Q69"/>
  </mergeCells>
  <pageMargins left="0.7" right="0.7" top="0.75" bottom="0.75" header="0.3" footer="0.3"/>
  <pageSetup paperSize="9" scale="79" fitToHeight="0" orientation="landscape" r:id="rId1"/>
  <rowBreaks count="3" manualBreakCount="3">
    <brk id="31" max="16" man="1"/>
    <brk id="62" max="16" man="1"/>
    <brk id="93" max="1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18"/>
  <sheetViews>
    <sheetView rightToLeft="1" view="pageBreakPreview" zoomScale="60" zoomScaleNormal="100" workbookViewId="0">
      <selection activeCell="A12" sqref="A12:A13"/>
    </sheetView>
  </sheetViews>
  <sheetFormatPr defaultColWidth="8.85546875" defaultRowHeight="19.5" x14ac:dyDescent="0.55000000000000004"/>
  <cols>
    <col min="1" max="1" width="30.85546875" style="1" customWidth="1"/>
    <col min="2" max="2" width="1.42578125" style="1" customWidth="1"/>
    <col min="3" max="3" width="14.14062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8.85546875" style="1"/>
  </cols>
  <sheetData>
    <row r="1" spans="1:17" ht="19.899999999999999" customHeight="1" x14ac:dyDescent="0.55000000000000004">
      <c r="A1" s="3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19.899999999999999" customHeight="1" x14ac:dyDescent="0.55000000000000004">
      <c r="A2" s="34" t="s">
        <v>94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19.899999999999999" customHeight="1" x14ac:dyDescent="0.55000000000000004">
      <c r="A3" s="34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5" spans="1:17" ht="21" x14ac:dyDescent="0.55000000000000004">
      <c r="A5" s="35" t="s">
        <v>172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7" spans="1:17" ht="21" x14ac:dyDescent="0.55000000000000004">
      <c r="C7" s="29" t="s">
        <v>107</v>
      </c>
      <c r="D7" s="30"/>
      <c r="E7" s="30"/>
      <c r="F7" s="30"/>
      <c r="G7" s="30"/>
      <c r="H7" s="30"/>
      <c r="I7" s="30"/>
      <c r="K7" s="29" t="s">
        <v>7</v>
      </c>
      <c r="L7" s="30"/>
      <c r="M7" s="30"/>
      <c r="N7" s="30"/>
      <c r="O7" s="30"/>
      <c r="P7" s="30"/>
      <c r="Q7" s="30"/>
    </row>
    <row r="8" spans="1:17" ht="42" x14ac:dyDescent="0.55000000000000004">
      <c r="A8" s="24" t="s">
        <v>96</v>
      </c>
      <c r="C8" s="17" t="s">
        <v>9</v>
      </c>
      <c r="E8" s="17" t="s">
        <v>11</v>
      </c>
      <c r="G8" s="17" t="s">
        <v>153</v>
      </c>
      <c r="I8" s="17" t="s">
        <v>173</v>
      </c>
      <c r="K8" s="17" t="s">
        <v>9</v>
      </c>
      <c r="M8" s="17" t="s">
        <v>11</v>
      </c>
      <c r="O8" s="17" t="s">
        <v>153</v>
      </c>
      <c r="Q8" s="17" t="s">
        <v>173</v>
      </c>
    </row>
    <row r="9" spans="1:17" ht="21" x14ac:dyDescent="0.55000000000000004">
      <c r="A9" s="6" t="s">
        <v>156</v>
      </c>
      <c r="C9" s="21"/>
      <c r="E9" s="21"/>
      <c r="G9" s="21"/>
      <c r="I9" s="9">
        <v>-6099261</v>
      </c>
      <c r="K9" s="21"/>
      <c r="M9" s="21"/>
      <c r="O9" s="21"/>
      <c r="Q9" s="9">
        <v>0</v>
      </c>
    </row>
    <row r="10" spans="1:17" ht="21" x14ac:dyDescent="0.55000000000000004">
      <c r="A10" s="6" t="s">
        <v>157</v>
      </c>
      <c r="C10" s="21"/>
      <c r="E10" s="21"/>
      <c r="G10" s="21"/>
      <c r="I10" s="9">
        <v>115978627</v>
      </c>
      <c r="K10" s="21"/>
      <c r="M10" s="21"/>
      <c r="O10" s="21"/>
      <c r="Q10" s="9">
        <v>0</v>
      </c>
    </row>
    <row r="11" spans="1:17" ht="21" x14ac:dyDescent="0.55000000000000004">
      <c r="A11" s="6" t="s">
        <v>23</v>
      </c>
      <c r="C11" s="21"/>
      <c r="E11" s="21"/>
      <c r="G11" s="21"/>
      <c r="I11" s="9">
        <v>589170241</v>
      </c>
      <c r="K11" s="21"/>
      <c r="M11" s="21"/>
      <c r="O11" s="21"/>
      <c r="Q11" s="9">
        <v>589170241</v>
      </c>
    </row>
    <row r="12" spans="1:17" ht="21" x14ac:dyDescent="0.55000000000000004">
      <c r="A12" s="6" t="s">
        <v>24</v>
      </c>
      <c r="C12" s="21"/>
      <c r="E12" s="21"/>
      <c r="G12" s="21"/>
      <c r="I12" s="9">
        <v>-84678189</v>
      </c>
      <c r="K12" s="21"/>
      <c r="M12" s="21"/>
      <c r="O12" s="21"/>
      <c r="Q12" s="9">
        <v>-84678189</v>
      </c>
    </row>
    <row r="13" spans="1:17" ht="21" x14ac:dyDescent="0.55000000000000004">
      <c r="A13" s="6" t="s">
        <v>25</v>
      </c>
      <c r="C13" s="21"/>
      <c r="E13" s="21"/>
      <c r="G13" s="21"/>
      <c r="I13" s="9">
        <v>7698018</v>
      </c>
      <c r="K13" s="21"/>
      <c r="M13" s="21"/>
      <c r="O13" s="21"/>
      <c r="Q13" s="9">
        <v>7698018</v>
      </c>
    </row>
    <row r="14" spans="1:17" ht="21" x14ac:dyDescent="0.55000000000000004">
      <c r="A14" s="6" t="s">
        <v>26</v>
      </c>
      <c r="C14" s="21"/>
      <c r="E14" s="21"/>
      <c r="G14" s="21"/>
      <c r="I14" s="9">
        <v>226447850</v>
      </c>
      <c r="K14" s="21"/>
      <c r="M14" s="21"/>
      <c r="O14" s="21"/>
      <c r="Q14" s="9">
        <v>226447850</v>
      </c>
    </row>
    <row r="15" spans="1:17" ht="21" x14ac:dyDescent="0.55000000000000004">
      <c r="A15" s="6" t="s">
        <v>226</v>
      </c>
      <c r="C15" s="21"/>
      <c r="E15" s="21"/>
      <c r="G15" s="21"/>
      <c r="I15" s="9">
        <v>0</v>
      </c>
      <c r="K15" s="21"/>
      <c r="M15" s="21"/>
      <c r="O15" s="21"/>
      <c r="Q15" s="9">
        <v>-29992275</v>
      </c>
    </row>
    <row r="16" spans="1:17" ht="21" x14ac:dyDescent="0.55000000000000004">
      <c r="A16" s="6" t="s">
        <v>225</v>
      </c>
      <c r="C16" s="21"/>
      <c r="E16" s="21"/>
      <c r="G16" s="21"/>
      <c r="I16" s="14">
        <v>736422913</v>
      </c>
      <c r="K16" s="21"/>
      <c r="M16" s="21"/>
      <c r="O16" s="21"/>
      <c r="Q16" s="9">
        <v>45432298</v>
      </c>
    </row>
    <row r="17" spans="1:17" ht="21" x14ac:dyDescent="0.55000000000000004">
      <c r="A17" s="6" t="s">
        <v>158</v>
      </c>
      <c r="C17" s="21"/>
      <c r="E17" s="21"/>
      <c r="G17" s="21"/>
      <c r="I17" s="9">
        <v>0</v>
      </c>
      <c r="K17" s="21"/>
      <c r="M17" s="21"/>
      <c r="O17" s="21"/>
      <c r="Q17" s="9">
        <v>-24793613</v>
      </c>
    </row>
    <row r="18" spans="1:17" ht="21" x14ac:dyDescent="0.55000000000000004">
      <c r="A18" s="6" t="s">
        <v>30</v>
      </c>
      <c r="C18" s="21"/>
      <c r="E18" s="21"/>
      <c r="G18" s="21"/>
      <c r="I18" s="14">
        <v>65029613</v>
      </c>
      <c r="K18" s="21"/>
      <c r="M18" s="21"/>
      <c r="O18" s="21"/>
      <c r="Q18" s="9">
        <v>65029613</v>
      </c>
    </row>
    <row r="19" spans="1:17" ht="21" x14ac:dyDescent="0.55000000000000004">
      <c r="A19" s="6" t="s">
        <v>31</v>
      </c>
      <c r="C19" s="21"/>
      <c r="E19" s="21"/>
      <c r="G19" s="21"/>
      <c r="I19" s="14">
        <v>-999743</v>
      </c>
      <c r="K19" s="21"/>
      <c r="M19" s="21"/>
      <c r="O19" s="21"/>
      <c r="Q19" s="9">
        <v>-999743</v>
      </c>
    </row>
    <row r="20" spans="1:17" ht="21" x14ac:dyDescent="0.55000000000000004">
      <c r="A20" s="6" t="s">
        <v>32</v>
      </c>
      <c r="C20" s="21"/>
      <c r="E20" s="21"/>
      <c r="G20" s="21"/>
      <c r="I20" s="14">
        <v>-29213888</v>
      </c>
      <c r="K20" s="21"/>
      <c r="M20" s="21"/>
      <c r="O20" s="21"/>
      <c r="Q20" s="9">
        <v>22366239</v>
      </c>
    </row>
    <row r="21" spans="1:17" ht="21" x14ac:dyDescent="0.55000000000000004">
      <c r="A21" s="6" t="s">
        <v>229</v>
      </c>
      <c r="C21" s="21"/>
      <c r="E21" s="21"/>
      <c r="G21" s="21"/>
      <c r="I21" s="14">
        <v>99974250</v>
      </c>
      <c r="K21" s="21"/>
      <c r="M21" s="21"/>
      <c r="O21" s="21"/>
      <c r="Q21" s="9">
        <v>99974250</v>
      </c>
    </row>
    <row r="22" spans="1:17" ht="21" x14ac:dyDescent="0.55000000000000004">
      <c r="A22" s="6" t="s">
        <v>230</v>
      </c>
      <c r="C22" s="21"/>
      <c r="E22" s="21"/>
      <c r="G22" s="21"/>
      <c r="I22" s="14">
        <v>175083688</v>
      </c>
      <c r="K22" s="21"/>
      <c r="M22" s="21"/>
      <c r="O22" s="21"/>
      <c r="Q22" s="9">
        <v>175083688</v>
      </c>
    </row>
    <row r="23" spans="1:17" ht="21" x14ac:dyDescent="0.55000000000000004">
      <c r="A23" s="6" t="s">
        <v>34</v>
      </c>
      <c r="C23" s="21"/>
      <c r="E23" s="21"/>
      <c r="G23" s="21"/>
      <c r="I23" s="19">
        <v>-1843270500</v>
      </c>
      <c r="K23" s="21"/>
      <c r="M23" s="21"/>
      <c r="O23" s="21"/>
      <c r="Q23" s="9">
        <v>0</v>
      </c>
    </row>
    <row r="24" spans="1:17" ht="21" x14ac:dyDescent="0.55000000000000004">
      <c r="A24" s="6" t="s">
        <v>36</v>
      </c>
      <c r="C24" s="21"/>
      <c r="E24" s="21"/>
      <c r="G24" s="21"/>
      <c r="I24" s="19">
        <v>40596729</v>
      </c>
      <c r="K24" s="21"/>
      <c r="M24" s="21"/>
      <c r="O24" s="21"/>
      <c r="Q24" s="9">
        <v>53354258</v>
      </c>
    </row>
    <row r="25" spans="1:17" ht="21" x14ac:dyDescent="0.55000000000000004">
      <c r="A25" s="6" t="s">
        <v>35</v>
      </c>
      <c r="C25" s="21"/>
      <c r="E25" s="21"/>
      <c r="G25" s="21"/>
      <c r="I25" s="19">
        <v>-3590076</v>
      </c>
      <c r="K25" s="21"/>
      <c r="M25" s="21"/>
      <c r="O25" s="21"/>
      <c r="Q25" s="9">
        <v>-3590076</v>
      </c>
    </row>
    <row r="26" spans="1:17" ht="21" x14ac:dyDescent="0.55000000000000004">
      <c r="A26" s="6" t="s">
        <v>37</v>
      </c>
      <c r="C26" s="21"/>
      <c r="E26" s="21"/>
      <c r="G26" s="21"/>
      <c r="I26" s="19">
        <v>115313905</v>
      </c>
      <c r="K26" s="21"/>
      <c r="M26" s="21"/>
      <c r="O26" s="21"/>
      <c r="Q26" s="9">
        <v>115313905</v>
      </c>
    </row>
    <row r="27" spans="1:17" ht="21" x14ac:dyDescent="0.55000000000000004">
      <c r="A27" s="6" t="s">
        <v>27</v>
      </c>
      <c r="C27" s="21"/>
      <c r="E27" s="21"/>
      <c r="G27" s="21"/>
      <c r="I27" s="19">
        <v>6765017</v>
      </c>
      <c r="K27" s="21"/>
      <c r="M27" s="21"/>
      <c r="O27" s="21"/>
      <c r="Q27" s="9">
        <v>11996910</v>
      </c>
    </row>
    <row r="28" spans="1:17" ht="21" x14ac:dyDescent="0.55000000000000004">
      <c r="A28" s="6" t="s">
        <v>29</v>
      </c>
      <c r="C28" s="21"/>
      <c r="E28" s="21"/>
      <c r="G28" s="21"/>
      <c r="I28" s="19">
        <v>-76067574</v>
      </c>
      <c r="K28" s="21"/>
      <c r="M28" s="21"/>
      <c r="O28" s="21"/>
      <c r="Q28" s="9">
        <v>0</v>
      </c>
    </row>
    <row r="29" spans="1:17" ht="21" x14ac:dyDescent="0.55000000000000004">
      <c r="A29" s="6" t="s">
        <v>160</v>
      </c>
      <c r="C29" s="21"/>
      <c r="E29" s="21"/>
      <c r="G29" s="21"/>
      <c r="I29" s="19">
        <v>0</v>
      </c>
      <c r="K29" s="21"/>
      <c r="M29" s="21"/>
      <c r="O29" s="21"/>
      <c r="Q29" s="9">
        <v>5339838</v>
      </c>
    </row>
    <row r="30" spans="1:17" ht="21" x14ac:dyDescent="0.55000000000000004">
      <c r="A30" s="6" t="s">
        <v>18</v>
      </c>
      <c r="C30" s="21"/>
      <c r="E30" s="21"/>
      <c r="G30" s="21"/>
      <c r="I30" s="19">
        <v>464207473</v>
      </c>
      <c r="K30" s="21"/>
      <c r="M30" s="21"/>
      <c r="O30" s="21"/>
      <c r="Q30" s="9">
        <v>464207473</v>
      </c>
    </row>
    <row r="31" spans="1:17" ht="21" x14ac:dyDescent="0.55000000000000004">
      <c r="A31" s="6" t="s">
        <v>155</v>
      </c>
      <c r="C31" s="21"/>
      <c r="E31" s="21"/>
      <c r="G31" s="21"/>
      <c r="I31" s="19">
        <v>0</v>
      </c>
      <c r="K31" s="21"/>
      <c r="M31" s="21"/>
      <c r="O31" s="21"/>
      <c r="Q31" s="9">
        <v>-27640881</v>
      </c>
    </row>
    <row r="32" spans="1:17" ht="21" x14ac:dyDescent="0.55000000000000004">
      <c r="A32" s="6" t="s">
        <v>219</v>
      </c>
      <c r="C32" s="9"/>
      <c r="D32" s="9"/>
      <c r="E32" s="15">
        <f>SUM(E9:E31)</f>
        <v>0</v>
      </c>
      <c r="F32" s="9"/>
      <c r="G32" s="15">
        <f>SUM(G9:G31)</f>
        <v>0</v>
      </c>
      <c r="H32" s="9"/>
      <c r="I32" s="15">
        <f>SUM(I9:I31)</f>
        <v>598769093</v>
      </c>
      <c r="J32" s="9"/>
      <c r="K32" s="9"/>
      <c r="L32" s="9"/>
      <c r="M32" s="15">
        <f>SUM(M9:M31)</f>
        <v>0</v>
      </c>
      <c r="N32" s="9"/>
      <c r="O32" s="15">
        <f>SUM(O9:O31)</f>
        <v>0</v>
      </c>
      <c r="P32" s="9"/>
      <c r="Q32" s="15">
        <f>SUM(Q9:Q31)</f>
        <v>1709719804</v>
      </c>
    </row>
    <row r="33" spans="1:17" ht="19.899999999999999" customHeight="1" x14ac:dyDescent="0.55000000000000004">
      <c r="A33" s="34" t="s">
        <v>0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9.899999999999999" customHeight="1" x14ac:dyDescent="0.55000000000000004">
      <c r="A34" s="34" t="s">
        <v>94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9.899999999999999" customHeight="1" x14ac:dyDescent="0.55000000000000004">
      <c r="A35" s="34" t="s">
        <v>2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7" spans="1:17" ht="21" x14ac:dyDescent="0.55000000000000004">
      <c r="A37" s="35" t="s">
        <v>172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9" spans="1:17" ht="21" x14ac:dyDescent="0.55000000000000004">
      <c r="C39" s="29" t="s">
        <v>107</v>
      </c>
      <c r="D39" s="30"/>
      <c r="E39" s="30"/>
      <c r="F39" s="30"/>
      <c r="G39" s="30"/>
      <c r="H39" s="30"/>
      <c r="I39" s="30"/>
      <c r="K39" s="29" t="s">
        <v>7</v>
      </c>
      <c r="L39" s="30"/>
      <c r="M39" s="30"/>
      <c r="N39" s="30"/>
      <c r="O39" s="30"/>
      <c r="P39" s="30"/>
      <c r="Q39" s="30"/>
    </row>
    <row r="40" spans="1:17" ht="42" x14ac:dyDescent="0.55000000000000004">
      <c r="A40" s="24" t="s">
        <v>96</v>
      </c>
      <c r="C40" s="17" t="s">
        <v>9</v>
      </c>
      <c r="E40" s="17" t="s">
        <v>11</v>
      </c>
      <c r="G40" s="17" t="s">
        <v>153</v>
      </c>
      <c r="I40" s="17" t="s">
        <v>173</v>
      </c>
      <c r="K40" s="17" t="s">
        <v>9</v>
      </c>
      <c r="M40" s="17" t="s">
        <v>11</v>
      </c>
      <c r="O40" s="17" t="s">
        <v>153</v>
      </c>
      <c r="Q40" s="17" t="s">
        <v>173</v>
      </c>
    </row>
    <row r="41" spans="1:17" ht="21" x14ac:dyDescent="0.55000000000000004">
      <c r="A41" s="6" t="s">
        <v>220</v>
      </c>
      <c r="C41" s="9"/>
      <c r="D41" s="9"/>
      <c r="E41" s="9">
        <f>E32</f>
        <v>0</v>
      </c>
      <c r="F41" s="9"/>
      <c r="G41" s="9">
        <f>G32</f>
        <v>0</v>
      </c>
      <c r="H41" s="9"/>
      <c r="I41" s="9">
        <f>I32</f>
        <v>598769093</v>
      </c>
      <c r="J41" s="9"/>
      <c r="K41" s="9"/>
      <c r="L41" s="9"/>
      <c r="M41" s="9">
        <f>M32</f>
        <v>0</v>
      </c>
      <c r="N41" s="9"/>
      <c r="O41" s="9">
        <f>O32</f>
        <v>0</v>
      </c>
      <c r="P41" s="9"/>
      <c r="Q41" s="9">
        <f>Q32</f>
        <v>1709719804</v>
      </c>
    </row>
    <row r="42" spans="1:17" ht="21" x14ac:dyDescent="0.55000000000000004">
      <c r="A42" s="6" t="s">
        <v>19</v>
      </c>
      <c r="C42" s="21"/>
      <c r="E42" s="21"/>
      <c r="G42" s="21"/>
      <c r="I42" s="19">
        <v>5440598</v>
      </c>
      <c r="K42" s="21"/>
      <c r="M42" s="21"/>
      <c r="O42" s="21"/>
      <c r="Q42" s="9">
        <v>5440598</v>
      </c>
    </row>
    <row r="43" spans="1:17" ht="21" x14ac:dyDescent="0.55000000000000004">
      <c r="A43" s="6" t="s">
        <v>20</v>
      </c>
      <c r="C43" s="21"/>
      <c r="E43" s="21"/>
      <c r="G43" s="21"/>
      <c r="I43" s="19">
        <v>7738007</v>
      </c>
      <c r="K43" s="21"/>
      <c r="M43" s="21"/>
      <c r="O43" s="21"/>
      <c r="Q43" s="9">
        <v>7738007</v>
      </c>
    </row>
    <row r="44" spans="1:17" ht="21" x14ac:dyDescent="0.55000000000000004">
      <c r="A44" s="6" t="s">
        <v>21</v>
      </c>
      <c r="C44" s="21"/>
      <c r="E44" s="21"/>
      <c r="G44" s="21"/>
      <c r="I44" s="19">
        <v>-67046587</v>
      </c>
      <c r="K44" s="21"/>
      <c r="M44" s="21"/>
      <c r="O44" s="21"/>
      <c r="Q44" s="9">
        <v>-1779542</v>
      </c>
    </row>
    <row r="45" spans="1:17" ht="21" x14ac:dyDescent="0.55000000000000004">
      <c r="A45" s="6" t="s">
        <v>22</v>
      </c>
      <c r="C45" s="21"/>
      <c r="E45" s="21"/>
      <c r="G45" s="21"/>
      <c r="I45" s="19">
        <v>8787737</v>
      </c>
      <c r="K45" s="21"/>
      <c r="M45" s="21"/>
      <c r="O45" s="21"/>
      <c r="Q45" s="9">
        <v>8787737</v>
      </c>
    </row>
    <row r="46" spans="1:17" ht="21" x14ac:dyDescent="0.55000000000000004">
      <c r="A46" s="6" t="s">
        <v>28</v>
      </c>
      <c r="C46" s="21"/>
      <c r="E46" s="21"/>
      <c r="G46" s="21"/>
      <c r="I46" s="19">
        <v>-86955785</v>
      </c>
      <c r="K46" s="21"/>
      <c r="M46" s="21"/>
      <c r="O46" s="21"/>
      <c r="Q46" s="9">
        <v>44988</v>
      </c>
    </row>
    <row r="47" spans="1:17" ht="21" x14ac:dyDescent="0.55000000000000004">
      <c r="A47" s="6" t="s">
        <v>228</v>
      </c>
      <c r="C47" s="21"/>
      <c r="E47" s="21"/>
      <c r="G47" s="21"/>
      <c r="I47" s="19">
        <v>0</v>
      </c>
      <c r="K47" s="21"/>
      <c r="M47" s="21"/>
      <c r="O47" s="21"/>
      <c r="Q47" s="9">
        <v>-5833792</v>
      </c>
    </row>
    <row r="48" spans="1:17" ht="21" x14ac:dyDescent="0.55000000000000004">
      <c r="A48" s="6" t="s">
        <v>231</v>
      </c>
      <c r="C48" s="21"/>
      <c r="E48" s="21"/>
      <c r="G48" s="21"/>
      <c r="I48" s="19">
        <v>17377524</v>
      </c>
      <c r="K48" s="21"/>
      <c r="M48" s="21"/>
      <c r="O48" s="21"/>
      <c r="Q48" s="9">
        <v>17377524</v>
      </c>
    </row>
    <row r="49" spans="1:17" ht="21" x14ac:dyDescent="0.55000000000000004">
      <c r="A49" s="6" t="s">
        <v>17</v>
      </c>
      <c r="C49" s="9">
        <v>467651</v>
      </c>
      <c r="E49" s="9">
        <v>2598614784</v>
      </c>
      <c r="G49" s="9">
        <v>2635804262</v>
      </c>
      <c r="I49" s="9">
        <v>-37189478</v>
      </c>
      <c r="K49" s="9">
        <v>467651</v>
      </c>
      <c r="M49" s="9">
        <v>2598614784</v>
      </c>
      <c r="O49" s="9">
        <v>2921674505</v>
      </c>
      <c r="Q49" s="9">
        <v>-323059721</v>
      </c>
    </row>
    <row r="50" spans="1:17" ht="21" x14ac:dyDescent="0.55000000000000004">
      <c r="A50" s="6" t="s">
        <v>39</v>
      </c>
      <c r="C50" s="9">
        <v>2000000</v>
      </c>
      <c r="E50" s="9">
        <v>7099505100</v>
      </c>
      <c r="G50" s="9">
        <v>7588577700</v>
      </c>
      <c r="I50" s="9">
        <v>-489072600</v>
      </c>
      <c r="K50" s="9">
        <v>2000000</v>
      </c>
      <c r="M50" s="9">
        <v>7099505100</v>
      </c>
      <c r="O50" s="9">
        <v>8799272430</v>
      </c>
      <c r="Q50" s="9">
        <v>-1699767330</v>
      </c>
    </row>
    <row r="51" spans="1:17" ht="21" x14ac:dyDescent="0.55000000000000004">
      <c r="A51" s="6" t="s">
        <v>40</v>
      </c>
      <c r="C51" s="9">
        <v>0</v>
      </c>
      <c r="E51" s="9">
        <v>0</v>
      </c>
      <c r="G51" s="9">
        <v>906914594</v>
      </c>
      <c r="I51" s="9">
        <v>-906914594</v>
      </c>
      <c r="K51" s="9">
        <v>0</v>
      </c>
      <c r="L51" s="9"/>
      <c r="M51" s="9">
        <v>0</v>
      </c>
      <c r="N51" s="9"/>
      <c r="O51" s="9">
        <v>0</v>
      </c>
      <c r="P51" s="9"/>
      <c r="Q51" s="9">
        <v>0</v>
      </c>
    </row>
    <row r="52" spans="1:17" ht="21" x14ac:dyDescent="0.55000000000000004">
      <c r="A52" s="6" t="s">
        <v>41</v>
      </c>
      <c r="C52" s="9">
        <v>7726948</v>
      </c>
      <c r="E52" s="9">
        <v>16652348726</v>
      </c>
      <c r="G52" s="9">
        <v>19663290008</v>
      </c>
      <c r="I52" s="9">
        <v>-3010941282</v>
      </c>
      <c r="K52" s="9">
        <v>7726948</v>
      </c>
      <c r="M52" s="9">
        <v>16652348726</v>
      </c>
      <c r="O52" s="9">
        <v>21475999556</v>
      </c>
      <c r="Q52" s="9">
        <v>-4823650830</v>
      </c>
    </row>
    <row r="53" spans="1:17" ht="21" x14ac:dyDescent="0.55000000000000004">
      <c r="A53" s="6" t="s">
        <v>42</v>
      </c>
      <c r="C53" s="9">
        <v>10000000</v>
      </c>
      <c r="E53" s="9">
        <v>13449496500</v>
      </c>
      <c r="G53" s="9">
        <v>13946521500</v>
      </c>
      <c r="I53" s="9">
        <v>-497025000</v>
      </c>
      <c r="K53" s="9">
        <v>10000000</v>
      </c>
      <c r="M53" s="9">
        <v>13449496500</v>
      </c>
      <c r="O53" s="9">
        <v>16209642000</v>
      </c>
      <c r="Q53" s="9">
        <v>-2760145500</v>
      </c>
    </row>
    <row r="54" spans="1:17" ht="21" x14ac:dyDescent="0.55000000000000004">
      <c r="A54" s="6" t="s">
        <v>43</v>
      </c>
      <c r="C54" s="9">
        <v>1339175</v>
      </c>
      <c r="E54" s="9">
        <v>2063370709</v>
      </c>
      <c r="G54" s="9">
        <v>2180516917</v>
      </c>
      <c r="I54" s="9">
        <v>-117146208</v>
      </c>
      <c r="K54" s="9">
        <v>1339175</v>
      </c>
      <c r="M54" s="9">
        <v>2063370709</v>
      </c>
      <c r="O54" s="9">
        <v>2433942959</v>
      </c>
      <c r="Q54" s="9">
        <v>-370572250</v>
      </c>
    </row>
    <row r="55" spans="1:17" ht="21" x14ac:dyDescent="0.55000000000000004">
      <c r="A55" s="6" t="s">
        <v>44</v>
      </c>
      <c r="C55" s="9">
        <v>13300000</v>
      </c>
      <c r="E55" s="9">
        <v>24498262845</v>
      </c>
      <c r="G55" s="9">
        <v>28028233800</v>
      </c>
      <c r="I55" s="9">
        <v>-3529970955</v>
      </c>
      <c r="K55" s="9">
        <v>13300000</v>
      </c>
      <c r="M55" s="9">
        <v>24498262845</v>
      </c>
      <c r="O55" s="9">
        <v>31612332574</v>
      </c>
      <c r="Q55" s="9">
        <v>-7114069729</v>
      </c>
    </row>
    <row r="56" spans="1:17" ht="21" x14ac:dyDescent="0.55000000000000004">
      <c r="A56" s="6" t="s">
        <v>45</v>
      </c>
      <c r="C56" s="9">
        <v>4500000</v>
      </c>
      <c r="E56" s="9">
        <v>10096068825</v>
      </c>
      <c r="G56" s="9">
        <v>8929347357</v>
      </c>
      <c r="I56" s="9">
        <v>1166721468</v>
      </c>
      <c r="K56" s="9">
        <v>4500000</v>
      </c>
      <c r="M56" s="9">
        <v>10096068825</v>
      </c>
      <c r="O56" s="9">
        <v>9322991157</v>
      </c>
      <c r="Q56" s="9">
        <v>773077668</v>
      </c>
    </row>
    <row r="57" spans="1:17" ht="21" x14ac:dyDescent="0.55000000000000004">
      <c r="A57" s="6" t="s">
        <v>46</v>
      </c>
      <c r="C57" s="9">
        <v>1650000</v>
      </c>
      <c r="E57" s="9">
        <v>3290206095</v>
      </c>
      <c r="G57" s="9">
        <v>3590359492</v>
      </c>
      <c r="I57" s="9">
        <v>-300153397</v>
      </c>
      <c r="K57" s="9">
        <v>1650000</v>
      </c>
      <c r="M57" s="9">
        <v>3290206095</v>
      </c>
      <c r="O57" s="9">
        <v>3940903732</v>
      </c>
      <c r="Q57" s="9">
        <v>-650697637</v>
      </c>
    </row>
    <row r="58" spans="1:17" ht="21" x14ac:dyDescent="0.55000000000000004">
      <c r="A58" s="6" t="s">
        <v>47</v>
      </c>
      <c r="C58" s="9">
        <v>3833971</v>
      </c>
      <c r="E58" s="9">
        <v>19551245016</v>
      </c>
      <c r="G58" s="9">
        <v>17938510314</v>
      </c>
      <c r="I58" s="9">
        <v>1612734702</v>
      </c>
      <c r="K58" s="9">
        <v>3833971</v>
      </c>
      <c r="M58" s="9">
        <v>19551245016</v>
      </c>
      <c r="O58" s="9">
        <v>26368486739</v>
      </c>
      <c r="Q58" s="9">
        <v>-6817241723</v>
      </c>
    </row>
    <row r="59" spans="1:17" ht="21" x14ac:dyDescent="0.55000000000000004">
      <c r="A59" s="6" t="s">
        <v>48</v>
      </c>
      <c r="C59" s="9">
        <v>0</v>
      </c>
      <c r="E59" s="9">
        <v>0</v>
      </c>
      <c r="G59" s="9">
        <v>-121112802</v>
      </c>
      <c r="I59" s="9">
        <v>121112802</v>
      </c>
      <c r="K59" s="9">
        <v>0</v>
      </c>
      <c r="L59" s="9"/>
      <c r="M59" s="9">
        <v>0</v>
      </c>
      <c r="N59" s="9"/>
      <c r="O59" s="9">
        <v>0</v>
      </c>
      <c r="P59" s="9"/>
      <c r="Q59" s="9">
        <v>0</v>
      </c>
    </row>
    <row r="60" spans="1:17" ht="21" x14ac:dyDescent="0.55000000000000004">
      <c r="A60" s="6" t="s">
        <v>49</v>
      </c>
      <c r="C60" s="9">
        <v>5800000</v>
      </c>
      <c r="E60" s="9">
        <v>15451513200</v>
      </c>
      <c r="G60" s="9">
        <v>15895455930</v>
      </c>
      <c r="I60" s="9">
        <v>-443942730</v>
      </c>
      <c r="K60" s="9">
        <v>5800000</v>
      </c>
      <c r="M60" s="9">
        <v>15451513200</v>
      </c>
      <c r="O60" s="9">
        <v>19932971742</v>
      </c>
      <c r="Q60" s="9">
        <v>-4481458542</v>
      </c>
    </row>
    <row r="61" spans="1:17" ht="21" x14ac:dyDescent="0.55000000000000004">
      <c r="A61" s="6" t="s">
        <v>50</v>
      </c>
      <c r="C61" s="9">
        <v>310000</v>
      </c>
      <c r="E61" s="9">
        <v>6135376005</v>
      </c>
      <c r="G61" s="9">
        <v>6163110000</v>
      </c>
      <c r="I61" s="9">
        <v>-27733995</v>
      </c>
      <c r="K61" s="9">
        <v>310000</v>
      </c>
      <c r="M61" s="9">
        <v>6135376005</v>
      </c>
      <c r="O61" s="9">
        <v>7981854649</v>
      </c>
      <c r="Q61" s="9">
        <v>-1846478644</v>
      </c>
    </row>
    <row r="62" spans="1:17" ht="21" x14ac:dyDescent="0.55000000000000004">
      <c r="A62" s="6" t="s">
        <v>51</v>
      </c>
      <c r="C62" s="9">
        <v>10900000</v>
      </c>
      <c r="E62" s="9">
        <v>3965663070</v>
      </c>
      <c r="G62" s="9">
        <v>4594101480</v>
      </c>
      <c r="I62" s="9">
        <v>-628438410</v>
      </c>
      <c r="K62" s="9">
        <v>10900000</v>
      </c>
      <c r="M62" s="9">
        <v>3965663070</v>
      </c>
      <c r="O62" s="9">
        <v>4983019745</v>
      </c>
      <c r="Q62" s="9">
        <v>-1017356675</v>
      </c>
    </row>
    <row r="63" spans="1:17" ht="21" x14ac:dyDescent="0.55000000000000004">
      <c r="A63" s="6" t="s">
        <v>52</v>
      </c>
      <c r="C63" s="9">
        <v>6600000</v>
      </c>
      <c r="E63" s="9">
        <v>14059644390</v>
      </c>
      <c r="G63" s="9">
        <v>15909770250</v>
      </c>
      <c r="I63" s="9">
        <v>-1850125860</v>
      </c>
      <c r="K63" s="9">
        <v>6600000</v>
      </c>
      <c r="M63" s="9">
        <v>14059644390</v>
      </c>
      <c r="O63" s="9">
        <v>16959487050</v>
      </c>
      <c r="Q63" s="9">
        <v>-2899842660</v>
      </c>
    </row>
    <row r="64" spans="1:17" ht="21" x14ac:dyDescent="0.55000000000000004">
      <c r="A64" s="6" t="s">
        <v>219</v>
      </c>
      <c r="C64" s="9"/>
      <c r="D64" s="9"/>
      <c r="E64" s="15">
        <f>SUM(E41:E63)</f>
        <v>138911315265</v>
      </c>
      <c r="F64" s="9"/>
      <c r="G64" s="15">
        <f>SUM(G41:G63)</f>
        <v>147849400802</v>
      </c>
      <c r="H64" s="9"/>
      <c r="I64" s="15">
        <f>SUM(I41:I63)</f>
        <v>-8453974950</v>
      </c>
      <c r="J64" s="9"/>
      <c r="K64" s="9"/>
      <c r="L64" s="9"/>
      <c r="M64" s="15">
        <f>SUM(M41:M63)</f>
        <v>138911315265</v>
      </c>
      <c r="N64" s="9"/>
      <c r="O64" s="15">
        <f>SUM(O41:O63)</f>
        <v>172942578838</v>
      </c>
      <c r="P64" s="9"/>
      <c r="Q64" s="15">
        <f>SUM(Q41:Q63)</f>
        <v>-32289768249</v>
      </c>
    </row>
    <row r="65" spans="1:17" ht="19.899999999999999" customHeight="1" x14ac:dyDescent="0.55000000000000004">
      <c r="A65" s="34" t="s">
        <v>0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spans="1:17" ht="19.899999999999999" customHeight="1" x14ac:dyDescent="0.55000000000000004">
      <c r="A66" s="34" t="s">
        <v>94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spans="1:17" ht="19.899999999999999" customHeight="1" x14ac:dyDescent="0.55000000000000004">
      <c r="A67" s="34" t="s">
        <v>2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9" spans="1:17" ht="21" x14ac:dyDescent="0.55000000000000004">
      <c r="A69" s="35" t="s">
        <v>172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</row>
    <row r="71" spans="1:17" ht="21" x14ac:dyDescent="0.55000000000000004">
      <c r="C71" s="29" t="s">
        <v>107</v>
      </c>
      <c r="D71" s="30"/>
      <c r="E71" s="30"/>
      <c r="F71" s="30"/>
      <c r="G71" s="30"/>
      <c r="H71" s="30"/>
      <c r="I71" s="30"/>
      <c r="K71" s="29" t="s">
        <v>7</v>
      </c>
      <c r="L71" s="30"/>
      <c r="M71" s="30"/>
      <c r="N71" s="30"/>
      <c r="O71" s="30"/>
      <c r="P71" s="30"/>
      <c r="Q71" s="30"/>
    </row>
    <row r="72" spans="1:17" ht="42" x14ac:dyDescent="0.55000000000000004">
      <c r="A72" s="24" t="s">
        <v>96</v>
      </c>
      <c r="C72" s="17" t="s">
        <v>9</v>
      </c>
      <c r="E72" s="17" t="s">
        <v>11</v>
      </c>
      <c r="G72" s="17" t="s">
        <v>153</v>
      </c>
      <c r="I72" s="17" t="s">
        <v>173</v>
      </c>
      <c r="K72" s="17" t="s">
        <v>9</v>
      </c>
      <c r="M72" s="17" t="s">
        <v>11</v>
      </c>
      <c r="O72" s="17" t="s">
        <v>153</v>
      </c>
      <c r="Q72" s="17" t="s">
        <v>173</v>
      </c>
    </row>
    <row r="73" spans="1:17" ht="21" x14ac:dyDescent="0.55000000000000004">
      <c r="A73" s="6" t="s">
        <v>220</v>
      </c>
      <c r="C73" s="9"/>
      <c r="D73" s="9"/>
      <c r="E73" s="9">
        <f>E64</f>
        <v>138911315265</v>
      </c>
      <c r="F73" s="9"/>
      <c r="G73" s="9">
        <f>G64</f>
        <v>147849400802</v>
      </c>
      <c r="H73" s="9"/>
      <c r="I73" s="9">
        <f>I64</f>
        <v>-8453974950</v>
      </c>
      <c r="J73" s="9"/>
      <c r="K73" s="9"/>
      <c r="L73" s="9"/>
      <c r="M73" s="9">
        <f>M64</f>
        <v>138911315265</v>
      </c>
      <c r="N73" s="9"/>
      <c r="O73" s="9">
        <f>O64</f>
        <v>172942578838</v>
      </c>
      <c r="P73" s="9"/>
      <c r="Q73" s="9">
        <f>Q64</f>
        <v>-32289768249</v>
      </c>
    </row>
    <row r="74" spans="1:17" ht="21" x14ac:dyDescent="0.55000000000000004">
      <c r="A74" s="6" t="s">
        <v>53</v>
      </c>
      <c r="C74" s="9">
        <v>48341699</v>
      </c>
      <c r="E74" s="9">
        <v>52378931821</v>
      </c>
      <c r="G74" s="9">
        <v>55720990456</v>
      </c>
      <c r="I74" s="9">
        <v>-3342058635</v>
      </c>
      <c r="K74" s="9">
        <v>48341699</v>
      </c>
      <c r="M74" s="9">
        <v>52378931821</v>
      </c>
      <c r="O74" s="9">
        <v>58597997746</v>
      </c>
      <c r="Q74" s="9">
        <v>-6219065925</v>
      </c>
    </row>
    <row r="75" spans="1:17" ht="21" x14ac:dyDescent="0.55000000000000004">
      <c r="A75" s="6" t="s">
        <v>54</v>
      </c>
      <c r="C75" s="9">
        <v>288004</v>
      </c>
      <c r="E75" s="9">
        <v>2547984348</v>
      </c>
      <c r="G75" s="9">
        <v>2516492407</v>
      </c>
      <c r="I75" s="9">
        <v>31491941</v>
      </c>
      <c r="K75" s="9">
        <v>288004</v>
      </c>
      <c r="M75" s="9">
        <v>2547984348</v>
      </c>
      <c r="O75" s="9">
        <v>2562298867</v>
      </c>
      <c r="Q75" s="9">
        <v>-14314519</v>
      </c>
    </row>
    <row r="76" spans="1:17" ht="21" x14ac:dyDescent="0.55000000000000004">
      <c r="A76" s="6" t="s">
        <v>55</v>
      </c>
      <c r="C76" s="9">
        <v>3279048</v>
      </c>
      <c r="E76" s="9">
        <v>21838902351</v>
      </c>
      <c r="G76" s="9">
        <v>22751572898</v>
      </c>
      <c r="I76" s="9">
        <v>-912670547</v>
      </c>
      <c r="K76" s="9">
        <v>3279048</v>
      </c>
      <c r="M76" s="9">
        <v>21838902351</v>
      </c>
      <c r="O76" s="9">
        <v>26200316234</v>
      </c>
      <c r="Q76" s="9">
        <v>-4361413883</v>
      </c>
    </row>
    <row r="77" spans="1:17" ht="21" x14ac:dyDescent="0.55000000000000004">
      <c r="A77" s="6" t="s">
        <v>56</v>
      </c>
      <c r="C77" s="9">
        <v>7800000</v>
      </c>
      <c r="E77" s="9">
        <v>23601927960</v>
      </c>
      <c r="G77" s="9">
        <v>25845245830</v>
      </c>
      <c r="I77" s="9">
        <v>-2243317870</v>
      </c>
      <c r="K77" s="9">
        <v>7800000</v>
      </c>
      <c r="M77" s="9">
        <v>23601927960</v>
      </c>
      <c r="O77" s="9">
        <v>25845245830</v>
      </c>
      <c r="Q77" s="9">
        <v>-2243317870</v>
      </c>
    </row>
    <row r="78" spans="1:17" ht="21" x14ac:dyDescent="0.55000000000000004">
      <c r="A78" s="6" t="s">
        <v>57</v>
      </c>
      <c r="C78" s="9">
        <v>11399204</v>
      </c>
      <c r="E78" s="9">
        <v>72860765274</v>
      </c>
      <c r="G78" s="9">
        <v>75693609958</v>
      </c>
      <c r="I78" s="9">
        <v>-2832844684</v>
      </c>
      <c r="K78" s="9">
        <v>11399204</v>
      </c>
      <c r="M78" s="9">
        <v>72860765274</v>
      </c>
      <c r="O78" s="9">
        <v>84845691328</v>
      </c>
      <c r="Q78" s="9">
        <v>-11984926054</v>
      </c>
    </row>
    <row r="79" spans="1:17" ht="21" x14ac:dyDescent="0.55000000000000004">
      <c r="A79" s="6" t="s">
        <v>58</v>
      </c>
      <c r="C79" s="9">
        <v>1092665</v>
      </c>
      <c r="E79" s="9">
        <v>17813083749</v>
      </c>
      <c r="G79" s="9">
        <v>18790631028</v>
      </c>
      <c r="I79" s="9">
        <v>-977547279</v>
      </c>
      <c r="K79" s="9">
        <v>1092665</v>
      </c>
      <c r="M79" s="9">
        <v>17813083749</v>
      </c>
      <c r="O79" s="9">
        <v>20222828436</v>
      </c>
      <c r="Q79" s="9">
        <v>-2409744687</v>
      </c>
    </row>
    <row r="80" spans="1:17" ht="21" x14ac:dyDescent="0.55000000000000004">
      <c r="A80" s="6" t="s">
        <v>59</v>
      </c>
      <c r="C80" s="9">
        <v>4500000</v>
      </c>
      <c r="E80" s="9">
        <v>10516551975</v>
      </c>
      <c r="G80" s="9">
        <v>11710903050</v>
      </c>
      <c r="I80" s="9">
        <v>-1194351075</v>
      </c>
      <c r="K80" s="9">
        <v>4500000</v>
      </c>
      <c r="M80" s="9">
        <v>10516551975</v>
      </c>
      <c r="O80" s="9">
        <v>15911261324</v>
      </c>
      <c r="Q80" s="9">
        <v>-5394709349</v>
      </c>
    </row>
    <row r="81" spans="1:17" ht="21" x14ac:dyDescent="0.55000000000000004">
      <c r="A81" s="6" t="s">
        <v>60</v>
      </c>
      <c r="C81" s="9">
        <v>18449752</v>
      </c>
      <c r="E81" s="9">
        <v>70425507746</v>
      </c>
      <c r="G81" s="9">
        <v>77101259001</v>
      </c>
      <c r="I81" s="9">
        <v>-6675751255</v>
      </c>
      <c r="K81" s="9">
        <v>18449752</v>
      </c>
      <c r="M81" s="9">
        <v>70425507746</v>
      </c>
      <c r="O81" s="9">
        <v>87047215115</v>
      </c>
      <c r="Q81" s="9">
        <v>-16621707369</v>
      </c>
    </row>
    <row r="82" spans="1:17" ht="21" x14ac:dyDescent="0.55000000000000004">
      <c r="A82" s="6" t="s">
        <v>61</v>
      </c>
      <c r="C82" s="9">
        <v>1341844</v>
      </c>
      <c r="E82" s="9">
        <v>10764250428</v>
      </c>
      <c r="G82" s="9">
        <v>12751701870</v>
      </c>
      <c r="I82" s="9">
        <v>-1987451442</v>
      </c>
      <c r="K82" s="9">
        <v>1341844</v>
      </c>
      <c r="M82" s="9">
        <v>10764250428</v>
      </c>
      <c r="O82" s="9">
        <v>12076246244</v>
      </c>
      <c r="Q82" s="9">
        <v>-1311995816</v>
      </c>
    </row>
    <row r="83" spans="1:17" ht="21" x14ac:dyDescent="0.55000000000000004">
      <c r="A83" s="6" t="s">
        <v>62</v>
      </c>
      <c r="C83" s="9">
        <v>1240000</v>
      </c>
      <c r="E83" s="9">
        <v>8677658880</v>
      </c>
      <c r="G83" s="9">
        <v>10120241831</v>
      </c>
      <c r="I83" s="9">
        <v>-1442582951</v>
      </c>
      <c r="K83" s="9">
        <v>1240000</v>
      </c>
      <c r="M83" s="9">
        <v>8677658880</v>
      </c>
      <c r="O83" s="9">
        <v>10120241831</v>
      </c>
      <c r="Q83" s="9">
        <v>-1442582951</v>
      </c>
    </row>
    <row r="84" spans="1:17" ht="21" x14ac:dyDescent="0.55000000000000004">
      <c r="A84" s="6" t="s">
        <v>63</v>
      </c>
      <c r="C84" s="9">
        <v>1250000</v>
      </c>
      <c r="E84" s="9">
        <v>9008578125</v>
      </c>
      <c r="G84" s="9">
        <v>10201438125</v>
      </c>
      <c r="I84" s="9">
        <v>-1192860000</v>
      </c>
      <c r="K84" s="9">
        <v>1250000</v>
      </c>
      <c r="M84" s="9">
        <v>9008578125</v>
      </c>
      <c r="O84" s="9">
        <v>14948026875</v>
      </c>
      <c r="Q84" s="9">
        <v>-5939448750</v>
      </c>
    </row>
    <row r="85" spans="1:17" ht="21" x14ac:dyDescent="0.55000000000000004">
      <c r="A85" s="6" t="s">
        <v>64</v>
      </c>
      <c r="C85" s="9">
        <v>12320000</v>
      </c>
      <c r="E85" s="9">
        <v>70418502000</v>
      </c>
      <c r="G85" s="9">
        <v>76001665293</v>
      </c>
      <c r="I85" s="9">
        <v>-5583163293</v>
      </c>
      <c r="K85" s="9">
        <v>12320000</v>
      </c>
      <c r="M85" s="9">
        <v>70418502000</v>
      </c>
      <c r="O85" s="9">
        <v>79746207808</v>
      </c>
      <c r="Q85" s="9">
        <v>-9327705808</v>
      </c>
    </row>
    <row r="86" spans="1:17" ht="21" x14ac:dyDescent="0.55000000000000004">
      <c r="A86" s="6" t="s">
        <v>65</v>
      </c>
      <c r="C86" s="9">
        <v>910000</v>
      </c>
      <c r="E86" s="9">
        <v>9606698010</v>
      </c>
      <c r="G86" s="9">
        <v>10457008380</v>
      </c>
      <c r="I86" s="9">
        <v>-850310370</v>
      </c>
      <c r="K86" s="9">
        <v>910000</v>
      </c>
      <c r="M86" s="9">
        <v>9606698010</v>
      </c>
      <c r="O86" s="9">
        <v>12676931977</v>
      </c>
      <c r="Q86" s="9">
        <v>-3070233967</v>
      </c>
    </row>
    <row r="87" spans="1:17" ht="21" x14ac:dyDescent="0.55000000000000004">
      <c r="A87" s="6" t="s">
        <v>66</v>
      </c>
      <c r="C87" s="9">
        <v>12000000</v>
      </c>
      <c r="E87" s="9">
        <v>38994593400</v>
      </c>
      <c r="G87" s="9">
        <v>49107206936</v>
      </c>
      <c r="I87" s="9">
        <v>-10112613536</v>
      </c>
      <c r="K87" s="9">
        <v>12000000</v>
      </c>
      <c r="M87" s="9">
        <v>38994593400</v>
      </c>
      <c r="O87" s="9">
        <v>57487758393</v>
      </c>
      <c r="Q87" s="9">
        <v>-18493164993</v>
      </c>
    </row>
    <row r="88" spans="1:17" ht="21" x14ac:dyDescent="0.55000000000000004">
      <c r="A88" s="6" t="s">
        <v>67</v>
      </c>
      <c r="C88" s="9">
        <v>2574124</v>
      </c>
      <c r="E88" s="9">
        <v>16964896789</v>
      </c>
      <c r="G88" s="9">
        <v>20061054424</v>
      </c>
      <c r="I88" s="9">
        <v>-3096157635</v>
      </c>
      <c r="K88" s="9">
        <v>2574124</v>
      </c>
      <c r="M88" s="9">
        <v>16964896789</v>
      </c>
      <c r="O88" s="9">
        <v>26304545851</v>
      </c>
      <c r="Q88" s="9">
        <v>-9339649062</v>
      </c>
    </row>
    <row r="89" spans="1:17" ht="21" x14ac:dyDescent="0.55000000000000004">
      <c r="A89" s="6" t="s">
        <v>68</v>
      </c>
      <c r="C89" s="9">
        <v>500000</v>
      </c>
      <c r="E89" s="9">
        <v>5800281750</v>
      </c>
      <c r="G89" s="9">
        <v>6376830750</v>
      </c>
      <c r="I89" s="9">
        <v>-576549000</v>
      </c>
      <c r="K89" s="9">
        <v>500000</v>
      </c>
      <c r="M89" s="9">
        <v>5800281750</v>
      </c>
      <c r="O89" s="9">
        <v>7539802036</v>
      </c>
      <c r="Q89" s="9">
        <v>-1739520286</v>
      </c>
    </row>
    <row r="90" spans="1:17" ht="21" x14ac:dyDescent="0.55000000000000004">
      <c r="A90" s="6" t="s">
        <v>69</v>
      </c>
      <c r="C90" s="9">
        <v>650000</v>
      </c>
      <c r="E90" s="9">
        <v>6668087400</v>
      </c>
      <c r="G90" s="9">
        <v>7365910500</v>
      </c>
      <c r="I90" s="9">
        <v>-697823100</v>
      </c>
      <c r="K90" s="9">
        <v>650000</v>
      </c>
      <c r="M90" s="9">
        <v>6668087400</v>
      </c>
      <c r="O90" s="9">
        <v>8490181050</v>
      </c>
      <c r="Q90" s="9">
        <v>-1822093650</v>
      </c>
    </row>
    <row r="91" spans="1:17" ht="21" x14ac:dyDescent="0.55000000000000004">
      <c r="A91" s="6" t="s">
        <v>70</v>
      </c>
      <c r="C91" s="9">
        <v>8288661</v>
      </c>
      <c r="E91" s="9">
        <v>16033762387</v>
      </c>
      <c r="G91" s="9">
        <v>18456129366</v>
      </c>
      <c r="I91" s="9">
        <v>-2422366979</v>
      </c>
      <c r="K91" s="9">
        <v>8288661</v>
      </c>
      <c r="M91" s="9">
        <v>16033762387</v>
      </c>
      <c r="O91" s="9">
        <v>25803603176</v>
      </c>
      <c r="Q91" s="9">
        <v>-9769840789</v>
      </c>
    </row>
    <row r="92" spans="1:17" ht="21" x14ac:dyDescent="0.55000000000000004">
      <c r="A92" s="6" t="s">
        <v>71</v>
      </c>
      <c r="C92" s="9">
        <v>607000</v>
      </c>
      <c r="E92" s="9">
        <v>21589235163</v>
      </c>
      <c r="G92" s="9">
        <v>22759808562</v>
      </c>
      <c r="I92" s="9">
        <v>-1170573399</v>
      </c>
      <c r="K92" s="9">
        <v>607000</v>
      </c>
      <c r="M92" s="9">
        <v>21589235163</v>
      </c>
      <c r="O92" s="9">
        <v>21314456002</v>
      </c>
      <c r="Q92" s="9">
        <v>274779161</v>
      </c>
    </row>
    <row r="93" spans="1:17" ht="21" x14ac:dyDescent="0.55000000000000004">
      <c r="A93" s="6" t="s">
        <v>72</v>
      </c>
      <c r="C93" s="9">
        <v>200000</v>
      </c>
      <c r="E93" s="9">
        <v>10505120400</v>
      </c>
      <c r="G93" s="9">
        <v>12195005400</v>
      </c>
      <c r="I93" s="9">
        <v>-1689885000</v>
      </c>
      <c r="K93" s="9">
        <v>200000</v>
      </c>
      <c r="M93" s="9">
        <v>10505120400</v>
      </c>
      <c r="O93" s="9">
        <v>11554712809</v>
      </c>
      <c r="Q93" s="9">
        <v>-1049592409</v>
      </c>
    </row>
    <row r="94" spans="1:17" ht="21" x14ac:dyDescent="0.55000000000000004">
      <c r="A94" s="6" t="s">
        <v>73</v>
      </c>
      <c r="C94" s="9">
        <v>285000</v>
      </c>
      <c r="E94" s="9">
        <v>13394624940</v>
      </c>
      <c r="G94" s="9">
        <v>13371960600</v>
      </c>
      <c r="I94" s="9">
        <v>22664340</v>
      </c>
      <c r="K94" s="9">
        <v>285000</v>
      </c>
      <c r="M94" s="9">
        <v>13394624940</v>
      </c>
      <c r="O94" s="9">
        <v>12204019862</v>
      </c>
      <c r="Q94" s="9">
        <v>1190605078</v>
      </c>
    </row>
    <row r="95" spans="1:17" ht="21" x14ac:dyDescent="0.55000000000000004">
      <c r="A95" s="6" t="s">
        <v>74</v>
      </c>
      <c r="C95" s="9">
        <v>0</v>
      </c>
      <c r="E95" s="9">
        <v>0</v>
      </c>
      <c r="G95" s="9">
        <v>-2293570657</v>
      </c>
      <c r="I95" s="9">
        <v>2293570657</v>
      </c>
      <c r="K95" s="9">
        <v>0</v>
      </c>
      <c r="L95" s="9"/>
      <c r="M95" s="9">
        <v>0</v>
      </c>
      <c r="N95" s="9"/>
      <c r="O95" s="9">
        <v>0</v>
      </c>
      <c r="P95" s="9"/>
      <c r="Q95" s="9">
        <v>0</v>
      </c>
    </row>
    <row r="96" spans="1:17" ht="21" x14ac:dyDescent="0.55000000000000004">
      <c r="A96" s="6" t="s">
        <v>219</v>
      </c>
      <c r="C96" s="9"/>
      <c r="D96" s="9"/>
      <c r="E96" s="15">
        <f>SUM(E73:E95)</f>
        <v>649321260161</v>
      </c>
      <c r="F96" s="9"/>
      <c r="G96" s="15">
        <f>SUM(G73:G95)</f>
        <v>704912496810</v>
      </c>
      <c r="H96" s="9"/>
      <c r="I96" s="15">
        <f>SUM(I73:I95)</f>
        <v>-55107126062</v>
      </c>
      <c r="J96" s="9"/>
      <c r="K96" s="9"/>
      <c r="L96" s="9"/>
      <c r="M96" s="15">
        <f>SUM(M73:M95)</f>
        <v>649321260161</v>
      </c>
      <c r="N96" s="9"/>
      <c r="O96" s="15">
        <f>SUM(O73:O95)</f>
        <v>794442167632</v>
      </c>
      <c r="P96" s="9"/>
      <c r="Q96" s="15">
        <f>SUM(Q73:Q95)</f>
        <v>-143379412147</v>
      </c>
    </row>
    <row r="97" spans="1:17" ht="19.899999999999999" customHeight="1" x14ac:dyDescent="0.55000000000000004">
      <c r="A97" s="34" t="s">
        <v>0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</row>
    <row r="98" spans="1:17" ht="19.899999999999999" customHeight="1" x14ac:dyDescent="0.55000000000000004">
      <c r="A98" s="34" t="s">
        <v>94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</row>
    <row r="99" spans="1:17" ht="19.899999999999999" customHeight="1" x14ac:dyDescent="0.55000000000000004">
      <c r="A99" s="34" t="s">
        <v>2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</row>
    <row r="101" spans="1:17" ht="21" x14ac:dyDescent="0.55000000000000004">
      <c r="A101" s="35" t="s">
        <v>172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</row>
    <row r="103" spans="1:17" ht="21" x14ac:dyDescent="0.55000000000000004">
      <c r="C103" s="29" t="s">
        <v>107</v>
      </c>
      <c r="D103" s="30"/>
      <c r="E103" s="30"/>
      <c r="F103" s="30"/>
      <c r="G103" s="30"/>
      <c r="H103" s="30"/>
      <c r="I103" s="30"/>
      <c r="K103" s="29" t="s">
        <v>7</v>
      </c>
      <c r="L103" s="30"/>
      <c r="M103" s="30"/>
      <c r="N103" s="30"/>
      <c r="O103" s="30"/>
      <c r="P103" s="30"/>
      <c r="Q103" s="30"/>
    </row>
    <row r="104" spans="1:17" ht="42" x14ac:dyDescent="0.55000000000000004">
      <c r="A104" s="24" t="s">
        <v>96</v>
      </c>
      <c r="C104" s="17" t="s">
        <v>9</v>
      </c>
      <c r="E104" s="17" t="s">
        <v>11</v>
      </c>
      <c r="G104" s="17" t="s">
        <v>153</v>
      </c>
      <c r="I104" s="17" t="s">
        <v>173</v>
      </c>
      <c r="K104" s="17" t="s">
        <v>9</v>
      </c>
      <c r="M104" s="17" t="s">
        <v>11</v>
      </c>
      <c r="O104" s="17" t="s">
        <v>153</v>
      </c>
      <c r="Q104" s="17" t="s">
        <v>173</v>
      </c>
    </row>
    <row r="105" spans="1:17" ht="21" x14ac:dyDescent="0.55000000000000004">
      <c r="A105" s="6" t="s">
        <v>220</v>
      </c>
      <c r="C105" s="9"/>
      <c r="D105" s="9"/>
      <c r="E105" s="9">
        <f>E96</f>
        <v>649321260161</v>
      </c>
      <c r="F105" s="9"/>
      <c r="G105" s="9">
        <f>G96</f>
        <v>704912496810</v>
      </c>
      <c r="H105" s="9"/>
      <c r="I105" s="9">
        <f>I96</f>
        <v>-55107126062</v>
      </c>
      <c r="J105" s="9"/>
      <c r="K105" s="9"/>
      <c r="L105" s="9"/>
      <c r="M105" s="9">
        <f>M96</f>
        <v>649321260161</v>
      </c>
      <c r="N105" s="9"/>
      <c r="O105" s="9">
        <f>O96</f>
        <v>794442167632</v>
      </c>
      <c r="P105" s="9"/>
      <c r="Q105" s="9">
        <f>Q96</f>
        <v>-143379412147</v>
      </c>
    </row>
    <row r="106" spans="1:17" ht="21" x14ac:dyDescent="0.55000000000000004">
      <c r="A106" s="6" t="s">
        <v>75</v>
      </c>
      <c r="C106" s="9">
        <v>113500</v>
      </c>
      <c r="E106" s="9">
        <v>19482564879</v>
      </c>
      <c r="G106" s="9">
        <v>21239245069</v>
      </c>
      <c r="I106" s="9">
        <v>-1756680190</v>
      </c>
      <c r="K106" s="9">
        <v>113500</v>
      </c>
      <c r="M106" s="9">
        <v>19482564879</v>
      </c>
      <c r="O106" s="9">
        <v>19620600844</v>
      </c>
      <c r="Q106" s="9">
        <v>-138035965</v>
      </c>
    </row>
    <row r="107" spans="1:17" ht="21" x14ac:dyDescent="0.55000000000000004">
      <c r="A107" s="6" t="s">
        <v>76</v>
      </c>
      <c r="C107" s="9">
        <v>3000000</v>
      </c>
      <c r="E107" s="9">
        <v>6769480500</v>
      </c>
      <c r="G107" s="9">
        <v>6915605850</v>
      </c>
      <c r="I107" s="9">
        <v>-146125350</v>
      </c>
      <c r="K107" s="9">
        <v>3000000</v>
      </c>
      <c r="M107" s="9">
        <v>6769480500</v>
      </c>
      <c r="O107" s="9">
        <v>6520206627</v>
      </c>
      <c r="Q107" s="9">
        <v>249273873</v>
      </c>
    </row>
    <row r="108" spans="1:17" ht="21" x14ac:dyDescent="0.55000000000000004">
      <c r="A108" s="6" t="s">
        <v>77</v>
      </c>
      <c r="C108" s="9">
        <v>128000</v>
      </c>
      <c r="E108" s="9">
        <v>25358613120</v>
      </c>
      <c r="G108" s="9">
        <v>24770771712</v>
      </c>
      <c r="I108" s="9">
        <v>587841408</v>
      </c>
      <c r="K108" s="9">
        <v>128000</v>
      </c>
      <c r="M108" s="9">
        <v>25358613120</v>
      </c>
      <c r="O108" s="9">
        <v>22163656896</v>
      </c>
      <c r="Q108" s="9">
        <v>3194956224</v>
      </c>
    </row>
    <row r="109" spans="1:17" ht="21" x14ac:dyDescent="0.55000000000000004">
      <c r="A109" s="6" t="s">
        <v>78</v>
      </c>
      <c r="C109" s="9">
        <v>1218099</v>
      </c>
      <c r="E109" s="9">
        <v>15111424361</v>
      </c>
      <c r="G109" s="9">
        <v>16703694167</v>
      </c>
      <c r="I109" s="9">
        <v>-1592269806</v>
      </c>
      <c r="K109" s="9">
        <v>1218099</v>
      </c>
      <c r="M109" s="9">
        <v>15111424361</v>
      </c>
      <c r="O109" s="9">
        <v>22188958072</v>
      </c>
      <c r="Q109" s="9">
        <v>-7077533711</v>
      </c>
    </row>
    <row r="110" spans="1:17" ht="21" x14ac:dyDescent="0.55000000000000004">
      <c r="A110" s="6" t="s">
        <v>79</v>
      </c>
      <c r="C110" s="9">
        <v>5947863</v>
      </c>
      <c r="E110" s="9">
        <v>17778806958</v>
      </c>
      <c r="G110" s="9">
        <v>16556645934</v>
      </c>
      <c r="I110" s="9">
        <v>1222161024</v>
      </c>
      <c r="K110" s="9">
        <v>5947863</v>
      </c>
      <c r="M110" s="9">
        <v>17778806958</v>
      </c>
      <c r="O110" s="9">
        <v>25044647160</v>
      </c>
      <c r="Q110" s="9">
        <v>-7265840202</v>
      </c>
    </row>
    <row r="111" spans="1:17" ht="21" x14ac:dyDescent="0.55000000000000004">
      <c r="A111" s="6" t="s">
        <v>80</v>
      </c>
      <c r="C111" s="9">
        <v>0</v>
      </c>
      <c r="E111" s="9">
        <v>0</v>
      </c>
      <c r="G111" s="9">
        <v>-960927113</v>
      </c>
      <c r="I111" s="9">
        <v>960927113</v>
      </c>
      <c r="K111" s="9">
        <v>0</v>
      </c>
      <c r="L111" s="9"/>
      <c r="M111" s="9">
        <v>0</v>
      </c>
      <c r="N111" s="9"/>
      <c r="O111" s="9">
        <v>0</v>
      </c>
      <c r="P111" s="9"/>
      <c r="Q111" s="9">
        <v>0</v>
      </c>
    </row>
    <row r="112" spans="1:17" ht="21" x14ac:dyDescent="0.55000000000000004">
      <c r="A112" s="6" t="s">
        <v>81</v>
      </c>
      <c r="C112" s="9">
        <v>0</v>
      </c>
      <c r="E112" s="9">
        <v>0</v>
      </c>
      <c r="G112" s="9">
        <v>-920142383</v>
      </c>
      <c r="I112" s="9">
        <v>920142383</v>
      </c>
      <c r="K112" s="9">
        <v>0</v>
      </c>
      <c r="L112" s="9"/>
      <c r="M112" s="9">
        <v>0</v>
      </c>
      <c r="N112" s="9"/>
      <c r="O112" s="9">
        <v>0</v>
      </c>
      <c r="P112" s="9"/>
      <c r="Q112" s="9">
        <v>0</v>
      </c>
    </row>
    <row r="113" spans="1:17" ht="21" x14ac:dyDescent="0.55000000000000004">
      <c r="A113" s="6" t="s">
        <v>82</v>
      </c>
      <c r="C113" s="9">
        <v>6286264</v>
      </c>
      <c r="E113" s="9">
        <v>17803004217</v>
      </c>
      <c r="G113" s="9">
        <v>18364308618</v>
      </c>
      <c r="I113" s="9">
        <v>-561304401</v>
      </c>
      <c r="K113" s="9">
        <v>6286264</v>
      </c>
      <c r="M113" s="9">
        <v>17803004217</v>
      </c>
      <c r="O113" s="9">
        <v>28036004200</v>
      </c>
      <c r="Q113" s="9">
        <v>-10232999983</v>
      </c>
    </row>
    <row r="114" spans="1:17" ht="21" x14ac:dyDescent="0.55000000000000004">
      <c r="A114" s="6" t="s">
        <v>83</v>
      </c>
      <c r="C114" s="9">
        <v>0</v>
      </c>
      <c r="E114" s="9">
        <v>0</v>
      </c>
      <c r="G114" s="9">
        <v>328606213</v>
      </c>
      <c r="I114" s="9">
        <v>-328606213</v>
      </c>
      <c r="K114" s="9">
        <v>0</v>
      </c>
      <c r="L114" s="9"/>
      <c r="M114" s="9">
        <v>0</v>
      </c>
      <c r="N114" s="9"/>
      <c r="O114" s="9">
        <v>0</v>
      </c>
      <c r="P114" s="9"/>
      <c r="Q114" s="9">
        <v>0</v>
      </c>
    </row>
    <row r="115" spans="1:17" ht="21" x14ac:dyDescent="0.55000000000000004">
      <c r="A115" s="11" t="s">
        <v>84</v>
      </c>
      <c r="C115" s="14"/>
      <c r="E115" s="11">
        <f>SUM(E105:E114)</f>
        <v>751625154196</v>
      </c>
      <c r="G115" s="11">
        <f>SUM(G105:G114)</f>
        <v>807910304877</v>
      </c>
      <c r="I115" s="11">
        <f>SUM(I105:I114)</f>
        <v>-55801040094</v>
      </c>
      <c r="K115" s="14"/>
      <c r="M115" s="11">
        <f>SUM(M105:M114)</f>
        <v>751625154196</v>
      </c>
      <c r="O115" s="11">
        <f>SUM(O105:O114)</f>
        <v>918016241431</v>
      </c>
      <c r="Q115" s="11">
        <f>SUM(Q105:Q114)</f>
        <v>-164649591911</v>
      </c>
    </row>
    <row r="116" spans="1:17" ht="21" x14ac:dyDescent="0.55000000000000004">
      <c r="C116" s="14"/>
      <c r="E116" s="13"/>
      <c r="G116" s="13"/>
      <c r="I116" s="13"/>
      <c r="K116" s="14"/>
      <c r="M116" s="13"/>
      <c r="O116" s="13"/>
      <c r="Q116" s="13"/>
    </row>
    <row r="118" spans="1:17" ht="21" x14ac:dyDescent="0.55000000000000004">
      <c r="A118" s="37" t="s">
        <v>171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9"/>
    </row>
  </sheetData>
  <mergeCells count="25">
    <mergeCell ref="A97:Q97"/>
    <mergeCell ref="A98:Q98"/>
    <mergeCell ref="A99:Q99"/>
    <mergeCell ref="A1:Q1"/>
    <mergeCell ref="A2:Q2"/>
    <mergeCell ref="A3:Q3"/>
    <mergeCell ref="A5:Q5"/>
    <mergeCell ref="C7:I7"/>
    <mergeCell ref="K7:Q7"/>
    <mergeCell ref="A101:Q101"/>
    <mergeCell ref="C103:I103"/>
    <mergeCell ref="K103:Q103"/>
    <mergeCell ref="A118:Q118"/>
    <mergeCell ref="A33:Q33"/>
    <mergeCell ref="A34:Q34"/>
    <mergeCell ref="A35:Q35"/>
    <mergeCell ref="A37:Q37"/>
    <mergeCell ref="C39:I39"/>
    <mergeCell ref="K39:Q39"/>
    <mergeCell ref="A65:Q65"/>
    <mergeCell ref="A66:Q66"/>
    <mergeCell ref="A67:Q67"/>
    <mergeCell ref="A69:Q69"/>
    <mergeCell ref="C71:I71"/>
    <mergeCell ref="K71:Q71"/>
  </mergeCells>
  <pageMargins left="0.7" right="0.7" top="0.75" bottom="0.75" header="0.3" footer="0.3"/>
  <pageSetup paperSize="9" scale="76" fitToHeight="0" orientation="landscape" r:id="rId1"/>
  <rowBreaks count="3" manualBreakCount="3">
    <brk id="32" max="16383" man="1"/>
    <brk id="64" max="16383" man="1"/>
    <brk id="9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'0'!Print_Area</vt:lpstr>
      <vt:lpstr>'1'!Print_Area</vt:lpstr>
      <vt:lpstr>'1'!Print_Titles</vt:lpstr>
      <vt:lpstr>'4'!Print_Titles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Reza Ahmadi</cp:lastModifiedBy>
  <cp:lastPrinted>2024-10-30T10:08:28Z</cp:lastPrinted>
  <dcterms:created xsi:type="dcterms:W3CDTF">2024-10-29T13:04:23Z</dcterms:created>
  <dcterms:modified xsi:type="dcterms:W3CDTF">2024-10-30T10:08:30Z</dcterms:modified>
</cp:coreProperties>
</file>