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98933\Desktop\"/>
    </mc:Choice>
  </mc:AlternateContent>
  <xr:revisionPtr revIDLastSave="0" documentId="13_ncr:1_{CAF8CCD5-B80B-47D4-BD79-47E869BFD1A9}" xr6:coauthVersionLast="47" xr6:coauthVersionMax="47" xr10:uidLastSave="{00000000-0000-0000-0000-000000000000}"/>
  <bookViews>
    <workbookView xWindow="-108" yWindow="-108" windowWidth="23256" windowHeight="12456" tabRatio="897" xr2:uid="{00000000-000D-0000-FFFF-FFFF00000000}"/>
  </bookViews>
  <sheets>
    <sheet name="سربرگ" sheetId="31" r:id="rId1"/>
    <sheet name=" سهام" sheetId="32" r:id="rId2"/>
    <sheet name="اوراق مشتقه" sheetId="33" r:id="rId3"/>
    <sheet name="تعدیل قیمت" sheetId="37" r:id="rId4"/>
    <sheet name="سپرده" sheetId="38" r:id="rId5"/>
    <sheet name="درآمدها" sheetId="39" r:id="rId6"/>
    <sheet name="درآمد سرمایه گذاری در سهام " sheetId="40" r:id="rId7"/>
    <sheet name="درآمد سپرده بانکی" sheetId="45" r:id="rId8"/>
    <sheet name="درآمد سرمایه گذاری مشتقه " sheetId="47" r:id="rId9"/>
    <sheet name="سایر درآمدها" sheetId="48" r:id="rId10"/>
    <sheet name="درآمد سود سهام" sheetId="49" r:id="rId11"/>
    <sheet name="سود  سپرده بانکی" sheetId="52" r:id="rId12"/>
    <sheet name="درآمد ناشی ازفروش" sheetId="53" r:id="rId13"/>
    <sheet name="درآمد ناشی از تغییر قیمت اوراق " sheetId="54" r:id="rId14"/>
  </sheets>
  <definedNames>
    <definedName name="_xlnm.Print_Area" localSheetId="1">' سهام'!$A$1:$N$50</definedName>
    <definedName name="_xlnm.Print_Area" localSheetId="2">'اوراق مشتقه'!$A$1:$M$20</definedName>
    <definedName name="_xlnm.Print_Area" localSheetId="3">'تعدیل قیمت'!$A$1:$J$11</definedName>
    <definedName name="_xlnm.Print_Area" localSheetId="7">'درآمد سپرده بانکی'!$A$1:$E$12</definedName>
    <definedName name="_xlnm.Print_Area" localSheetId="6">'درآمد سرمایه گذاری در سهام '!$A$1:$K$61</definedName>
    <definedName name="_xlnm.Print_Area" localSheetId="8">'درآمد سرمایه گذاری مشتقه '!$A$1:$I$63</definedName>
    <definedName name="_xlnm.Print_Area" localSheetId="10">'درآمد سود سهام'!$A$1:$J$26</definedName>
    <definedName name="_xlnm.Print_Area" localSheetId="13">'درآمد ناشی از تغییر قیمت اوراق '!$A$1:$I$56</definedName>
    <definedName name="_xlnm.Print_Area" localSheetId="12">'درآمد ناشی ازفروش'!$A$1:$I$96</definedName>
    <definedName name="_xlnm.Print_Area" localSheetId="5">درآمدها!$A$1:$E$14</definedName>
    <definedName name="_xlnm.Print_Area" localSheetId="9">'سایر درآمدها'!$A$1:$C$12</definedName>
    <definedName name="_xlnm.Print_Area" localSheetId="4">سپرده!$A$1:$F$13</definedName>
    <definedName name="_xlnm.Print_Area" localSheetId="0">سربرگ!$A$1:$J$29</definedName>
    <definedName name="_xlnm.Print_Area" localSheetId="11">'سود  سپرده بانکی'!$A$1:$G$11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49" l="1"/>
  <c r="C12" i="39"/>
  <c r="C11" i="39"/>
  <c r="C10" i="39"/>
  <c r="D10" i="39" s="1"/>
  <c r="C9" i="39"/>
  <c r="D9" i="39" s="1"/>
  <c r="B11" i="48"/>
  <c r="C11" i="48"/>
  <c r="C55" i="54"/>
  <c r="D55" i="54"/>
  <c r="E55" i="54"/>
  <c r="G55" i="54"/>
  <c r="H55" i="54"/>
  <c r="I55" i="54"/>
  <c r="C95" i="53"/>
  <c r="D95" i="53"/>
  <c r="E95" i="53"/>
  <c r="G95" i="53"/>
  <c r="H95" i="53"/>
  <c r="I95" i="53"/>
  <c r="B10" i="52"/>
  <c r="C10" i="52"/>
  <c r="D10" i="52"/>
  <c r="E10" i="52"/>
  <c r="F10" i="52"/>
  <c r="G10" i="52"/>
  <c r="E25" i="49"/>
  <c r="F25" i="49"/>
  <c r="H25" i="49"/>
  <c r="I25" i="49"/>
  <c r="J25" i="49"/>
  <c r="B62" i="47"/>
  <c r="C62" i="47"/>
  <c r="D62" i="47"/>
  <c r="E62" i="47"/>
  <c r="F62" i="47"/>
  <c r="G62" i="47"/>
  <c r="H62" i="47"/>
  <c r="I62" i="47"/>
  <c r="B11" i="45"/>
  <c r="C9" i="45" s="1"/>
  <c r="D11" i="45"/>
  <c r="E9" i="45" s="1"/>
  <c r="B60" i="40"/>
  <c r="C60" i="40"/>
  <c r="D60" i="40"/>
  <c r="E60" i="40"/>
  <c r="F60" i="40"/>
  <c r="G60" i="40"/>
  <c r="H60" i="40"/>
  <c r="I60" i="40"/>
  <c r="J60" i="40"/>
  <c r="K60" i="40"/>
  <c r="D11" i="39"/>
  <c r="E11" i="39"/>
  <c r="D12" i="39"/>
  <c r="E12" i="39"/>
  <c r="B12" i="38"/>
  <c r="C12" i="38"/>
  <c r="D12" i="38"/>
  <c r="E12" i="38"/>
  <c r="F12" i="38"/>
  <c r="C49" i="32"/>
  <c r="D49" i="32"/>
  <c r="G49" i="32"/>
  <c r="I49" i="32"/>
  <c r="L49" i="32"/>
  <c r="M49" i="32"/>
  <c r="N49" i="32"/>
  <c r="E10" i="39" l="1"/>
  <c r="E13" i="39" s="1"/>
  <c r="E9" i="39"/>
  <c r="C13" i="39"/>
  <c r="D13" i="39"/>
  <c r="E10" i="45"/>
  <c r="E11" i="45" s="1"/>
  <c r="C10" i="45"/>
  <c r="C11" i="45" s="1"/>
</calcChain>
</file>

<file path=xl/sharedStrings.xml><?xml version="1.0" encoding="utf-8"?>
<sst xmlns="http://schemas.openxmlformats.org/spreadsheetml/2006/main" count="609" uniqueCount="255">
  <si>
    <t>بهای تمام شده</t>
  </si>
  <si>
    <t>شرکت</t>
  </si>
  <si>
    <t>جمع</t>
  </si>
  <si>
    <t>تعداد</t>
  </si>
  <si>
    <t>مبلغ</t>
  </si>
  <si>
    <t>دلیل تعدیل</t>
  </si>
  <si>
    <t>نام اوراق بهادار</t>
  </si>
  <si>
    <t>درآمد تغییر ارزش</t>
  </si>
  <si>
    <t>درآمد فروش</t>
  </si>
  <si>
    <t>سود سپرده بانکی و گواهی سپرده</t>
  </si>
  <si>
    <t>درصد از کل درآمدها</t>
  </si>
  <si>
    <t>خالص ارزش فروش</t>
  </si>
  <si>
    <t>درصد به کل دارایی‌ها</t>
  </si>
  <si>
    <t>2- درآمد حاصل از سرمایه گذاری ها</t>
  </si>
  <si>
    <t>سایر درآمدها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</si>
  <si>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</si>
  <si>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</si>
  <si>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</si>
  <si>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</si>
  <si>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</si>
  <si>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</si>
  <si>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افزایش</t>
  </si>
  <si>
    <t>شرح</t>
  </si>
  <si>
    <t>یادداشت</t>
  </si>
  <si>
    <t>هزینه تنزیل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</si>
  <si>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</si>
  <si>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</si>
  <si>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</si>
  <si>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</si>
  <si>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سود و زیان ناشی از فروش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</si>
  <si>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</si>
  <si>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</si>
  <si>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</si>
  <si>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</si>
  <si>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2-2</t>
  </si>
  <si>
    <t xml:space="preserve">صورت وضعیت درآمدها </t>
  </si>
  <si>
    <t xml:space="preserve">درآمد سود </t>
  </si>
  <si>
    <t>درصد از کل دارایی ها</t>
  </si>
  <si>
    <t>تعداد اوراق</t>
  </si>
  <si>
    <t>مدیر صندوق</t>
  </si>
  <si>
    <t>سود سپرده بانکی</t>
  </si>
  <si>
    <t>‫صورت وضعیت پورتفوی</t>
  </si>
  <si>
    <t>کاهش</t>
  </si>
  <si>
    <t>برای ماه منتهی به 1405/04/31</t>
  </si>
  <si>
    <t>1405/04/31</t>
  </si>
  <si>
    <t>گردشگري</t>
  </si>
  <si>
    <t>پاسارگاد</t>
  </si>
  <si>
    <t>1405/03/31</t>
  </si>
  <si>
    <t>1404/10/23</t>
  </si>
  <si>
    <t>1404/11/28</t>
  </si>
  <si>
    <t>رکن صندوق</t>
  </si>
  <si>
    <t>نماینده</t>
  </si>
  <si>
    <t xml:space="preserve">امضا </t>
  </si>
  <si>
    <t>شرکت سبدگردان آشنا</t>
  </si>
  <si>
    <t>مهدی فرحی</t>
  </si>
  <si>
    <t>‫برای ماه منتهی به 1405/04/31</t>
  </si>
  <si>
    <t>تغییرات طی تیر ماه</t>
  </si>
  <si>
    <t>خرید طی تیر ماه</t>
  </si>
  <si>
    <t>فروش طی تیر ماه</t>
  </si>
  <si>
    <t>تصمیم مدیران سرمایه گذاری صندوق</t>
  </si>
  <si>
    <t>نام بانک</t>
  </si>
  <si>
    <t>طی تیر ماه</t>
  </si>
  <si>
    <t>از ابتدای سال مالی تا پایان تیر ماه</t>
  </si>
  <si>
    <t>درصد سود به کل سود سپرده</t>
  </si>
  <si>
    <t>تعدیل کارمزد کارگزاری</t>
  </si>
  <si>
    <t>2-1</t>
  </si>
  <si>
    <t>2-3</t>
  </si>
  <si>
    <t>صندوق ‫سرمایه گذاری قابل معامله شاخصی بازار آشنا</t>
  </si>
  <si>
    <t>چادرملو (تقدم)</t>
  </si>
  <si>
    <t>چادرملو</t>
  </si>
  <si>
    <t>پويا زركان آق دره</t>
  </si>
  <si>
    <t>پتروشیمی تامین</t>
  </si>
  <si>
    <t>پتروشيمی پردیس</t>
  </si>
  <si>
    <t>پتروشيمي پارس</t>
  </si>
  <si>
    <t>پتروشيمي نوري</t>
  </si>
  <si>
    <t>پتروشيمي شيراز</t>
  </si>
  <si>
    <t>پتروشيمي جم</t>
  </si>
  <si>
    <t>پتروشيمي اروند</t>
  </si>
  <si>
    <t>نگين طبس</t>
  </si>
  <si>
    <t>نفت و گاز پارسیان</t>
  </si>
  <si>
    <t>نفت تهران</t>
  </si>
  <si>
    <t>نفت تبريز</t>
  </si>
  <si>
    <t>نفت بندر عباس</t>
  </si>
  <si>
    <t>نفت اصفهان</t>
  </si>
  <si>
    <t>ملي مس</t>
  </si>
  <si>
    <t>مس شهيد باهنر</t>
  </si>
  <si>
    <t>مبين انرژي خليج فارس</t>
  </si>
  <si>
    <t>كشت و صنعت هلال</t>
  </si>
  <si>
    <t>قاسم ايران</t>
  </si>
  <si>
    <t>فولاد مباركه</t>
  </si>
  <si>
    <t>صندوق بازنشستگي</t>
  </si>
  <si>
    <t>صنايع پتروشيمي خليج فارس</t>
  </si>
  <si>
    <t>سيمان فارس و خوزستان</t>
  </si>
  <si>
    <t>سرمايه گذاري غدير</t>
  </si>
  <si>
    <t>سرمايه گذاري صدرتامين</t>
  </si>
  <si>
    <t>سرمايه گذاري دارويي تامين</t>
  </si>
  <si>
    <t>سرمايه گذاري تامين اجتماعي</t>
  </si>
  <si>
    <t>زرين ذرت شاهرود</t>
  </si>
  <si>
    <t>دريايي سينا</t>
  </si>
  <si>
    <t>توسعه‌معادن‌وفلزات‌</t>
  </si>
  <si>
    <t>بورس كالاي ايران</t>
  </si>
  <si>
    <t>بانك ملت</t>
  </si>
  <si>
    <t>باما</t>
  </si>
  <si>
    <t>ايران خودرو</t>
  </si>
  <si>
    <t>اقتصاد نوين</t>
  </si>
  <si>
    <t>آلومينيوم ايران</t>
  </si>
  <si>
    <t xml:space="preserve">افزایش سرمایه </t>
  </si>
  <si>
    <t>درصد به کل  دارایی‌ها</t>
  </si>
  <si>
    <t>قیمت بازار هر سهم</t>
  </si>
  <si>
    <t>1-1-سرمایه‌گذاری در سهام و حق تقدم سهام</t>
  </si>
  <si>
    <t>1- سرمایه گذاری ها</t>
  </si>
  <si>
    <t>سرمایه گذاری قابل معامله شاخصی بازار آشنا</t>
  </si>
  <si>
    <t>تاریخ اعمال</t>
  </si>
  <si>
    <t xml:space="preserve">قیمت اعمال </t>
  </si>
  <si>
    <t>نوع موقعیت</t>
  </si>
  <si>
    <t>نام سهام</t>
  </si>
  <si>
    <t>1405/05/20</t>
  </si>
  <si>
    <t/>
  </si>
  <si>
    <t>موقعیت فروش</t>
  </si>
  <si>
    <t>اختيار معامله خرید</t>
  </si>
  <si>
    <t>اختيارخ وبملت-1354-1405/05/20</t>
  </si>
  <si>
    <t>1405/04/24</t>
  </si>
  <si>
    <t>اختيارخ وبملت-1055-1405/04/24</t>
  </si>
  <si>
    <t>1405/04/10</t>
  </si>
  <si>
    <t>اختيارخ شستا-2200-1405/04/10</t>
  </si>
  <si>
    <t>1405/05/07</t>
  </si>
  <si>
    <t>اختيارخ خودرو-550-1405/05/07</t>
  </si>
  <si>
    <t>اختيارخ خودرو-450-1405/04/10</t>
  </si>
  <si>
    <t>استراتژی ماخوذه</t>
  </si>
  <si>
    <t>نوع اختیار</t>
  </si>
  <si>
    <t>اطلاعات آماری مرتبط با موقعیت های اخذ شده در اوراق اختیار معامله توسط صندوق سرمایه گذاری:</t>
  </si>
  <si>
    <t>1405/10/01</t>
  </si>
  <si>
    <t>اختيارف ت اروند-44625-05/10/01</t>
  </si>
  <si>
    <t xml:space="preserve">نرخ سود مؤثر </t>
  </si>
  <si>
    <t>تعداد اوراق تبعی</t>
  </si>
  <si>
    <t>اطلاعات آماری مرتبط با اوراق اختیار فروش تبعی خریداری شده توسط صندوق سرمایه گذاری:</t>
  </si>
  <si>
    <t xml:space="preserve"> </t>
  </si>
  <si>
    <t>درآمد حاصل از سرمایه گذاری در اوراق مشتقه</t>
  </si>
  <si>
    <t>درآمد حاصل از سرمایه گذاری در سهام و حق تقدم سهام</t>
  </si>
  <si>
    <t>گروه صنعتي درپاد تبريز</t>
  </si>
  <si>
    <t>ذوب آهن اصفهان</t>
  </si>
  <si>
    <t>صنايع غذايي رضوي</t>
  </si>
  <si>
    <t>مجتمع كاشي و سنگ پرسپوليس يزد</t>
  </si>
  <si>
    <t>كيميا كالاي رازي</t>
  </si>
  <si>
    <t>آلياژ گستر هامون</t>
  </si>
  <si>
    <t>گروه مپنا</t>
  </si>
  <si>
    <t>پست بانك ايران</t>
  </si>
  <si>
    <t>گروه مالي نماد غدير(سهامي عام)</t>
  </si>
  <si>
    <t>بانك تجارت</t>
  </si>
  <si>
    <t>فولاد مباركه اصفهان</t>
  </si>
  <si>
    <t>پارس مينو</t>
  </si>
  <si>
    <t>س. و توسعه صنايع لاستيك</t>
  </si>
  <si>
    <t>سيمان شاهرود</t>
  </si>
  <si>
    <t>شركت پالايش نفت بندر عباس</t>
  </si>
  <si>
    <t>پتروشيمي پرديس</t>
  </si>
  <si>
    <t>سرمايه گذاري صندوق بازنشستگي كشوري (هلدينگ)</t>
  </si>
  <si>
    <t>بانك اقتصاد نوين</t>
  </si>
  <si>
    <t>پالايش نفت تهران</t>
  </si>
  <si>
    <t>شركت گسترش نفت و گاز پارسيان</t>
  </si>
  <si>
    <t>توسعه خدمات دريايي وبندري سينا</t>
  </si>
  <si>
    <t>س. نفت و گاز و پتروشيمي تامين</t>
  </si>
  <si>
    <t>سرمايه گذاري توسعه معادن و فلزات (هلدينگ)</t>
  </si>
  <si>
    <t>سرمايه گذاري غدير (هلدينگ)</t>
  </si>
  <si>
    <t>پالايش نفت اصفهان</t>
  </si>
  <si>
    <t>معدني و صنعتي چادر ملو</t>
  </si>
  <si>
    <t>ملي صنايع مس ايران</t>
  </si>
  <si>
    <t>پالايش نفت تبريز</t>
  </si>
  <si>
    <t>ذغال سنگ نگين طبس</t>
  </si>
  <si>
    <t>درصد از کل درآمد ها</t>
  </si>
  <si>
    <t>یادداشت ...</t>
  </si>
  <si>
    <t>درآمد سود سهام</t>
  </si>
  <si>
    <t>سهام</t>
  </si>
  <si>
    <t>اختيارخ وبملت-1266-1405/03/20</t>
  </si>
  <si>
    <t>اختيارخ وبملت-1500-1405/03/20</t>
  </si>
  <si>
    <t>اختيارخ وبملت-1300-1405/03/20</t>
  </si>
  <si>
    <t>اختيارخ شستا-1710-1404/12/13</t>
  </si>
  <si>
    <t>اختيارخ وبملت-1400-1404/12/19</t>
  </si>
  <si>
    <t>اختيارخ وبملت-1600-1404/12/19</t>
  </si>
  <si>
    <t>اختيارخ فزر-100000-14041210</t>
  </si>
  <si>
    <t>اختيارخ شستا-2010-1404/12/13</t>
  </si>
  <si>
    <t>اختيارخ وبملت-1300-1404/11/21</t>
  </si>
  <si>
    <t>اختيارف شستا-1510-1404/12/13</t>
  </si>
  <si>
    <t>اختيارف وبملت-900-1404/12/19</t>
  </si>
  <si>
    <t>اختيارخ فزر-130000-14041210</t>
  </si>
  <si>
    <t>اختيارخ وبملت-1400-1404/11/21</t>
  </si>
  <si>
    <t>اختيارف وبملت-1100-1404/11/21</t>
  </si>
  <si>
    <t>اختيارف شستا-1210-1404/12/13</t>
  </si>
  <si>
    <t>اختيارخ وبملت-1500-1404/11/21</t>
  </si>
  <si>
    <t>اختيارخ فزر-110000-14041112</t>
  </si>
  <si>
    <t>اختيارخ وبملت-1700-1404/11/21</t>
  </si>
  <si>
    <t>اختيارخ وبملت-1800-1404/11/21</t>
  </si>
  <si>
    <t>اختيارخ شستا-2010-1404/11/08</t>
  </si>
  <si>
    <t>اختيارف اهرم-42000-1404/11/29</t>
  </si>
  <si>
    <t>اختيارخ فزر-120000-14041112</t>
  </si>
  <si>
    <t>اختيارخ خودرو-700-1404/12/06</t>
  </si>
  <si>
    <t>اختيارخ وبملت-1900-1404/11/21</t>
  </si>
  <si>
    <t>اختيارخ شپنا-8000-1404/12/19</t>
  </si>
  <si>
    <t>اختيارخ خودرو-650-1404/11/01</t>
  </si>
  <si>
    <t>اختيارخ وبملت-1600-1404/11/21</t>
  </si>
  <si>
    <t>اختيارخ شستا-1610-1404/11/08</t>
  </si>
  <si>
    <t>اختيارخ فولاد-4000-1404/11/08</t>
  </si>
  <si>
    <t>اختيارخ ذوب-500-1404/11/21</t>
  </si>
  <si>
    <t>اختيارخ ذوب-450-1404/11/21</t>
  </si>
  <si>
    <t>اختيارخ خودرو-600-1404/11/01</t>
  </si>
  <si>
    <t>اختيارف شستا-1710-1404/10/10</t>
  </si>
  <si>
    <t>اختيارف شستا-1610-1404/10/10</t>
  </si>
  <si>
    <t>اختيارخ شستا-1810-1404/10/10</t>
  </si>
  <si>
    <t>اختيارخ خودرو-700-1404/11/01</t>
  </si>
  <si>
    <t>اختيارف خودرو-550-1404/11/01</t>
  </si>
  <si>
    <t>اختيارف خودرو-600-1404/11/01</t>
  </si>
  <si>
    <t>اختيارخ خودرو-750-1404/11/01</t>
  </si>
  <si>
    <t>اختيارخ شستا-1310-1404/10/10</t>
  </si>
  <si>
    <t>اختيارخ وبملت-1100-1404/10/17</t>
  </si>
  <si>
    <t>اختيارخ وبملت-1300-1404/10/17</t>
  </si>
  <si>
    <t>اختيارخ خودرو-600-1404/10/03</t>
  </si>
  <si>
    <t>اختيارخ وبملت-1400-1405/05/20</t>
  </si>
  <si>
    <t>اختيارخ وبملت-1336-1405/04/24</t>
  </si>
  <si>
    <t>اختيارخ وبملت-1507-1405/04/24</t>
  </si>
  <si>
    <t>اختيارخ وبملت-1266-1405/04/24</t>
  </si>
  <si>
    <t>اختيارخ وبملت-1607-1405/04/24</t>
  </si>
  <si>
    <t>اوراق مشتقه</t>
  </si>
  <si>
    <t>1405/02/31</t>
  </si>
  <si>
    <t>1405/03/27</t>
  </si>
  <si>
    <t>1405/04/21</t>
  </si>
  <si>
    <t>1405/04/29</t>
  </si>
  <si>
    <t>1405/04/22</t>
  </si>
  <si>
    <t>1405/04/30</t>
  </si>
  <si>
    <t>1405/04/27</t>
  </si>
  <si>
    <t>1404/12/10</t>
  </si>
  <si>
    <t>1405/04/20</t>
  </si>
  <si>
    <t>1405/04/13</t>
  </si>
  <si>
    <t>خالص درآمد سود سهام</t>
  </si>
  <si>
    <t>جمع درآمد سود سهام</t>
  </si>
  <si>
    <t>سود متعلق به هر سهم</t>
  </si>
  <si>
    <t>تعداد سهام متعلقه در زمان مجمع</t>
  </si>
  <si>
    <t>تاریخ تشکیل مجمع</t>
  </si>
  <si>
    <t>اطلاعات مجمع</t>
  </si>
  <si>
    <t>اختيارخ وبملت--1125-1405/02/30</t>
  </si>
  <si>
    <t>اختيارخ وبملت-914-1405/03/20</t>
  </si>
  <si>
    <t>اختيارخ فزر-90750-14041210</t>
  </si>
  <si>
    <t>مپنا</t>
  </si>
  <si>
    <t>اختيارخ فزر-120750-14041210</t>
  </si>
  <si>
    <t>اختيارخ وبملت-1055-1405/03/20</t>
  </si>
  <si>
    <t>ذوب آهن  اصفهان</t>
  </si>
  <si>
    <t>اختيارخ وبملت--985-1405/02/30</t>
  </si>
  <si>
    <t>اختيارخ شپنا-6719-1405/02/30</t>
  </si>
  <si>
    <t>اختيارف وبملت--633-1405/02/30</t>
  </si>
  <si>
    <t>نام اختیار معامله</t>
  </si>
  <si>
    <t>1-2- سرمایه‌گذاری در سپرده‌ بانکی</t>
  </si>
  <si>
    <t>2-1-درآمد حاصل از سرمایه­گذاری در سهام و حق تقدم سهام:</t>
  </si>
  <si>
    <t>2-2-درآمد حاصل از سرمایه­گذاری در سپرده بانکی و گواهی سپرده:</t>
  </si>
  <si>
    <t>2-3-درآمد حاصل از سرمایه­گذاری در اوراق مشتقه:</t>
  </si>
  <si>
    <t>صورت وضعیت درآمدها</t>
  </si>
  <si>
    <t>2-4-سایر درآمدها:</t>
  </si>
  <si>
    <t>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</si>
</sst>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[Red]\(#,##0\);0"/>
    <numFmt numFmtId="165" formatCode="0.00%;[Red]\(0.00%\);0%"/>
    <numFmt numFmtId="168" formatCode="_ * #,##0_-_ ;_ * #,##0\-_ ;_ * &quot;-&quot;??_-_ ;_ @_ "/>
  </numFmts>
  <fonts count="17" x14ac:knownFonts="1">
    <font>
      <sz val="11"/>
      <color theme="1"/>
      <name val="Arial"/>
      <family val="2"/>
      <charset val="178"/>
      <scheme val="minor"/>
    </font>
    <font>
      <sz val="11"/>
      <color theme="1"/>
      <name val="B Zar"/>
      <charset val="178"/>
    </font>
    <font>
      <b/>
      <sz val="11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000000"/>
      <name val="B Zar"/>
      <charset val="178"/>
    </font>
    <font>
      <sz val="11"/>
      <color indexed="8"/>
      <name val="Arial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sz val="10"/>
      <color theme="1"/>
      <name val="B Zar"/>
      <charset val="178"/>
    </font>
    <font>
      <b/>
      <sz val="12"/>
      <color rgb="FF0062AC"/>
      <name val="B Zar"/>
      <charset val="178"/>
    </font>
    <font>
      <sz val="10"/>
      <color indexed="8"/>
      <name val="B Zar"/>
      <charset val="178"/>
    </font>
    <font>
      <sz val="10"/>
      <color theme="1"/>
      <name val="B Zar"/>
      <charset val="178"/>
    </font>
    <font>
      <b/>
      <sz val="10"/>
      <color rgb="FF0062AC"/>
      <name val="B Zar"/>
      <charset val="178"/>
    </font>
    <font>
      <b/>
      <sz val="11"/>
      <color rgb="FF0062AC"/>
      <name val="B Zar"/>
      <charset val="178"/>
    </font>
    <font>
      <sz val="11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7" fillId="0" borderId="0" xfId="1" applyFont="1"/>
    <xf numFmtId="164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 readingOrder="2"/>
    </xf>
    <xf numFmtId="0" fontId="13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 readingOrder="2"/>
    </xf>
    <xf numFmtId="0" fontId="11" fillId="0" borderId="0" xfId="0" applyFont="1" applyAlignment="1">
      <alignment horizontal="right" vertical="center" readingOrder="2"/>
    </xf>
    <xf numFmtId="0" fontId="4" fillId="0" borderId="0" xfId="0" applyFont="1" applyAlignment="1">
      <alignment vertical="center" wrapText="1" readingOrder="2"/>
    </xf>
    <xf numFmtId="0" fontId="13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right" vertical="center" wrapText="1" readingOrder="2"/>
    </xf>
    <xf numFmtId="0" fontId="11" fillId="0" borderId="0" xfId="0" applyFont="1" applyAlignment="1">
      <alignment vertical="center" readingOrder="2"/>
    </xf>
    <xf numFmtId="0" fontId="2" fillId="0" borderId="0" xfId="0" applyFont="1" applyAlignment="1">
      <alignment horizontal="right" vertical="center" readingOrder="2"/>
    </xf>
    <xf numFmtId="49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 wrapText="1" readingOrder="2"/>
    </xf>
    <xf numFmtId="37" fontId="6" fillId="0" borderId="0" xfId="1" applyNumberFormat="1" applyFont="1" applyAlignment="1">
      <alignment horizontal="center" vertical="center"/>
    </xf>
    <xf numFmtId="0" fontId="7" fillId="0" borderId="0" xfId="1" applyFont="1"/>
    <xf numFmtId="0" fontId="8" fillId="2" borderId="0" xfId="1" applyFont="1" applyFill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14" fillId="0" borderId="0" xfId="0" applyFont="1" applyAlignment="1">
      <alignment horizontal="right" vertical="center" readingOrder="2"/>
    </xf>
    <xf numFmtId="0" fontId="13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10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readingOrder="2"/>
    </xf>
    <xf numFmtId="0" fontId="11" fillId="0" borderId="0" xfId="0" applyFont="1" applyBorder="1" applyAlignment="1">
      <alignment vertical="center" readingOrder="2"/>
    </xf>
    <xf numFmtId="0" fontId="13" fillId="0" borderId="0" xfId="0" applyFont="1" applyAlignment="1">
      <alignment vertical="center" wrapText="1" readingOrder="2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 readingOrder="2"/>
    </xf>
    <xf numFmtId="0" fontId="10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168" fontId="4" fillId="0" borderId="2" xfId="3" applyNumberFormat="1" applyFont="1" applyBorder="1" applyAlignment="1">
      <alignment horizontal="center" vertical="center" wrapText="1" readingOrder="2"/>
    </xf>
    <xf numFmtId="168" fontId="1" fillId="0" borderId="0" xfId="3" applyNumberFormat="1" applyFont="1" applyAlignment="1">
      <alignment vertical="center"/>
    </xf>
    <xf numFmtId="168" fontId="4" fillId="0" borderId="1" xfId="3" applyNumberFormat="1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ADBED3E2-AD08-44B7-B528-1E6EF98C590C}"/>
    <cellStyle name="Percent 2" xfId="2" xr:uid="{40EAC237-EDA8-40C7-B4B2-5D0204BC06C5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324760</xdr:colOff>
      <xdr:row>6</xdr:row>
      <xdr:rowOff>76200</xdr:rowOff>
    </xdr:from>
    <xdr:ext cx="1993056" cy="1755775"/>
    <xdr:pic>
      <xdr:nvPicPr>
        <xdr:cNvPr id="2" name="Picture 1">
          <a:extLst>
            <a:ext uri="{FF2B5EF4-FFF2-40B4-BE49-F238E27FC236}">
              <a16:creationId xmlns:a16="http://schemas.microsoft.com/office/drawing/2014/main" id="{56730FE1-1D01-4227-9319-CE6829C85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7032584" y="1493520"/>
          <a:ext cx="1993056" cy="1755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1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C7E08CFF-DCAC-48E8-9031-9A96E5082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326654" y="1"/>
          <a:ext cx="1029325" cy="90678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4EE0F85E-862D-4A14-84D7-9848E790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555255" y="0"/>
          <a:ext cx="1029325" cy="90678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39CE6000-D4B2-43D9-AC5F-B05ED74D8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469155" y="0"/>
          <a:ext cx="1029325" cy="90678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3376" cy="883920"/>
    <xdr:pic>
      <xdr:nvPicPr>
        <xdr:cNvPr id="2" name="Picture 1">
          <a:extLst>
            <a:ext uri="{FF2B5EF4-FFF2-40B4-BE49-F238E27FC236}">
              <a16:creationId xmlns:a16="http://schemas.microsoft.com/office/drawing/2014/main" id="{FBD2A07B-B4EA-46AD-8CC4-8FAB166B8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561904" y="0"/>
          <a:ext cx="1003376" cy="8839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3376" cy="883920"/>
    <xdr:pic>
      <xdr:nvPicPr>
        <xdr:cNvPr id="2" name="Picture 1">
          <a:extLst>
            <a:ext uri="{FF2B5EF4-FFF2-40B4-BE49-F238E27FC236}">
              <a16:creationId xmlns:a16="http://schemas.microsoft.com/office/drawing/2014/main" id="{1106E1FF-F9F6-4035-9E59-AC5ABFCB6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846624" y="0"/>
          <a:ext cx="1003376" cy="88392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3376" cy="883920"/>
    <xdr:pic>
      <xdr:nvPicPr>
        <xdr:cNvPr id="2" name="Picture 1">
          <a:extLst>
            <a:ext uri="{FF2B5EF4-FFF2-40B4-BE49-F238E27FC236}">
              <a16:creationId xmlns:a16="http://schemas.microsoft.com/office/drawing/2014/main" id="{40AE550B-8237-4E6B-BB32-B4B848742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663244" y="0"/>
          <a:ext cx="1003376" cy="8839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3376" cy="883920"/>
    <xdr:pic>
      <xdr:nvPicPr>
        <xdr:cNvPr id="2" name="Picture 1">
          <a:extLst>
            <a:ext uri="{FF2B5EF4-FFF2-40B4-BE49-F238E27FC236}">
              <a16:creationId xmlns:a16="http://schemas.microsoft.com/office/drawing/2014/main" id="{1AC3DA4C-B7D4-4B9C-A723-64AC4A719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043744" y="0"/>
          <a:ext cx="1003376" cy="8839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3376" cy="883920"/>
    <xdr:pic>
      <xdr:nvPicPr>
        <xdr:cNvPr id="2" name="Picture 1">
          <a:extLst>
            <a:ext uri="{FF2B5EF4-FFF2-40B4-BE49-F238E27FC236}">
              <a16:creationId xmlns:a16="http://schemas.microsoft.com/office/drawing/2014/main" id="{70C0343C-7CE9-41B8-BDA8-F950B76A3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2591604" y="0"/>
          <a:ext cx="1003376" cy="8839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3376" cy="883920"/>
    <xdr:pic>
      <xdr:nvPicPr>
        <xdr:cNvPr id="2" name="Picture 1">
          <a:extLst>
            <a:ext uri="{FF2B5EF4-FFF2-40B4-BE49-F238E27FC236}">
              <a16:creationId xmlns:a16="http://schemas.microsoft.com/office/drawing/2014/main" id="{369B79C0-166E-4CFD-B85B-A639E80A2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778044" y="0"/>
          <a:ext cx="1003376" cy="8839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3376" cy="883920"/>
    <xdr:pic>
      <xdr:nvPicPr>
        <xdr:cNvPr id="2" name="Picture 1">
          <a:extLst>
            <a:ext uri="{FF2B5EF4-FFF2-40B4-BE49-F238E27FC236}">
              <a16:creationId xmlns:a16="http://schemas.microsoft.com/office/drawing/2014/main" id="{02527D72-34F5-4117-A168-0AB10B9C8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535484" y="0"/>
          <a:ext cx="1003376" cy="8839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5528" cy="815340"/>
    <xdr:pic>
      <xdr:nvPicPr>
        <xdr:cNvPr id="2" name="Picture 1">
          <a:extLst>
            <a:ext uri="{FF2B5EF4-FFF2-40B4-BE49-F238E27FC236}">
              <a16:creationId xmlns:a16="http://schemas.microsoft.com/office/drawing/2014/main" id="{A1B4468D-1D62-44EE-8F2C-008F6ECBA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2616112" y="0"/>
          <a:ext cx="925528" cy="81534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0676" cy="899160"/>
    <xdr:pic>
      <xdr:nvPicPr>
        <xdr:cNvPr id="2" name="Picture 1">
          <a:extLst>
            <a:ext uri="{FF2B5EF4-FFF2-40B4-BE49-F238E27FC236}">
              <a16:creationId xmlns:a16="http://schemas.microsoft.com/office/drawing/2014/main" id="{9830D18C-F49F-4103-AA3F-E08FC63C1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3008644" y="0"/>
          <a:ext cx="1020676" cy="89916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0676" cy="899160"/>
    <xdr:pic>
      <xdr:nvPicPr>
        <xdr:cNvPr id="2" name="Picture 1">
          <a:extLst>
            <a:ext uri="{FF2B5EF4-FFF2-40B4-BE49-F238E27FC236}">
              <a16:creationId xmlns:a16="http://schemas.microsoft.com/office/drawing/2014/main" id="{4550E99F-E4A5-4537-A666-589523835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5927104" y="0"/>
          <a:ext cx="1020676" cy="8991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71A4-F881-411E-871D-6577DD860055}">
  <sheetPr>
    <pageSetUpPr fitToPage="1"/>
  </sheetPr>
  <dimension ref="A18:J25"/>
  <sheetViews>
    <sheetView rightToLeft="1" tabSelected="1" view="pageBreakPreview" topLeftCell="A4" zoomScale="70" zoomScaleNormal="100" zoomScaleSheetLayoutView="70" workbookViewId="0">
      <selection activeCell="A21" sqref="A21"/>
    </sheetView>
  </sheetViews>
  <sheetFormatPr defaultColWidth="8.8984375" defaultRowHeight="18.600000000000001" x14ac:dyDescent="0.65"/>
  <cols>
    <col min="1" max="4" width="8.8984375" style="5"/>
    <col min="5" max="5" width="10" style="5" customWidth="1"/>
    <col min="6" max="16384" width="8.8984375" style="5"/>
  </cols>
  <sheetData>
    <row r="18" spans="1:10" ht="40.200000000000003" customHeight="1" x14ac:dyDescent="0.65">
      <c r="A18" s="36" t="s">
        <v>67</v>
      </c>
      <c r="B18" s="37"/>
      <c r="C18" s="37"/>
      <c r="D18" s="37"/>
      <c r="E18" s="37"/>
      <c r="F18" s="37"/>
      <c r="G18" s="37"/>
      <c r="H18" s="37"/>
      <c r="I18" s="37"/>
      <c r="J18" s="37"/>
    </row>
    <row r="19" spans="1:10" ht="40.200000000000003" customHeight="1" x14ac:dyDescent="0.65">
      <c r="A19" s="36" t="s">
        <v>41</v>
      </c>
      <c r="B19" s="37"/>
      <c r="C19" s="37"/>
      <c r="D19" s="37"/>
      <c r="E19" s="37"/>
      <c r="F19" s="37"/>
      <c r="G19" s="37"/>
      <c r="H19" s="37"/>
      <c r="I19" s="37"/>
      <c r="J19" s="37"/>
    </row>
    <row r="20" spans="1:10" ht="40.200000000000003" customHeight="1" x14ac:dyDescent="0.65">
      <c r="A20" s="36" t="s">
        <v>55</v>
      </c>
      <c r="B20" s="37"/>
      <c r="C20" s="37"/>
      <c r="D20" s="37"/>
      <c r="E20" s="37"/>
      <c r="F20" s="37"/>
      <c r="G20" s="37"/>
      <c r="H20" s="37"/>
      <c r="I20" s="37"/>
      <c r="J20" s="37"/>
    </row>
    <row r="24" spans="1:10" ht="43.5" customHeight="1" x14ac:dyDescent="0.65">
      <c r="B24" s="38" t="s">
        <v>50</v>
      </c>
      <c r="C24" s="38"/>
      <c r="D24" s="38" t="s">
        <v>1</v>
      </c>
      <c r="E24" s="38"/>
      <c r="F24" s="38" t="s">
        <v>51</v>
      </c>
      <c r="G24" s="38"/>
      <c r="H24" s="38" t="s">
        <v>52</v>
      </c>
      <c r="I24" s="38"/>
    </row>
    <row r="25" spans="1:10" ht="39.75" customHeight="1" x14ac:dyDescent="0.65">
      <c r="B25" s="35" t="s">
        <v>39</v>
      </c>
      <c r="C25" s="35"/>
      <c r="D25" s="35" t="s">
        <v>53</v>
      </c>
      <c r="E25" s="35"/>
      <c r="F25" s="35" t="s">
        <v>54</v>
      </c>
      <c r="G25" s="35"/>
      <c r="H25" s="35"/>
      <c r="I25" s="35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8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4EFA-0AAE-44C8-9F48-1B6687A67901}">
  <dimension ref="A1:N56"/>
  <sheetViews>
    <sheetView rightToLeft="1" view="pageBreakPreview" zoomScale="70" zoomScaleNormal="100" zoomScaleSheetLayoutView="70" workbookViewId="0">
      <selection activeCell="H10" sqref="H10"/>
    </sheetView>
  </sheetViews>
  <sheetFormatPr defaultColWidth="9.09765625" defaultRowHeight="18" x14ac:dyDescent="0.25"/>
  <cols>
    <col min="1" max="1" width="22.8984375" style="12" customWidth="1"/>
    <col min="2" max="2" width="14.5" style="12" customWidth="1"/>
    <col min="3" max="3" width="17.8984375" style="12" customWidth="1"/>
    <col min="4" max="4" width="16.8984375" style="12" customWidth="1"/>
    <col min="5" max="6" width="12" style="12" customWidth="1"/>
    <col min="7" max="7" width="14.5" style="12" customWidth="1"/>
    <col min="8" max="8" width="12" style="12" customWidth="1"/>
    <col min="9" max="10" width="14.5" style="12" customWidth="1"/>
    <col min="11" max="11" width="14" style="12" customWidth="1"/>
    <col min="12" max="12" width="17.8984375" style="12" customWidth="1"/>
    <col min="13" max="13" width="16.8984375" style="12" customWidth="1"/>
    <col min="14" max="14" width="10.3984375" style="12" customWidth="1"/>
    <col min="15" max="16384" width="9.09765625" style="12"/>
  </cols>
  <sheetData>
    <row r="1" spans="1:14" ht="20.399999999999999" x14ac:dyDescent="0.25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0.399999999999999" x14ac:dyDescent="0.25">
      <c r="A2" s="42" t="s">
        <v>33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4" ht="20.399999999999999" x14ac:dyDescent="0.25">
      <c r="A3" s="42" t="s">
        <v>43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20.399999999999999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0.399999999999999" x14ac:dyDescent="0.25">
      <c r="A5" s="43" t="s">
        <v>110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1:14" ht="20.399999999999999" x14ac:dyDescent="0.25">
      <c r="A6" s="43" t="s">
        <v>109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8" spans="1:14" ht="18.75" customHeight="1" thickBot="1" x14ac:dyDescent="0.3">
      <c r="A8" s="15"/>
      <c r="B8" s="39" t="s">
        <v>47</v>
      </c>
      <c r="C8" s="39"/>
      <c r="D8" s="39"/>
      <c r="E8" s="57"/>
      <c r="F8" s="44" t="s">
        <v>56</v>
      </c>
      <c r="G8" s="44"/>
      <c r="H8" s="44"/>
      <c r="I8" s="44"/>
      <c r="J8" s="39" t="s">
        <v>44</v>
      </c>
      <c r="K8" s="39"/>
      <c r="L8" s="39"/>
      <c r="M8" s="39"/>
      <c r="N8" s="39"/>
    </row>
    <row r="9" spans="1:14" ht="17.25" customHeight="1" x14ac:dyDescent="0.25">
      <c r="A9" s="45" t="s">
        <v>1</v>
      </c>
      <c r="B9" s="48" t="s">
        <v>3</v>
      </c>
      <c r="C9" s="48" t="s">
        <v>0</v>
      </c>
      <c r="D9" s="58" t="s">
        <v>11</v>
      </c>
      <c r="E9" s="50" t="s">
        <v>57</v>
      </c>
      <c r="F9" s="50"/>
      <c r="G9" s="50"/>
      <c r="H9" s="50" t="s">
        <v>58</v>
      </c>
      <c r="I9" s="50"/>
      <c r="J9" s="59" t="s">
        <v>3</v>
      </c>
      <c r="K9" s="58" t="s">
        <v>108</v>
      </c>
      <c r="L9" s="59" t="s">
        <v>0</v>
      </c>
      <c r="M9" s="58" t="s">
        <v>11</v>
      </c>
      <c r="N9" s="58" t="s">
        <v>107</v>
      </c>
    </row>
    <row r="10" spans="1:14" ht="20.25" customHeight="1" thickBot="1" x14ac:dyDescent="0.3">
      <c r="A10" s="46"/>
      <c r="B10" s="49"/>
      <c r="C10" s="49"/>
      <c r="D10" s="46"/>
      <c r="E10" s="10" t="s">
        <v>106</v>
      </c>
      <c r="F10" s="11" t="s">
        <v>3</v>
      </c>
      <c r="G10" s="11" t="s">
        <v>0</v>
      </c>
      <c r="H10" s="11" t="s">
        <v>3</v>
      </c>
      <c r="I10" s="11" t="s">
        <v>32</v>
      </c>
      <c r="J10" s="49"/>
      <c r="K10" s="46"/>
      <c r="L10" s="49"/>
      <c r="M10" s="46"/>
      <c r="N10" s="46"/>
    </row>
    <row r="11" spans="1:14" x14ac:dyDescent="0.25">
      <c r="A11" s="6" t="s">
        <v>105</v>
      </c>
      <c r="B11" s="14">
        <v>1600000</v>
      </c>
      <c r="C11" s="14">
        <v>10423704772</v>
      </c>
      <c r="D11" s="14">
        <v>16177970080</v>
      </c>
      <c r="E11" s="14">
        <v>0</v>
      </c>
      <c r="F11" s="14">
        <v>1000000</v>
      </c>
      <c r="G11" s="14">
        <v>10066746535</v>
      </c>
      <c r="H11" s="14">
        <v>0</v>
      </c>
      <c r="I11" s="14">
        <v>0</v>
      </c>
      <c r="J11" s="14">
        <v>2600000</v>
      </c>
      <c r="K11" s="14">
        <v>11540</v>
      </c>
      <c r="L11" s="14">
        <v>20490451307</v>
      </c>
      <c r="M11" s="14">
        <v>29772069080</v>
      </c>
      <c r="N11" s="7">
        <v>1.5811898344841601E-2</v>
      </c>
    </row>
    <row r="12" spans="1:14" x14ac:dyDescent="0.25">
      <c r="A12" s="6" t="s">
        <v>104</v>
      </c>
      <c r="B12" s="14">
        <v>9890291</v>
      </c>
      <c r="C12" s="14">
        <v>14099676972</v>
      </c>
      <c r="D12" s="14">
        <v>35300379065</v>
      </c>
      <c r="E12" s="14">
        <v>2231897</v>
      </c>
      <c r="F12" s="14">
        <v>0</v>
      </c>
      <c r="G12" s="14">
        <v>0</v>
      </c>
      <c r="H12" s="14">
        <v>0</v>
      </c>
      <c r="I12" s="14">
        <v>0</v>
      </c>
      <c r="J12" s="14">
        <v>12122188</v>
      </c>
      <c r="K12" s="14">
        <v>2785</v>
      </c>
      <c r="L12" s="14">
        <v>14099676972</v>
      </c>
      <c r="M12" s="14">
        <v>33499326511</v>
      </c>
      <c r="N12" s="7">
        <v>1.7791438814322047E-2</v>
      </c>
    </row>
    <row r="13" spans="1:14" x14ac:dyDescent="0.25">
      <c r="A13" s="6" t="s">
        <v>103</v>
      </c>
      <c r="B13" s="14">
        <v>43438000</v>
      </c>
      <c r="C13" s="14">
        <v>14441147939</v>
      </c>
      <c r="D13" s="14">
        <v>24826881174</v>
      </c>
      <c r="E13" s="14">
        <v>0</v>
      </c>
      <c r="F13" s="14">
        <v>0</v>
      </c>
      <c r="G13" s="14">
        <v>0</v>
      </c>
      <c r="H13" s="14">
        <v>10000000</v>
      </c>
      <c r="I13" s="14">
        <v>5606325518</v>
      </c>
      <c r="J13" s="14">
        <v>33438000</v>
      </c>
      <c r="K13" s="14">
        <v>504</v>
      </c>
      <c r="L13" s="14">
        <v>11116605387</v>
      </c>
      <c r="M13" s="14">
        <v>16722480227</v>
      </c>
      <c r="N13" s="7">
        <v>8.8812825441337354E-3</v>
      </c>
    </row>
    <row r="14" spans="1:14" x14ac:dyDescent="0.25">
      <c r="A14" s="6" t="s">
        <v>102</v>
      </c>
      <c r="B14" s="14">
        <v>10000000</v>
      </c>
      <c r="C14" s="14">
        <v>31095618483</v>
      </c>
      <c r="D14" s="14">
        <v>31216814200</v>
      </c>
      <c r="E14" s="14">
        <v>0</v>
      </c>
      <c r="F14" s="14">
        <v>4000000</v>
      </c>
      <c r="G14" s="14">
        <v>12677282484</v>
      </c>
      <c r="H14" s="14">
        <v>0</v>
      </c>
      <c r="I14" s="14">
        <v>0</v>
      </c>
      <c r="J14" s="14">
        <v>14000000</v>
      </c>
      <c r="K14" s="14">
        <v>2974</v>
      </c>
      <c r="L14" s="14">
        <v>43772900967</v>
      </c>
      <c r="M14" s="14">
        <v>41314153720</v>
      </c>
      <c r="N14" s="7">
        <v>2.1941881065385443E-2</v>
      </c>
    </row>
    <row r="15" spans="1:14" x14ac:dyDescent="0.25">
      <c r="A15" s="6" t="s">
        <v>101</v>
      </c>
      <c r="B15" s="14">
        <v>162137779</v>
      </c>
      <c r="C15" s="14">
        <v>159884934984</v>
      </c>
      <c r="D15" s="14">
        <v>213332785962</v>
      </c>
      <c r="E15" s="14">
        <v>0</v>
      </c>
      <c r="F15" s="14">
        <v>0</v>
      </c>
      <c r="G15" s="14">
        <v>0</v>
      </c>
      <c r="H15" s="14">
        <v>33166219</v>
      </c>
      <c r="I15" s="14">
        <v>41931069406</v>
      </c>
      <c r="J15" s="14">
        <v>128971560</v>
      </c>
      <c r="K15" s="14">
        <v>1118</v>
      </c>
      <c r="L15" s="14">
        <v>127179548237</v>
      </c>
      <c r="M15" s="14">
        <v>143075613802</v>
      </c>
      <c r="N15" s="7">
        <v>7.5987230010250928E-2</v>
      </c>
    </row>
    <row r="16" spans="1:14" x14ac:dyDescent="0.25">
      <c r="A16" s="6" t="s">
        <v>100</v>
      </c>
      <c r="B16" s="14">
        <v>2000000</v>
      </c>
      <c r="C16" s="14">
        <v>15400918958</v>
      </c>
      <c r="D16" s="14">
        <v>15022967800</v>
      </c>
      <c r="E16" s="14">
        <v>0</v>
      </c>
      <c r="F16" s="14">
        <v>0</v>
      </c>
      <c r="G16" s="14">
        <v>0</v>
      </c>
      <c r="H16" s="14">
        <v>2000000</v>
      </c>
      <c r="I16" s="14">
        <v>16332764255</v>
      </c>
      <c r="J16" s="14">
        <v>0</v>
      </c>
      <c r="K16" s="14">
        <v>0</v>
      </c>
      <c r="L16" s="14">
        <v>0</v>
      </c>
      <c r="M16" s="14">
        <v>0</v>
      </c>
      <c r="N16" s="7">
        <v>0</v>
      </c>
    </row>
    <row r="17" spans="1:14" x14ac:dyDescent="0.25">
      <c r="A17" s="6" t="s">
        <v>99</v>
      </c>
      <c r="B17" s="14">
        <v>7493258</v>
      </c>
      <c r="C17" s="14">
        <v>13680198292</v>
      </c>
      <c r="D17" s="14">
        <v>16558491303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7493258</v>
      </c>
      <c r="K17" s="14">
        <v>1986</v>
      </c>
      <c r="L17" s="14">
        <v>13680198292</v>
      </c>
      <c r="M17" s="14">
        <v>14766575540</v>
      </c>
      <c r="N17" s="7">
        <v>7.8425046882870005E-3</v>
      </c>
    </row>
    <row r="18" spans="1:14" x14ac:dyDescent="0.25">
      <c r="A18" s="6" t="s">
        <v>98</v>
      </c>
      <c r="B18" s="14">
        <v>200000</v>
      </c>
      <c r="C18" s="14">
        <v>3135267771</v>
      </c>
      <c r="D18" s="14">
        <v>3381656160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200000</v>
      </c>
      <c r="K18" s="14">
        <v>14980</v>
      </c>
      <c r="L18" s="14">
        <v>3135267771</v>
      </c>
      <c r="M18" s="14">
        <v>2972840920</v>
      </c>
      <c r="N18" s="7">
        <v>1.5788710652294838E-3</v>
      </c>
    </row>
    <row r="19" spans="1:14" x14ac:dyDescent="0.25">
      <c r="A19" s="6" t="s">
        <v>97</v>
      </c>
      <c r="B19" s="14">
        <v>870000</v>
      </c>
      <c r="C19" s="14">
        <v>15265432832</v>
      </c>
      <c r="D19" s="14">
        <v>15754766925</v>
      </c>
      <c r="E19" s="14">
        <v>0</v>
      </c>
      <c r="F19" s="14">
        <v>0</v>
      </c>
      <c r="G19" s="14">
        <v>0</v>
      </c>
      <c r="H19" s="14">
        <v>435000</v>
      </c>
      <c r="I19" s="14">
        <v>9927998529</v>
      </c>
      <c r="J19" s="14">
        <v>435000</v>
      </c>
      <c r="K19" s="14">
        <v>20590</v>
      </c>
      <c r="L19" s="14">
        <v>7632716416</v>
      </c>
      <c r="M19" s="14">
        <v>8887415095</v>
      </c>
      <c r="N19" s="7">
        <v>4.7200919644833353E-3</v>
      </c>
    </row>
    <row r="20" spans="1:14" x14ac:dyDescent="0.25">
      <c r="A20" s="6" t="s">
        <v>96</v>
      </c>
      <c r="B20" s="14">
        <v>66000000</v>
      </c>
      <c r="C20" s="14">
        <v>118438653757</v>
      </c>
      <c r="D20" s="14">
        <v>134188641180</v>
      </c>
      <c r="E20" s="14">
        <v>0</v>
      </c>
      <c r="F20" s="14">
        <v>0</v>
      </c>
      <c r="G20" s="14">
        <v>0</v>
      </c>
      <c r="H20" s="14">
        <v>45269000</v>
      </c>
      <c r="I20" s="14">
        <v>102208568045</v>
      </c>
      <c r="J20" s="14">
        <v>20731000</v>
      </c>
      <c r="K20" s="14">
        <v>2178</v>
      </c>
      <c r="L20" s="14">
        <v>37202298955</v>
      </c>
      <c r="M20" s="14">
        <v>44803092128</v>
      </c>
      <c r="N20" s="7">
        <v>2.3794850682326476E-2</v>
      </c>
    </row>
    <row r="21" spans="1:14" x14ac:dyDescent="0.25">
      <c r="A21" s="6" t="s">
        <v>95</v>
      </c>
      <c r="B21" s="14">
        <v>350000</v>
      </c>
      <c r="C21" s="14">
        <v>8636181592</v>
      </c>
      <c r="D21" s="14">
        <v>21546150780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350000</v>
      </c>
      <c r="K21" s="14">
        <v>69340</v>
      </c>
      <c r="L21" s="14">
        <v>8636181592</v>
      </c>
      <c r="M21" s="14">
        <v>24081400630</v>
      </c>
      <c r="N21" s="7">
        <v>1.2789593418576217E-2</v>
      </c>
    </row>
    <row r="22" spans="1:14" x14ac:dyDescent="0.25">
      <c r="A22" s="6" t="s">
        <v>94</v>
      </c>
      <c r="B22" s="14">
        <v>4933333</v>
      </c>
      <c r="C22" s="14">
        <v>48286812657</v>
      </c>
      <c r="D22" s="14">
        <v>69707624303</v>
      </c>
      <c r="E22" s="14">
        <v>0</v>
      </c>
      <c r="F22" s="14">
        <v>1000000</v>
      </c>
      <c r="G22" s="14">
        <v>13856816424</v>
      </c>
      <c r="H22" s="14">
        <v>500000</v>
      </c>
      <c r="I22" s="14">
        <v>7992734880</v>
      </c>
      <c r="J22" s="14">
        <v>5433333</v>
      </c>
      <c r="K22" s="14">
        <v>16400</v>
      </c>
      <c r="L22" s="14">
        <v>56906806111</v>
      </c>
      <c r="M22" s="14">
        <v>88417866709</v>
      </c>
      <c r="N22" s="7">
        <v>4.6958587813086664E-2</v>
      </c>
    </row>
    <row r="23" spans="1:14" x14ac:dyDescent="0.25">
      <c r="A23" s="6" t="s">
        <v>93</v>
      </c>
      <c r="B23" s="14">
        <v>7800000</v>
      </c>
      <c r="C23" s="14">
        <v>101814812752</v>
      </c>
      <c r="D23" s="14">
        <v>116327781180</v>
      </c>
      <c r="E23" s="14">
        <v>0</v>
      </c>
      <c r="F23" s="14">
        <v>1200000</v>
      </c>
      <c r="G23" s="14">
        <v>18059983899</v>
      </c>
      <c r="H23" s="14">
        <v>2250000</v>
      </c>
      <c r="I23" s="14">
        <v>33197198319</v>
      </c>
      <c r="J23" s="14">
        <v>6750000</v>
      </c>
      <c r="K23" s="14">
        <v>13710</v>
      </c>
      <c r="L23" s="14">
        <v>89906097488</v>
      </c>
      <c r="M23" s="14">
        <v>91827146475</v>
      </c>
      <c r="N23" s="7">
        <v>4.8769250852469796E-2</v>
      </c>
    </row>
    <row r="24" spans="1:14" x14ac:dyDescent="0.25">
      <c r="A24" s="6" t="s">
        <v>92</v>
      </c>
      <c r="B24" s="14">
        <v>1100000</v>
      </c>
      <c r="C24" s="14">
        <v>18985514881</v>
      </c>
      <c r="D24" s="14">
        <v>31620668090</v>
      </c>
      <c r="E24" s="14">
        <v>0</v>
      </c>
      <c r="F24" s="14">
        <v>1000000</v>
      </c>
      <c r="G24" s="14">
        <v>28166918574</v>
      </c>
      <c r="H24" s="14">
        <v>0</v>
      </c>
      <c r="I24" s="14">
        <v>0</v>
      </c>
      <c r="J24" s="14">
        <v>2100000</v>
      </c>
      <c r="K24" s="14">
        <v>26350</v>
      </c>
      <c r="L24" s="14">
        <v>47152433431</v>
      </c>
      <c r="M24" s="14">
        <v>54907260450</v>
      </c>
      <c r="N24" s="7">
        <v>2.9161158342614651E-2</v>
      </c>
    </row>
    <row r="25" spans="1:14" x14ac:dyDescent="0.25">
      <c r="A25" s="6" t="s">
        <v>91</v>
      </c>
      <c r="B25" s="14">
        <v>9200000</v>
      </c>
      <c r="C25" s="14">
        <v>49378139966</v>
      </c>
      <c r="D25" s="14">
        <v>114658783040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9200000</v>
      </c>
      <c r="K25" s="14">
        <v>10400</v>
      </c>
      <c r="L25" s="14">
        <v>49378139966</v>
      </c>
      <c r="M25" s="14">
        <v>94940393600</v>
      </c>
      <c r="N25" s="7">
        <v>5.0422691428957618E-2</v>
      </c>
    </row>
    <row r="26" spans="1:14" x14ac:dyDescent="0.25">
      <c r="A26" s="6" t="s">
        <v>90</v>
      </c>
      <c r="B26" s="14">
        <v>2000000</v>
      </c>
      <c r="C26" s="14">
        <v>31145340794</v>
      </c>
      <c r="D26" s="14">
        <v>33737180000</v>
      </c>
      <c r="E26" s="14">
        <v>0</v>
      </c>
      <c r="F26" s="14">
        <v>0</v>
      </c>
      <c r="G26" s="14">
        <v>0</v>
      </c>
      <c r="H26" s="14">
        <v>2000000</v>
      </c>
      <c r="I26" s="14">
        <v>36673091422</v>
      </c>
      <c r="J26" s="14">
        <v>0</v>
      </c>
      <c r="K26" s="14">
        <v>0</v>
      </c>
      <c r="L26" s="14">
        <v>0</v>
      </c>
      <c r="M26" s="14">
        <v>0</v>
      </c>
      <c r="N26" s="7">
        <v>0</v>
      </c>
    </row>
    <row r="27" spans="1:14" x14ac:dyDescent="0.25">
      <c r="A27" s="6" t="s">
        <v>89</v>
      </c>
      <c r="B27" s="14">
        <v>22820100</v>
      </c>
      <c r="C27" s="14">
        <v>59176089105</v>
      </c>
      <c r="D27" s="14">
        <v>47280046909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22820100</v>
      </c>
      <c r="K27" s="14">
        <v>2088</v>
      </c>
      <c r="L27" s="14">
        <v>59176089105</v>
      </c>
      <c r="M27" s="14">
        <v>47280046909</v>
      </c>
      <c r="N27" s="7">
        <v>2.5110357411022449E-2</v>
      </c>
    </row>
    <row r="28" spans="1:14" x14ac:dyDescent="0.25">
      <c r="A28" s="6" t="s">
        <v>88</v>
      </c>
      <c r="B28" s="14">
        <v>20000000</v>
      </c>
      <c r="C28" s="14">
        <v>42483040215</v>
      </c>
      <c r="D28" s="14">
        <v>43382044400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20000000</v>
      </c>
      <c r="K28" s="14">
        <v>2384</v>
      </c>
      <c r="L28" s="14">
        <v>42483040215</v>
      </c>
      <c r="M28" s="14">
        <v>47311433600</v>
      </c>
      <c r="N28" s="7">
        <v>2.5127026832490584E-2</v>
      </c>
    </row>
    <row r="29" spans="1:14" x14ac:dyDescent="0.25">
      <c r="A29" s="6" t="s">
        <v>87</v>
      </c>
      <c r="B29" s="14">
        <v>250000</v>
      </c>
      <c r="C29" s="14">
        <v>8923353585</v>
      </c>
      <c r="D29" s="14">
        <v>9587808875</v>
      </c>
      <c r="E29" s="14">
        <v>0</v>
      </c>
      <c r="F29" s="14">
        <v>0</v>
      </c>
      <c r="G29" s="14">
        <v>0</v>
      </c>
      <c r="H29" s="14">
        <v>125000</v>
      </c>
      <c r="I29" s="14">
        <v>5394268979</v>
      </c>
      <c r="J29" s="14">
        <v>125000</v>
      </c>
      <c r="K29" s="14">
        <v>43480</v>
      </c>
      <c r="L29" s="14">
        <v>4461676792</v>
      </c>
      <c r="M29" s="14">
        <v>5392987450</v>
      </c>
      <c r="N29" s="7">
        <v>2.8642070225374651E-3</v>
      </c>
    </row>
    <row r="30" spans="1:14" x14ac:dyDescent="0.25">
      <c r="A30" s="6" t="s">
        <v>86</v>
      </c>
      <c r="B30" s="14">
        <v>800000</v>
      </c>
      <c r="C30" s="14">
        <v>11513575776</v>
      </c>
      <c r="D30" s="14">
        <v>11796105760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800000</v>
      </c>
      <c r="K30" s="14">
        <v>13260</v>
      </c>
      <c r="L30" s="14">
        <v>11513575776</v>
      </c>
      <c r="M30" s="14">
        <v>10526000160</v>
      </c>
      <c r="N30" s="7">
        <v>5.5903418758192144E-3</v>
      </c>
    </row>
    <row r="31" spans="1:14" x14ac:dyDescent="0.25">
      <c r="A31" s="6" t="s">
        <v>85</v>
      </c>
      <c r="B31" s="14">
        <v>7200000</v>
      </c>
      <c r="C31" s="14">
        <v>67722791063</v>
      </c>
      <c r="D31" s="14">
        <v>82017069120</v>
      </c>
      <c r="E31" s="14">
        <v>0</v>
      </c>
      <c r="F31" s="14">
        <v>1000000</v>
      </c>
      <c r="G31" s="14">
        <v>10838797790</v>
      </c>
      <c r="H31" s="14">
        <v>0</v>
      </c>
      <c r="I31" s="14">
        <v>0</v>
      </c>
      <c r="J31" s="14">
        <v>8200000</v>
      </c>
      <c r="K31" s="14">
        <v>9100</v>
      </c>
      <c r="L31" s="14">
        <v>78561588853</v>
      </c>
      <c r="M31" s="14">
        <v>74043187400</v>
      </c>
      <c r="N31" s="7">
        <v>3.9324218587257709E-2</v>
      </c>
    </row>
    <row r="32" spans="1:14" x14ac:dyDescent="0.25">
      <c r="A32" s="6" t="s">
        <v>84</v>
      </c>
      <c r="B32" s="14">
        <v>11000000</v>
      </c>
      <c r="C32" s="14">
        <v>60031917249</v>
      </c>
      <c r="D32" s="14">
        <v>240893387900</v>
      </c>
      <c r="E32" s="14">
        <v>0</v>
      </c>
      <c r="F32" s="14">
        <v>0</v>
      </c>
      <c r="G32" s="14">
        <v>0</v>
      </c>
      <c r="H32" s="14">
        <v>1500000</v>
      </c>
      <c r="I32" s="14">
        <v>30437882348</v>
      </c>
      <c r="J32" s="14">
        <v>9500000</v>
      </c>
      <c r="K32" s="14">
        <v>20470</v>
      </c>
      <c r="L32" s="14">
        <v>51845746715</v>
      </c>
      <c r="M32" s="14">
        <v>192961785550</v>
      </c>
      <c r="N32" s="7">
        <v>0.1024816961614992</v>
      </c>
    </row>
    <row r="33" spans="1:14" x14ac:dyDescent="0.25">
      <c r="A33" s="6" t="s">
        <v>83</v>
      </c>
      <c r="B33" s="14">
        <v>14070541</v>
      </c>
      <c r="C33" s="14">
        <v>48241046737</v>
      </c>
      <c r="D33" s="14">
        <v>127889865578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14070541</v>
      </c>
      <c r="K33" s="14">
        <v>9420</v>
      </c>
      <c r="L33" s="14">
        <v>48241046737</v>
      </c>
      <c r="M33" s="14">
        <v>131519927264</v>
      </c>
      <c r="N33" s="7">
        <v>6.9850023343400403E-2</v>
      </c>
    </row>
    <row r="34" spans="1:14" x14ac:dyDescent="0.25">
      <c r="A34" s="6" t="s">
        <v>82</v>
      </c>
      <c r="B34" s="14">
        <v>5275000</v>
      </c>
      <c r="C34" s="14">
        <v>21538110190</v>
      </c>
      <c r="D34" s="14">
        <v>60664659057</v>
      </c>
      <c r="E34" s="14">
        <v>0</v>
      </c>
      <c r="F34" s="14">
        <v>0</v>
      </c>
      <c r="G34" s="14">
        <v>0</v>
      </c>
      <c r="H34" s="14">
        <v>1575000</v>
      </c>
      <c r="I34" s="14">
        <v>17285219525</v>
      </c>
      <c r="J34" s="14">
        <v>3700000</v>
      </c>
      <c r="K34" s="14">
        <v>11080</v>
      </c>
      <c r="L34" s="14">
        <v>15107300038</v>
      </c>
      <c r="M34" s="14">
        <v>40679100920</v>
      </c>
      <c r="N34" s="7">
        <v>2.1604605537432552E-2</v>
      </c>
    </row>
    <row r="35" spans="1:14" x14ac:dyDescent="0.25">
      <c r="A35" s="6" t="s">
        <v>81</v>
      </c>
      <c r="B35" s="14">
        <v>300000</v>
      </c>
      <c r="C35" s="14">
        <v>6545888977</v>
      </c>
      <c r="D35" s="14">
        <v>12972937980</v>
      </c>
      <c r="E35" s="14">
        <v>0</v>
      </c>
      <c r="F35" s="14">
        <v>500000</v>
      </c>
      <c r="G35" s="14">
        <v>21914242551</v>
      </c>
      <c r="H35" s="14">
        <v>0</v>
      </c>
      <c r="I35" s="14">
        <v>0</v>
      </c>
      <c r="J35" s="14">
        <v>800000</v>
      </c>
      <c r="K35" s="14">
        <v>38960</v>
      </c>
      <c r="L35" s="14">
        <v>28460131502</v>
      </c>
      <c r="M35" s="14">
        <v>30927071360</v>
      </c>
      <c r="N35" s="7">
        <v>1.6425318211305925E-2</v>
      </c>
    </row>
    <row r="36" spans="1:14" x14ac:dyDescent="0.25">
      <c r="A36" s="6" t="s">
        <v>80</v>
      </c>
      <c r="B36" s="14">
        <v>5684429</v>
      </c>
      <c r="C36" s="14">
        <v>9384678339</v>
      </c>
      <c r="D36" s="14">
        <v>29217729725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5684429</v>
      </c>
      <c r="K36" s="14">
        <v>4760</v>
      </c>
      <c r="L36" s="14">
        <v>9384678339</v>
      </c>
      <c r="M36" s="14">
        <v>26848724612</v>
      </c>
      <c r="N36" s="7">
        <v>1.4259314766227552E-2</v>
      </c>
    </row>
    <row r="37" spans="1:14" x14ac:dyDescent="0.25">
      <c r="A37" s="6" t="s">
        <v>79</v>
      </c>
      <c r="B37" s="14">
        <v>2811149</v>
      </c>
      <c r="C37" s="14">
        <v>63883854194</v>
      </c>
      <c r="D37" s="14">
        <v>80753674788</v>
      </c>
      <c r="E37" s="14">
        <v>0</v>
      </c>
      <c r="F37" s="14">
        <v>0</v>
      </c>
      <c r="G37" s="14">
        <v>0</v>
      </c>
      <c r="H37" s="14">
        <v>200000</v>
      </c>
      <c r="I37" s="14">
        <v>5395964270</v>
      </c>
      <c r="J37" s="14">
        <v>2611149</v>
      </c>
      <c r="K37" s="14">
        <v>23410</v>
      </c>
      <c r="L37" s="14">
        <v>59338819107</v>
      </c>
      <c r="M37" s="14">
        <v>60654486395</v>
      </c>
      <c r="N37" s="7">
        <v>3.2213500864156863E-2</v>
      </c>
    </row>
    <row r="38" spans="1:14" x14ac:dyDescent="0.25">
      <c r="A38" s="6" t="s">
        <v>78</v>
      </c>
      <c r="B38" s="14">
        <v>3000000</v>
      </c>
      <c r="C38" s="14">
        <v>28866696331</v>
      </c>
      <c r="D38" s="14">
        <v>34620300300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3000000</v>
      </c>
      <c r="K38" s="14">
        <v>10110</v>
      </c>
      <c r="L38" s="14">
        <v>28866696331</v>
      </c>
      <c r="M38" s="14">
        <v>30095549100</v>
      </c>
      <c r="N38" s="7">
        <v>1.5983698066892607E-2</v>
      </c>
    </row>
    <row r="39" spans="1:14" x14ac:dyDescent="0.25">
      <c r="A39" s="6" t="s">
        <v>77</v>
      </c>
      <c r="B39" s="14">
        <v>454</v>
      </c>
      <c r="C39" s="14">
        <v>19762080</v>
      </c>
      <c r="D39" s="14">
        <v>30038712</v>
      </c>
      <c r="E39" s="14">
        <v>0</v>
      </c>
      <c r="F39" s="14">
        <v>0</v>
      </c>
      <c r="G39" s="14">
        <v>0</v>
      </c>
      <c r="H39" s="14">
        <v>454</v>
      </c>
      <c r="I39" s="14">
        <v>26750133</v>
      </c>
      <c r="J39" s="14">
        <v>0</v>
      </c>
      <c r="K39" s="14">
        <v>0</v>
      </c>
      <c r="L39" s="14">
        <v>0</v>
      </c>
      <c r="M39" s="14">
        <v>0</v>
      </c>
      <c r="N39" s="7">
        <v>0</v>
      </c>
    </row>
    <row r="40" spans="1:14" x14ac:dyDescent="0.25">
      <c r="A40" s="6" t="s">
        <v>76</v>
      </c>
      <c r="B40" s="14">
        <v>200000</v>
      </c>
      <c r="C40" s="14">
        <v>8564224465</v>
      </c>
      <c r="D40" s="14">
        <v>7789319500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200000</v>
      </c>
      <c r="K40" s="14">
        <v>35900</v>
      </c>
      <c r="L40" s="14">
        <v>8564224465</v>
      </c>
      <c r="M40" s="14">
        <v>7124498600</v>
      </c>
      <c r="N40" s="7">
        <v>3.7838098292215269E-3</v>
      </c>
    </row>
    <row r="41" spans="1:14" x14ac:dyDescent="0.25">
      <c r="A41" s="6" t="s">
        <v>75</v>
      </c>
      <c r="B41" s="14">
        <v>750000</v>
      </c>
      <c r="C41" s="14">
        <v>28756148835</v>
      </c>
      <c r="D41" s="14">
        <v>51238342125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750000</v>
      </c>
      <c r="K41" s="14">
        <v>61410</v>
      </c>
      <c r="L41" s="14">
        <v>28756148835</v>
      </c>
      <c r="M41" s="14">
        <v>45701475525</v>
      </c>
      <c r="N41" s="7">
        <v>2.4271980669828757E-2</v>
      </c>
    </row>
    <row r="42" spans="1:14" x14ac:dyDescent="0.25">
      <c r="A42" s="6" t="s">
        <v>74</v>
      </c>
      <c r="B42" s="14">
        <v>450000</v>
      </c>
      <c r="C42" s="14">
        <v>11771082508</v>
      </c>
      <c r="D42" s="14">
        <v>26188485975</v>
      </c>
      <c r="E42" s="14">
        <v>0</v>
      </c>
      <c r="F42" s="14">
        <v>0</v>
      </c>
      <c r="G42" s="14">
        <v>0</v>
      </c>
      <c r="H42" s="14">
        <v>225000</v>
      </c>
      <c r="I42" s="14">
        <v>10787834712</v>
      </c>
      <c r="J42" s="14">
        <v>225000</v>
      </c>
      <c r="K42" s="14">
        <v>48110</v>
      </c>
      <c r="L42" s="14">
        <v>5885541254</v>
      </c>
      <c r="M42" s="14">
        <v>10741074682</v>
      </c>
      <c r="N42" s="7">
        <v>5.7045676109970861E-3</v>
      </c>
    </row>
    <row r="43" spans="1:14" x14ac:dyDescent="0.25">
      <c r="A43" s="6" t="s">
        <v>73</v>
      </c>
      <c r="B43" s="14">
        <v>3441130</v>
      </c>
      <c r="C43" s="14">
        <v>8292444580</v>
      </c>
      <c r="D43" s="14">
        <v>9328496138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3441130</v>
      </c>
      <c r="K43" s="14">
        <v>1883</v>
      </c>
      <c r="L43" s="14">
        <v>8292444580</v>
      </c>
      <c r="M43" s="14">
        <v>6429560113</v>
      </c>
      <c r="N43" s="7">
        <v>3.4147291085354515E-3</v>
      </c>
    </row>
    <row r="44" spans="1:14" x14ac:dyDescent="0.25">
      <c r="A44" s="6" t="s">
        <v>72</v>
      </c>
      <c r="B44" s="14">
        <v>4671455</v>
      </c>
      <c r="C44" s="14">
        <v>18239142954</v>
      </c>
      <c r="D44" s="14">
        <v>59888652915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4671455</v>
      </c>
      <c r="K44" s="14">
        <v>10470</v>
      </c>
      <c r="L44" s="14">
        <v>18239142954</v>
      </c>
      <c r="M44" s="14">
        <v>48532058515</v>
      </c>
      <c r="N44" s="7">
        <v>2.5775298775609457E-2</v>
      </c>
    </row>
    <row r="45" spans="1:14" x14ac:dyDescent="0.25">
      <c r="A45" s="6" t="s">
        <v>71</v>
      </c>
      <c r="B45" s="14">
        <v>1200000</v>
      </c>
      <c r="C45" s="14">
        <v>20469168747</v>
      </c>
      <c r="D45" s="14">
        <v>30696864720</v>
      </c>
      <c r="E45" s="14">
        <v>0</v>
      </c>
      <c r="F45" s="14">
        <v>400000</v>
      </c>
      <c r="G45" s="14">
        <v>10336564853</v>
      </c>
      <c r="H45" s="14">
        <v>0</v>
      </c>
      <c r="I45" s="14">
        <v>0</v>
      </c>
      <c r="J45" s="14">
        <v>1600000</v>
      </c>
      <c r="K45" s="14">
        <v>26920</v>
      </c>
      <c r="L45" s="14">
        <v>30805733600</v>
      </c>
      <c r="M45" s="14">
        <v>42739053440</v>
      </c>
      <c r="N45" s="7">
        <v>2.2698643031229749E-2</v>
      </c>
    </row>
    <row r="46" spans="1:14" x14ac:dyDescent="0.25">
      <c r="A46" s="6" t="s">
        <v>70</v>
      </c>
      <c r="B46" s="14">
        <v>800000</v>
      </c>
      <c r="C46" s="14">
        <v>70816110577</v>
      </c>
      <c r="D46" s="14">
        <v>104704330400</v>
      </c>
      <c r="E46" s="14">
        <v>0</v>
      </c>
      <c r="F46" s="14">
        <v>0</v>
      </c>
      <c r="G46" s="14">
        <v>0</v>
      </c>
      <c r="H46" s="14">
        <v>100000</v>
      </c>
      <c r="I46" s="14">
        <v>15073573643</v>
      </c>
      <c r="J46" s="14">
        <v>700000</v>
      </c>
      <c r="K46" s="14">
        <v>152000</v>
      </c>
      <c r="L46" s="14">
        <v>61964096755</v>
      </c>
      <c r="M46" s="14">
        <v>105577528000</v>
      </c>
      <c r="N46" s="7">
        <v>5.6072056522168588E-2</v>
      </c>
    </row>
    <row r="47" spans="1:14" x14ac:dyDescent="0.25">
      <c r="A47" s="6" t="s">
        <v>69</v>
      </c>
      <c r="B47" s="14">
        <v>6338333</v>
      </c>
      <c r="C47" s="14">
        <v>16125784778</v>
      </c>
      <c r="D47" s="14">
        <v>15094410446</v>
      </c>
      <c r="E47" s="14">
        <v>695370</v>
      </c>
      <c r="F47" s="14">
        <v>0</v>
      </c>
      <c r="G47" s="14">
        <v>0</v>
      </c>
      <c r="H47" s="14">
        <v>6338333</v>
      </c>
      <c r="I47" s="14">
        <v>14031768438</v>
      </c>
      <c r="J47" s="14">
        <v>695370</v>
      </c>
      <c r="K47" s="14">
        <v>2101</v>
      </c>
      <c r="L47" s="14">
        <v>1769138188</v>
      </c>
      <c r="M47" s="14">
        <v>1449679054</v>
      </c>
      <c r="N47" s="7">
        <v>7.6992223056114638E-4</v>
      </c>
    </row>
    <row r="48" spans="1:14" x14ac:dyDescent="0.25">
      <c r="A48" s="6" t="s">
        <v>68</v>
      </c>
      <c r="B48" s="14">
        <v>695370</v>
      </c>
      <c r="C48" s="14">
        <v>1073768188</v>
      </c>
      <c r="D48" s="14">
        <v>965992706</v>
      </c>
      <c r="E48" s="14">
        <v>-695370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7">
        <v>0</v>
      </c>
    </row>
    <row r="49" spans="1:14" ht="18.600000000000001" thickBot="1" x14ac:dyDescent="0.3">
      <c r="A49" s="6" t="s">
        <v>2</v>
      </c>
      <c r="B49" s="14"/>
      <c r="C49" s="8">
        <f>SUM(C11:C48)</f>
        <v>1266551036875</v>
      </c>
      <c r="D49" s="8">
        <f>SUM(D11:D48)</f>
        <v>1980360105271</v>
      </c>
      <c r="E49" s="14"/>
      <c r="F49" s="14"/>
      <c r="G49" s="8">
        <f>SUM(G11:G48)</f>
        <v>125917353110</v>
      </c>
      <c r="H49" s="14"/>
      <c r="I49" s="8">
        <f>SUM(I11:I48)</f>
        <v>352303012422</v>
      </c>
      <c r="J49" s="14"/>
      <c r="K49" s="13"/>
      <c r="L49" s="8">
        <f>SUM(L11:L48)</f>
        <v>1132006183033</v>
      </c>
      <c r="M49" s="8">
        <f>SUM(M11:M48)</f>
        <v>1656522863536</v>
      </c>
      <c r="N49" s="9">
        <f>SUM(N11:N48)</f>
        <v>0.87977664749315931</v>
      </c>
    </row>
    <row r="50" spans="1:14" ht="18.600000000000001" thickTop="1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1:14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1:14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1:14" x14ac:dyDescent="0.2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1:14" x14ac:dyDescent="0.25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1:14" x14ac:dyDescent="0.25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</sheetData>
  <mergeCells count="19">
    <mergeCell ref="K9:K10"/>
    <mergeCell ref="L9:L10"/>
    <mergeCell ref="E9:G9"/>
    <mergeCell ref="D9:D10"/>
    <mergeCell ref="A1:N1"/>
    <mergeCell ref="A2:N2"/>
    <mergeCell ref="A3:N3"/>
    <mergeCell ref="A5:N5"/>
    <mergeCell ref="A6:N6"/>
    <mergeCell ref="B8:D8"/>
    <mergeCell ref="F8:I8"/>
    <mergeCell ref="J8:N8"/>
    <mergeCell ref="A9:A10"/>
    <mergeCell ref="B9:B10"/>
    <mergeCell ref="C9:C10"/>
    <mergeCell ref="M9:M10"/>
    <mergeCell ref="N9:N10"/>
    <mergeCell ref="H9:I9"/>
    <mergeCell ref="J9:J10"/>
  </mergeCells>
  <pageMargins left="0.7" right="0.7" top="0.75" bottom="0.75" header="0.3" footer="0.3"/>
  <pageSetup scale="5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4AAA-F97B-48A6-8145-45B640EC6610}">
  <dimension ref="A1:M36"/>
  <sheetViews>
    <sheetView rightToLeft="1" view="pageBreakPreview" zoomScale="85" zoomScaleNormal="100" zoomScaleSheetLayoutView="85" workbookViewId="0">
      <selection sqref="A1:M1"/>
    </sheetView>
  </sheetViews>
  <sheetFormatPr defaultColWidth="9.09765625" defaultRowHeight="18" x14ac:dyDescent="0.25"/>
  <cols>
    <col min="1" max="1" width="39.796875" style="12" customWidth="1"/>
    <col min="2" max="2" width="18.09765625" style="12" customWidth="1"/>
    <col min="3" max="3" width="12" style="12" customWidth="1"/>
    <col min="4" max="4" width="11.59765625" style="12" customWidth="1"/>
    <col min="5" max="5" width="13.5" style="12" customWidth="1"/>
    <col min="6" max="6" width="12.59765625" style="12" customWidth="1"/>
    <col min="7" max="7" width="14.19921875" style="12" customWidth="1"/>
    <col min="8" max="8" width="15.59765625" style="12" customWidth="1"/>
    <col min="9" max="9" width="12.296875" style="12" customWidth="1"/>
    <col min="10" max="10" width="12.3984375" style="12" customWidth="1"/>
    <col min="11" max="11" width="11.69921875" style="12" customWidth="1"/>
    <col min="12" max="12" width="15.09765625" style="12" customWidth="1"/>
    <col min="13" max="13" width="15.8984375" style="12" customWidth="1"/>
    <col min="14" max="16384" width="9.09765625" style="12"/>
  </cols>
  <sheetData>
    <row r="1" spans="1:13" ht="20.399999999999999" x14ac:dyDescent="0.25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20.399999999999999" x14ac:dyDescent="0.25">
      <c r="A2" s="42" t="s">
        <v>33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ht="20.399999999999999" x14ac:dyDescent="0.25">
      <c r="A3" s="42" t="s">
        <v>43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ht="20.399999999999999" x14ac:dyDescent="0.25">
      <c r="A4" s="66"/>
      <c r="B4" s="66"/>
      <c r="C4" s="66"/>
      <c r="D4" s="66"/>
      <c r="E4" s="66"/>
      <c r="F4" s="66"/>
      <c r="G4" s="66"/>
      <c r="H4" s="66"/>
      <c r="I4" s="66"/>
    </row>
    <row r="5" spans="1:13" ht="20.399999999999999" x14ac:dyDescent="0.25">
      <c r="A5" s="60" t="s">
        <v>135</v>
      </c>
      <c r="B5" s="60"/>
      <c r="C5" s="60"/>
      <c r="D5" s="60"/>
      <c r="E5" s="60"/>
      <c r="F5" s="60"/>
      <c r="G5" s="60"/>
      <c r="H5" s="60"/>
      <c r="I5" s="60"/>
    </row>
    <row r="6" spans="1:13" x14ac:dyDescent="0.25">
      <c r="A6" s="62"/>
      <c r="B6" s="63"/>
      <c r="C6" s="63"/>
      <c r="D6" s="63"/>
      <c r="E6" s="63"/>
      <c r="F6" s="17"/>
      <c r="G6" s="17"/>
      <c r="H6" s="17"/>
      <c r="I6" s="17"/>
    </row>
    <row r="7" spans="1:13" ht="18.600000000000001" thickBot="1" x14ac:dyDescent="0.3">
      <c r="A7" s="62"/>
      <c r="B7" s="64" t="s">
        <v>47</v>
      </c>
      <c r="C7" s="64"/>
      <c r="D7" s="64"/>
      <c r="E7" s="64"/>
      <c r="F7" s="64" t="s">
        <v>44</v>
      </c>
      <c r="G7" s="64"/>
      <c r="H7" s="64"/>
      <c r="I7" s="64"/>
    </row>
    <row r="8" spans="1:13" ht="18.600000000000001" thickBot="1" x14ac:dyDescent="0.3">
      <c r="A8" s="65" t="s">
        <v>247</v>
      </c>
      <c r="B8" s="65" t="s">
        <v>134</v>
      </c>
      <c r="C8" s="65" t="s">
        <v>113</v>
      </c>
      <c r="D8" s="65" t="s">
        <v>112</v>
      </c>
      <c r="E8" s="65" t="s">
        <v>133</v>
      </c>
      <c r="F8" s="65" t="s">
        <v>134</v>
      </c>
      <c r="G8" s="65" t="s">
        <v>113</v>
      </c>
      <c r="H8" s="65" t="s">
        <v>112</v>
      </c>
      <c r="I8" s="65" t="s">
        <v>133</v>
      </c>
    </row>
    <row r="9" spans="1:13" x14ac:dyDescent="0.25">
      <c r="A9" s="14" t="s">
        <v>132</v>
      </c>
      <c r="B9" s="14">
        <v>454</v>
      </c>
      <c r="C9" s="14">
        <v>50625</v>
      </c>
      <c r="D9" s="14" t="s">
        <v>131</v>
      </c>
      <c r="E9" s="7">
        <v>0.36163587513117978</v>
      </c>
      <c r="F9" s="14">
        <v>0</v>
      </c>
      <c r="G9" s="14">
        <v>0</v>
      </c>
      <c r="H9" s="14" t="s">
        <v>117</v>
      </c>
      <c r="I9" s="7">
        <v>0</v>
      </c>
    </row>
    <row r="10" spans="1:13" ht="20.39999999999999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13" ht="20.399999999999999" x14ac:dyDescent="0.25">
      <c r="A11" s="25" t="s">
        <v>130</v>
      </c>
      <c r="B11" s="25"/>
      <c r="C11" s="25"/>
      <c r="D11" s="25"/>
      <c r="E11" s="25"/>
      <c r="F11" s="25"/>
      <c r="G11" s="25"/>
      <c r="H11" s="25"/>
      <c r="I11" s="25"/>
    </row>
    <row r="12" spans="1:13" x14ac:dyDescent="0.25">
      <c r="A12" s="62"/>
      <c r="B12" s="63"/>
      <c r="C12" s="63"/>
      <c r="D12" s="63"/>
      <c r="E12" s="63"/>
      <c r="F12" s="63"/>
      <c r="G12" s="63"/>
      <c r="H12" s="63"/>
      <c r="I12" s="17"/>
      <c r="J12" s="17"/>
      <c r="K12" s="17"/>
      <c r="L12" s="17"/>
      <c r="M12" s="17"/>
    </row>
    <row r="13" spans="1:13" ht="18.600000000000001" customHeight="1" thickBot="1" x14ac:dyDescent="0.3">
      <c r="A13" s="62"/>
      <c r="B13" s="64" t="s">
        <v>47</v>
      </c>
      <c r="C13" s="64"/>
      <c r="D13" s="64"/>
      <c r="E13" s="64"/>
      <c r="F13" s="64"/>
      <c r="G13" s="64"/>
      <c r="H13" s="64" t="s">
        <v>44</v>
      </c>
      <c r="I13" s="64"/>
      <c r="J13" s="64"/>
      <c r="K13" s="64"/>
      <c r="L13" s="64"/>
      <c r="M13" s="64"/>
    </row>
    <row r="14" spans="1:13" ht="18.600000000000001" thickBot="1" x14ac:dyDescent="0.3">
      <c r="A14" s="65" t="s">
        <v>247</v>
      </c>
      <c r="B14" s="65" t="s">
        <v>129</v>
      </c>
      <c r="C14" s="65" t="s">
        <v>114</v>
      </c>
      <c r="D14" s="65" t="s">
        <v>128</v>
      </c>
      <c r="E14" s="65" t="s">
        <v>38</v>
      </c>
      <c r="F14" s="65" t="s">
        <v>113</v>
      </c>
      <c r="G14" s="65" t="s">
        <v>112</v>
      </c>
      <c r="H14" s="65" t="s">
        <v>129</v>
      </c>
      <c r="I14" s="65" t="s">
        <v>114</v>
      </c>
      <c r="J14" s="65" t="s">
        <v>128</v>
      </c>
      <c r="K14" s="65" t="s">
        <v>38</v>
      </c>
      <c r="L14" s="65" t="s">
        <v>113</v>
      </c>
      <c r="M14" s="65" t="s">
        <v>112</v>
      </c>
    </row>
    <row r="15" spans="1:13" x14ac:dyDescent="0.25">
      <c r="A15" s="14" t="s">
        <v>127</v>
      </c>
      <c r="B15" s="14" t="s">
        <v>119</v>
      </c>
      <c r="C15" s="14" t="s">
        <v>118</v>
      </c>
      <c r="D15" s="14" t="s">
        <v>117</v>
      </c>
      <c r="E15" s="14">
        <v>10000000</v>
      </c>
      <c r="F15" s="14">
        <v>450</v>
      </c>
      <c r="G15" s="14" t="s">
        <v>123</v>
      </c>
      <c r="H15" s="14" t="s">
        <v>117</v>
      </c>
      <c r="I15" s="14" t="s">
        <v>117</v>
      </c>
      <c r="J15" s="14" t="s">
        <v>117</v>
      </c>
      <c r="K15" s="14">
        <v>0</v>
      </c>
      <c r="L15" s="14">
        <v>0</v>
      </c>
      <c r="M15" s="14" t="s">
        <v>117</v>
      </c>
    </row>
    <row r="16" spans="1:13" x14ac:dyDescent="0.25">
      <c r="A16" s="14" t="s">
        <v>126</v>
      </c>
      <c r="B16" s="14" t="s">
        <v>117</v>
      </c>
      <c r="C16" s="14" t="s">
        <v>117</v>
      </c>
      <c r="D16" s="14" t="s">
        <v>117</v>
      </c>
      <c r="E16" s="14">
        <v>0</v>
      </c>
      <c r="F16" s="14">
        <v>0</v>
      </c>
      <c r="G16" s="14" t="s">
        <v>117</v>
      </c>
      <c r="H16" s="14" t="s">
        <v>119</v>
      </c>
      <c r="I16" s="14" t="s">
        <v>118</v>
      </c>
      <c r="J16" s="14" t="s">
        <v>117</v>
      </c>
      <c r="K16" s="14">
        <v>33000000</v>
      </c>
      <c r="L16" s="14">
        <v>550</v>
      </c>
      <c r="M16" s="14" t="s">
        <v>125</v>
      </c>
    </row>
    <row r="17" spans="1:13" x14ac:dyDescent="0.25">
      <c r="A17" s="14" t="s">
        <v>124</v>
      </c>
      <c r="B17" s="14" t="s">
        <v>119</v>
      </c>
      <c r="C17" s="14" t="s">
        <v>118</v>
      </c>
      <c r="D17" s="14" t="s">
        <v>117</v>
      </c>
      <c r="E17" s="14">
        <v>20000000</v>
      </c>
      <c r="F17" s="14">
        <v>2200</v>
      </c>
      <c r="G17" s="14" t="s">
        <v>123</v>
      </c>
      <c r="H17" s="14" t="s">
        <v>117</v>
      </c>
      <c r="I17" s="14" t="s">
        <v>117</v>
      </c>
      <c r="J17" s="14" t="s">
        <v>117</v>
      </c>
      <c r="K17" s="14">
        <v>0</v>
      </c>
      <c r="L17" s="14">
        <v>0</v>
      </c>
      <c r="M17" s="14" t="s">
        <v>117</v>
      </c>
    </row>
    <row r="18" spans="1:13" x14ac:dyDescent="0.25">
      <c r="A18" s="14" t="s">
        <v>122</v>
      </c>
      <c r="B18" s="14" t="s">
        <v>119</v>
      </c>
      <c r="C18" s="14" t="s">
        <v>118</v>
      </c>
      <c r="D18" s="14" t="s">
        <v>117</v>
      </c>
      <c r="E18" s="14">
        <v>39816000</v>
      </c>
      <c r="F18" s="14">
        <v>1055</v>
      </c>
      <c r="G18" s="14" t="s">
        <v>121</v>
      </c>
      <c r="H18" s="14" t="s">
        <v>117</v>
      </c>
      <c r="I18" s="14" t="s">
        <v>117</v>
      </c>
      <c r="J18" s="14" t="s">
        <v>117</v>
      </c>
      <c r="K18" s="14">
        <v>0</v>
      </c>
      <c r="L18" s="14">
        <v>0</v>
      </c>
      <c r="M18" s="14" t="s">
        <v>117</v>
      </c>
    </row>
    <row r="19" spans="1:13" x14ac:dyDescent="0.25">
      <c r="A19" s="14" t="s">
        <v>120</v>
      </c>
      <c r="B19" s="14" t="s">
        <v>117</v>
      </c>
      <c r="C19" s="14" t="s">
        <v>117</v>
      </c>
      <c r="D19" s="14" t="s">
        <v>117</v>
      </c>
      <c r="E19" s="14">
        <v>0</v>
      </c>
      <c r="F19" s="14">
        <v>0</v>
      </c>
      <c r="G19" s="14" t="s">
        <v>117</v>
      </c>
      <c r="H19" s="14" t="s">
        <v>119</v>
      </c>
      <c r="I19" s="14" t="s">
        <v>118</v>
      </c>
      <c r="J19" s="14" t="s">
        <v>117</v>
      </c>
      <c r="K19" s="14">
        <v>30000000</v>
      </c>
      <c r="L19" s="14">
        <v>1354</v>
      </c>
      <c r="M19" s="14" t="s">
        <v>116</v>
      </c>
    </row>
    <row r="22" spans="1:13" x14ac:dyDescent="0.25">
      <c r="A22" s="61"/>
      <c r="B22" s="61"/>
      <c r="C22" s="61"/>
      <c r="D22" s="61"/>
      <c r="E22" s="61"/>
      <c r="F22" s="61"/>
      <c r="G22" s="61"/>
      <c r="H22" s="61"/>
      <c r="I22" s="61"/>
    </row>
    <row r="23" spans="1:13" x14ac:dyDescent="0.25">
      <c r="A23" s="61"/>
      <c r="B23" s="61"/>
      <c r="C23" s="61"/>
      <c r="D23" s="61"/>
      <c r="E23" s="61"/>
      <c r="F23" s="61"/>
      <c r="G23" s="61"/>
      <c r="H23" s="61"/>
      <c r="I23" s="61"/>
    </row>
    <row r="24" spans="1:13" x14ac:dyDescent="0.25">
      <c r="A24" s="61"/>
      <c r="B24" s="61"/>
      <c r="C24" s="61"/>
      <c r="D24" s="61"/>
      <c r="E24" s="61"/>
      <c r="F24" s="61"/>
      <c r="G24" s="61"/>
      <c r="H24" s="61"/>
      <c r="I24" s="61"/>
    </row>
    <row r="25" spans="1:13" x14ac:dyDescent="0.25">
      <c r="A25" s="61"/>
      <c r="B25" s="61"/>
      <c r="C25" s="61"/>
      <c r="D25" s="61"/>
      <c r="E25" s="61"/>
      <c r="F25" s="61"/>
      <c r="G25" s="61"/>
      <c r="H25" s="61"/>
      <c r="I25" s="61"/>
    </row>
    <row r="26" spans="1:13" x14ac:dyDescent="0.25">
      <c r="A26" s="61"/>
      <c r="B26" s="61"/>
      <c r="C26" s="61"/>
      <c r="D26" s="61"/>
      <c r="E26" s="61"/>
      <c r="F26" s="61"/>
      <c r="G26" s="61"/>
      <c r="H26" s="61"/>
      <c r="I26" s="61"/>
    </row>
    <row r="27" spans="1:13" x14ac:dyDescent="0.25">
      <c r="A27" s="61"/>
      <c r="B27" s="61"/>
      <c r="C27" s="61"/>
      <c r="D27" s="61"/>
      <c r="E27" s="61"/>
      <c r="F27" s="61"/>
      <c r="G27" s="61"/>
      <c r="H27" s="61"/>
      <c r="I27" s="61"/>
    </row>
    <row r="28" spans="1:13" x14ac:dyDescent="0.25">
      <c r="A28" s="61"/>
      <c r="B28" s="61"/>
      <c r="C28" s="61"/>
      <c r="D28" s="61"/>
      <c r="E28" s="61"/>
      <c r="F28" s="61"/>
      <c r="G28" s="61"/>
      <c r="H28" s="61"/>
      <c r="I28" s="61"/>
    </row>
    <row r="29" spans="1:13" x14ac:dyDescent="0.25">
      <c r="A29" s="61"/>
      <c r="B29" s="61"/>
      <c r="C29" s="61"/>
      <c r="D29" s="61"/>
      <c r="E29" s="61"/>
      <c r="F29" s="61"/>
      <c r="G29" s="61"/>
      <c r="H29" s="61"/>
      <c r="I29" s="61"/>
    </row>
    <row r="30" spans="1:13" x14ac:dyDescent="0.25">
      <c r="A30" s="61"/>
      <c r="B30" s="61"/>
      <c r="C30" s="61"/>
      <c r="D30" s="61"/>
      <c r="E30" s="61"/>
      <c r="F30" s="61"/>
      <c r="G30" s="61"/>
      <c r="H30" s="61"/>
      <c r="I30" s="61"/>
    </row>
    <row r="31" spans="1:13" x14ac:dyDescent="0.25">
      <c r="A31" s="61"/>
      <c r="B31" s="61"/>
      <c r="C31" s="61"/>
      <c r="D31" s="61"/>
      <c r="E31" s="61"/>
      <c r="F31" s="61"/>
      <c r="G31" s="61"/>
      <c r="H31" s="61"/>
      <c r="I31" s="61"/>
    </row>
    <row r="32" spans="1:13" x14ac:dyDescent="0.25">
      <c r="A32" s="61"/>
      <c r="B32" s="61"/>
      <c r="C32" s="61"/>
      <c r="D32" s="61"/>
      <c r="E32" s="61"/>
      <c r="F32" s="61"/>
      <c r="G32" s="61"/>
      <c r="H32" s="61"/>
      <c r="I32" s="61"/>
    </row>
    <row r="33" spans="1:9" x14ac:dyDescent="0.25">
      <c r="A33" s="61"/>
      <c r="B33" s="61"/>
      <c r="C33" s="61"/>
      <c r="D33" s="61"/>
      <c r="E33" s="61"/>
      <c r="F33" s="61"/>
      <c r="G33" s="61"/>
      <c r="H33" s="61"/>
      <c r="I33" s="61"/>
    </row>
    <row r="34" spans="1:9" x14ac:dyDescent="0.25">
      <c r="A34" s="61"/>
      <c r="B34" s="61"/>
      <c r="C34" s="61"/>
      <c r="D34" s="61"/>
      <c r="E34" s="61"/>
      <c r="F34" s="61"/>
      <c r="G34" s="61"/>
      <c r="H34" s="61"/>
      <c r="I34" s="61"/>
    </row>
    <row r="35" spans="1:9" x14ac:dyDescent="0.25">
      <c r="A35" s="61"/>
      <c r="B35" s="61"/>
      <c r="C35" s="61"/>
      <c r="D35" s="61"/>
      <c r="E35" s="61"/>
      <c r="F35" s="61"/>
      <c r="G35" s="61"/>
      <c r="H35" s="61"/>
      <c r="I35" s="61"/>
    </row>
    <row r="36" spans="1:9" x14ac:dyDescent="0.25">
      <c r="A36" s="61"/>
      <c r="B36" s="61"/>
      <c r="C36" s="61"/>
      <c r="D36" s="61"/>
      <c r="E36" s="61"/>
      <c r="F36" s="61"/>
      <c r="G36" s="61"/>
      <c r="H36" s="61"/>
      <c r="I36" s="61"/>
    </row>
  </sheetData>
  <mergeCells count="7">
    <mergeCell ref="B13:G13"/>
    <mergeCell ref="H13:M13"/>
    <mergeCell ref="B7:E7"/>
    <mergeCell ref="F7:I7"/>
    <mergeCell ref="A1:M1"/>
    <mergeCell ref="A2:M2"/>
    <mergeCell ref="A3:M3"/>
  </mergeCells>
  <pageMargins left="0.7" right="0.7" top="0.75" bottom="0.75" header="0.3" footer="0.3"/>
  <pageSetup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03ED-E41F-46CF-AA09-60B00FC70940}">
  <dimension ref="A1:J11"/>
  <sheetViews>
    <sheetView rightToLeft="1" view="pageBreakPreview" zoomScaleNormal="100" zoomScaleSheetLayoutView="100" workbookViewId="0">
      <selection activeCell="A11" sqref="A11"/>
    </sheetView>
  </sheetViews>
  <sheetFormatPr defaultColWidth="9.09765625" defaultRowHeight="18" x14ac:dyDescent="0.25"/>
  <cols>
    <col min="1" max="1" width="31.69921875" style="12" customWidth="1"/>
    <col min="2" max="2" width="12" style="12" customWidth="1"/>
    <col min="3" max="3" width="12.09765625" style="12" customWidth="1"/>
    <col min="4" max="4" width="13.59765625" style="12" customWidth="1"/>
    <col min="5" max="5" width="10.09765625" style="12" customWidth="1"/>
    <col min="6" max="6" width="19.296875" style="12" customWidth="1"/>
    <col min="7" max="7" width="10.8984375" style="12" customWidth="1"/>
    <col min="8" max="16384" width="9.09765625" style="12"/>
  </cols>
  <sheetData>
    <row r="1" spans="1:10" ht="20.399999999999999" x14ac:dyDescent="0.25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0.399999999999999" x14ac:dyDescent="0.25">
      <c r="A2" s="42" t="s">
        <v>33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0.399999999999999" x14ac:dyDescent="0.25">
      <c r="A3" s="42" t="s">
        <v>43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ht="20.399999999999999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5.5" customHeight="1" x14ac:dyDescent="0.25">
      <c r="A5" s="47" t="s">
        <v>16</v>
      </c>
      <c r="B5" s="47"/>
      <c r="C5" s="47"/>
      <c r="D5" s="47"/>
      <c r="E5" s="47"/>
      <c r="F5" s="47"/>
      <c r="G5" s="47"/>
    </row>
    <row r="6" spans="1:10" x14ac:dyDescent="0.25">
      <c r="A6" s="47" t="s">
        <v>15</v>
      </c>
      <c r="B6" s="47"/>
      <c r="C6" s="47"/>
      <c r="D6" s="47"/>
      <c r="E6" s="47"/>
      <c r="F6" s="47"/>
      <c r="G6" s="47"/>
    </row>
    <row r="7" spans="1:10" ht="19.5" customHeight="1" thickBot="1" x14ac:dyDescent="0.3">
      <c r="B7" s="39" t="s">
        <v>44</v>
      </c>
      <c r="C7" s="39"/>
      <c r="D7" s="39"/>
      <c r="E7" s="39"/>
      <c r="F7" s="39"/>
      <c r="G7" s="39"/>
      <c r="H7" s="39"/>
      <c r="I7" s="39"/>
      <c r="J7" s="39"/>
    </row>
    <row r="8" spans="1:10" ht="31.5" customHeight="1" x14ac:dyDescent="0.25">
      <c r="A8" s="48" t="s">
        <v>6</v>
      </c>
      <c r="B8" s="50" t="s">
        <v>3</v>
      </c>
      <c r="C8" s="45" t="s">
        <v>20</v>
      </c>
      <c r="D8" s="45" t="s">
        <v>19</v>
      </c>
      <c r="E8" s="45" t="s">
        <v>17</v>
      </c>
      <c r="F8" s="45" t="s">
        <v>18</v>
      </c>
      <c r="G8" s="45" t="s">
        <v>5</v>
      </c>
      <c r="H8" s="45"/>
      <c r="I8" s="45"/>
      <c r="J8" s="45"/>
    </row>
    <row r="9" spans="1:10" ht="18" customHeight="1" thickBot="1" x14ac:dyDescent="0.3">
      <c r="A9" s="49"/>
      <c r="B9" s="51"/>
      <c r="C9" s="46"/>
      <c r="D9" s="46"/>
      <c r="E9" s="46"/>
      <c r="F9" s="46"/>
      <c r="G9" s="46"/>
      <c r="H9" s="46"/>
      <c r="I9" s="46"/>
      <c r="J9" s="46"/>
    </row>
    <row r="10" spans="1:10" x14ac:dyDescent="0.25">
      <c r="A10" s="6" t="s">
        <v>89</v>
      </c>
      <c r="B10" s="14">
        <v>22820100</v>
      </c>
      <c r="C10" s="14">
        <v>2610</v>
      </c>
      <c r="D10" s="14">
        <v>2088</v>
      </c>
      <c r="E10" s="7">
        <v>-0.2</v>
      </c>
      <c r="F10" s="14">
        <v>47280046909</v>
      </c>
      <c r="G10" s="67" t="s">
        <v>59</v>
      </c>
      <c r="H10" s="67"/>
      <c r="I10" s="67"/>
      <c r="J10" s="67"/>
    </row>
    <row r="11" spans="1:10" x14ac:dyDescent="0.25">
      <c r="A11" s="6"/>
      <c r="B11" s="13"/>
      <c r="C11" s="13"/>
      <c r="D11" s="13"/>
      <c r="E11" s="13"/>
      <c r="F11" s="14"/>
    </row>
  </sheetData>
  <mergeCells count="14">
    <mergeCell ref="E8:E9"/>
    <mergeCell ref="B8:B9"/>
    <mergeCell ref="B7:J7"/>
    <mergeCell ref="G10:J10"/>
    <mergeCell ref="A1:J1"/>
    <mergeCell ref="A2:J2"/>
    <mergeCell ref="A3:J3"/>
    <mergeCell ref="G8:J9"/>
    <mergeCell ref="A5:G5"/>
    <mergeCell ref="D8:D9"/>
    <mergeCell ref="A8:A9"/>
    <mergeCell ref="A6:G6"/>
    <mergeCell ref="C8:C9"/>
    <mergeCell ref="F8:F9"/>
  </mergeCells>
  <pageMargins left="0.7" right="0.7" top="0.75" bottom="0.75" header="0.3" footer="0.3"/>
  <pageSetup scale="84" orientation="landscape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6C5F-3D1A-491A-8D1E-9FF4BAF15722}">
  <dimension ref="A1:F13"/>
  <sheetViews>
    <sheetView rightToLeft="1" view="pageBreakPreview" zoomScale="90" zoomScaleNormal="100" zoomScaleSheetLayoutView="90" workbookViewId="0">
      <selection activeCell="D15" sqref="D15"/>
    </sheetView>
  </sheetViews>
  <sheetFormatPr defaultColWidth="9.09765625" defaultRowHeight="18" x14ac:dyDescent="0.25"/>
  <cols>
    <col min="1" max="1" width="31.69921875" style="12" customWidth="1"/>
    <col min="2" max="5" width="18.3984375" style="12" customWidth="1"/>
    <col min="6" max="6" width="9.296875" style="12" customWidth="1"/>
    <col min="7" max="16384" width="9.09765625" style="12"/>
  </cols>
  <sheetData>
    <row r="1" spans="1:6" ht="20.399999999999999" x14ac:dyDescent="0.25">
      <c r="A1" s="42" t="s">
        <v>111</v>
      </c>
      <c r="B1" s="42"/>
      <c r="C1" s="42"/>
      <c r="D1" s="42"/>
      <c r="E1" s="42"/>
      <c r="F1" s="42"/>
    </row>
    <row r="2" spans="1:6" ht="20.399999999999999" x14ac:dyDescent="0.25">
      <c r="A2" s="42" t="s">
        <v>33</v>
      </c>
      <c r="B2" s="42"/>
      <c r="C2" s="42"/>
      <c r="D2" s="42"/>
      <c r="E2" s="42"/>
      <c r="F2" s="42"/>
    </row>
    <row r="3" spans="1:6" ht="20.399999999999999" x14ac:dyDescent="0.25">
      <c r="A3" s="42" t="s">
        <v>43</v>
      </c>
      <c r="B3" s="42"/>
      <c r="C3" s="42"/>
      <c r="D3" s="42"/>
      <c r="E3" s="42"/>
      <c r="F3" s="42"/>
    </row>
    <row r="4" spans="1:6" ht="20.399999999999999" x14ac:dyDescent="0.25">
      <c r="A4" s="3"/>
      <c r="B4" s="3"/>
      <c r="C4" s="3"/>
      <c r="D4" s="3"/>
      <c r="E4" s="3"/>
      <c r="F4" s="3"/>
    </row>
    <row r="5" spans="1:6" ht="20.399999999999999" x14ac:dyDescent="0.25">
      <c r="A5" s="43" t="s">
        <v>248</v>
      </c>
      <c r="B5" s="43"/>
      <c r="C5" s="43"/>
      <c r="D5" s="43"/>
      <c r="E5" s="43"/>
      <c r="F5" s="43"/>
    </row>
    <row r="6" spans="1:6" x14ac:dyDescent="0.25">
      <c r="B6" s="17"/>
      <c r="C6" s="17"/>
      <c r="D6" s="17"/>
      <c r="E6" s="17"/>
      <c r="F6" s="17"/>
    </row>
    <row r="7" spans="1:6" ht="18.75" customHeight="1" thickBot="1" x14ac:dyDescent="0.3">
      <c r="A7" s="15"/>
      <c r="B7" s="16" t="s">
        <v>47</v>
      </c>
      <c r="C7" s="44" t="s">
        <v>56</v>
      </c>
      <c r="D7" s="44"/>
      <c r="E7" s="39" t="s">
        <v>44</v>
      </c>
      <c r="F7" s="39"/>
    </row>
    <row r="8" spans="1:6" ht="24" customHeight="1" x14ac:dyDescent="0.25">
      <c r="A8" s="45" t="s">
        <v>60</v>
      </c>
      <c r="B8" s="48" t="s">
        <v>4</v>
      </c>
      <c r="C8" s="68" t="s">
        <v>21</v>
      </c>
      <c r="D8" s="68" t="s">
        <v>42</v>
      </c>
      <c r="E8" s="59" t="s">
        <v>4</v>
      </c>
      <c r="F8" s="58" t="s">
        <v>12</v>
      </c>
    </row>
    <row r="9" spans="1:6" ht="18.600000000000001" thickBot="1" x14ac:dyDescent="0.3">
      <c r="A9" s="46"/>
      <c r="B9" s="49"/>
      <c r="C9" s="51"/>
      <c r="D9" s="51"/>
      <c r="E9" s="49"/>
      <c r="F9" s="46"/>
    </row>
    <row r="10" spans="1:6" x14ac:dyDescent="0.25">
      <c r="A10" s="6" t="s">
        <v>46</v>
      </c>
      <c r="B10" s="14">
        <v>296382092</v>
      </c>
      <c r="C10" s="14">
        <v>541413013</v>
      </c>
      <c r="D10" s="14">
        <v>696069537</v>
      </c>
      <c r="E10" s="14">
        <v>141725568</v>
      </c>
      <c r="F10" s="7">
        <v>7.5270222840720881E-5</v>
      </c>
    </row>
    <row r="11" spans="1:6" x14ac:dyDescent="0.25">
      <c r="A11" s="6" t="s">
        <v>45</v>
      </c>
      <c r="B11" s="14">
        <v>262775865047</v>
      </c>
      <c r="C11" s="14">
        <v>334513107452</v>
      </c>
      <c r="D11" s="14">
        <v>493408322104</v>
      </c>
      <c r="E11" s="14">
        <v>103880650395</v>
      </c>
      <c r="F11" s="7">
        <v>5.5170847535927103E-2</v>
      </c>
    </row>
    <row r="12" spans="1:6" ht="18.600000000000001" thickBot="1" x14ac:dyDescent="0.3">
      <c r="A12" s="6" t="s">
        <v>2</v>
      </c>
      <c r="B12" s="8">
        <f>SUM(B10:B11)</f>
        <v>263072247139</v>
      </c>
      <c r="C12" s="8">
        <f>SUM(C10:C11)</f>
        <v>335054520465</v>
      </c>
      <c r="D12" s="8">
        <f>SUM(D10:D11)</f>
        <v>494104391641</v>
      </c>
      <c r="E12" s="8">
        <f>SUM(E10:E11)</f>
        <v>104022375963</v>
      </c>
      <c r="F12" s="9">
        <f>SUM(F10:F11)</f>
        <v>5.5246117758767824E-2</v>
      </c>
    </row>
    <row r="13" spans="1:6" ht="18.600000000000001" thickTop="1" x14ac:dyDescent="0.25">
      <c r="C13" s="12" t="s">
        <v>136</v>
      </c>
    </row>
  </sheetData>
  <mergeCells count="12">
    <mergeCell ref="C8:C9"/>
    <mergeCell ref="D8:D9"/>
    <mergeCell ref="A1:F1"/>
    <mergeCell ref="A2:F2"/>
    <mergeCell ref="A3:F3"/>
    <mergeCell ref="F8:F9"/>
    <mergeCell ref="A5:F5"/>
    <mergeCell ref="E7:F7"/>
    <mergeCell ref="E8:E9"/>
    <mergeCell ref="A8:A9"/>
    <mergeCell ref="B8:B9"/>
    <mergeCell ref="C7:D7"/>
  </mergeCells>
  <pageMargins left="0.7" right="0.7" top="0.75" bottom="0.75" header="0.3" footer="0.3"/>
  <pageSetup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22CA-63FC-487E-91EB-165F60C92EE8}">
  <dimension ref="A1:S14"/>
  <sheetViews>
    <sheetView rightToLeft="1" view="pageBreakPreview" zoomScaleNormal="100" zoomScaleSheetLayoutView="100" workbookViewId="0">
      <selection sqref="A1:E1"/>
    </sheetView>
  </sheetViews>
  <sheetFormatPr defaultRowHeight="18.600000000000001" x14ac:dyDescent="0.25"/>
  <cols>
    <col min="1" max="1" width="55" style="28" customWidth="1"/>
    <col min="2" max="2" width="8.796875" style="18"/>
    <col min="3" max="3" width="24.59765625" style="18" customWidth="1"/>
    <col min="4" max="4" width="13.09765625" style="18" customWidth="1"/>
    <col min="5" max="5" width="13.296875" style="18" customWidth="1"/>
    <col min="6" max="16384" width="8.796875" style="18"/>
  </cols>
  <sheetData>
    <row r="1" spans="1:19" ht="20.399999999999999" x14ac:dyDescent="0.25">
      <c r="A1" s="42" t="s">
        <v>111</v>
      </c>
      <c r="B1" s="42"/>
      <c r="C1" s="42"/>
      <c r="D1" s="42"/>
      <c r="E1" s="42"/>
    </row>
    <row r="2" spans="1:19" ht="20.399999999999999" x14ac:dyDescent="0.25">
      <c r="A2" s="42" t="s">
        <v>35</v>
      </c>
      <c r="B2" s="42"/>
      <c r="C2" s="42"/>
      <c r="D2" s="42"/>
      <c r="E2" s="42"/>
    </row>
    <row r="3" spans="1:19" ht="20.399999999999999" x14ac:dyDescent="0.25">
      <c r="A3" s="42" t="s">
        <v>43</v>
      </c>
      <c r="B3" s="42"/>
      <c r="C3" s="42"/>
      <c r="D3" s="42"/>
      <c r="E3" s="42"/>
    </row>
    <row r="4" spans="1:19" ht="20.399999999999999" x14ac:dyDescent="0.25">
      <c r="A4" s="3"/>
      <c r="B4" s="3"/>
      <c r="C4" s="3"/>
      <c r="D4" s="3"/>
      <c r="E4" s="3"/>
    </row>
    <row r="5" spans="1:19" ht="20.399999999999999" x14ac:dyDescent="0.25">
      <c r="A5" s="43" t="s">
        <v>13</v>
      </c>
      <c r="B5" s="43"/>
      <c r="C5" s="43"/>
      <c r="D5" s="43"/>
      <c r="E5" s="43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</row>
    <row r="6" spans="1:19" ht="20.399999999999999" x14ac:dyDescent="0.25">
      <c r="A6" s="20"/>
      <c r="B6" s="20"/>
      <c r="C6" s="20"/>
      <c r="D6" s="20"/>
      <c r="E6" s="20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</row>
    <row r="7" spans="1:19" ht="21" thickBot="1" x14ac:dyDescent="0.3">
      <c r="A7" s="20"/>
      <c r="B7" s="20"/>
      <c r="C7" s="52" t="s">
        <v>62</v>
      </c>
      <c r="D7" s="52"/>
      <c r="E7" s="52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</row>
    <row r="8" spans="1:19" ht="49.8" customHeight="1" thickBot="1" x14ac:dyDescent="0.3">
      <c r="A8" s="29" t="s">
        <v>22</v>
      </c>
      <c r="B8" s="29" t="s">
        <v>23</v>
      </c>
      <c r="C8" s="29" t="s">
        <v>4</v>
      </c>
      <c r="D8" s="30" t="s">
        <v>10</v>
      </c>
      <c r="E8" s="30" t="s">
        <v>37</v>
      </c>
    </row>
    <row r="9" spans="1:19" ht="20.399999999999999" x14ac:dyDescent="0.25">
      <c r="A9" s="26" t="s">
        <v>138</v>
      </c>
      <c r="B9" s="27" t="s">
        <v>65</v>
      </c>
      <c r="C9" s="14">
        <f>'درآمد سرمایه گذاری در سهام '!$J$60</f>
        <v>323946441799</v>
      </c>
      <c r="D9" s="7">
        <f>C9/355021625768</f>
        <v>0.91246960265652366</v>
      </c>
      <c r="E9" s="7">
        <f>C9/1882890240672</f>
        <v>0.1720474379236169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</row>
    <row r="10" spans="1:19" ht="20.399999999999999" x14ac:dyDescent="0.25">
      <c r="A10" s="26" t="s">
        <v>30</v>
      </c>
      <c r="B10" s="27" t="s">
        <v>34</v>
      </c>
      <c r="C10" s="14">
        <f>'درآمد سپرده بانکی'!$D$11</f>
        <v>14114011429</v>
      </c>
      <c r="D10" s="7">
        <f>C10/355021625768</f>
        <v>3.9755356870072027E-2</v>
      </c>
      <c r="E10" s="7">
        <f>C10/1882890240672</f>
        <v>7.495928931026131E-3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9" ht="20.399999999999999" x14ac:dyDescent="0.25">
      <c r="A11" s="26" t="s">
        <v>137</v>
      </c>
      <c r="B11" s="27" t="s">
        <v>66</v>
      </c>
      <c r="C11" s="14">
        <f>'درآمد سرمایه گذاری مشتقه '!$H$62</f>
        <v>15716746176</v>
      </c>
      <c r="D11" s="7">
        <f>C11/355021625768</f>
        <v>4.4269827625291198E-2</v>
      </c>
      <c r="E11" s="7">
        <f>C11/1882890240672</f>
        <v>8.3471387957222212E-3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9" ht="20.399999999999999" x14ac:dyDescent="0.25">
      <c r="A12" s="26" t="s">
        <v>14</v>
      </c>
      <c r="B12" s="27" t="s">
        <v>254</v>
      </c>
      <c r="C12" s="14">
        <f>'سایر درآمدها'!$C$11</f>
        <v>1244426364</v>
      </c>
      <c r="D12" s="7">
        <f>C12/355021625768</f>
        <v>3.5052128481131159E-3</v>
      </c>
      <c r="E12" s="7">
        <f>C12/1882890240672</f>
        <v>6.6091285467381603E-4</v>
      </c>
      <c r="F12" s="25"/>
      <c r="G12" s="25"/>
    </row>
    <row r="13" spans="1:19" ht="19.2" thickBot="1" x14ac:dyDescent="0.3">
      <c r="A13" s="26" t="s">
        <v>2</v>
      </c>
      <c r="C13" s="8">
        <f>SUM(C9:C12)</f>
        <v>355021625768</v>
      </c>
      <c r="D13" s="9">
        <f>SUM(D9:D12)</f>
        <v>1</v>
      </c>
      <c r="E13" s="9">
        <f>SUM(E9:E12)</f>
        <v>0.18855141850503906</v>
      </c>
    </row>
    <row r="14" spans="1:19" ht="19.2" thickTop="1" x14ac:dyDescent="0.25"/>
  </sheetData>
  <mergeCells count="5">
    <mergeCell ref="A5:E5"/>
    <mergeCell ref="A3:E3"/>
    <mergeCell ref="A2:E2"/>
    <mergeCell ref="A1:E1"/>
    <mergeCell ref="C7:E7"/>
  </mergeCells>
  <pageMargins left="0.7" right="0.7" top="0.75" bottom="0.75" header="0.3" footer="0.3"/>
  <pageSetup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BE55-8255-4AE4-B419-19ACA8A260D0}">
  <dimension ref="A1:K61"/>
  <sheetViews>
    <sheetView rightToLeft="1" view="pageBreakPreview" topLeftCell="A37" zoomScale="70" zoomScaleNormal="100" zoomScaleSheetLayoutView="70" workbookViewId="0">
      <selection activeCell="B54" sqref="B54"/>
    </sheetView>
  </sheetViews>
  <sheetFormatPr defaultColWidth="9.09765625" defaultRowHeight="18" x14ac:dyDescent="0.25"/>
  <cols>
    <col min="1" max="1" width="28.8984375" style="12" customWidth="1"/>
    <col min="2" max="2" width="19.8984375" style="12" customWidth="1"/>
    <col min="3" max="3" width="18.296875" style="12" customWidth="1"/>
    <col min="4" max="4" width="19" style="12" customWidth="1"/>
    <col min="5" max="5" width="19.19921875" style="12" customWidth="1"/>
    <col min="6" max="6" width="10.796875" style="12" customWidth="1"/>
    <col min="7" max="7" width="19" style="12" customWidth="1"/>
    <col min="8" max="8" width="17.59765625" style="12" customWidth="1"/>
    <col min="9" max="9" width="18.09765625" style="12" customWidth="1"/>
    <col min="10" max="10" width="19.19921875" style="12" customWidth="1"/>
    <col min="11" max="11" width="10.796875" style="12" customWidth="1"/>
    <col min="12" max="16384" width="9.09765625" style="12"/>
  </cols>
  <sheetData>
    <row r="1" spans="1:11" ht="20.399999999999999" x14ac:dyDescent="0.25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0.399999999999999" x14ac:dyDescent="0.25">
      <c r="A2" s="42" t="s">
        <v>35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0.399999999999999" x14ac:dyDescent="0.25">
      <c r="A3" s="42" t="s">
        <v>43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5" spans="1:11" ht="20.399999999999999" x14ac:dyDescent="0.25">
      <c r="A5" s="43" t="s">
        <v>249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19.5" customHeight="1" thickBot="1" x14ac:dyDescent="0.3">
      <c r="A7" s="69"/>
      <c r="B7" s="53" t="s">
        <v>61</v>
      </c>
      <c r="C7" s="53"/>
      <c r="D7" s="53"/>
      <c r="E7" s="53"/>
      <c r="F7" s="53"/>
      <c r="G7" s="53" t="s">
        <v>62</v>
      </c>
      <c r="H7" s="53"/>
      <c r="I7" s="53"/>
      <c r="J7" s="53"/>
      <c r="K7" s="53"/>
    </row>
    <row r="8" spans="1:11" ht="19.5" customHeight="1" thickBot="1" x14ac:dyDescent="0.3">
      <c r="A8" s="54" t="s">
        <v>171</v>
      </c>
      <c r="B8" s="54" t="s">
        <v>170</v>
      </c>
      <c r="C8" s="54" t="s">
        <v>7</v>
      </c>
      <c r="D8" s="54" t="s">
        <v>8</v>
      </c>
      <c r="E8" s="54" t="s">
        <v>2</v>
      </c>
      <c r="F8" s="54"/>
      <c r="G8" s="54" t="s">
        <v>170</v>
      </c>
      <c r="H8" s="54" t="s">
        <v>7</v>
      </c>
      <c r="I8" s="54" t="s">
        <v>8</v>
      </c>
      <c r="J8" s="54" t="s">
        <v>2</v>
      </c>
      <c r="K8" s="54"/>
    </row>
    <row r="9" spans="1:11" ht="35.4" thickBot="1" x14ac:dyDescent="0.3">
      <c r="A9" s="53"/>
      <c r="B9" s="53"/>
      <c r="C9" s="53" t="s">
        <v>169</v>
      </c>
      <c r="D9" s="53" t="s">
        <v>169</v>
      </c>
      <c r="E9" s="19" t="s">
        <v>4</v>
      </c>
      <c r="F9" s="19" t="s">
        <v>168</v>
      </c>
      <c r="G9" s="53"/>
      <c r="H9" s="53" t="s">
        <v>169</v>
      </c>
      <c r="I9" s="53" t="s">
        <v>169</v>
      </c>
      <c r="J9" s="19" t="s">
        <v>4</v>
      </c>
      <c r="K9" s="19" t="s">
        <v>168</v>
      </c>
    </row>
    <row r="10" spans="1:11" x14ac:dyDescent="0.25">
      <c r="A10" s="6" t="s">
        <v>102</v>
      </c>
      <c r="B10" s="14">
        <v>1064000000</v>
      </c>
      <c r="C10" s="14">
        <v>-2579942964</v>
      </c>
      <c r="D10" s="14">
        <v>0</v>
      </c>
      <c r="E10" s="14">
        <v>-1515942964</v>
      </c>
      <c r="F10" s="7">
        <v>2.7060117286615504E-2</v>
      </c>
      <c r="G10" s="14">
        <v>1064000000</v>
      </c>
      <c r="H10" s="14">
        <v>-2458747247</v>
      </c>
      <c r="I10" s="14">
        <v>0</v>
      </c>
      <c r="J10" s="14">
        <v>-1394747247</v>
      </c>
      <c r="K10" s="7">
        <v>-3.928626161808637E-3</v>
      </c>
    </row>
    <row r="11" spans="1:11" x14ac:dyDescent="0.25">
      <c r="A11" s="6" t="s">
        <v>103</v>
      </c>
      <c r="B11" s="14">
        <v>0</v>
      </c>
      <c r="C11" s="14">
        <v>-1932481547</v>
      </c>
      <c r="D11" s="14">
        <v>-521919400</v>
      </c>
      <c r="E11" s="14">
        <v>-2454400947</v>
      </c>
      <c r="F11" s="7">
        <v>4.3811923714433466E-2</v>
      </c>
      <c r="G11" s="14">
        <v>0</v>
      </c>
      <c r="H11" s="14">
        <v>-3915183863</v>
      </c>
      <c r="I11" s="14">
        <v>-521919400</v>
      </c>
      <c r="J11" s="14">
        <v>-4437103263</v>
      </c>
      <c r="K11" s="7">
        <v>-1.2498121074741414E-2</v>
      </c>
    </row>
    <row r="12" spans="1:11" x14ac:dyDescent="0.25">
      <c r="A12" s="6" t="s">
        <v>95</v>
      </c>
      <c r="B12" s="14">
        <v>0</v>
      </c>
      <c r="C12" s="14">
        <v>2535249850</v>
      </c>
      <c r="D12" s="14">
        <v>0</v>
      </c>
      <c r="E12" s="14">
        <v>2535249850</v>
      </c>
      <c r="F12" s="7">
        <v>-4.5255105186051289E-2</v>
      </c>
      <c r="G12" s="14">
        <v>0</v>
      </c>
      <c r="H12" s="14">
        <v>10696670600</v>
      </c>
      <c r="I12" s="14">
        <v>0</v>
      </c>
      <c r="J12" s="14">
        <v>10696670600</v>
      </c>
      <c r="K12" s="7">
        <v>3.0129631052363201E-2</v>
      </c>
    </row>
    <row r="13" spans="1:11" x14ac:dyDescent="0.25">
      <c r="A13" s="6" t="s">
        <v>167</v>
      </c>
      <c r="B13" s="14">
        <v>2400000000</v>
      </c>
      <c r="C13" s="14">
        <v>-4524751200</v>
      </c>
      <c r="D13" s="14">
        <v>0</v>
      </c>
      <c r="E13" s="14">
        <v>-2124751200</v>
      </c>
      <c r="F13" s="7">
        <v>3.7927559309465571E-2</v>
      </c>
      <c r="G13" s="14">
        <v>2400000000</v>
      </c>
      <c r="H13" s="14">
        <v>1228852769</v>
      </c>
      <c r="I13" s="14">
        <v>0</v>
      </c>
      <c r="J13" s="14">
        <v>3628852769</v>
      </c>
      <c r="K13" s="7">
        <v>1.022149780636571E-2</v>
      </c>
    </row>
    <row r="14" spans="1:11" x14ac:dyDescent="0.25">
      <c r="A14" s="6" t="s">
        <v>100</v>
      </c>
      <c r="B14" s="14">
        <v>0</v>
      </c>
      <c r="C14" s="14">
        <v>377951158</v>
      </c>
      <c r="D14" s="14">
        <v>1059081042</v>
      </c>
      <c r="E14" s="14">
        <v>1437032200</v>
      </c>
      <c r="F14" s="7">
        <v>-2.5651532280632099E-2</v>
      </c>
      <c r="G14" s="14">
        <v>0</v>
      </c>
      <c r="H14" s="14">
        <v>0</v>
      </c>
      <c r="I14" s="14">
        <v>1059081042</v>
      </c>
      <c r="J14" s="14">
        <v>1059081042</v>
      </c>
      <c r="K14" s="7">
        <v>2.9831451526620232E-3</v>
      </c>
    </row>
    <row r="15" spans="1:11" x14ac:dyDescent="0.25">
      <c r="A15" s="6" t="s">
        <v>166</v>
      </c>
      <c r="B15" s="14">
        <v>3836000000</v>
      </c>
      <c r="C15" s="14">
        <v>-3960109145</v>
      </c>
      <c r="D15" s="14">
        <v>0</v>
      </c>
      <c r="E15" s="14">
        <v>-124109145</v>
      </c>
      <c r="F15" s="7">
        <v>2.2153920693559616E-3</v>
      </c>
      <c r="G15" s="14">
        <v>3836000000</v>
      </c>
      <c r="H15" s="14">
        <v>556406279</v>
      </c>
      <c r="I15" s="14">
        <v>164896344</v>
      </c>
      <c r="J15" s="14">
        <v>4557302623</v>
      </c>
      <c r="K15" s="7">
        <v>1.2836690196382887E-2</v>
      </c>
    </row>
    <row r="16" spans="1:11" x14ac:dyDescent="0.25">
      <c r="A16" s="6" t="s">
        <v>165</v>
      </c>
      <c r="B16" s="14">
        <v>0</v>
      </c>
      <c r="C16" s="14">
        <v>-29675812448</v>
      </c>
      <c r="D16" s="14">
        <v>12419210098</v>
      </c>
      <c r="E16" s="14">
        <v>-17256602350</v>
      </c>
      <c r="F16" s="7">
        <v>0.30803644638934102</v>
      </c>
      <c r="G16" s="14">
        <v>0</v>
      </c>
      <c r="H16" s="14">
        <v>77341782840</v>
      </c>
      <c r="I16" s="14">
        <v>14703636169</v>
      </c>
      <c r="J16" s="14">
        <v>92045419009</v>
      </c>
      <c r="K16" s="7">
        <v>0.25926707650522102</v>
      </c>
    </row>
    <row r="17" spans="1:11" x14ac:dyDescent="0.25">
      <c r="A17" s="6" t="s">
        <v>92</v>
      </c>
      <c r="B17" s="14">
        <v>0</v>
      </c>
      <c r="C17" s="14">
        <v>-4880326190</v>
      </c>
      <c r="D17" s="14">
        <v>0</v>
      </c>
      <c r="E17" s="14">
        <v>-4880326190</v>
      </c>
      <c r="F17" s="7">
        <v>8.7115546055822043E-2</v>
      </c>
      <c r="G17" s="14">
        <v>0</v>
      </c>
      <c r="H17" s="14">
        <v>6100133630</v>
      </c>
      <c r="I17" s="14">
        <v>0</v>
      </c>
      <c r="J17" s="14">
        <v>6100133630</v>
      </c>
      <c r="K17" s="7">
        <v>1.7182428300822224E-2</v>
      </c>
    </row>
    <row r="18" spans="1:11" x14ac:dyDescent="0.25">
      <c r="A18" s="6" t="s">
        <v>76</v>
      </c>
      <c r="B18" s="14">
        <v>833200000</v>
      </c>
      <c r="C18" s="14">
        <v>-664820900</v>
      </c>
      <c r="D18" s="14">
        <v>0</v>
      </c>
      <c r="E18" s="14">
        <v>168379100</v>
      </c>
      <c r="F18" s="7">
        <v>-3.0056264007402066E-3</v>
      </c>
      <c r="G18" s="14">
        <v>833200000</v>
      </c>
      <c r="H18" s="14">
        <v>-4971272700</v>
      </c>
      <c r="I18" s="14">
        <v>0</v>
      </c>
      <c r="J18" s="14">
        <v>-4138072700</v>
      </c>
      <c r="K18" s="7">
        <v>-1.1655832770886339E-2</v>
      </c>
    </row>
    <row r="19" spans="1:11" x14ac:dyDescent="0.25">
      <c r="A19" s="6" t="s">
        <v>164</v>
      </c>
      <c r="B19" s="14">
        <v>0</v>
      </c>
      <c r="C19" s="14">
        <v>1312541523</v>
      </c>
      <c r="D19" s="14">
        <v>-2477556698</v>
      </c>
      <c r="E19" s="14">
        <v>-1165015175</v>
      </c>
      <c r="F19" s="7">
        <v>2.07959323172708E-2</v>
      </c>
      <c r="G19" s="14">
        <v>1267666600</v>
      </c>
      <c r="H19" s="14">
        <v>-373529138</v>
      </c>
      <c r="I19" s="14">
        <v>-2477556698</v>
      </c>
      <c r="J19" s="14">
        <v>-1583419236</v>
      </c>
      <c r="K19" s="7">
        <v>-4.4600641793994117E-3</v>
      </c>
    </row>
    <row r="20" spans="1:11" x14ac:dyDescent="0.25">
      <c r="A20" s="6" t="s">
        <v>163</v>
      </c>
      <c r="B20" s="14">
        <v>10412200340</v>
      </c>
      <c r="C20" s="14">
        <v>3630061686</v>
      </c>
      <c r="D20" s="14">
        <v>0</v>
      </c>
      <c r="E20" s="14">
        <v>14042262026</v>
      </c>
      <c r="F20" s="7">
        <v>-0.25065933641085658</v>
      </c>
      <c r="G20" s="14">
        <v>10412200340</v>
      </c>
      <c r="H20" s="14">
        <v>53455251565</v>
      </c>
      <c r="I20" s="14">
        <v>0</v>
      </c>
      <c r="J20" s="14">
        <v>63867451905</v>
      </c>
      <c r="K20" s="7">
        <v>0.1798973563000249</v>
      </c>
    </row>
    <row r="21" spans="1:11" x14ac:dyDescent="0.25">
      <c r="A21" s="6" t="s">
        <v>101</v>
      </c>
      <c r="B21" s="14">
        <v>0</v>
      </c>
      <c r="C21" s="14">
        <v>-33147581346</v>
      </c>
      <c r="D21" s="14">
        <v>5147633139</v>
      </c>
      <c r="E21" s="14">
        <v>-27999948207</v>
      </c>
      <c r="F21" s="7">
        <v>0.49980896411916687</v>
      </c>
      <c r="G21" s="14">
        <v>0</v>
      </c>
      <c r="H21" s="14">
        <v>-1230308379</v>
      </c>
      <c r="I21" s="14">
        <v>120554284</v>
      </c>
      <c r="J21" s="14">
        <v>-1109754095</v>
      </c>
      <c r="K21" s="7">
        <v>-3.1258774521110543E-3</v>
      </c>
    </row>
    <row r="22" spans="1:11" x14ac:dyDescent="0.25">
      <c r="A22" s="6" t="s">
        <v>162</v>
      </c>
      <c r="B22" s="14">
        <v>0</v>
      </c>
      <c r="C22" s="14">
        <v>-7988690860</v>
      </c>
      <c r="D22" s="14">
        <v>-1116116224</v>
      </c>
      <c r="E22" s="14">
        <v>-9104807084</v>
      </c>
      <c r="F22" s="7">
        <v>0.1625240219559129</v>
      </c>
      <c r="G22" s="14">
        <v>4948500000</v>
      </c>
      <c r="H22" s="14">
        <v>-11888636756</v>
      </c>
      <c r="I22" s="14">
        <v>-997711139</v>
      </c>
      <c r="J22" s="14">
        <v>-7937847895</v>
      </c>
      <c r="K22" s="7">
        <v>-2.2358772871451035E-2</v>
      </c>
    </row>
    <row r="23" spans="1:11" x14ac:dyDescent="0.25">
      <c r="A23" s="6" t="s">
        <v>75</v>
      </c>
      <c r="B23" s="14">
        <v>0</v>
      </c>
      <c r="C23" s="14">
        <v>-5536866600</v>
      </c>
      <c r="D23" s="14">
        <v>0</v>
      </c>
      <c r="E23" s="14">
        <v>-5536866600</v>
      </c>
      <c r="F23" s="7">
        <v>9.8835024241943709E-2</v>
      </c>
      <c r="G23" s="14">
        <v>5196000000</v>
      </c>
      <c r="H23" s="14">
        <v>10455974314</v>
      </c>
      <c r="I23" s="14">
        <v>1021799919</v>
      </c>
      <c r="J23" s="14">
        <v>16673774233</v>
      </c>
      <c r="K23" s="7">
        <v>4.6965517091896822E-2</v>
      </c>
    </row>
    <row r="24" spans="1:11" x14ac:dyDescent="0.25">
      <c r="A24" s="6" t="s">
        <v>88</v>
      </c>
      <c r="B24" s="14">
        <v>0</v>
      </c>
      <c r="C24" s="14">
        <v>3929389200</v>
      </c>
      <c r="D24" s="14">
        <v>0</v>
      </c>
      <c r="E24" s="14">
        <v>3929389200</v>
      </c>
      <c r="F24" s="7">
        <v>-7.0140984945895532E-2</v>
      </c>
      <c r="G24" s="14">
        <v>0</v>
      </c>
      <c r="H24" s="14">
        <v>4828393385</v>
      </c>
      <c r="I24" s="14">
        <v>0</v>
      </c>
      <c r="J24" s="14">
        <v>4828393385</v>
      </c>
      <c r="K24" s="7">
        <v>1.3600279629599987E-2</v>
      </c>
    </row>
    <row r="25" spans="1:11" x14ac:dyDescent="0.25">
      <c r="A25" s="6" t="s">
        <v>161</v>
      </c>
      <c r="B25" s="14">
        <v>702000000</v>
      </c>
      <c r="C25" s="14">
        <v>-1791915763</v>
      </c>
      <c r="D25" s="14">
        <v>0</v>
      </c>
      <c r="E25" s="14">
        <v>-1089915763</v>
      </c>
      <c r="F25" s="7">
        <v>1.945538129052659E-2</v>
      </c>
      <c r="G25" s="14">
        <v>702000000</v>
      </c>
      <c r="H25" s="14">
        <v>-1139698624</v>
      </c>
      <c r="I25" s="14">
        <v>0</v>
      </c>
      <c r="J25" s="14">
        <v>-437698624</v>
      </c>
      <c r="K25" s="7">
        <v>-1.2328787663375409E-3</v>
      </c>
    </row>
    <row r="26" spans="1:11" x14ac:dyDescent="0.25">
      <c r="A26" s="6" t="s">
        <v>160</v>
      </c>
      <c r="B26" s="14">
        <v>0</v>
      </c>
      <c r="C26" s="14">
        <v>1705623867</v>
      </c>
      <c r="D26" s="14">
        <v>0</v>
      </c>
      <c r="E26" s="14">
        <v>1705623867</v>
      </c>
      <c r="F26" s="7">
        <v>-3.044598839397409E-2</v>
      </c>
      <c r="G26" s="14">
        <v>0</v>
      </c>
      <c r="H26" s="14">
        <v>5582309043</v>
      </c>
      <c r="I26" s="14">
        <v>716160076</v>
      </c>
      <c r="J26" s="14">
        <v>6298469119</v>
      </c>
      <c r="K26" s="7">
        <v>1.7741085787027329E-2</v>
      </c>
    </row>
    <row r="27" spans="1:11" x14ac:dyDescent="0.25">
      <c r="A27" s="6" t="s">
        <v>159</v>
      </c>
      <c r="B27" s="14">
        <v>0</v>
      </c>
      <c r="C27" s="14">
        <v>-408815240</v>
      </c>
      <c r="D27" s="14">
        <v>0</v>
      </c>
      <c r="E27" s="14">
        <v>-408815240</v>
      </c>
      <c r="F27" s="7">
        <v>7.2974964135628685E-3</v>
      </c>
      <c r="G27" s="14">
        <v>0</v>
      </c>
      <c r="H27" s="14">
        <v>-162426851</v>
      </c>
      <c r="I27" s="14">
        <v>0</v>
      </c>
      <c r="J27" s="14">
        <v>-162426851</v>
      </c>
      <c r="K27" s="7">
        <v>-4.5751255475953148E-4</v>
      </c>
    </row>
    <row r="28" spans="1:11" x14ac:dyDescent="0.25">
      <c r="A28" s="6" t="s">
        <v>158</v>
      </c>
      <c r="B28" s="14">
        <v>0</v>
      </c>
      <c r="C28" s="14">
        <v>-14366348574</v>
      </c>
      <c r="D28" s="14">
        <v>-294839819</v>
      </c>
      <c r="E28" s="14">
        <v>-14661188393</v>
      </c>
      <c r="F28" s="7">
        <v>0.26170739064543452</v>
      </c>
      <c r="G28" s="14">
        <v>4785000000</v>
      </c>
      <c r="H28" s="14">
        <v>-14192008412</v>
      </c>
      <c r="I28" s="14">
        <v>-139567279</v>
      </c>
      <c r="J28" s="14">
        <v>-9546575691</v>
      </c>
      <c r="K28" s="7">
        <v>-2.6890124426500454E-2</v>
      </c>
    </row>
    <row r="29" spans="1:11" x14ac:dyDescent="0.25">
      <c r="A29" s="6" t="s">
        <v>97</v>
      </c>
      <c r="B29" s="14">
        <v>0</v>
      </c>
      <c r="C29" s="14">
        <v>765364586</v>
      </c>
      <c r="D29" s="14">
        <v>2372623224</v>
      </c>
      <c r="E29" s="14">
        <v>3137987810</v>
      </c>
      <c r="F29" s="7">
        <v>-5.6014190638487456E-2</v>
      </c>
      <c r="G29" s="14">
        <v>0</v>
      </c>
      <c r="H29" s="14">
        <v>1254698679</v>
      </c>
      <c r="I29" s="14">
        <v>2372623224</v>
      </c>
      <c r="J29" s="14">
        <v>3627321903</v>
      </c>
      <c r="K29" s="7">
        <v>1.0217185770453283E-2</v>
      </c>
    </row>
    <row r="30" spans="1:11" x14ac:dyDescent="0.25">
      <c r="A30" s="6" t="s">
        <v>77</v>
      </c>
      <c r="B30" s="14">
        <v>0</v>
      </c>
      <c r="C30" s="14">
        <v>-10276632</v>
      </c>
      <c r="D30" s="14">
        <v>7196440</v>
      </c>
      <c r="E30" s="14">
        <v>-3080192</v>
      </c>
      <c r="F30" s="7">
        <v>5.4982515018483755E-5</v>
      </c>
      <c r="G30" s="14">
        <v>0</v>
      </c>
      <c r="H30" s="14">
        <v>0</v>
      </c>
      <c r="I30" s="14">
        <v>2022315298</v>
      </c>
      <c r="J30" s="14">
        <v>2022315298</v>
      </c>
      <c r="K30" s="7">
        <v>5.6963158050589999E-3</v>
      </c>
    </row>
    <row r="31" spans="1:11" x14ac:dyDescent="0.25">
      <c r="A31" s="6" t="s">
        <v>87</v>
      </c>
      <c r="B31" s="14">
        <v>512500000</v>
      </c>
      <c r="C31" s="14">
        <v>266855368</v>
      </c>
      <c r="D31" s="14">
        <v>974614607</v>
      </c>
      <c r="E31" s="14">
        <v>1753969975</v>
      </c>
      <c r="F31" s="7">
        <v>-3.1308983495966183E-2</v>
      </c>
      <c r="G31" s="14">
        <v>512500000</v>
      </c>
      <c r="H31" s="14">
        <v>931310658</v>
      </c>
      <c r="I31" s="14">
        <v>974614607</v>
      </c>
      <c r="J31" s="14">
        <v>2418425265</v>
      </c>
      <c r="K31" s="7">
        <v>6.8120505610562319E-3</v>
      </c>
    </row>
    <row r="32" spans="1:11" x14ac:dyDescent="0.25">
      <c r="A32" s="6" t="s">
        <v>105</v>
      </c>
      <c r="B32" s="14">
        <v>2080000000</v>
      </c>
      <c r="C32" s="14">
        <v>3527352465</v>
      </c>
      <c r="D32" s="14">
        <v>0</v>
      </c>
      <c r="E32" s="14">
        <v>5607352465</v>
      </c>
      <c r="F32" s="7">
        <v>-0.10009322182539089</v>
      </c>
      <c r="G32" s="14">
        <v>2080000000</v>
      </c>
      <c r="H32" s="14">
        <v>9281617773</v>
      </c>
      <c r="I32" s="14">
        <v>0</v>
      </c>
      <c r="J32" s="14">
        <v>11361617773</v>
      </c>
      <c r="K32" s="7">
        <v>3.2002607583191581E-2</v>
      </c>
    </row>
    <row r="33" spans="1:11" x14ac:dyDescent="0.25">
      <c r="A33" s="6" t="s">
        <v>157</v>
      </c>
      <c r="B33" s="14">
        <v>0</v>
      </c>
      <c r="C33" s="14">
        <v>-2369005113</v>
      </c>
      <c r="D33" s="14">
        <v>0</v>
      </c>
      <c r="E33" s="14">
        <v>-2369005113</v>
      </c>
      <c r="F33" s="7">
        <v>4.2287577918645104E-2</v>
      </c>
      <c r="G33" s="14">
        <v>0</v>
      </c>
      <c r="H33" s="14">
        <v>9826335757</v>
      </c>
      <c r="I33" s="14">
        <v>483368606</v>
      </c>
      <c r="J33" s="14">
        <v>10309704363</v>
      </c>
      <c r="K33" s="7">
        <v>2.9039651713321821E-2</v>
      </c>
    </row>
    <row r="34" spans="1:11" x14ac:dyDescent="0.25">
      <c r="A34" s="6" t="s">
        <v>73</v>
      </c>
      <c r="B34" s="14">
        <v>1514097200</v>
      </c>
      <c r="C34" s="14">
        <v>-2898936025</v>
      </c>
      <c r="D34" s="14">
        <v>0</v>
      </c>
      <c r="E34" s="14">
        <v>-1384838825</v>
      </c>
      <c r="F34" s="7">
        <v>2.4719862103966862E-2</v>
      </c>
      <c r="G34" s="14">
        <v>1514097200</v>
      </c>
      <c r="H34" s="14">
        <v>-3123023177</v>
      </c>
      <c r="I34" s="14">
        <v>0</v>
      </c>
      <c r="J34" s="14">
        <v>-1608925977</v>
      </c>
      <c r="K34" s="7">
        <v>-4.5319097773818522E-3</v>
      </c>
    </row>
    <row r="35" spans="1:11" x14ac:dyDescent="0.25">
      <c r="A35" s="6" t="s">
        <v>96</v>
      </c>
      <c r="B35" s="14">
        <v>0</v>
      </c>
      <c r="C35" s="14">
        <v>-5427398222</v>
      </c>
      <c r="D35" s="14">
        <v>18510764170</v>
      </c>
      <c r="E35" s="14">
        <v>13083365948</v>
      </c>
      <c r="F35" s="7">
        <v>-0.23354270276925235</v>
      </c>
      <c r="G35" s="14">
        <v>0</v>
      </c>
      <c r="H35" s="14">
        <v>6354342987</v>
      </c>
      <c r="I35" s="14">
        <v>23649262812</v>
      </c>
      <c r="J35" s="14">
        <v>30003605799</v>
      </c>
      <c r="K35" s="7">
        <v>8.4512051157713972E-2</v>
      </c>
    </row>
    <row r="36" spans="1:11" x14ac:dyDescent="0.25">
      <c r="A36" s="6" t="s">
        <v>156</v>
      </c>
      <c r="B36" s="14">
        <v>1246176666</v>
      </c>
      <c r="C36" s="14">
        <v>-1801052554</v>
      </c>
      <c r="D36" s="14">
        <v>0</v>
      </c>
      <c r="E36" s="14">
        <v>-554875888</v>
      </c>
      <c r="F36" s="7">
        <v>9.904730563989033E-3</v>
      </c>
      <c r="G36" s="14">
        <v>1246176666</v>
      </c>
      <c r="H36" s="14">
        <v>12915876085</v>
      </c>
      <c r="I36" s="14">
        <v>0</v>
      </c>
      <c r="J36" s="14">
        <v>14162052751</v>
      </c>
      <c r="K36" s="7">
        <v>3.989067629433548E-2</v>
      </c>
    </row>
    <row r="37" spans="1:11" x14ac:dyDescent="0.25">
      <c r="A37" s="6" t="s">
        <v>91</v>
      </c>
      <c r="B37" s="14">
        <v>0</v>
      </c>
      <c r="C37" s="14">
        <v>-19718389440</v>
      </c>
      <c r="D37" s="14">
        <v>0</v>
      </c>
      <c r="E37" s="14">
        <v>-19718389440</v>
      </c>
      <c r="F37" s="7">
        <v>0.35198021536485757</v>
      </c>
      <c r="G37" s="14">
        <v>0</v>
      </c>
      <c r="H37" s="14">
        <v>-273866520</v>
      </c>
      <c r="I37" s="14">
        <v>632249560</v>
      </c>
      <c r="J37" s="14">
        <v>358383040</v>
      </c>
      <c r="K37" s="7">
        <v>1.0094681957042149E-3</v>
      </c>
    </row>
    <row r="38" spans="1:11" x14ac:dyDescent="0.25">
      <c r="A38" s="6" t="s">
        <v>70</v>
      </c>
      <c r="B38" s="14">
        <v>0</v>
      </c>
      <c r="C38" s="14">
        <v>11992204637</v>
      </c>
      <c r="D38" s="14">
        <v>4071992963</v>
      </c>
      <c r="E38" s="14">
        <v>16064197600</v>
      </c>
      <c r="F38" s="7">
        <v>-0.28675160048525894</v>
      </c>
      <c r="G38" s="14">
        <v>3237500000</v>
      </c>
      <c r="H38" s="14">
        <v>27744478744</v>
      </c>
      <c r="I38" s="14">
        <v>4071992963</v>
      </c>
      <c r="J38" s="14">
        <v>35053971707</v>
      </c>
      <c r="K38" s="7">
        <v>9.8737567412040178E-2</v>
      </c>
    </row>
    <row r="39" spans="1:11" x14ac:dyDescent="0.25">
      <c r="A39" s="6" t="s">
        <v>86</v>
      </c>
      <c r="B39" s="14">
        <v>1280000000</v>
      </c>
      <c r="C39" s="14">
        <v>-1270105600</v>
      </c>
      <c r="D39" s="14">
        <v>0</v>
      </c>
      <c r="E39" s="14">
        <v>9894400</v>
      </c>
      <c r="F39" s="7">
        <v>-1.766185343637298E-4</v>
      </c>
      <c r="G39" s="14">
        <v>1280000000</v>
      </c>
      <c r="H39" s="14">
        <v>-2154340506</v>
      </c>
      <c r="I39" s="14">
        <v>189445153</v>
      </c>
      <c r="J39" s="14">
        <v>-684895353</v>
      </c>
      <c r="K39" s="7">
        <v>-1.9291651642865449E-3</v>
      </c>
    </row>
    <row r="40" spans="1:11" x14ac:dyDescent="0.25">
      <c r="A40" s="6" t="s">
        <v>94</v>
      </c>
      <c r="B40" s="14">
        <v>0</v>
      </c>
      <c r="C40" s="14">
        <v>10689803546</v>
      </c>
      <c r="D40" s="14">
        <v>2218622436</v>
      </c>
      <c r="E40" s="14">
        <v>12908425982</v>
      </c>
      <c r="F40" s="7">
        <v>-0.23041996259333863</v>
      </c>
      <c r="G40" s="14">
        <v>0</v>
      </c>
      <c r="H40" s="14">
        <v>24995901075</v>
      </c>
      <c r="I40" s="14">
        <v>2218622436</v>
      </c>
      <c r="J40" s="14">
        <v>27214523511</v>
      </c>
      <c r="K40" s="7">
        <v>7.6655959907028823E-2</v>
      </c>
    </row>
    <row r="41" spans="1:11" x14ac:dyDescent="0.25">
      <c r="A41" s="6" t="s">
        <v>155</v>
      </c>
      <c r="B41" s="14">
        <v>0</v>
      </c>
      <c r="C41" s="14">
        <v>-168418817</v>
      </c>
      <c r="D41" s="14">
        <v>3390021417</v>
      </c>
      <c r="E41" s="14">
        <v>3221602600</v>
      </c>
      <c r="F41" s="7">
        <v>-5.7506744169871976E-2</v>
      </c>
      <c r="G41" s="14">
        <v>0</v>
      </c>
      <c r="H41" s="14">
        <v>0</v>
      </c>
      <c r="I41" s="14">
        <v>3546254417</v>
      </c>
      <c r="J41" s="14">
        <v>3546254417</v>
      </c>
      <c r="K41" s="7">
        <v>9.9888405652150646E-3</v>
      </c>
    </row>
    <row r="42" spans="1:11" x14ac:dyDescent="0.25">
      <c r="A42" s="6" t="s">
        <v>154</v>
      </c>
      <c r="B42" s="14">
        <v>0</v>
      </c>
      <c r="C42" s="14">
        <v>-11356594400</v>
      </c>
      <c r="D42" s="14">
        <v>0</v>
      </c>
      <c r="E42" s="14">
        <v>-11356594400</v>
      </c>
      <c r="F42" s="7">
        <v>0.20271922080079049</v>
      </c>
      <c r="G42" s="14">
        <v>0</v>
      </c>
      <c r="H42" s="14">
        <v>1490125447</v>
      </c>
      <c r="I42" s="14">
        <v>0</v>
      </c>
      <c r="J42" s="14">
        <v>1490125447</v>
      </c>
      <c r="K42" s="7">
        <v>4.1972807819143088E-3</v>
      </c>
    </row>
    <row r="43" spans="1:11" x14ac:dyDescent="0.25">
      <c r="A43" s="6" t="s">
        <v>153</v>
      </c>
      <c r="B43" s="14">
        <v>0</v>
      </c>
      <c r="C43" s="14">
        <v>-9575267075</v>
      </c>
      <c r="D43" s="14">
        <v>7009583938</v>
      </c>
      <c r="E43" s="14">
        <v>-2565683137</v>
      </c>
      <c r="F43" s="7">
        <v>4.5798350106997551E-2</v>
      </c>
      <c r="G43" s="14">
        <v>0</v>
      </c>
      <c r="H43" s="14">
        <v>16223179060</v>
      </c>
      <c r="I43" s="14">
        <v>7211125296</v>
      </c>
      <c r="J43" s="14">
        <v>23434304356</v>
      </c>
      <c r="K43" s="7">
        <v>6.6008103887490732E-2</v>
      </c>
    </row>
    <row r="44" spans="1:11" x14ac:dyDescent="0.25">
      <c r="A44" s="6" t="s">
        <v>74</v>
      </c>
      <c r="B44" s="14">
        <v>0</v>
      </c>
      <c r="C44" s="14">
        <v>-3985204388</v>
      </c>
      <c r="D44" s="14">
        <v>-590332725</v>
      </c>
      <c r="E44" s="14">
        <v>-4575537113</v>
      </c>
      <c r="F44" s="7">
        <v>8.1674953390292654E-2</v>
      </c>
      <c r="G44" s="14">
        <v>0</v>
      </c>
      <c r="H44" s="14">
        <v>-721132222</v>
      </c>
      <c r="I44" s="14">
        <v>-528735396</v>
      </c>
      <c r="J44" s="14">
        <v>-1249867618</v>
      </c>
      <c r="K44" s="7">
        <v>-3.5205393905124111E-3</v>
      </c>
    </row>
    <row r="45" spans="1:11" x14ac:dyDescent="0.25">
      <c r="A45" s="6" t="s">
        <v>85</v>
      </c>
      <c r="B45" s="14">
        <v>5904000000</v>
      </c>
      <c r="C45" s="14">
        <v>-18812679510</v>
      </c>
      <c r="D45" s="14">
        <v>0</v>
      </c>
      <c r="E45" s="14">
        <v>-12908679510</v>
      </c>
      <c r="F45" s="7">
        <v>0.23042448815767605</v>
      </c>
      <c r="G45" s="14">
        <v>5904000000</v>
      </c>
      <c r="H45" s="14">
        <v>-4518401453</v>
      </c>
      <c r="I45" s="14">
        <v>10229398</v>
      </c>
      <c r="J45" s="14">
        <v>1395827945</v>
      </c>
      <c r="K45" s="7">
        <v>3.9316701960915119E-3</v>
      </c>
    </row>
    <row r="46" spans="1:11" x14ac:dyDescent="0.25">
      <c r="A46" s="6" t="s">
        <v>152</v>
      </c>
      <c r="B46" s="14">
        <v>0</v>
      </c>
      <c r="C46" s="14">
        <v>0</v>
      </c>
      <c r="D46" s="14">
        <v>0</v>
      </c>
      <c r="E46" s="14">
        <v>0</v>
      </c>
      <c r="F46" s="7">
        <v>0</v>
      </c>
      <c r="G46" s="14">
        <v>0</v>
      </c>
      <c r="H46" s="14">
        <v>0</v>
      </c>
      <c r="I46" s="14">
        <v>-1420212200</v>
      </c>
      <c r="J46" s="14">
        <v>-1420212200</v>
      </c>
      <c r="K46" s="7">
        <v>-4.0003540542853638E-3</v>
      </c>
    </row>
    <row r="47" spans="1:11" x14ac:dyDescent="0.25">
      <c r="A47" s="6" t="s">
        <v>151</v>
      </c>
      <c r="B47" s="14">
        <v>0</v>
      </c>
      <c r="C47" s="14">
        <v>0</v>
      </c>
      <c r="D47" s="14">
        <v>0</v>
      </c>
      <c r="E47" s="14">
        <v>0</v>
      </c>
      <c r="F47" s="7">
        <v>0</v>
      </c>
      <c r="G47" s="14">
        <v>0</v>
      </c>
      <c r="H47" s="14">
        <v>0</v>
      </c>
      <c r="I47" s="14">
        <v>-553054609</v>
      </c>
      <c r="J47" s="14">
        <v>-553054609</v>
      </c>
      <c r="K47" s="7">
        <v>-1.557805409187695E-3</v>
      </c>
    </row>
    <row r="48" spans="1:11" x14ac:dyDescent="0.25">
      <c r="A48" s="6" t="s">
        <v>150</v>
      </c>
      <c r="B48" s="14">
        <v>0</v>
      </c>
      <c r="C48" s="14">
        <v>0</v>
      </c>
      <c r="D48" s="14">
        <v>0</v>
      </c>
      <c r="E48" s="14">
        <v>0</v>
      </c>
      <c r="F48" s="7">
        <v>0</v>
      </c>
      <c r="G48" s="14">
        <v>0</v>
      </c>
      <c r="H48" s="14">
        <v>0</v>
      </c>
      <c r="I48" s="14">
        <v>642006420</v>
      </c>
      <c r="J48" s="14">
        <v>642006420</v>
      </c>
      <c r="K48" s="7">
        <v>1.8083586277629724E-3</v>
      </c>
    </row>
    <row r="49" spans="1:11" x14ac:dyDescent="0.25">
      <c r="A49" s="6" t="s">
        <v>149</v>
      </c>
      <c r="B49" s="14">
        <v>0</v>
      </c>
      <c r="C49" s="14">
        <v>0</v>
      </c>
      <c r="D49" s="14">
        <v>0</v>
      </c>
      <c r="E49" s="14">
        <v>0</v>
      </c>
      <c r="F49" s="7">
        <v>0</v>
      </c>
      <c r="G49" s="14">
        <v>0</v>
      </c>
      <c r="H49" s="14">
        <v>-21838528352</v>
      </c>
      <c r="I49" s="14">
        <v>-1302677493</v>
      </c>
      <c r="J49" s="14">
        <v>-23141205845</v>
      </c>
      <c r="K49" s="7">
        <v>-6.5182524571397088E-2</v>
      </c>
    </row>
    <row r="50" spans="1:11" x14ac:dyDescent="0.25">
      <c r="A50" s="6" t="s">
        <v>148</v>
      </c>
      <c r="B50" s="14">
        <v>0</v>
      </c>
      <c r="C50" s="14">
        <v>0</v>
      </c>
      <c r="D50" s="14">
        <v>0</v>
      </c>
      <c r="E50" s="14">
        <v>0</v>
      </c>
      <c r="F50" s="7">
        <v>0</v>
      </c>
      <c r="G50" s="14">
        <v>0</v>
      </c>
      <c r="H50" s="14">
        <v>0</v>
      </c>
      <c r="I50" s="14">
        <v>-53544440</v>
      </c>
      <c r="J50" s="14">
        <v>-53544440</v>
      </c>
      <c r="K50" s="7">
        <v>-1.508202208363225E-4</v>
      </c>
    </row>
    <row r="51" spans="1:11" x14ac:dyDescent="0.25">
      <c r="A51" s="6" t="s">
        <v>147</v>
      </c>
      <c r="B51" s="14">
        <v>0</v>
      </c>
      <c r="C51" s="14">
        <v>0</v>
      </c>
      <c r="D51" s="14">
        <v>0</v>
      </c>
      <c r="E51" s="14">
        <v>0</v>
      </c>
      <c r="F51" s="7">
        <v>0</v>
      </c>
      <c r="G51" s="14">
        <v>0</v>
      </c>
      <c r="H51" s="14">
        <v>0</v>
      </c>
      <c r="I51" s="14">
        <v>179495223</v>
      </c>
      <c r="J51" s="14">
        <v>179495223</v>
      </c>
      <c r="K51" s="7">
        <v>5.0558954714859192E-4</v>
      </c>
    </row>
    <row r="52" spans="1:11" x14ac:dyDescent="0.25">
      <c r="A52" s="6" t="s">
        <v>146</v>
      </c>
      <c r="B52" s="14">
        <v>0</v>
      </c>
      <c r="C52" s="14">
        <v>0</v>
      </c>
      <c r="D52" s="14">
        <v>0</v>
      </c>
      <c r="E52" s="14">
        <v>0</v>
      </c>
      <c r="F52" s="7">
        <v>0</v>
      </c>
      <c r="G52" s="14">
        <v>0</v>
      </c>
      <c r="H52" s="14">
        <v>0</v>
      </c>
      <c r="I52" s="14">
        <v>-1579799394</v>
      </c>
      <c r="J52" s="14">
        <v>-1579799394</v>
      </c>
      <c r="K52" s="7">
        <v>-4.449868062494788E-3</v>
      </c>
    </row>
    <row r="53" spans="1:11" x14ac:dyDescent="0.25">
      <c r="A53" s="6" t="s">
        <v>145</v>
      </c>
      <c r="B53" s="14">
        <v>0</v>
      </c>
      <c r="C53" s="14">
        <v>0</v>
      </c>
      <c r="D53" s="14">
        <v>0</v>
      </c>
      <c r="E53" s="14">
        <v>0</v>
      </c>
      <c r="F53" s="7">
        <v>0</v>
      </c>
      <c r="G53" s="14">
        <v>0</v>
      </c>
      <c r="H53" s="14">
        <v>0</v>
      </c>
      <c r="I53" s="14">
        <v>-277571830</v>
      </c>
      <c r="J53" s="14">
        <v>-277571830</v>
      </c>
      <c r="K53" s="7">
        <v>-7.8184485071731383E-4</v>
      </c>
    </row>
    <row r="54" spans="1:11" x14ac:dyDescent="0.25">
      <c r="A54" s="6" t="s">
        <v>144</v>
      </c>
      <c r="B54" s="14">
        <v>0</v>
      </c>
      <c r="C54" s="14">
        <v>0</v>
      </c>
      <c r="D54" s="14">
        <v>0</v>
      </c>
      <c r="E54" s="14">
        <v>0</v>
      </c>
      <c r="F54" s="7">
        <v>0</v>
      </c>
      <c r="G54" s="14">
        <v>0</v>
      </c>
      <c r="H54" s="14">
        <v>0</v>
      </c>
      <c r="I54" s="14">
        <v>1163025722</v>
      </c>
      <c r="J54" s="14">
        <v>1163025722</v>
      </c>
      <c r="K54" s="7">
        <v>3.2759292324350282E-3</v>
      </c>
    </row>
    <row r="55" spans="1:11" x14ac:dyDescent="0.25">
      <c r="A55" s="6" t="s">
        <v>143</v>
      </c>
      <c r="B55" s="14">
        <v>0</v>
      </c>
      <c r="C55" s="14">
        <v>0</v>
      </c>
      <c r="D55" s="14">
        <v>0</v>
      </c>
      <c r="E55" s="14">
        <v>0</v>
      </c>
      <c r="F55" s="7">
        <v>0</v>
      </c>
      <c r="G55" s="14">
        <v>0</v>
      </c>
      <c r="H55" s="14">
        <v>0</v>
      </c>
      <c r="I55" s="14">
        <v>3238188008</v>
      </c>
      <c r="J55" s="14">
        <v>3238188008</v>
      </c>
      <c r="K55" s="7">
        <v>9.1211007244840214E-3</v>
      </c>
    </row>
    <row r="56" spans="1:11" x14ac:dyDescent="0.25">
      <c r="A56" s="6" t="s">
        <v>142</v>
      </c>
      <c r="B56" s="14">
        <v>0</v>
      </c>
      <c r="C56" s="14">
        <v>0</v>
      </c>
      <c r="D56" s="14">
        <v>0</v>
      </c>
      <c r="E56" s="14">
        <v>0</v>
      </c>
      <c r="F56" s="7">
        <v>0</v>
      </c>
      <c r="G56" s="14">
        <v>0</v>
      </c>
      <c r="H56" s="14">
        <v>0</v>
      </c>
      <c r="I56" s="14">
        <v>2298485501</v>
      </c>
      <c r="J56" s="14">
        <v>2298485501</v>
      </c>
      <c r="K56" s="7">
        <v>6.4742126512090771E-3</v>
      </c>
    </row>
    <row r="57" spans="1:11" x14ac:dyDescent="0.25">
      <c r="A57" s="6" t="s">
        <v>141</v>
      </c>
      <c r="B57" s="14">
        <v>0</v>
      </c>
      <c r="C57" s="14">
        <v>0</v>
      </c>
      <c r="D57" s="14">
        <v>0</v>
      </c>
      <c r="E57" s="14">
        <v>0</v>
      </c>
      <c r="F57" s="7">
        <v>0</v>
      </c>
      <c r="G57" s="14">
        <v>0</v>
      </c>
      <c r="H57" s="14">
        <v>0</v>
      </c>
      <c r="I57" s="14">
        <v>-1025979107</v>
      </c>
      <c r="J57" s="14">
        <v>-1025979107</v>
      </c>
      <c r="K57" s="7">
        <v>-2.8899059452520736E-3</v>
      </c>
    </row>
    <row r="58" spans="1:11" x14ac:dyDescent="0.25">
      <c r="A58" s="6" t="s">
        <v>140</v>
      </c>
      <c r="B58" s="14">
        <v>0</v>
      </c>
      <c r="C58" s="14">
        <v>0</v>
      </c>
      <c r="D58" s="14">
        <v>0</v>
      </c>
      <c r="E58" s="14">
        <v>0</v>
      </c>
      <c r="F58" s="7">
        <v>0</v>
      </c>
      <c r="G58" s="14">
        <v>0</v>
      </c>
      <c r="H58" s="14">
        <v>0</v>
      </c>
      <c r="I58" s="14">
        <v>-343528390</v>
      </c>
      <c r="J58" s="14">
        <v>-343528390</v>
      </c>
      <c r="K58" s="7">
        <v>-9.6762666008546022E-4</v>
      </c>
    </row>
    <row r="59" spans="1:11" x14ac:dyDescent="0.25">
      <c r="A59" s="6" t="s">
        <v>139</v>
      </c>
      <c r="B59" s="14">
        <v>0</v>
      </c>
      <c r="C59" s="14">
        <v>0</v>
      </c>
      <c r="D59" s="14">
        <v>0</v>
      </c>
      <c r="E59" s="14">
        <v>0</v>
      </c>
      <c r="F59" s="7">
        <v>0</v>
      </c>
      <c r="G59" s="14">
        <v>0</v>
      </c>
      <c r="H59" s="14">
        <v>0</v>
      </c>
      <c r="I59" s="14">
        <v>2957489400</v>
      </c>
      <c r="J59" s="14">
        <v>2957489400</v>
      </c>
      <c r="K59" s="7">
        <v>8.3304485849339891E-3</v>
      </c>
    </row>
    <row r="60" spans="1:11" ht="18.600000000000001" thickBot="1" x14ac:dyDescent="0.3">
      <c r="A60" s="6" t="s">
        <v>2</v>
      </c>
      <c r="B60" s="8">
        <f>SUM(B10:B59)</f>
        <v>31784174206</v>
      </c>
      <c r="C60" s="8">
        <f>SUM(C10:C59)</f>
        <v>-148119392667</v>
      </c>
      <c r="D60" s="8">
        <f>SUM(D10:D59)</f>
        <v>52180578608</v>
      </c>
      <c r="E60" s="8">
        <f>SUM(E10:E59)</f>
        <v>-64154639853</v>
      </c>
      <c r="F60" s="9">
        <f>SUM(F10:F59)</f>
        <v>1.1451829786010057</v>
      </c>
      <c r="G60" s="8">
        <f>SUM(G10:G59)</f>
        <v>51218840806</v>
      </c>
      <c r="H60" s="8">
        <f>SUM(H10:H59)</f>
        <v>208302536490</v>
      </c>
      <c r="I60" s="8">
        <f>SUM(I10:I59)</f>
        <v>64425064503</v>
      </c>
      <c r="J60" s="8">
        <f>SUM(J10:J59)</f>
        <v>323946441799</v>
      </c>
      <c r="K60" s="9">
        <f>SUM(K10:K59)</f>
        <v>0.91246960265652388</v>
      </c>
    </row>
    <row r="61" spans="1:11" ht="18.600000000000001" thickTop="1" x14ac:dyDescent="0.25"/>
  </sheetData>
  <mergeCells count="15">
    <mergeCell ref="I8:I9"/>
    <mergeCell ref="E8:F8"/>
    <mergeCell ref="J8:K8"/>
    <mergeCell ref="A5:K5"/>
    <mergeCell ref="B8:B9"/>
    <mergeCell ref="C8:C9"/>
    <mergeCell ref="D8:D9"/>
    <mergeCell ref="G8:G9"/>
    <mergeCell ref="H8:H9"/>
    <mergeCell ref="G7:K7"/>
    <mergeCell ref="B7:F7"/>
    <mergeCell ref="A8:A9"/>
    <mergeCell ref="A1:K1"/>
    <mergeCell ref="A2:K2"/>
    <mergeCell ref="A3:K3"/>
  </mergeCells>
  <pageMargins left="0.7" right="0.7" top="0.75" bottom="0.75" header="0.3" footer="0.3"/>
  <pageSetup scale="57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9D87-0198-4914-B326-6806E67B38AB}">
  <dimension ref="A1:F12"/>
  <sheetViews>
    <sheetView rightToLeft="1" view="pageBreakPreview" zoomScaleNormal="100" zoomScaleSheetLayoutView="100" workbookViewId="0">
      <selection activeCell="D12" sqref="D12"/>
    </sheetView>
  </sheetViews>
  <sheetFormatPr defaultColWidth="9.09765625" defaultRowHeight="18" x14ac:dyDescent="0.25"/>
  <cols>
    <col min="1" max="1" width="23.69921875" style="12" customWidth="1"/>
    <col min="2" max="2" width="25.59765625" style="12" customWidth="1"/>
    <col min="3" max="3" width="11.8984375" style="12" customWidth="1"/>
    <col min="4" max="4" width="25.59765625" style="12" customWidth="1"/>
    <col min="5" max="5" width="11.8984375" style="12" customWidth="1"/>
    <col min="6" max="16384" width="9.09765625" style="12"/>
  </cols>
  <sheetData>
    <row r="1" spans="1:6" ht="20.399999999999999" x14ac:dyDescent="0.25">
      <c r="A1" s="42" t="s">
        <v>111</v>
      </c>
      <c r="B1" s="42"/>
      <c r="C1" s="42"/>
      <c r="D1" s="42"/>
      <c r="E1" s="42"/>
    </row>
    <row r="2" spans="1:6" ht="20.399999999999999" x14ac:dyDescent="0.25">
      <c r="A2" s="42" t="s">
        <v>35</v>
      </c>
      <c r="B2" s="42"/>
      <c r="C2" s="42"/>
      <c r="D2" s="42"/>
      <c r="E2" s="42"/>
    </row>
    <row r="3" spans="1:6" ht="20.399999999999999" x14ac:dyDescent="0.25">
      <c r="A3" s="42" t="s">
        <v>43</v>
      </c>
      <c r="B3" s="42"/>
      <c r="C3" s="42"/>
      <c r="D3" s="42"/>
      <c r="E3" s="42"/>
    </row>
    <row r="4" spans="1:6" ht="20.399999999999999" x14ac:dyDescent="0.25">
      <c r="A4" s="3"/>
      <c r="B4" s="3"/>
      <c r="C4" s="3"/>
      <c r="D4" s="3"/>
      <c r="E4" s="3"/>
    </row>
    <row r="5" spans="1:6" ht="20.399999999999999" x14ac:dyDescent="0.25">
      <c r="A5" s="43" t="s">
        <v>250</v>
      </c>
      <c r="B5" s="43"/>
      <c r="C5" s="43"/>
      <c r="D5" s="43"/>
      <c r="E5" s="43"/>
    </row>
    <row r="6" spans="1:6" x14ac:dyDescent="0.25">
      <c r="A6" s="17"/>
      <c r="B6" s="17"/>
      <c r="C6" s="17"/>
      <c r="D6" s="17"/>
      <c r="E6" s="17"/>
    </row>
    <row r="7" spans="1:6" ht="18.600000000000001" thickBot="1" x14ac:dyDescent="0.3">
      <c r="A7" s="23"/>
      <c r="B7" s="41" t="s">
        <v>61</v>
      </c>
      <c r="C7" s="41"/>
      <c r="D7" s="53" t="s">
        <v>62</v>
      </c>
      <c r="E7" s="53"/>
      <c r="F7" s="21"/>
    </row>
    <row r="8" spans="1:6" ht="35.4" thickBot="1" x14ac:dyDescent="0.3">
      <c r="A8" s="4" t="s">
        <v>60</v>
      </c>
      <c r="B8" s="4" t="s">
        <v>9</v>
      </c>
      <c r="C8" s="4" t="s">
        <v>63</v>
      </c>
      <c r="D8" s="4" t="s">
        <v>9</v>
      </c>
      <c r="E8" s="4" t="s">
        <v>63</v>
      </c>
      <c r="F8" s="22"/>
    </row>
    <row r="9" spans="1:6" x14ac:dyDescent="0.25">
      <c r="A9" s="6" t="s">
        <v>46</v>
      </c>
      <c r="B9" s="14">
        <v>1255933</v>
      </c>
      <c r="C9" s="7">
        <f>B9/B11</f>
        <v>4.5274634544264798E-4</v>
      </c>
      <c r="D9" s="14">
        <v>82249800</v>
      </c>
      <c r="E9" s="7">
        <f>D9/D11</f>
        <v>5.8275282270922411E-3</v>
      </c>
    </row>
    <row r="10" spans="1:6" x14ac:dyDescent="0.25">
      <c r="A10" s="6" t="s">
        <v>45</v>
      </c>
      <c r="B10" s="14">
        <v>2772776398</v>
      </c>
      <c r="C10" s="7">
        <f>B10/B11</f>
        <v>0.99954725365455732</v>
      </c>
      <c r="D10" s="14">
        <v>14031761629</v>
      </c>
      <c r="E10" s="7">
        <f>D10/D11</f>
        <v>0.9941724717729078</v>
      </c>
    </row>
    <row r="11" spans="1:6" ht="18.600000000000001" thickBot="1" x14ac:dyDescent="0.3">
      <c r="A11" s="6" t="s">
        <v>2</v>
      </c>
      <c r="B11" s="8">
        <f>SUM(B9:B10)</f>
        <v>2774032331</v>
      </c>
      <c r="C11" s="9">
        <f>SUM(C9:C10)</f>
        <v>1</v>
      </c>
      <c r="D11" s="8">
        <f>SUM(D9:D10)</f>
        <v>14114011429</v>
      </c>
      <c r="E11" s="9">
        <f>SUM(E9:E10)</f>
        <v>1</v>
      </c>
    </row>
    <row r="12" spans="1:6" ht="18.600000000000001" thickTop="1" x14ac:dyDescent="0.25"/>
  </sheetData>
  <mergeCells count="6">
    <mergeCell ref="B7:C7"/>
    <mergeCell ref="A5:E5"/>
    <mergeCell ref="D7:E7"/>
    <mergeCell ref="A1:E1"/>
    <mergeCell ref="A2:E2"/>
    <mergeCell ref="A3:E3"/>
  </mergeCells>
  <pageMargins left="0.7" right="0.7" top="0.75" bottom="0.75" header="0.3" footer="0.3"/>
  <pageSetup scale="8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A4EB-3BF1-4B64-B372-059C52C6E846}">
  <dimension ref="A1:I63"/>
  <sheetViews>
    <sheetView rightToLeft="1" view="pageBreakPreview" topLeftCell="A46" zoomScale="85" zoomScaleNormal="100" zoomScaleSheetLayoutView="85" workbookViewId="0">
      <selection sqref="A1:I1"/>
    </sheetView>
  </sheetViews>
  <sheetFormatPr defaultRowHeight="18.600000000000001" x14ac:dyDescent="0.25"/>
  <cols>
    <col min="1" max="1" width="27.296875" style="18" customWidth="1"/>
    <col min="2" max="3" width="21.296875" style="18" customWidth="1"/>
    <col min="4" max="4" width="19.796875" style="18" customWidth="1"/>
    <col min="5" max="5" width="10.3984375" style="18" customWidth="1"/>
    <col min="6" max="7" width="21.296875" style="18" customWidth="1"/>
    <col min="8" max="8" width="19.796875" style="18" customWidth="1"/>
    <col min="9" max="9" width="10.3984375" style="18" customWidth="1"/>
    <col min="10" max="16384" width="8.796875" style="18"/>
  </cols>
  <sheetData>
    <row r="1" spans="1:9" ht="20.399999999999999" x14ac:dyDescent="0.25">
      <c r="A1" s="42" t="s">
        <v>111</v>
      </c>
      <c r="B1" s="42"/>
      <c r="C1" s="42"/>
      <c r="D1" s="42"/>
      <c r="E1" s="42"/>
      <c r="F1" s="42"/>
      <c r="G1" s="42"/>
      <c r="H1" s="42"/>
      <c r="I1" s="42"/>
    </row>
    <row r="2" spans="1:9" ht="20.399999999999999" x14ac:dyDescent="0.25">
      <c r="A2" s="42" t="s">
        <v>252</v>
      </c>
      <c r="B2" s="42"/>
      <c r="C2" s="42"/>
      <c r="D2" s="42"/>
      <c r="E2" s="42"/>
      <c r="F2" s="42"/>
      <c r="G2" s="42"/>
      <c r="H2" s="42"/>
      <c r="I2" s="42"/>
    </row>
    <row r="3" spans="1:9" ht="20.399999999999999" x14ac:dyDescent="0.25">
      <c r="A3" s="42" t="s">
        <v>43</v>
      </c>
      <c r="B3" s="42"/>
      <c r="C3" s="42"/>
      <c r="D3" s="42"/>
      <c r="E3" s="42"/>
      <c r="F3" s="42"/>
      <c r="G3" s="42"/>
      <c r="H3" s="42"/>
      <c r="I3" s="42"/>
    </row>
    <row r="4" spans="1:9" ht="20.399999999999999" x14ac:dyDescent="0.25">
      <c r="A4" s="3"/>
      <c r="B4" s="3"/>
      <c r="C4" s="3"/>
      <c r="D4" s="3"/>
      <c r="E4" s="3"/>
      <c r="F4" s="3"/>
      <c r="G4" s="3"/>
    </row>
    <row r="5" spans="1:9" ht="20.399999999999999" x14ac:dyDescent="0.25">
      <c r="A5" s="43" t="s">
        <v>251</v>
      </c>
      <c r="B5" s="43"/>
      <c r="C5" s="43"/>
      <c r="D5" s="43"/>
      <c r="E5" s="43"/>
      <c r="F5" s="43"/>
      <c r="G5" s="43"/>
    </row>
    <row r="6" spans="1:9" x14ac:dyDescent="0.25">
      <c r="B6" s="72"/>
      <c r="C6" s="72"/>
      <c r="D6" s="72"/>
    </row>
    <row r="7" spans="1:9" ht="19.2" thickBot="1" x14ac:dyDescent="0.3">
      <c r="A7" s="69"/>
      <c r="B7" s="53" t="s">
        <v>61</v>
      </c>
      <c r="C7" s="53"/>
      <c r="D7" s="53"/>
      <c r="E7" s="53"/>
      <c r="F7" s="53" t="s">
        <v>62</v>
      </c>
      <c r="G7" s="53"/>
      <c r="H7" s="53"/>
      <c r="I7" s="53"/>
    </row>
    <row r="8" spans="1:9" ht="15" customHeight="1" thickBot="1" x14ac:dyDescent="0.3">
      <c r="A8" s="40" t="s">
        <v>220</v>
      </c>
      <c r="B8" s="71" t="s">
        <v>7</v>
      </c>
      <c r="C8" s="71" t="s">
        <v>8</v>
      </c>
      <c r="D8" s="54" t="s">
        <v>2</v>
      </c>
      <c r="E8" s="54"/>
      <c r="F8" s="71" t="s">
        <v>7</v>
      </c>
      <c r="G8" s="71" t="s">
        <v>8</v>
      </c>
      <c r="H8" s="54" t="s">
        <v>2</v>
      </c>
      <c r="I8" s="54"/>
    </row>
    <row r="9" spans="1:9" ht="35.4" thickBot="1" x14ac:dyDescent="0.3">
      <c r="A9" s="41"/>
      <c r="B9" s="73"/>
      <c r="C9" s="73" t="s">
        <v>169</v>
      </c>
      <c r="D9" s="19" t="s">
        <v>4</v>
      </c>
      <c r="E9" s="19" t="s">
        <v>168</v>
      </c>
      <c r="F9" s="73"/>
      <c r="G9" s="73" t="s">
        <v>169</v>
      </c>
      <c r="H9" s="19" t="s">
        <v>4</v>
      </c>
      <c r="I9" s="19" t="s">
        <v>168</v>
      </c>
    </row>
    <row r="10" spans="1:9" x14ac:dyDescent="0.25">
      <c r="A10" s="6" t="s">
        <v>127</v>
      </c>
      <c r="B10" s="14">
        <v>513833430</v>
      </c>
      <c r="C10" s="14">
        <v>-349640781</v>
      </c>
      <c r="D10" s="14">
        <v>164192649</v>
      </c>
      <c r="E10" s="7">
        <v>-2.9308967718788734E-3</v>
      </c>
      <c r="F10" s="14">
        <v>135896980</v>
      </c>
      <c r="G10" s="14">
        <v>-349640781</v>
      </c>
      <c r="H10" s="14">
        <v>-213743801</v>
      </c>
      <c r="I10" s="7">
        <v>-6.020585380893883E-4</v>
      </c>
    </row>
    <row r="11" spans="1:9" x14ac:dyDescent="0.25">
      <c r="A11" s="6" t="s">
        <v>122</v>
      </c>
      <c r="B11" s="14">
        <v>2149968003</v>
      </c>
      <c r="C11" s="14">
        <v>-1939844204</v>
      </c>
      <c r="D11" s="14">
        <v>210123799</v>
      </c>
      <c r="E11" s="7">
        <v>-3.7507840206903861E-3</v>
      </c>
      <c r="F11" s="14">
        <v>-959123</v>
      </c>
      <c r="G11" s="14">
        <v>-1939844204</v>
      </c>
      <c r="H11" s="14">
        <v>-1940803327</v>
      </c>
      <c r="I11" s="7">
        <v>-5.466718605666796E-3</v>
      </c>
    </row>
    <row r="12" spans="1:9" x14ac:dyDescent="0.25">
      <c r="A12" s="6" t="s">
        <v>124</v>
      </c>
      <c r="B12" s="14">
        <v>222422650</v>
      </c>
      <c r="C12" s="14">
        <v>357138000</v>
      </c>
      <c r="D12" s="14">
        <v>579560650</v>
      </c>
      <c r="E12" s="7">
        <v>-1.0345362283502848E-2</v>
      </c>
      <c r="F12" s="14">
        <v>-159878800</v>
      </c>
      <c r="G12" s="14">
        <v>357138000</v>
      </c>
      <c r="H12" s="14">
        <v>197259200</v>
      </c>
      <c r="I12" s="7">
        <v>5.5562587088400415E-4</v>
      </c>
    </row>
    <row r="13" spans="1:9" x14ac:dyDescent="0.25">
      <c r="A13" s="6" t="s">
        <v>219</v>
      </c>
      <c r="B13" s="14">
        <v>0</v>
      </c>
      <c r="C13" s="14">
        <v>159218851</v>
      </c>
      <c r="D13" s="14">
        <v>159218851</v>
      </c>
      <c r="E13" s="7">
        <v>-2.8421127210035047E-3</v>
      </c>
      <c r="F13" s="14">
        <v>0</v>
      </c>
      <c r="G13" s="14">
        <v>159218851</v>
      </c>
      <c r="H13" s="14">
        <v>159218851</v>
      </c>
      <c r="I13" s="7">
        <v>4.4847648549738362E-4</v>
      </c>
    </row>
    <row r="14" spans="1:9" x14ac:dyDescent="0.25">
      <c r="A14" s="6" t="s">
        <v>218</v>
      </c>
      <c r="B14" s="14">
        <v>0</v>
      </c>
      <c r="C14" s="14">
        <v>3806588772</v>
      </c>
      <c r="D14" s="14">
        <v>3806588772</v>
      </c>
      <c r="E14" s="7">
        <v>-6.794895393718367E-2</v>
      </c>
      <c r="F14" s="14">
        <v>0</v>
      </c>
      <c r="G14" s="14">
        <v>3806588772</v>
      </c>
      <c r="H14" s="14">
        <v>3806588772</v>
      </c>
      <c r="I14" s="7">
        <v>1.0722132106080588E-2</v>
      </c>
    </row>
    <row r="15" spans="1:9" x14ac:dyDescent="0.25">
      <c r="A15" s="6" t="s">
        <v>217</v>
      </c>
      <c r="B15" s="14">
        <v>0</v>
      </c>
      <c r="C15" s="14">
        <v>113760000</v>
      </c>
      <c r="D15" s="14">
        <v>113760000</v>
      </c>
      <c r="E15" s="7">
        <v>-2.0306561761418481E-3</v>
      </c>
      <c r="F15" s="14">
        <v>0</v>
      </c>
      <c r="G15" s="14">
        <v>113760000</v>
      </c>
      <c r="H15" s="14">
        <v>113760000</v>
      </c>
      <c r="I15" s="7">
        <v>3.2043118430858644E-4</v>
      </c>
    </row>
    <row r="16" spans="1:9" x14ac:dyDescent="0.25">
      <c r="A16" s="6" t="s">
        <v>216</v>
      </c>
      <c r="B16" s="14">
        <v>0</v>
      </c>
      <c r="C16" s="14">
        <v>284400000</v>
      </c>
      <c r="D16" s="14">
        <v>284400000</v>
      </c>
      <c r="E16" s="7">
        <v>-5.0766404403546203E-3</v>
      </c>
      <c r="F16" s="14">
        <v>0</v>
      </c>
      <c r="G16" s="14">
        <v>284400000</v>
      </c>
      <c r="H16" s="14">
        <v>284400000</v>
      </c>
      <c r="I16" s="7">
        <v>8.0107796077146605E-4</v>
      </c>
    </row>
    <row r="17" spans="1:9" x14ac:dyDescent="0.25">
      <c r="A17" s="6" t="s">
        <v>215</v>
      </c>
      <c r="B17" s="14">
        <v>-179590950</v>
      </c>
      <c r="C17" s="14">
        <v>0</v>
      </c>
      <c r="D17" s="14">
        <v>-179590950</v>
      </c>
      <c r="E17" s="7">
        <v>3.2057618828822245E-3</v>
      </c>
      <c r="F17" s="14">
        <v>-179590950</v>
      </c>
      <c r="G17" s="14">
        <v>0</v>
      </c>
      <c r="H17" s="14">
        <v>-179590950</v>
      </c>
      <c r="I17" s="7">
        <v>-5.0585918424405881E-4</v>
      </c>
    </row>
    <row r="18" spans="1:9" x14ac:dyDescent="0.25">
      <c r="A18" s="6" t="s">
        <v>126</v>
      </c>
      <c r="B18" s="14">
        <v>22124987</v>
      </c>
      <c r="C18" s="14">
        <v>0</v>
      </c>
      <c r="D18" s="14">
        <v>22124987</v>
      </c>
      <c r="E18" s="7">
        <v>-3.9493883173881948E-4</v>
      </c>
      <c r="F18" s="14">
        <v>22124987</v>
      </c>
      <c r="G18" s="14">
        <v>0</v>
      </c>
      <c r="H18" s="14">
        <v>22124987</v>
      </c>
      <c r="I18" s="7">
        <v>6.2320110647170164E-5</v>
      </c>
    </row>
    <row r="19" spans="1:9" x14ac:dyDescent="0.25">
      <c r="A19" s="6" t="s">
        <v>214</v>
      </c>
      <c r="B19" s="14">
        <v>0</v>
      </c>
      <c r="C19" s="14">
        <v>0</v>
      </c>
      <c r="D19" s="14">
        <v>0</v>
      </c>
      <c r="E19" s="7">
        <v>0</v>
      </c>
      <c r="F19" s="14">
        <v>-2498107</v>
      </c>
      <c r="G19" s="14">
        <v>0</v>
      </c>
      <c r="H19" s="14">
        <v>-2498107</v>
      </c>
      <c r="I19" s="7">
        <v>-7.0364924801298333E-6</v>
      </c>
    </row>
    <row r="20" spans="1:9" x14ac:dyDescent="0.25">
      <c r="A20" s="6" t="s">
        <v>213</v>
      </c>
      <c r="B20" s="14">
        <v>0</v>
      </c>
      <c r="C20" s="14">
        <v>0</v>
      </c>
      <c r="D20" s="14">
        <v>0</v>
      </c>
      <c r="E20" s="7">
        <v>0</v>
      </c>
      <c r="F20" s="14">
        <v>0</v>
      </c>
      <c r="G20" s="14">
        <v>2675971415</v>
      </c>
      <c r="H20" s="14">
        <v>2675971415</v>
      </c>
      <c r="I20" s="7">
        <v>7.5374884817543406E-3</v>
      </c>
    </row>
    <row r="21" spans="1:9" x14ac:dyDescent="0.25">
      <c r="A21" s="6" t="s">
        <v>212</v>
      </c>
      <c r="B21" s="14">
        <v>0</v>
      </c>
      <c r="C21" s="14">
        <v>0</v>
      </c>
      <c r="D21" s="14">
        <v>0</v>
      </c>
      <c r="E21" s="7">
        <v>0</v>
      </c>
      <c r="F21" s="14">
        <v>0</v>
      </c>
      <c r="G21" s="14">
        <v>-11252302</v>
      </c>
      <c r="H21" s="14">
        <v>-11252302</v>
      </c>
      <c r="I21" s="7">
        <v>-3.1694694585600169E-5</v>
      </c>
    </row>
    <row r="22" spans="1:9" x14ac:dyDescent="0.25">
      <c r="A22" s="6" t="s">
        <v>211</v>
      </c>
      <c r="B22" s="14">
        <v>0</v>
      </c>
      <c r="C22" s="14">
        <v>0</v>
      </c>
      <c r="D22" s="14">
        <v>0</v>
      </c>
      <c r="E22" s="7">
        <v>0</v>
      </c>
      <c r="F22" s="14">
        <v>-16531468</v>
      </c>
      <c r="G22" s="14">
        <v>0</v>
      </c>
      <c r="H22" s="14">
        <v>-16531468</v>
      </c>
      <c r="I22" s="7">
        <v>-4.6564678881852132E-5</v>
      </c>
    </row>
    <row r="23" spans="1:9" x14ac:dyDescent="0.25">
      <c r="A23" s="6" t="s">
        <v>210</v>
      </c>
      <c r="B23" s="14">
        <v>0</v>
      </c>
      <c r="C23" s="14">
        <v>0</v>
      </c>
      <c r="D23" s="14">
        <v>0</v>
      </c>
      <c r="E23" s="7">
        <v>0</v>
      </c>
      <c r="F23" s="14">
        <v>0</v>
      </c>
      <c r="G23" s="14">
        <v>80866755</v>
      </c>
      <c r="H23" s="14">
        <v>80866755</v>
      </c>
      <c r="I23" s="7">
        <v>2.2777980024474599E-4</v>
      </c>
    </row>
    <row r="24" spans="1:9" x14ac:dyDescent="0.25">
      <c r="A24" s="6" t="s">
        <v>209</v>
      </c>
      <c r="B24" s="14">
        <v>0</v>
      </c>
      <c r="C24" s="14">
        <v>0</v>
      </c>
      <c r="D24" s="14">
        <v>0</v>
      </c>
      <c r="E24" s="7">
        <v>0</v>
      </c>
      <c r="F24" s="14">
        <v>0</v>
      </c>
      <c r="G24" s="14">
        <v>-116224949</v>
      </c>
      <c r="H24" s="14">
        <v>-116224949</v>
      </c>
      <c r="I24" s="7">
        <v>-3.2737427966134894E-4</v>
      </c>
    </row>
    <row r="25" spans="1:9" x14ac:dyDescent="0.25">
      <c r="A25" s="6" t="s">
        <v>208</v>
      </c>
      <c r="B25" s="14">
        <v>0</v>
      </c>
      <c r="C25" s="14">
        <v>0</v>
      </c>
      <c r="D25" s="14">
        <v>0</v>
      </c>
      <c r="E25" s="7">
        <v>0</v>
      </c>
      <c r="F25" s="14">
        <v>0</v>
      </c>
      <c r="G25" s="14">
        <v>-27066616</v>
      </c>
      <c r="H25" s="14">
        <v>-27066616</v>
      </c>
      <c r="I25" s="7">
        <v>-7.6239344410212155E-5</v>
      </c>
    </row>
    <row r="26" spans="1:9" x14ac:dyDescent="0.25">
      <c r="A26" s="6" t="s">
        <v>207</v>
      </c>
      <c r="B26" s="14">
        <v>0</v>
      </c>
      <c r="C26" s="14">
        <v>0</v>
      </c>
      <c r="D26" s="14">
        <v>0</v>
      </c>
      <c r="E26" s="7">
        <v>0</v>
      </c>
      <c r="F26" s="14">
        <v>0</v>
      </c>
      <c r="G26" s="14">
        <v>299927440</v>
      </c>
      <c r="H26" s="14">
        <v>299927440</v>
      </c>
      <c r="I26" s="7">
        <v>8.4481456404573215E-4</v>
      </c>
    </row>
    <row r="27" spans="1:9" x14ac:dyDescent="0.25">
      <c r="A27" s="6" t="s">
        <v>206</v>
      </c>
      <c r="B27" s="14">
        <v>0</v>
      </c>
      <c r="C27" s="14">
        <v>0</v>
      </c>
      <c r="D27" s="14">
        <v>0</v>
      </c>
      <c r="E27" s="7">
        <v>0</v>
      </c>
      <c r="F27" s="14">
        <v>0</v>
      </c>
      <c r="G27" s="14">
        <v>-23113573</v>
      </c>
      <c r="H27" s="14">
        <v>-23113573</v>
      </c>
      <c r="I27" s="7">
        <v>-6.5104690312877694E-5</v>
      </c>
    </row>
    <row r="28" spans="1:9" x14ac:dyDescent="0.25">
      <c r="A28" s="6" t="s">
        <v>205</v>
      </c>
      <c r="B28" s="14">
        <v>0</v>
      </c>
      <c r="C28" s="14">
        <v>0</v>
      </c>
      <c r="D28" s="14">
        <v>0</v>
      </c>
      <c r="E28" s="7">
        <v>0</v>
      </c>
      <c r="F28" s="14">
        <v>0</v>
      </c>
      <c r="G28" s="14">
        <v>49988663</v>
      </c>
      <c r="H28" s="14">
        <v>49988663</v>
      </c>
      <c r="I28" s="7">
        <v>1.4080455772760912E-4</v>
      </c>
    </row>
    <row r="29" spans="1:9" x14ac:dyDescent="0.25">
      <c r="A29" s="6" t="s">
        <v>204</v>
      </c>
      <c r="B29" s="14">
        <v>0</v>
      </c>
      <c r="C29" s="14">
        <v>0</v>
      </c>
      <c r="D29" s="14">
        <v>0</v>
      </c>
      <c r="E29" s="7">
        <v>0</v>
      </c>
      <c r="F29" s="14">
        <v>0</v>
      </c>
      <c r="G29" s="14">
        <v>-137249186</v>
      </c>
      <c r="H29" s="14">
        <v>-137249186</v>
      </c>
      <c r="I29" s="7">
        <v>-3.8659387495929552E-4</v>
      </c>
    </row>
    <row r="30" spans="1:9" x14ac:dyDescent="0.25">
      <c r="A30" s="6" t="s">
        <v>203</v>
      </c>
      <c r="B30" s="14">
        <v>0</v>
      </c>
      <c r="C30" s="14">
        <v>0</v>
      </c>
      <c r="D30" s="14">
        <v>0</v>
      </c>
      <c r="E30" s="7">
        <v>0</v>
      </c>
      <c r="F30" s="14">
        <v>0</v>
      </c>
      <c r="G30" s="14">
        <v>-31062868</v>
      </c>
      <c r="H30" s="14">
        <v>-31062868</v>
      </c>
      <c r="I30" s="7">
        <v>-8.7495706586333431E-5</v>
      </c>
    </row>
    <row r="31" spans="1:9" x14ac:dyDescent="0.25">
      <c r="A31" s="6" t="s">
        <v>202</v>
      </c>
      <c r="B31" s="14">
        <v>0</v>
      </c>
      <c r="C31" s="14">
        <v>0</v>
      </c>
      <c r="D31" s="14">
        <v>0</v>
      </c>
      <c r="E31" s="7">
        <v>0</v>
      </c>
      <c r="F31" s="14">
        <v>0</v>
      </c>
      <c r="G31" s="14">
        <v>76038490</v>
      </c>
      <c r="H31" s="14">
        <v>76038490</v>
      </c>
      <c r="I31" s="7">
        <v>2.1417988224100391E-4</v>
      </c>
    </row>
    <row r="32" spans="1:9" x14ac:dyDescent="0.25">
      <c r="A32" s="6" t="s">
        <v>201</v>
      </c>
      <c r="B32" s="14">
        <v>0</v>
      </c>
      <c r="C32" s="14">
        <v>0</v>
      </c>
      <c r="D32" s="14">
        <v>0</v>
      </c>
      <c r="E32" s="7">
        <v>0</v>
      </c>
      <c r="F32" s="14">
        <v>0</v>
      </c>
      <c r="G32" s="14">
        <v>328984960</v>
      </c>
      <c r="H32" s="14">
        <v>328984960</v>
      </c>
      <c r="I32" s="7">
        <v>9.266617471212459E-4</v>
      </c>
    </row>
    <row r="33" spans="1:9" x14ac:dyDescent="0.25">
      <c r="A33" s="6" t="s">
        <v>200</v>
      </c>
      <c r="B33" s="14">
        <v>0</v>
      </c>
      <c r="C33" s="14">
        <v>0</v>
      </c>
      <c r="D33" s="14">
        <v>0</v>
      </c>
      <c r="E33" s="7">
        <v>0</v>
      </c>
      <c r="F33" s="14">
        <v>0</v>
      </c>
      <c r="G33" s="14">
        <v>2066660694</v>
      </c>
      <c r="H33" s="14">
        <v>2066660694</v>
      </c>
      <c r="I33" s="7">
        <v>5.8212248043462119E-3</v>
      </c>
    </row>
    <row r="34" spans="1:9" x14ac:dyDescent="0.25">
      <c r="A34" s="6" t="s">
        <v>199</v>
      </c>
      <c r="B34" s="14">
        <v>0</v>
      </c>
      <c r="C34" s="14">
        <v>0</v>
      </c>
      <c r="D34" s="14">
        <v>0</v>
      </c>
      <c r="E34" s="7">
        <v>0</v>
      </c>
      <c r="F34" s="14">
        <v>0</v>
      </c>
      <c r="G34" s="14">
        <v>86002390</v>
      </c>
      <c r="H34" s="14">
        <v>86002390</v>
      </c>
      <c r="I34" s="7">
        <v>2.4224549649322195E-4</v>
      </c>
    </row>
    <row r="35" spans="1:9" x14ac:dyDescent="0.25">
      <c r="A35" s="6" t="s">
        <v>198</v>
      </c>
      <c r="B35" s="14">
        <v>0</v>
      </c>
      <c r="C35" s="14">
        <v>0</v>
      </c>
      <c r="D35" s="14">
        <v>0</v>
      </c>
      <c r="E35" s="7">
        <v>0</v>
      </c>
      <c r="F35" s="14">
        <v>0</v>
      </c>
      <c r="G35" s="14">
        <v>2443270643</v>
      </c>
      <c r="H35" s="14">
        <v>2443270643</v>
      </c>
      <c r="I35" s="7">
        <v>6.8820332781548126E-3</v>
      </c>
    </row>
    <row r="36" spans="1:9" x14ac:dyDescent="0.25">
      <c r="A36" s="6" t="s">
        <v>197</v>
      </c>
      <c r="B36" s="14">
        <v>0</v>
      </c>
      <c r="C36" s="14">
        <v>0</v>
      </c>
      <c r="D36" s="14">
        <v>0</v>
      </c>
      <c r="E36" s="7">
        <v>0</v>
      </c>
      <c r="F36" s="14">
        <v>0</v>
      </c>
      <c r="G36" s="14">
        <v>262945640</v>
      </c>
      <c r="H36" s="14">
        <v>262945640</v>
      </c>
      <c r="I36" s="7">
        <v>7.4064682519320681E-4</v>
      </c>
    </row>
    <row r="37" spans="1:9" x14ac:dyDescent="0.25">
      <c r="A37" s="6" t="s">
        <v>196</v>
      </c>
      <c r="B37" s="14">
        <v>0</v>
      </c>
      <c r="C37" s="14">
        <v>0</v>
      </c>
      <c r="D37" s="14">
        <v>0</v>
      </c>
      <c r="E37" s="7">
        <v>0</v>
      </c>
      <c r="F37" s="14">
        <v>0</v>
      </c>
      <c r="G37" s="14">
        <v>2950920590</v>
      </c>
      <c r="H37" s="14">
        <v>2950920590</v>
      </c>
      <c r="I37" s="7">
        <v>8.31194602192592E-3</v>
      </c>
    </row>
    <row r="38" spans="1:9" x14ac:dyDescent="0.25">
      <c r="A38" s="6" t="s">
        <v>195</v>
      </c>
      <c r="B38" s="14">
        <v>0</v>
      </c>
      <c r="C38" s="14">
        <v>0</v>
      </c>
      <c r="D38" s="14">
        <v>0</v>
      </c>
      <c r="E38" s="7">
        <v>0</v>
      </c>
      <c r="F38" s="14">
        <v>0</v>
      </c>
      <c r="G38" s="14">
        <v>193957616</v>
      </c>
      <c r="H38" s="14">
        <v>193957616</v>
      </c>
      <c r="I38" s="7">
        <v>5.4632620077839334E-4</v>
      </c>
    </row>
    <row r="39" spans="1:9" x14ac:dyDescent="0.25">
      <c r="A39" s="6" t="s">
        <v>194</v>
      </c>
      <c r="B39" s="14">
        <v>0</v>
      </c>
      <c r="C39" s="14">
        <v>0</v>
      </c>
      <c r="D39" s="14">
        <v>0</v>
      </c>
      <c r="E39" s="7">
        <v>0</v>
      </c>
      <c r="F39" s="14">
        <v>0</v>
      </c>
      <c r="G39" s="14">
        <v>283718110</v>
      </c>
      <c r="H39" s="14">
        <v>283718110</v>
      </c>
      <c r="I39" s="7">
        <v>7.9915726087459384E-4</v>
      </c>
    </row>
    <row r="40" spans="1:9" x14ac:dyDescent="0.25">
      <c r="A40" s="6" t="s">
        <v>193</v>
      </c>
      <c r="B40" s="14">
        <v>0</v>
      </c>
      <c r="C40" s="14">
        <v>0</v>
      </c>
      <c r="D40" s="14">
        <v>0</v>
      </c>
      <c r="E40" s="7">
        <v>0</v>
      </c>
      <c r="F40" s="14">
        <v>0</v>
      </c>
      <c r="G40" s="14">
        <v>26915685</v>
      </c>
      <c r="H40" s="14">
        <v>26915685</v>
      </c>
      <c r="I40" s="7">
        <v>7.581421256176912E-5</v>
      </c>
    </row>
    <row r="41" spans="1:9" x14ac:dyDescent="0.25">
      <c r="A41" s="6" t="s">
        <v>192</v>
      </c>
      <c r="B41" s="14">
        <v>0</v>
      </c>
      <c r="C41" s="14">
        <v>0</v>
      </c>
      <c r="D41" s="14">
        <v>0</v>
      </c>
      <c r="E41" s="7">
        <v>0</v>
      </c>
      <c r="F41" s="14">
        <v>0</v>
      </c>
      <c r="G41" s="14">
        <v>-46032636</v>
      </c>
      <c r="H41" s="14">
        <v>-46032636</v>
      </c>
      <c r="I41" s="7">
        <v>-1.2966149850849218E-4</v>
      </c>
    </row>
    <row r="42" spans="1:9" x14ac:dyDescent="0.25">
      <c r="A42" s="6" t="s">
        <v>191</v>
      </c>
      <c r="B42" s="14">
        <v>0</v>
      </c>
      <c r="C42" s="14">
        <v>0</v>
      </c>
      <c r="D42" s="14">
        <v>0</v>
      </c>
      <c r="E42" s="7">
        <v>0</v>
      </c>
      <c r="F42" s="14">
        <v>0</v>
      </c>
      <c r="G42" s="14">
        <v>105988655</v>
      </c>
      <c r="H42" s="14">
        <v>105988655</v>
      </c>
      <c r="I42" s="7">
        <v>2.985414051065768E-4</v>
      </c>
    </row>
    <row r="43" spans="1:9" x14ac:dyDescent="0.25">
      <c r="A43" s="6" t="s">
        <v>190</v>
      </c>
      <c r="B43" s="14">
        <v>0</v>
      </c>
      <c r="C43" s="14">
        <v>0</v>
      </c>
      <c r="D43" s="14">
        <v>0</v>
      </c>
      <c r="E43" s="7">
        <v>0</v>
      </c>
      <c r="F43" s="14">
        <v>0</v>
      </c>
      <c r="G43" s="14">
        <v>224975799</v>
      </c>
      <c r="H43" s="14">
        <v>224975799</v>
      </c>
      <c r="I43" s="7">
        <v>6.3369604179272585E-4</v>
      </c>
    </row>
    <row r="44" spans="1:9" x14ac:dyDescent="0.25">
      <c r="A44" s="6" t="s">
        <v>189</v>
      </c>
      <c r="B44" s="14">
        <v>0</v>
      </c>
      <c r="C44" s="14">
        <v>0</v>
      </c>
      <c r="D44" s="14">
        <v>0</v>
      </c>
      <c r="E44" s="7">
        <v>0</v>
      </c>
      <c r="F44" s="14">
        <v>0</v>
      </c>
      <c r="G44" s="14">
        <v>295223511</v>
      </c>
      <c r="H44" s="14">
        <v>295223511</v>
      </c>
      <c r="I44" s="7">
        <v>8.3156486696087367E-4</v>
      </c>
    </row>
    <row r="45" spans="1:9" x14ac:dyDescent="0.25">
      <c r="A45" s="6" t="s">
        <v>188</v>
      </c>
      <c r="B45" s="14">
        <v>0</v>
      </c>
      <c r="C45" s="14">
        <v>0</v>
      </c>
      <c r="D45" s="14">
        <v>0</v>
      </c>
      <c r="E45" s="7">
        <v>0</v>
      </c>
      <c r="F45" s="14">
        <v>0</v>
      </c>
      <c r="G45" s="14">
        <v>569299070</v>
      </c>
      <c r="H45" s="14">
        <v>569299070</v>
      </c>
      <c r="I45" s="7">
        <v>1.6035616668941353E-3</v>
      </c>
    </row>
    <row r="46" spans="1:9" x14ac:dyDescent="0.25">
      <c r="A46" s="6" t="s">
        <v>187</v>
      </c>
      <c r="B46" s="14">
        <v>0</v>
      </c>
      <c r="C46" s="14">
        <v>0</v>
      </c>
      <c r="D46" s="14">
        <v>0</v>
      </c>
      <c r="E46" s="7">
        <v>0</v>
      </c>
      <c r="F46" s="14">
        <v>0</v>
      </c>
      <c r="G46" s="14">
        <v>380000000</v>
      </c>
      <c r="H46" s="14">
        <v>380000000</v>
      </c>
      <c r="I46" s="7">
        <v>1.0703573315511852E-3</v>
      </c>
    </row>
    <row r="47" spans="1:9" x14ac:dyDescent="0.25">
      <c r="A47" s="6" t="s">
        <v>186</v>
      </c>
      <c r="B47" s="14">
        <v>0</v>
      </c>
      <c r="C47" s="14">
        <v>0</v>
      </c>
      <c r="D47" s="14">
        <v>0</v>
      </c>
      <c r="E47" s="7">
        <v>0</v>
      </c>
      <c r="F47" s="14">
        <v>0</v>
      </c>
      <c r="G47" s="14">
        <v>85054895</v>
      </c>
      <c r="H47" s="14">
        <v>85054895</v>
      </c>
      <c r="I47" s="7">
        <v>2.3957665907254277E-4</v>
      </c>
    </row>
    <row r="48" spans="1:9" x14ac:dyDescent="0.25">
      <c r="A48" s="6" t="s">
        <v>185</v>
      </c>
      <c r="B48" s="14">
        <v>0</v>
      </c>
      <c r="C48" s="14">
        <v>0</v>
      </c>
      <c r="D48" s="14">
        <v>0</v>
      </c>
      <c r="E48" s="7">
        <v>0</v>
      </c>
      <c r="F48" s="14">
        <v>0</v>
      </c>
      <c r="G48" s="14">
        <v>69977280</v>
      </c>
      <c r="H48" s="14">
        <v>69977280</v>
      </c>
      <c r="I48" s="7">
        <v>1.9710709128950034E-4</v>
      </c>
    </row>
    <row r="49" spans="1:9" x14ac:dyDescent="0.25">
      <c r="A49" s="6" t="s">
        <v>184</v>
      </c>
      <c r="B49" s="14">
        <v>0</v>
      </c>
      <c r="C49" s="14">
        <v>0</v>
      </c>
      <c r="D49" s="14">
        <v>0</v>
      </c>
      <c r="E49" s="7">
        <v>0</v>
      </c>
      <c r="F49" s="14">
        <v>0</v>
      </c>
      <c r="G49" s="14">
        <v>44950810</v>
      </c>
      <c r="H49" s="14">
        <v>44950810</v>
      </c>
      <c r="I49" s="7">
        <v>1.2661428695437982E-4</v>
      </c>
    </row>
    <row r="50" spans="1:9" x14ac:dyDescent="0.25">
      <c r="A50" s="6" t="s">
        <v>183</v>
      </c>
      <c r="B50" s="14">
        <v>0</v>
      </c>
      <c r="C50" s="14">
        <v>0</v>
      </c>
      <c r="D50" s="14">
        <v>0</v>
      </c>
      <c r="E50" s="7">
        <v>0</v>
      </c>
      <c r="F50" s="14">
        <v>0</v>
      </c>
      <c r="G50" s="14">
        <v>145498868</v>
      </c>
      <c r="H50" s="14">
        <v>145498868</v>
      </c>
      <c r="I50" s="7">
        <v>4.0983100025315301E-4</v>
      </c>
    </row>
    <row r="51" spans="1:9" x14ac:dyDescent="0.25">
      <c r="A51" s="6" t="s">
        <v>182</v>
      </c>
      <c r="B51" s="14">
        <v>0</v>
      </c>
      <c r="C51" s="14">
        <v>0</v>
      </c>
      <c r="D51" s="14">
        <v>0</v>
      </c>
      <c r="E51" s="7">
        <v>0</v>
      </c>
      <c r="F51" s="14">
        <v>0</v>
      </c>
      <c r="G51" s="14">
        <v>139852</v>
      </c>
      <c r="H51" s="14">
        <v>139852</v>
      </c>
      <c r="I51" s="7">
        <v>3.9392529876867464E-7</v>
      </c>
    </row>
    <row r="52" spans="1:9" x14ac:dyDescent="0.25">
      <c r="A52" s="6" t="s">
        <v>181</v>
      </c>
      <c r="B52" s="14">
        <v>0</v>
      </c>
      <c r="C52" s="14">
        <v>0</v>
      </c>
      <c r="D52" s="14">
        <v>0</v>
      </c>
      <c r="E52" s="7">
        <v>0</v>
      </c>
      <c r="F52" s="14">
        <v>0</v>
      </c>
      <c r="G52" s="14">
        <v>-117556737</v>
      </c>
      <c r="H52" s="14">
        <v>-117556737</v>
      </c>
      <c r="I52" s="7">
        <v>-3.3112556663469602E-4</v>
      </c>
    </row>
    <row r="53" spans="1:9" x14ac:dyDescent="0.25">
      <c r="A53" s="6" t="s">
        <v>180</v>
      </c>
      <c r="B53" s="14">
        <v>0</v>
      </c>
      <c r="C53" s="14">
        <v>0</v>
      </c>
      <c r="D53" s="14">
        <v>0</v>
      </c>
      <c r="E53" s="7">
        <v>0</v>
      </c>
      <c r="F53" s="14">
        <v>0</v>
      </c>
      <c r="G53" s="14">
        <v>34924266</v>
      </c>
      <c r="H53" s="14">
        <v>34924266</v>
      </c>
      <c r="I53" s="7">
        <v>9.8372221479325751E-5</v>
      </c>
    </row>
    <row r="54" spans="1:9" x14ac:dyDescent="0.25">
      <c r="A54" s="6" t="s">
        <v>179</v>
      </c>
      <c r="B54" s="14">
        <v>0</v>
      </c>
      <c r="C54" s="14">
        <v>0</v>
      </c>
      <c r="D54" s="14">
        <v>0</v>
      </c>
      <c r="E54" s="7">
        <v>0</v>
      </c>
      <c r="F54" s="14">
        <v>0</v>
      </c>
      <c r="G54" s="14">
        <v>59977300</v>
      </c>
      <c r="H54" s="14">
        <v>59977300</v>
      </c>
      <c r="I54" s="7">
        <v>1.6893984942538133E-4</v>
      </c>
    </row>
    <row r="55" spans="1:9" x14ac:dyDescent="0.25">
      <c r="A55" s="6" t="s">
        <v>178</v>
      </c>
      <c r="B55" s="14">
        <v>0</v>
      </c>
      <c r="C55" s="14">
        <v>0</v>
      </c>
      <c r="D55" s="14">
        <v>0</v>
      </c>
      <c r="E55" s="7">
        <v>0</v>
      </c>
      <c r="F55" s="14">
        <v>0</v>
      </c>
      <c r="G55" s="14">
        <v>-659747733</v>
      </c>
      <c r="H55" s="14">
        <v>-659747733</v>
      </c>
      <c r="I55" s="7">
        <v>-1.8583311131337469E-3</v>
      </c>
    </row>
    <row r="56" spans="1:9" x14ac:dyDescent="0.25">
      <c r="A56" s="6" t="s">
        <v>177</v>
      </c>
      <c r="B56" s="14">
        <v>0</v>
      </c>
      <c r="C56" s="14">
        <v>0</v>
      </c>
      <c r="D56" s="14">
        <v>0</v>
      </c>
      <c r="E56" s="7">
        <v>0</v>
      </c>
      <c r="F56" s="14">
        <v>0</v>
      </c>
      <c r="G56" s="14">
        <v>104975841</v>
      </c>
      <c r="H56" s="14">
        <v>104975841</v>
      </c>
      <c r="I56" s="7">
        <v>2.9568858171079347E-4</v>
      </c>
    </row>
    <row r="57" spans="1:9" x14ac:dyDescent="0.25">
      <c r="A57" s="6" t="s">
        <v>176</v>
      </c>
      <c r="B57" s="14">
        <v>0</v>
      </c>
      <c r="C57" s="14">
        <v>0</v>
      </c>
      <c r="D57" s="14">
        <v>0</v>
      </c>
      <c r="E57" s="7">
        <v>0</v>
      </c>
      <c r="F57" s="14">
        <v>0</v>
      </c>
      <c r="G57" s="14">
        <v>40000000</v>
      </c>
      <c r="H57" s="14">
        <v>40000000</v>
      </c>
      <c r="I57" s="7">
        <v>1.1266919279486161E-4</v>
      </c>
    </row>
    <row r="58" spans="1:9" x14ac:dyDescent="0.25">
      <c r="A58" s="6" t="s">
        <v>175</v>
      </c>
      <c r="B58" s="14">
        <v>0</v>
      </c>
      <c r="C58" s="14">
        <v>0</v>
      </c>
      <c r="D58" s="14">
        <v>0</v>
      </c>
      <c r="E58" s="7">
        <v>0</v>
      </c>
      <c r="F58" s="14">
        <v>0</v>
      </c>
      <c r="G58" s="14">
        <v>40000000</v>
      </c>
      <c r="H58" s="14">
        <v>40000000</v>
      </c>
      <c r="I58" s="7">
        <v>1.1266919279486161E-4</v>
      </c>
    </row>
    <row r="59" spans="1:9" x14ac:dyDescent="0.25">
      <c r="A59" s="6" t="s">
        <v>174</v>
      </c>
      <c r="B59" s="14">
        <v>0</v>
      </c>
      <c r="C59" s="14">
        <v>0</v>
      </c>
      <c r="D59" s="14">
        <v>0</v>
      </c>
      <c r="E59" s="7">
        <v>0</v>
      </c>
      <c r="F59" s="14">
        <v>-130460609</v>
      </c>
      <c r="G59" s="14">
        <v>386692992</v>
      </c>
      <c r="H59" s="14">
        <v>256232383</v>
      </c>
      <c r="I59" s="7">
        <v>7.2173739401284554E-4</v>
      </c>
    </row>
    <row r="60" spans="1:9" x14ac:dyDescent="0.25">
      <c r="A60" s="6" t="s">
        <v>173</v>
      </c>
      <c r="B60" s="14">
        <v>0</v>
      </c>
      <c r="C60" s="14">
        <v>0</v>
      </c>
      <c r="D60" s="14">
        <v>0</v>
      </c>
      <c r="E60" s="7">
        <v>0</v>
      </c>
      <c r="F60" s="14">
        <v>-304262207</v>
      </c>
      <c r="G60" s="14">
        <v>463458240</v>
      </c>
      <c r="H60" s="14">
        <v>159196033</v>
      </c>
      <c r="I60" s="7">
        <v>4.4841221335635377E-4</v>
      </c>
    </row>
    <row r="61" spans="1:9" x14ac:dyDescent="0.25">
      <c r="A61" s="6" t="s">
        <v>172</v>
      </c>
      <c r="B61" s="14">
        <v>0</v>
      </c>
      <c r="C61" s="14">
        <v>0</v>
      </c>
      <c r="D61" s="14">
        <v>0</v>
      </c>
      <c r="E61" s="7">
        <v>0</v>
      </c>
      <c r="F61" s="14">
        <v>0</v>
      </c>
      <c r="G61" s="14">
        <v>213284965</v>
      </c>
      <c r="H61" s="14">
        <v>213284965</v>
      </c>
      <c r="I61" s="7">
        <v>6.0076612104575781E-4</v>
      </c>
    </row>
    <row r="62" spans="1:9" ht="19.2" thickBot="1" x14ac:dyDescent="0.3">
      <c r="A62" s="6" t="s">
        <v>2</v>
      </c>
      <c r="B62" s="8">
        <f>SUM(B10:B61)</f>
        <v>2728758120</v>
      </c>
      <c r="C62" s="8">
        <f>SUM(C10:C61)</f>
        <v>2431620638</v>
      </c>
      <c r="D62" s="8">
        <f>SUM(D10:D61)</f>
        <v>5160378758</v>
      </c>
      <c r="E62" s="9">
        <f>SUM(E10:E61)</f>
        <v>-9.2114583299612335E-2</v>
      </c>
      <c r="F62" s="8">
        <f>SUM(F10:F61)</f>
        <v>-636159297</v>
      </c>
      <c r="G62" s="8">
        <f>SUM(G10:G61)</f>
        <v>16352905473</v>
      </c>
      <c r="H62" s="8">
        <f>SUM(H10:H61)</f>
        <v>15716746176</v>
      </c>
      <c r="I62" s="9">
        <f>SUM(I10:I61)</f>
        <v>4.4269827625291192E-2</v>
      </c>
    </row>
    <row r="63" spans="1:9" ht="19.2" thickTop="1" x14ac:dyDescent="0.25"/>
  </sheetData>
  <mergeCells count="13">
    <mergeCell ref="C8:C9"/>
    <mergeCell ref="F8:F9"/>
    <mergeCell ref="G8:G9"/>
    <mergeCell ref="A1:I1"/>
    <mergeCell ref="A2:I2"/>
    <mergeCell ref="A3:I3"/>
    <mergeCell ref="H8:I8"/>
    <mergeCell ref="A8:A9"/>
    <mergeCell ref="D8:E8"/>
    <mergeCell ref="B8:B9"/>
    <mergeCell ref="B7:E7"/>
    <mergeCell ref="F7:I7"/>
    <mergeCell ref="A5:G5"/>
  </mergeCells>
  <conditionalFormatting sqref="F10:F12 F4:F6">
    <cfRule type="duplicateValues" dxfId="2" priority="2"/>
    <cfRule type="duplicateValues" dxfId="1" priority="3"/>
  </conditionalFormatting>
  <conditionalFormatting sqref="F4:G6 F10:G12 A7:B7">
    <cfRule type="cellIs" dxfId="0" priority="1" operator="equal">
      <formula>-3000000000000</formula>
    </cfRule>
  </conditionalFormatting>
  <pageMargins left="0.7" right="0.7" top="0.75" bottom="0.75" header="0.3" footer="0.3"/>
  <pageSetup scale="48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B22B-656F-43F6-8B1B-68F34175E248}">
  <dimension ref="A1:C12"/>
  <sheetViews>
    <sheetView rightToLeft="1" view="pageBreakPreview" zoomScaleNormal="100" zoomScaleSheetLayoutView="100" workbookViewId="0">
      <selection activeCell="B10" sqref="B10"/>
    </sheetView>
  </sheetViews>
  <sheetFormatPr defaultRowHeight="18.600000000000001" x14ac:dyDescent="0.25"/>
  <cols>
    <col min="1" max="1" width="28.8984375" style="18" customWidth="1"/>
    <col min="2" max="3" width="33.69921875" style="18" customWidth="1"/>
    <col min="4" max="16384" width="8.796875" style="18"/>
  </cols>
  <sheetData>
    <row r="1" spans="1:3" ht="20.399999999999999" x14ac:dyDescent="0.25">
      <c r="A1" s="42" t="s">
        <v>111</v>
      </c>
      <c r="B1" s="42"/>
      <c r="C1" s="42"/>
    </row>
    <row r="2" spans="1:3" ht="20.399999999999999" x14ac:dyDescent="0.25">
      <c r="A2" s="42" t="s">
        <v>35</v>
      </c>
      <c r="B2" s="42"/>
      <c r="C2" s="42"/>
    </row>
    <row r="3" spans="1:3" ht="20.399999999999999" x14ac:dyDescent="0.25">
      <c r="A3" s="42" t="s">
        <v>43</v>
      </c>
      <c r="B3" s="42"/>
      <c r="C3" s="42"/>
    </row>
    <row r="4" spans="1:3" ht="20.399999999999999" x14ac:dyDescent="0.25">
      <c r="A4" s="3"/>
      <c r="B4" s="3"/>
      <c r="C4" s="3"/>
    </row>
    <row r="5" spans="1:3" ht="20.399999999999999" x14ac:dyDescent="0.25">
      <c r="A5" s="43" t="s">
        <v>253</v>
      </c>
      <c r="B5" s="43"/>
      <c r="C5" s="43"/>
    </row>
    <row r="6" spans="1:3" ht="19.2" thickBot="1" x14ac:dyDescent="0.3">
      <c r="A6" s="24"/>
      <c r="B6" s="4" t="s">
        <v>61</v>
      </c>
      <c r="C6" s="4" t="s">
        <v>62</v>
      </c>
    </row>
    <row r="7" spans="1:3" ht="16.5" customHeight="1" x14ac:dyDescent="0.25">
      <c r="A7" s="55" t="s">
        <v>14</v>
      </c>
      <c r="B7" s="54" t="s">
        <v>4</v>
      </c>
      <c r="C7" s="54" t="s">
        <v>4</v>
      </c>
    </row>
    <row r="8" spans="1:3" ht="19.2" thickBot="1" x14ac:dyDescent="0.3">
      <c r="A8" s="41"/>
      <c r="B8" s="53"/>
      <c r="C8" s="53"/>
    </row>
    <row r="9" spans="1:3" x14ac:dyDescent="0.25">
      <c r="A9" s="6" t="s">
        <v>64</v>
      </c>
      <c r="B9" s="14">
        <v>296429821</v>
      </c>
      <c r="C9" s="14">
        <v>927027265</v>
      </c>
    </row>
    <row r="10" spans="1:3" x14ac:dyDescent="0.25">
      <c r="A10" s="6" t="s">
        <v>14</v>
      </c>
      <c r="B10" s="14">
        <v>0</v>
      </c>
      <c r="C10" s="14">
        <v>317399099</v>
      </c>
    </row>
    <row r="11" spans="1:3" ht="19.2" thickBot="1" x14ac:dyDescent="0.3">
      <c r="A11" s="6" t="s">
        <v>2</v>
      </c>
      <c r="B11" s="8">
        <f>SUM(B9:B10)</f>
        <v>296429821</v>
      </c>
      <c r="C11" s="8">
        <f>SUM(C9:C10)</f>
        <v>1244426364</v>
      </c>
    </row>
    <row r="12" spans="1:3" ht="19.2" thickTop="1" x14ac:dyDescent="0.25"/>
  </sheetData>
  <mergeCells count="7">
    <mergeCell ref="A1:C1"/>
    <mergeCell ref="A2:C2"/>
    <mergeCell ref="A3:C3"/>
    <mergeCell ref="C7:C8"/>
    <mergeCell ref="B7:B8"/>
    <mergeCell ref="A5:C5"/>
    <mergeCell ref="A7:A8"/>
  </mergeCells>
  <pageMargins left="0.7" right="0.7" top="0.75" bottom="0.75" header="0.3" footer="0.3"/>
  <pageSetup scale="79"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E8EF-CD19-4275-833A-50FD3A323372}">
  <dimension ref="A1:M33"/>
  <sheetViews>
    <sheetView rightToLeft="1" view="pageBreakPreview" zoomScale="98" zoomScaleNormal="100" zoomScaleSheetLayoutView="98" workbookViewId="0">
      <selection activeCell="E6" sqref="E6:J6"/>
    </sheetView>
  </sheetViews>
  <sheetFormatPr defaultColWidth="9.09765625" defaultRowHeight="18" x14ac:dyDescent="0.25"/>
  <cols>
    <col min="1" max="1" width="23.296875" style="12" customWidth="1"/>
    <col min="2" max="2" width="14.296875" style="12" customWidth="1"/>
    <col min="3" max="3" width="19.19921875" style="12" customWidth="1"/>
    <col min="4" max="4" width="15.796875" style="12" customWidth="1"/>
    <col min="5" max="6" width="17.59765625" style="12" customWidth="1"/>
    <col min="7" max="7" width="16" style="12" customWidth="1"/>
    <col min="8" max="8" width="19.3984375" style="12" customWidth="1"/>
    <col min="9" max="9" width="17.59765625" style="12" customWidth="1"/>
    <col min="10" max="10" width="16.09765625" style="12" customWidth="1"/>
    <col min="11" max="16384" width="9.09765625" style="12"/>
  </cols>
  <sheetData>
    <row r="1" spans="1:13" ht="20.399999999999999" x14ac:dyDescent="0.25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</row>
    <row r="2" spans="1:13" ht="20.399999999999999" x14ac:dyDescent="0.25">
      <c r="A2" s="42" t="s">
        <v>35</v>
      </c>
      <c r="B2" s="42"/>
      <c r="C2" s="42"/>
      <c r="D2" s="42"/>
      <c r="E2" s="42"/>
      <c r="F2" s="42"/>
      <c r="G2" s="42"/>
      <c r="H2" s="42"/>
      <c r="I2" s="42"/>
      <c r="J2" s="42"/>
    </row>
    <row r="3" spans="1:13" ht="20.399999999999999" x14ac:dyDescent="0.25">
      <c r="A3" s="42" t="s">
        <v>43</v>
      </c>
      <c r="B3" s="42"/>
      <c r="C3" s="42"/>
      <c r="D3" s="42"/>
      <c r="E3" s="42"/>
      <c r="F3" s="42"/>
      <c r="G3" s="42"/>
      <c r="H3" s="42"/>
      <c r="I3" s="42"/>
      <c r="J3" s="42"/>
    </row>
    <row r="4" spans="1:13" ht="20.399999999999999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3" ht="20.399999999999999" x14ac:dyDescent="0.25">
      <c r="A5" s="43" t="s">
        <v>170</v>
      </c>
      <c r="B5" s="43"/>
      <c r="C5" s="43"/>
      <c r="D5" s="43"/>
      <c r="E5" s="43"/>
      <c r="F5" s="43"/>
      <c r="G5" s="43"/>
      <c r="H5" s="43"/>
      <c r="I5" s="43"/>
      <c r="J5" s="43"/>
      <c r="K5" s="25"/>
      <c r="L5" s="25"/>
      <c r="M5" s="25"/>
    </row>
    <row r="6" spans="1:13" ht="18.600000000000001" thickBot="1" x14ac:dyDescent="0.3">
      <c r="B6" s="44" t="s">
        <v>236</v>
      </c>
      <c r="C6" s="44"/>
      <c r="D6" s="44"/>
      <c r="E6" s="53" t="s">
        <v>61</v>
      </c>
      <c r="F6" s="53"/>
      <c r="G6" s="53"/>
      <c r="H6" s="53" t="s">
        <v>62</v>
      </c>
      <c r="I6" s="53"/>
      <c r="J6" s="53"/>
      <c r="K6" s="21"/>
      <c r="L6" s="21"/>
      <c r="M6" s="21"/>
    </row>
    <row r="7" spans="1:13" ht="18.600000000000001" thickBot="1" x14ac:dyDescent="0.3">
      <c r="A7" s="74" t="s">
        <v>115</v>
      </c>
      <c r="B7" s="70" t="s">
        <v>235</v>
      </c>
      <c r="C7" s="70" t="s">
        <v>234</v>
      </c>
      <c r="D7" s="70" t="s">
        <v>233</v>
      </c>
      <c r="E7" s="70" t="s">
        <v>232</v>
      </c>
      <c r="F7" s="70" t="s">
        <v>24</v>
      </c>
      <c r="G7" s="70" t="s">
        <v>231</v>
      </c>
      <c r="H7" s="70" t="s">
        <v>232</v>
      </c>
      <c r="I7" s="70" t="s">
        <v>24</v>
      </c>
      <c r="J7" s="70" t="s">
        <v>231</v>
      </c>
    </row>
    <row r="8" spans="1:13" x14ac:dyDescent="0.25">
      <c r="A8" s="6" t="s">
        <v>105</v>
      </c>
      <c r="B8" s="14" t="s">
        <v>226</v>
      </c>
      <c r="C8" s="14">
        <v>2600000</v>
      </c>
      <c r="D8" s="14">
        <v>800</v>
      </c>
      <c r="E8" s="14">
        <v>2080000000</v>
      </c>
      <c r="F8" s="14">
        <v>-86040709</v>
      </c>
      <c r="G8" s="14">
        <v>1993959291</v>
      </c>
      <c r="H8" s="14">
        <v>2080000000</v>
      </c>
      <c r="I8" s="14">
        <v>-86040709</v>
      </c>
      <c r="J8" s="14">
        <v>1993959291</v>
      </c>
    </row>
    <row r="9" spans="1:13" x14ac:dyDescent="0.25">
      <c r="A9" s="6" t="s">
        <v>104</v>
      </c>
      <c r="B9" s="14" t="s">
        <v>226</v>
      </c>
      <c r="C9" s="14">
        <v>9890291</v>
      </c>
      <c r="D9" s="14">
        <v>126</v>
      </c>
      <c r="E9" s="14">
        <v>1246176666</v>
      </c>
      <c r="F9" s="14">
        <v>-23449561</v>
      </c>
      <c r="G9" s="14">
        <v>1222727105</v>
      </c>
      <c r="H9" s="14">
        <v>1246176666</v>
      </c>
      <c r="I9" s="14">
        <v>-23449561</v>
      </c>
      <c r="J9" s="14">
        <v>1222727105</v>
      </c>
    </row>
    <row r="10" spans="1:13" x14ac:dyDescent="0.25">
      <c r="A10" s="6" t="s">
        <v>102</v>
      </c>
      <c r="B10" s="14" t="s">
        <v>230</v>
      </c>
      <c r="C10" s="14">
        <v>14000000</v>
      </c>
      <c r="D10" s="14">
        <v>76</v>
      </c>
      <c r="E10" s="14">
        <v>1064000000</v>
      </c>
      <c r="F10" s="14">
        <v>-80187460</v>
      </c>
      <c r="G10" s="14">
        <v>983812540</v>
      </c>
      <c r="H10" s="14">
        <v>1064000000</v>
      </c>
      <c r="I10" s="14">
        <v>-71386581</v>
      </c>
      <c r="J10" s="14">
        <v>992613419</v>
      </c>
    </row>
    <row r="11" spans="1:13" x14ac:dyDescent="0.25">
      <c r="A11" s="6" t="s">
        <v>99</v>
      </c>
      <c r="B11" s="14" t="s">
        <v>229</v>
      </c>
      <c r="C11" s="14">
        <v>5850000</v>
      </c>
      <c r="D11" s="14">
        <v>120</v>
      </c>
      <c r="E11" s="14">
        <v>702000000</v>
      </c>
      <c r="F11" s="14">
        <v>-98751030</v>
      </c>
      <c r="G11" s="14">
        <v>603248970</v>
      </c>
      <c r="H11" s="14">
        <v>702000000</v>
      </c>
      <c r="I11" s="14">
        <v>-41613402</v>
      </c>
      <c r="J11" s="14">
        <v>660386598</v>
      </c>
    </row>
    <row r="12" spans="1:13" x14ac:dyDescent="0.25">
      <c r="A12" s="6" t="s">
        <v>93</v>
      </c>
      <c r="B12" s="14" t="s">
        <v>228</v>
      </c>
      <c r="C12" s="14">
        <v>3299000</v>
      </c>
      <c r="D12" s="14">
        <v>1500</v>
      </c>
      <c r="E12" s="13">
        <v>0</v>
      </c>
      <c r="F12" s="13">
        <v>0</v>
      </c>
      <c r="G12" s="14">
        <v>0</v>
      </c>
      <c r="H12" s="14">
        <v>4948500000</v>
      </c>
      <c r="I12" s="14">
        <v>0</v>
      </c>
      <c r="J12" s="14">
        <v>4948500000</v>
      </c>
    </row>
    <row r="13" spans="1:13" x14ac:dyDescent="0.25">
      <c r="A13" s="6" t="s">
        <v>87</v>
      </c>
      <c r="B13" s="14" t="s">
        <v>223</v>
      </c>
      <c r="C13" s="14">
        <v>250000</v>
      </c>
      <c r="D13" s="14">
        <v>2050</v>
      </c>
      <c r="E13" s="14">
        <v>512500000</v>
      </c>
      <c r="F13" s="14">
        <v>-35907643</v>
      </c>
      <c r="G13" s="14">
        <v>476592357</v>
      </c>
      <c r="H13" s="14">
        <v>512500000</v>
      </c>
      <c r="I13" s="14">
        <v>-33466709</v>
      </c>
      <c r="J13" s="14">
        <v>479033291</v>
      </c>
    </row>
    <row r="14" spans="1:13" x14ac:dyDescent="0.25">
      <c r="A14" s="6" t="s">
        <v>86</v>
      </c>
      <c r="B14" s="14" t="s">
        <v>227</v>
      </c>
      <c r="C14" s="14">
        <v>800000</v>
      </c>
      <c r="D14" s="14">
        <v>1600</v>
      </c>
      <c r="E14" s="14">
        <v>1280000000</v>
      </c>
      <c r="F14" s="14">
        <v>-93460317</v>
      </c>
      <c r="G14" s="14">
        <v>1186539683</v>
      </c>
      <c r="H14" s="14">
        <v>1280000000</v>
      </c>
      <c r="I14" s="14">
        <v>-91195929</v>
      </c>
      <c r="J14" s="14">
        <v>1188804071</v>
      </c>
    </row>
    <row r="15" spans="1:13" x14ac:dyDescent="0.25">
      <c r="A15" s="6" t="s">
        <v>85</v>
      </c>
      <c r="B15" s="14" t="s">
        <v>224</v>
      </c>
      <c r="C15" s="14">
        <v>8200000</v>
      </c>
      <c r="D15" s="14">
        <v>720</v>
      </c>
      <c r="E15" s="14">
        <v>5904000000</v>
      </c>
      <c r="F15" s="14">
        <v>-448405063</v>
      </c>
      <c r="G15" s="14">
        <v>5455594937</v>
      </c>
      <c r="H15" s="14">
        <v>5904000000</v>
      </c>
      <c r="I15" s="14">
        <v>-448405063</v>
      </c>
      <c r="J15" s="14">
        <v>5455594937</v>
      </c>
    </row>
    <row r="16" spans="1:13" x14ac:dyDescent="0.25">
      <c r="A16" s="6" t="s">
        <v>83</v>
      </c>
      <c r="B16" s="14" t="s">
        <v>226</v>
      </c>
      <c r="C16" s="14">
        <v>14070541</v>
      </c>
      <c r="D16" s="14">
        <v>740</v>
      </c>
      <c r="E16" s="14">
        <v>10412200340</v>
      </c>
      <c r="F16" s="14">
        <v>-324733521</v>
      </c>
      <c r="G16" s="14">
        <v>10087466819</v>
      </c>
      <c r="H16" s="14">
        <v>10412200340</v>
      </c>
      <c r="I16" s="14">
        <v>-324733521</v>
      </c>
      <c r="J16" s="14">
        <v>10087466819</v>
      </c>
    </row>
    <row r="17" spans="1:10" x14ac:dyDescent="0.25">
      <c r="A17" s="6" t="s">
        <v>81</v>
      </c>
      <c r="B17" s="14" t="s">
        <v>225</v>
      </c>
      <c r="C17" s="14">
        <v>800000</v>
      </c>
      <c r="D17" s="14">
        <v>4795</v>
      </c>
      <c r="E17" s="14">
        <v>3836000000</v>
      </c>
      <c r="F17" s="14">
        <v>-264214286</v>
      </c>
      <c r="G17" s="14">
        <v>3571785714</v>
      </c>
      <c r="H17" s="14">
        <v>3836000000</v>
      </c>
      <c r="I17" s="14">
        <v>-245897436</v>
      </c>
      <c r="J17" s="14">
        <v>3590102564</v>
      </c>
    </row>
    <row r="18" spans="1:10" x14ac:dyDescent="0.25">
      <c r="A18" s="6" t="s">
        <v>79</v>
      </c>
      <c r="B18" s="14" t="s">
        <v>48</v>
      </c>
      <c r="C18" s="14">
        <v>550000</v>
      </c>
      <c r="D18" s="14">
        <v>8700</v>
      </c>
      <c r="E18" s="13">
        <v>0</v>
      </c>
      <c r="F18" s="13">
        <v>0</v>
      </c>
      <c r="G18" s="14">
        <v>0</v>
      </c>
      <c r="H18" s="14">
        <v>4785000000</v>
      </c>
      <c r="I18" s="14">
        <v>0</v>
      </c>
      <c r="J18" s="14">
        <v>4785000000</v>
      </c>
    </row>
    <row r="19" spans="1:10" x14ac:dyDescent="0.25">
      <c r="A19" s="6" t="s">
        <v>78</v>
      </c>
      <c r="B19" s="14" t="s">
        <v>224</v>
      </c>
      <c r="C19" s="14">
        <v>3000000</v>
      </c>
      <c r="D19" s="14">
        <v>800</v>
      </c>
      <c r="E19" s="14">
        <v>2400000000</v>
      </c>
      <c r="F19" s="14">
        <v>-179467681</v>
      </c>
      <c r="G19" s="14">
        <v>2220532319</v>
      </c>
      <c r="H19" s="14">
        <v>2400000000</v>
      </c>
      <c r="I19" s="14">
        <v>-179467681</v>
      </c>
      <c r="J19" s="14">
        <v>2220532319</v>
      </c>
    </row>
    <row r="20" spans="1:10" x14ac:dyDescent="0.25">
      <c r="A20" s="6" t="s">
        <v>76</v>
      </c>
      <c r="B20" s="14" t="s">
        <v>223</v>
      </c>
      <c r="C20" s="14">
        <v>200000</v>
      </c>
      <c r="D20" s="14">
        <v>4166</v>
      </c>
      <c r="E20" s="14">
        <v>833200000</v>
      </c>
      <c r="F20" s="14">
        <v>-40710098</v>
      </c>
      <c r="G20" s="14">
        <v>792489902</v>
      </c>
      <c r="H20" s="14">
        <v>833200000</v>
      </c>
      <c r="I20" s="14">
        <v>-36558219</v>
      </c>
      <c r="J20" s="14">
        <v>796641781</v>
      </c>
    </row>
    <row r="21" spans="1:10" x14ac:dyDescent="0.25">
      <c r="A21" s="6" t="s">
        <v>75</v>
      </c>
      <c r="B21" s="14" t="s">
        <v>222</v>
      </c>
      <c r="C21" s="14">
        <v>750000</v>
      </c>
      <c r="D21" s="14">
        <v>6928</v>
      </c>
      <c r="E21" s="13">
        <v>0</v>
      </c>
      <c r="F21" s="13">
        <v>0</v>
      </c>
      <c r="G21" s="14">
        <v>0</v>
      </c>
      <c r="H21" s="14">
        <v>5196000000</v>
      </c>
      <c r="I21" s="14">
        <v>-250654498</v>
      </c>
      <c r="J21" s="14">
        <v>4945345502</v>
      </c>
    </row>
    <row r="22" spans="1:10" x14ac:dyDescent="0.25">
      <c r="A22" s="6" t="s">
        <v>73</v>
      </c>
      <c r="B22" s="14" t="s">
        <v>121</v>
      </c>
      <c r="C22" s="14">
        <v>3441130</v>
      </c>
      <c r="D22" s="14">
        <v>440</v>
      </c>
      <c r="E22" s="14">
        <v>1514097200</v>
      </c>
      <c r="F22" s="14">
        <v>-209919081</v>
      </c>
      <c r="G22" s="14">
        <v>1304178119</v>
      </c>
      <c r="H22" s="14">
        <v>1514097200</v>
      </c>
      <c r="I22" s="14">
        <v>-5167567</v>
      </c>
      <c r="J22" s="14">
        <v>1508929633</v>
      </c>
    </row>
    <row r="23" spans="1:10" x14ac:dyDescent="0.25">
      <c r="A23" s="6" t="s">
        <v>70</v>
      </c>
      <c r="B23" s="14" t="s">
        <v>49</v>
      </c>
      <c r="C23" s="14">
        <v>350000</v>
      </c>
      <c r="D23" s="14">
        <v>9250</v>
      </c>
      <c r="E23" s="13">
        <v>0</v>
      </c>
      <c r="F23" s="13">
        <v>0</v>
      </c>
      <c r="G23" s="14">
        <v>0</v>
      </c>
      <c r="H23" s="14">
        <v>3237500000</v>
      </c>
      <c r="I23" s="14">
        <v>0</v>
      </c>
      <c r="J23" s="14">
        <v>3237500000</v>
      </c>
    </row>
    <row r="24" spans="1:10" x14ac:dyDescent="0.25">
      <c r="A24" s="6" t="s">
        <v>69</v>
      </c>
      <c r="B24" s="14" t="s">
        <v>221</v>
      </c>
      <c r="C24" s="14">
        <v>6338333</v>
      </c>
      <c r="D24" s="14">
        <v>200</v>
      </c>
      <c r="E24" s="13">
        <v>0</v>
      </c>
      <c r="F24" s="13">
        <v>0</v>
      </c>
      <c r="G24" s="14">
        <v>0</v>
      </c>
      <c r="H24" s="14">
        <v>1267666600</v>
      </c>
      <c r="I24" s="14">
        <v>-23853941</v>
      </c>
      <c r="J24" s="14">
        <v>1243812659</v>
      </c>
    </row>
    <row r="25" spans="1:10" ht="18.600000000000001" thickBot="1" x14ac:dyDescent="0.3">
      <c r="A25" s="6" t="s">
        <v>2</v>
      </c>
      <c r="B25" s="14"/>
      <c r="C25" s="14"/>
      <c r="D25" s="14"/>
      <c r="E25" s="8">
        <f>SUM(E8:E24)</f>
        <v>31784174206</v>
      </c>
      <c r="F25" s="8">
        <f>SUM(F8:F24)</f>
        <v>-1885246450</v>
      </c>
      <c r="G25" s="8">
        <f>SUM(G8:G24)</f>
        <v>29898927756</v>
      </c>
      <c r="H25" s="8">
        <f>SUM(H8:H24)</f>
        <v>51218840806</v>
      </c>
      <c r="I25" s="8">
        <f>SUM(I8:I24)</f>
        <v>-1861890817</v>
      </c>
      <c r="J25" s="8">
        <f>SUM(J8:J24)</f>
        <v>49356949989</v>
      </c>
    </row>
    <row r="26" spans="1:10" ht="18.600000000000001" thickTop="1" x14ac:dyDescent="0.25"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5"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5"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5"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5"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5"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5">
      <c r="B32" s="13"/>
      <c r="C32" s="13"/>
      <c r="D32" s="13"/>
      <c r="E32" s="13"/>
      <c r="F32" s="13"/>
      <c r="G32" s="13"/>
      <c r="H32" s="13"/>
      <c r="I32" s="13"/>
      <c r="J32" s="13"/>
    </row>
    <row r="33" spans="2:10" x14ac:dyDescent="0.25">
      <c r="B33" s="13"/>
      <c r="C33" s="13"/>
      <c r="D33" s="13"/>
      <c r="E33" s="13"/>
      <c r="F33" s="13"/>
      <c r="G33" s="13"/>
      <c r="H33" s="13"/>
      <c r="I33" s="13"/>
      <c r="J33" s="13"/>
    </row>
  </sheetData>
  <mergeCells count="7">
    <mergeCell ref="B6:D6"/>
    <mergeCell ref="E6:G6"/>
    <mergeCell ref="H6:J6"/>
    <mergeCell ref="A1:J1"/>
    <mergeCell ref="A2:J2"/>
    <mergeCell ref="A3:J3"/>
    <mergeCell ref="A5:J5"/>
  </mergeCells>
  <pageMargins left="0.7" right="0.7" top="0.75" bottom="0.75" header="0.3" footer="0.3"/>
  <pageSetup scale="59" orientation="landscape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A96B-7A6D-4D3B-A68D-F4420C2C57D5}">
  <dimension ref="A1:G11"/>
  <sheetViews>
    <sheetView rightToLeft="1" view="pageBreakPreview" zoomScaleNormal="100" zoomScaleSheetLayoutView="100" workbookViewId="0">
      <selection activeCell="D12" sqref="D12"/>
    </sheetView>
  </sheetViews>
  <sheetFormatPr defaultRowHeight="18.600000000000001" x14ac:dyDescent="0.25"/>
  <cols>
    <col min="1" max="1" width="34" style="18" customWidth="1"/>
    <col min="2" max="7" width="20.09765625" style="18" customWidth="1"/>
    <col min="8" max="16384" width="8.796875" style="18"/>
  </cols>
  <sheetData>
    <row r="1" spans="1:7" x14ac:dyDescent="0.25">
      <c r="A1" s="56" t="s">
        <v>111</v>
      </c>
      <c r="B1" s="56"/>
      <c r="C1" s="56"/>
      <c r="D1" s="56"/>
      <c r="E1" s="56"/>
      <c r="F1" s="56"/>
      <c r="G1" s="56"/>
    </row>
    <row r="2" spans="1:7" x14ac:dyDescent="0.25">
      <c r="A2" s="56" t="s">
        <v>35</v>
      </c>
      <c r="B2" s="56"/>
      <c r="C2" s="56"/>
      <c r="D2" s="56"/>
      <c r="E2" s="56"/>
      <c r="F2" s="56"/>
      <c r="G2" s="56"/>
    </row>
    <row r="3" spans="1:7" x14ac:dyDescent="0.25">
      <c r="A3" s="56" t="s">
        <v>43</v>
      </c>
      <c r="B3" s="56"/>
      <c r="C3" s="56"/>
      <c r="D3" s="56"/>
      <c r="E3" s="56"/>
      <c r="F3" s="56"/>
      <c r="G3" s="56"/>
    </row>
    <row r="4" spans="1:7" x14ac:dyDescent="0.25">
      <c r="A4" s="34"/>
      <c r="B4" s="34"/>
      <c r="C4" s="34"/>
      <c r="D4" s="34"/>
      <c r="E4" s="34"/>
      <c r="F4" s="34"/>
      <c r="G4" s="34"/>
    </row>
    <row r="5" spans="1:7" ht="20.399999999999999" x14ac:dyDescent="0.25">
      <c r="A5" s="43" t="s">
        <v>40</v>
      </c>
      <c r="B5" s="43"/>
      <c r="C5" s="43"/>
      <c r="D5" s="43"/>
      <c r="E5" s="43"/>
      <c r="F5" s="43"/>
      <c r="G5" s="43"/>
    </row>
    <row r="6" spans="1:7" ht="19.2" thickBot="1" x14ac:dyDescent="0.3">
      <c r="A6" s="32"/>
      <c r="B6" s="53" t="s">
        <v>61</v>
      </c>
      <c r="C6" s="53"/>
      <c r="D6" s="53"/>
      <c r="E6" s="53" t="s">
        <v>62</v>
      </c>
      <c r="F6" s="53"/>
      <c r="G6" s="53"/>
    </row>
    <row r="7" spans="1:7" ht="38.25" customHeight="1" thickBot="1" x14ac:dyDescent="0.3">
      <c r="A7" s="2" t="s">
        <v>60</v>
      </c>
      <c r="B7" s="31" t="s">
        <v>36</v>
      </c>
      <c r="C7" s="31" t="s">
        <v>24</v>
      </c>
      <c r="D7" s="31" t="s">
        <v>25</v>
      </c>
      <c r="E7" s="31" t="s">
        <v>36</v>
      </c>
      <c r="F7" s="31" t="s">
        <v>24</v>
      </c>
      <c r="G7" s="31" t="s">
        <v>25</v>
      </c>
    </row>
    <row r="8" spans="1:7" x14ac:dyDescent="0.25">
      <c r="A8" s="6" t="s">
        <v>46</v>
      </c>
      <c r="B8" s="14">
        <v>1255933</v>
      </c>
      <c r="C8" s="14">
        <v>0</v>
      </c>
      <c r="D8" s="14">
        <v>1255933</v>
      </c>
      <c r="E8" s="14">
        <v>82249800</v>
      </c>
      <c r="F8" s="14">
        <v>0</v>
      </c>
      <c r="G8" s="14">
        <v>82249800</v>
      </c>
    </row>
    <row r="9" spans="1:7" x14ac:dyDescent="0.25">
      <c r="A9" s="6" t="s">
        <v>45</v>
      </c>
      <c r="B9" s="14">
        <v>2772776398</v>
      </c>
      <c r="C9" s="14">
        <v>-57389025</v>
      </c>
      <c r="D9" s="14">
        <v>2715387373</v>
      </c>
      <c r="E9" s="14">
        <v>14031761629</v>
      </c>
      <c r="F9" s="14">
        <v>-619485</v>
      </c>
      <c r="G9" s="14">
        <v>14031142144</v>
      </c>
    </row>
    <row r="10" spans="1:7" ht="19.2" thickBot="1" x14ac:dyDescent="0.3">
      <c r="A10" s="6" t="s">
        <v>2</v>
      </c>
      <c r="B10" s="8">
        <f>SUM(B8:B9)</f>
        <v>2774032331</v>
      </c>
      <c r="C10" s="8">
        <f>SUM(C8:C9)</f>
        <v>-57389025</v>
      </c>
      <c r="D10" s="8">
        <f>SUM(D8:D9)</f>
        <v>2716643306</v>
      </c>
      <c r="E10" s="8">
        <f>SUM(E8:E9)</f>
        <v>14114011429</v>
      </c>
      <c r="F10" s="8">
        <f>SUM(F8:F9)</f>
        <v>-619485</v>
      </c>
      <c r="G10" s="8">
        <f>SUM(G8:G9)</f>
        <v>14113391944</v>
      </c>
    </row>
    <row r="11" spans="1:7" ht="19.2" thickTop="1" x14ac:dyDescent="0.25"/>
  </sheetData>
  <mergeCells count="6">
    <mergeCell ref="A1:G1"/>
    <mergeCell ref="A2:G2"/>
    <mergeCell ref="A3:G3"/>
    <mergeCell ref="A5:G5"/>
    <mergeCell ref="B6:D6"/>
    <mergeCell ref="E6:G6"/>
  </mergeCells>
  <pageMargins left="0.7" right="0.7" top="0.75" bottom="0.75" header="0.3" footer="0.3"/>
  <pageSetup scale="75" orientation="landscape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90CE-C552-4931-B09B-3F491D74B010}">
  <dimension ref="A1:I97"/>
  <sheetViews>
    <sheetView rightToLeft="1" view="pageBreakPreview" zoomScale="85" zoomScaleNormal="100" zoomScaleSheetLayoutView="85" workbookViewId="0">
      <selection activeCell="B6" sqref="B6:I6"/>
    </sheetView>
  </sheetViews>
  <sheetFormatPr defaultRowHeight="18.600000000000001" x14ac:dyDescent="0.25"/>
  <cols>
    <col min="1" max="1" width="34.69921875" style="18" customWidth="1"/>
    <col min="2" max="2" width="16.59765625" style="18" customWidth="1"/>
    <col min="3" max="3" width="18.19921875" style="18" customWidth="1"/>
    <col min="4" max="4" width="17.796875" style="18" customWidth="1"/>
    <col min="5" max="5" width="20.3984375" style="18" customWidth="1"/>
    <col min="6" max="6" width="14.5" style="18" customWidth="1"/>
    <col min="7" max="7" width="18.19921875" style="18" customWidth="1"/>
    <col min="8" max="8" width="17.796875" style="18" customWidth="1"/>
    <col min="9" max="9" width="20.3984375" style="18" customWidth="1"/>
    <col min="10" max="16384" width="8.796875" style="18"/>
  </cols>
  <sheetData>
    <row r="1" spans="1:9" ht="20.399999999999999" x14ac:dyDescent="0.25">
      <c r="A1" s="42" t="s">
        <v>111</v>
      </c>
      <c r="B1" s="42"/>
      <c r="C1" s="42"/>
      <c r="D1" s="42"/>
      <c r="E1" s="42"/>
      <c r="F1" s="42"/>
      <c r="G1" s="42"/>
      <c r="H1" s="42"/>
      <c r="I1" s="42"/>
    </row>
    <row r="2" spans="1:9" ht="20.399999999999999" x14ac:dyDescent="0.25">
      <c r="A2" s="42" t="s">
        <v>35</v>
      </c>
      <c r="B2" s="42"/>
      <c r="C2" s="42"/>
      <c r="D2" s="42"/>
      <c r="E2" s="42"/>
      <c r="F2" s="42"/>
      <c r="G2" s="42"/>
      <c r="H2" s="42"/>
      <c r="I2" s="42"/>
    </row>
    <row r="3" spans="1:9" ht="20.399999999999999" x14ac:dyDescent="0.25">
      <c r="A3" s="42" t="s">
        <v>43</v>
      </c>
      <c r="B3" s="42"/>
      <c r="C3" s="42"/>
      <c r="D3" s="42"/>
      <c r="E3" s="42"/>
      <c r="F3" s="42"/>
      <c r="G3" s="42"/>
      <c r="H3" s="42"/>
      <c r="I3" s="42"/>
    </row>
    <row r="4" spans="1:9" ht="20.39999999999999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20.399999999999999" x14ac:dyDescent="0.25">
      <c r="A5" s="43" t="s">
        <v>31</v>
      </c>
      <c r="B5" s="43"/>
      <c r="C5" s="43"/>
      <c r="D5" s="43"/>
      <c r="E5" s="43"/>
      <c r="F5" s="43"/>
      <c r="G5" s="43"/>
      <c r="H5" s="43"/>
      <c r="I5" s="43"/>
    </row>
    <row r="6" spans="1:9" ht="19.2" thickBot="1" x14ac:dyDescent="0.3">
      <c r="B6" s="53" t="s">
        <v>61</v>
      </c>
      <c r="C6" s="53"/>
      <c r="D6" s="53"/>
      <c r="E6" s="53"/>
      <c r="F6" s="53" t="s">
        <v>62</v>
      </c>
      <c r="G6" s="53"/>
      <c r="H6" s="53"/>
      <c r="I6" s="53"/>
    </row>
    <row r="7" spans="1:9" ht="19.2" thickBot="1" x14ac:dyDescent="0.3">
      <c r="A7" s="2" t="s">
        <v>22</v>
      </c>
      <c r="B7" s="33" t="s">
        <v>3</v>
      </c>
      <c r="C7" s="1" t="s">
        <v>11</v>
      </c>
      <c r="D7" s="33" t="s">
        <v>27</v>
      </c>
      <c r="E7" s="1" t="s">
        <v>29</v>
      </c>
      <c r="F7" s="33" t="s">
        <v>3</v>
      </c>
      <c r="G7" s="1" t="s">
        <v>11</v>
      </c>
      <c r="H7" s="33" t="s">
        <v>27</v>
      </c>
      <c r="I7" s="1" t="s">
        <v>29</v>
      </c>
    </row>
    <row r="8" spans="1:9" x14ac:dyDescent="0.25">
      <c r="A8" s="6" t="s">
        <v>175</v>
      </c>
      <c r="B8" s="14">
        <v>0</v>
      </c>
      <c r="C8" s="14">
        <v>0</v>
      </c>
      <c r="D8" s="14">
        <v>0</v>
      </c>
      <c r="E8" s="14">
        <v>0</v>
      </c>
      <c r="F8" s="14">
        <v>5000000</v>
      </c>
      <c r="G8" s="14">
        <v>39969725</v>
      </c>
      <c r="H8" s="14">
        <v>-30275</v>
      </c>
      <c r="I8" s="14">
        <v>40000000</v>
      </c>
    </row>
    <row r="9" spans="1:9" x14ac:dyDescent="0.25">
      <c r="A9" s="6" t="s">
        <v>209</v>
      </c>
      <c r="B9" s="14">
        <v>0</v>
      </c>
      <c r="C9" s="14">
        <v>0</v>
      </c>
      <c r="D9" s="14">
        <v>0</v>
      </c>
      <c r="E9" s="14">
        <v>0</v>
      </c>
      <c r="F9" s="14">
        <v>5000000</v>
      </c>
      <c r="G9" s="14">
        <v>76941700</v>
      </c>
      <c r="H9" s="14">
        <v>193166649</v>
      </c>
      <c r="I9" s="14">
        <v>-116224949</v>
      </c>
    </row>
    <row r="10" spans="1:9" x14ac:dyDescent="0.25">
      <c r="A10" s="6" t="s">
        <v>75</v>
      </c>
      <c r="B10" s="14">
        <v>0</v>
      </c>
      <c r="C10" s="14">
        <v>0</v>
      </c>
      <c r="D10" s="14">
        <v>0</v>
      </c>
      <c r="E10" s="14">
        <v>0</v>
      </c>
      <c r="F10" s="14">
        <v>50000</v>
      </c>
      <c r="G10" s="14">
        <v>3345438305</v>
      </c>
      <c r="H10" s="14">
        <v>2323638386</v>
      </c>
      <c r="I10" s="14">
        <v>1021799919</v>
      </c>
    </row>
    <row r="11" spans="1:9" x14ac:dyDescent="0.25">
      <c r="A11" s="6" t="s">
        <v>80</v>
      </c>
      <c r="B11" s="14">
        <v>0</v>
      </c>
      <c r="C11" s="14">
        <v>0</v>
      </c>
      <c r="D11" s="14">
        <v>0</v>
      </c>
      <c r="E11" s="14">
        <v>0</v>
      </c>
      <c r="F11" s="14">
        <v>800001</v>
      </c>
      <c r="G11" s="14">
        <v>3354666440</v>
      </c>
      <c r="H11" s="14">
        <v>2871297834</v>
      </c>
      <c r="I11" s="14">
        <v>483368606</v>
      </c>
    </row>
    <row r="12" spans="1:9" x14ac:dyDescent="0.25">
      <c r="A12" s="6" t="s">
        <v>91</v>
      </c>
      <c r="B12" s="14">
        <v>0</v>
      </c>
      <c r="C12" s="14">
        <v>0</v>
      </c>
      <c r="D12" s="14">
        <v>0</v>
      </c>
      <c r="E12" s="14">
        <v>0</v>
      </c>
      <c r="F12" s="14">
        <v>400000</v>
      </c>
      <c r="G12" s="14">
        <v>4735112467</v>
      </c>
      <c r="H12" s="14">
        <v>4102862907</v>
      </c>
      <c r="I12" s="14">
        <v>632249560</v>
      </c>
    </row>
    <row r="13" spans="1:9" x14ac:dyDescent="0.25">
      <c r="A13" s="6" t="s">
        <v>217</v>
      </c>
      <c r="B13" s="14">
        <v>14220000</v>
      </c>
      <c r="C13" s="14">
        <v>113673861</v>
      </c>
      <c r="D13" s="14">
        <v>-86139</v>
      </c>
      <c r="E13" s="14">
        <v>113760000</v>
      </c>
      <c r="F13" s="14">
        <v>14220000</v>
      </c>
      <c r="G13" s="14">
        <v>113673861</v>
      </c>
      <c r="H13" s="14">
        <v>-86139</v>
      </c>
      <c r="I13" s="14">
        <v>113760000</v>
      </c>
    </row>
    <row r="14" spans="1:9" x14ac:dyDescent="0.25">
      <c r="A14" s="6" t="s">
        <v>152</v>
      </c>
      <c r="B14" s="14">
        <v>0</v>
      </c>
      <c r="C14" s="14">
        <v>0</v>
      </c>
      <c r="D14" s="14">
        <v>0</v>
      </c>
      <c r="E14" s="14">
        <v>0</v>
      </c>
      <c r="F14" s="14">
        <v>2300000</v>
      </c>
      <c r="G14" s="14">
        <v>17160317626</v>
      </c>
      <c r="H14" s="14">
        <v>18580529826</v>
      </c>
      <c r="I14" s="14">
        <v>-1420212200</v>
      </c>
    </row>
    <row r="15" spans="1:9" x14ac:dyDescent="0.25">
      <c r="A15" s="6" t="s">
        <v>246</v>
      </c>
      <c r="B15" s="14">
        <v>0</v>
      </c>
      <c r="C15" s="14">
        <v>0</v>
      </c>
      <c r="D15" s="14">
        <v>0</v>
      </c>
      <c r="E15" s="14">
        <v>0</v>
      </c>
      <c r="F15" s="14">
        <v>20000</v>
      </c>
      <c r="G15" s="14">
        <v>339744</v>
      </c>
      <c r="H15" s="14">
        <v>199892</v>
      </c>
      <c r="I15" s="14">
        <v>139852</v>
      </c>
    </row>
    <row r="16" spans="1:9" x14ac:dyDescent="0.25">
      <c r="A16" s="6" t="s">
        <v>148</v>
      </c>
      <c r="B16" s="14">
        <v>0</v>
      </c>
      <c r="C16" s="14">
        <v>0</v>
      </c>
      <c r="D16" s="14">
        <v>0</v>
      </c>
      <c r="E16" s="14">
        <v>0</v>
      </c>
      <c r="F16" s="14">
        <v>10800000</v>
      </c>
      <c r="G16" s="14">
        <v>6220739248</v>
      </c>
      <c r="H16" s="14">
        <v>6274283688</v>
      </c>
      <c r="I16" s="14">
        <v>-53544440</v>
      </c>
    </row>
    <row r="17" spans="1:9" x14ac:dyDescent="0.25">
      <c r="A17" s="6" t="s">
        <v>216</v>
      </c>
      <c r="B17" s="14">
        <v>35550000</v>
      </c>
      <c r="C17" s="14">
        <v>284184689</v>
      </c>
      <c r="D17" s="14">
        <v>-215311</v>
      </c>
      <c r="E17" s="14">
        <v>284400000</v>
      </c>
      <c r="F17" s="14">
        <v>35550000</v>
      </c>
      <c r="G17" s="14">
        <v>284184689</v>
      </c>
      <c r="H17" s="14">
        <v>-215311</v>
      </c>
      <c r="I17" s="14">
        <v>284400000</v>
      </c>
    </row>
    <row r="18" spans="1:9" x14ac:dyDescent="0.25">
      <c r="A18" s="6" t="s">
        <v>179</v>
      </c>
      <c r="B18" s="14">
        <v>0</v>
      </c>
      <c r="C18" s="14">
        <v>0</v>
      </c>
      <c r="D18" s="14">
        <v>0</v>
      </c>
      <c r="E18" s="14">
        <v>0</v>
      </c>
      <c r="F18" s="14">
        <v>5000000</v>
      </c>
      <c r="G18" s="14">
        <v>89931841</v>
      </c>
      <c r="H18" s="14">
        <v>29954541</v>
      </c>
      <c r="I18" s="14">
        <v>59977300</v>
      </c>
    </row>
    <row r="19" spans="1:9" x14ac:dyDescent="0.25">
      <c r="A19" s="6" t="s">
        <v>139</v>
      </c>
      <c r="B19" s="14">
        <v>0</v>
      </c>
      <c r="C19" s="14">
        <v>0</v>
      </c>
      <c r="D19" s="14">
        <v>0</v>
      </c>
      <c r="E19" s="14">
        <v>0</v>
      </c>
      <c r="F19" s="14">
        <v>750000</v>
      </c>
      <c r="G19" s="14">
        <v>9053223432</v>
      </c>
      <c r="H19" s="14">
        <v>6095734032</v>
      </c>
      <c r="I19" s="14">
        <v>2957489400</v>
      </c>
    </row>
    <row r="20" spans="1:9" x14ac:dyDescent="0.25">
      <c r="A20" s="6" t="s">
        <v>187</v>
      </c>
      <c r="B20" s="14">
        <v>0</v>
      </c>
      <c r="C20" s="14">
        <v>0</v>
      </c>
      <c r="D20" s="14">
        <v>0</v>
      </c>
      <c r="E20" s="14">
        <v>0</v>
      </c>
      <c r="F20" s="14">
        <v>77000000</v>
      </c>
      <c r="G20" s="14">
        <v>379712256</v>
      </c>
      <c r="H20" s="14">
        <v>-287744</v>
      </c>
      <c r="I20" s="14">
        <v>380000000</v>
      </c>
    </row>
    <row r="21" spans="1:9" x14ac:dyDescent="0.25">
      <c r="A21" s="6" t="s">
        <v>218</v>
      </c>
      <c r="B21" s="14">
        <v>39375180</v>
      </c>
      <c r="C21" s="14">
        <v>3803705479</v>
      </c>
      <c r="D21" s="14">
        <v>-2883293</v>
      </c>
      <c r="E21" s="14">
        <v>3806588772</v>
      </c>
      <c r="F21" s="14">
        <v>39375180</v>
      </c>
      <c r="G21" s="14">
        <v>3803705479</v>
      </c>
      <c r="H21" s="14">
        <v>-2883293</v>
      </c>
      <c r="I21" s="14">
        <v>3806588772</v>
      </c>
    </row>
    <row r="22" spans="1:9" x14ac:dyDescent="0.25">
      <c r="A22" s="6" t="s">
        <v>190</v>
      </c>
      <c r="B22" s="14">
        <v>0</v>
      </c>
      <c r="C22" s="14">
        <v>0</v>
      </c>
      <c r="D22" s="14">
        <v>0</v>
      </c>
      <c r="E22" s="14">
        <v>0</v>
      </c>
      <c r="F22" s="14">
        <v>8000000</v>
      </c>
      <c r="G22" s="14">
        <v>256805344</v>
      </c>
      <c r="H22" s="14">
        <v>31829545</v>
      </c>
      <c r="I22" s="14">
        <v>224975799</v>
      </c>
    </row>
    <row r="23" spans="1:9" x14ac:dyDescent="0.25">
      <c r="A23" s="6" t="s">
        <v>77</v>
      </c>
      <c r="B23" s="14">
        <v>454</v>
      </c>
      <c r="C23" s="14">
        <v>26750133</v>
      </c>
      <c r="D23" s="14">
        <v>19553693</v>
      </c>
      <c r="E23" s="14">
        <v>7196440</v>
      </c>
      <c r="F23" s="14">
        <v>100454</v>
      </c>
      <c r="G23" s="14">
        <v>6345525499</v>
      </c>
      <c r="H23" s="14">
        <v>4323210201</v>
      </c>
      <c r="I23" s="14">
        <v>2022315298</v>
      </c>
    </row>
    <row r="24" spans="1:9" x14ac:dyDescent="0.25">
      <c r="A24" s="6" t="s">
        <v>90</v>
      </c>
      <c r="B24" s="14">
        <v>2000000</v>
      </c>
      <c r="C24" s="14">
        <v>36673091422</v>
      </c>
      <c r="D24" s="14">
        <v>33283070005</v>
      </c>
      <c r="E24" s="14">
        <v>3390021417</v>
      </c>
      <c r="F24" s="14">
        <v>2100000</v>
      </c>
      <c r="G24" s="14">
        <v>38895776245</v>
      </c>
      <c r="H24" s="14">
        <v>35349521828</v>
      </c>
      <c r="I24" s="14">
        <v>3546254417</v>
      </c>
    </row>
    <row r="25" spans="1:9" x14ac:dyDescent="0.25">
      <c r="A25" s="6" t="s">
        <v>143</v>
      </c>
      <c r="B25" s="14">
        <v>0</v>
      </c>
      <c r="C25" s="14">
        <v>0</v>
      </c>
      <c r="D25" s="14">
        <v>0</v>
      </c>
      <c r="E25" s="14">
        <v>0</v>
      </c>
      <c r="F25" s="14">
        <v>535000</v>
      </c>
      <c r="G25" s="14">
        <v>11035555824</v>
      </c>
      <c r="H25" s="14">
        <v>7797367816</v>
      </c>
      <c r="I25" s="14">
        <v>3238188008</v>
      </c>
    </row>
    <row r="26" spans="1:9" x14ac:dyDescent="0.25">
      <c r="A26" s="6" t="s">
        <v>245</v>
      </c>
      <c r="B26" s="14">
        <v>0</v>
      </c>
      <c r="C26" s="14">
        <v>0</v>
      </c>
      <c r="D26" s="14">
        <v>0</v>
      </c>
      <c r="E26" s="14">
        <v>0</v>
      </c>
      <c r="F26" s="14">
        <v>3500000</v>
      </c>
      <c r="G26" s="14">
        <v>3004685259</v>
      </c>
      <c r="H26" s="14">
        <v>53764669</v>
      </c>
      <c r="I26" s="14">
        <v>2950920590</v>
      </c>
    </row>
    <row r="27" spans="1:9" x14ac:dyDescent="0.25">
      <c r="A27" s="6" t="s">
        <v>244</v>
      </c>
      <c r="B27" s="14">
        <v>0</v>
      </c>
      <c r="C27" s="14">
        <v>0</v>
      </c>
      <c r="D27" s="14">
        <v>0</v>
      </c>
      <c r="E27" s="14">
        <v>0</v>
      </c>
      <c r="F27" s="14">
        <v>5000000</v>
      </c>
      <c r="G27" s="14">
        <v>39969728</v>
      </c>
      <c r="H27" s="14">
        <v>-30272</v>
      </c>
      <c r="I27" s="14">
        <v>40000000</v>
      </c>
    </row>
    <row r="28" spans="1:9" x14ac:dyDescent="0.25">
      <c r="A28" s="6" t="s">
        <v>84</v>
      </c>
      <c r="B28" s="14">
        <v>1500000</v>
      </c>
      <c r="C28" s="14">
        <v>30437882348</v>
      </c>
      <c r="D28" s="14">
        <v>18018672250</v>
      </c>
      <c r="E28" s="14">
        <v>12419210098</v>
      </c>
      <c r="F28" s="14">
        <v>2600000</v>
      </c>
      <c r="G28" s="14">
        <v>45273684133</v>
      </c>
      <c r="H28" s="14">
        <v>30570047964</v>
      </c>
      <c r="I28" s="14">
        <v>14703636169</v>
      </c>
    </row>
    <row r="29" spans="1:9" x14ac:dyDescent="0.25">
      <c r="A29" s="6" t="s">
        <v>243</v>
      </c>
      <c r="B29" s="14">
        <v>0</v>
      </c>
      <c r="C29" s="14">
        <v>0</v>
      </c>
      <c r="D29" s="14">
        <v>0</v>
      </c>
      <c r="E29" s="14">
        <v>0</v>
      </c>
      <c r="F29" s="14">
        <v>6000000</v>
      </c>
      <c r="G29" s="14">
        <v>2470752400</v>
      </c>
      <c r="H29" s="14">
        <v>2814280790</v>
      </c>
      <c r="I29" s="14">
        <v>-343528390</v>
      </c>
    </row>
    <row r="30" spans="1:9" x14ac:dyDescent="0.25">
      <c r="A30" s="6" t="s">
        <v>242</v>
      </c>
      <c r="B30" s="14">
        <v>0</v>
      </c>
      <c r="C30" s="14">
        <v>0</v>
      </c>
      <c r="D30" s="14">
        <v>0</v>
      </c>
      <c r="E30" s="14">
        <v>0</v>
      </c>
      <c r="F30" s="14">
        <v>13238820</v>
      </c>
      <c r="G30" s="14">
        <v>463107221</v>
      </c>
      <c r="H30" s="14">
        <v>-351019</v>
      </c>
      <c r="I30" s="14">
        <v>463458240</v>
      </c>
    </row>
    <row r="31" spans="1:9" x14ac:dyDescent="0.25">
      <c r="A31" s="6" t="s">
        <v>188</v>
      </c>
      <c r="B31" s="14">
        <v>0</v>
      </c>
      <c r="C31" s="14">
        <v>0</v>
      </c>
      <c r="D31" s="14">
        <v>0</v>
      </c>
      <c r="E31" s="14">
        <v>0</v>
      </c>
      <c r="F31" s="14">
        <v>100000</v>
      </c>
      <c r="G31" s="14">
        <v>1139636072</v>
      </c>
      <c r="H31" s="14">
        <v>570337002</v>
      </c>
      <c r="I31" s="14">
        <v>569299070</v>
      </c>
    </row>
    <row r="32" spans="1:9" x14ac:dyDescent="0.25">
      <c r="A32" s="6" t="s">
        <v>94</v>
      </c>
      <c r="B32" s="14">
        <v>500000</v>
      </c>
      <c r="C32" s="14">
        <v>7992734880</v>
      </c>
      <c r="D32" s="14">
        <v>5774112444</v>
      </c>
      <c r="E32" s="14">
        <v>2218622436</v>
      </c>
      <c r="F32" s="14">
        <v>500000</v>
      </c>
      <c r="G32" s="14">
        <v>7992734880</v>
      </c>
      <c r="H32" s="14">
        <v>5774112444</v>
      </c>
      <c r="I32" s="14">
        <v>2218622436</v>
      </c>
    </row>
    <row r="33" spans="1:9" x14ac:dyDescent="0.25">
      <c r="A33" s="6" t="s">
        <v>122</v>
      </c>
      <c r="B33" s="14">
        <v>0</v>
      </c>
      <c r="C33" s="14">
        <v>0</v>
      </c>
      <c r="D33" s="14">
        <v>1939844204</v>
      </c>
      <c r="E33" s="14">
        <v>-1939844204</v>
      </c>
      <c r="F33" s="14">
        <v>39816000</v>
      </c>
      <c r="G33" s="14">
        <v>8266696294</v>
      </c>
      <c r="H33" s="14">
        <v>10206540498</v>
      </c>
      <c r="I33" s="14">
        <v>-1939844204</v>
      </c>
    </row>
    <row r="34" spans="1:9" x14ac:dyDescent="0.25">
      <c r="A34" s="6" t="s">
        <v>203</v>
      </c>
      <c r="B34" s="14">
        <v>0</v>
      </c>
      <c r="C34" s="14">
        <v>0</v>
      </c>
      <c r="D34" s="14">
        <v>0</v>
      </c>
      <c r="E34" s="14">
        <v>0</v>
      </c>
      <c r="F34" s="14">
        <v>1000000</v>
      </c>
      <c r="G34" s="14">
        <v>51960615</v>
      </c>
      <c r="H34" s="14">
        <v>83023483</v>
      </c>
      <c r="I34" s="14">
        <v>-31062868</v>
      </c>
    </row>
    <row r="35" spans="1:9" x14ac:dyDescent="0.25">
      <c r="A35" s="6" t="s">
        <v>172</v>
      </c>
      <c r="B35" s="14">
        <v>0</v>
      </c>
      <c r="C35" s="14">
        <v>0</v>
      </c>
      <c r="D35" s="14">
        <v>0</v>
      </c>
      <c r="E35" s="14">
        <v>0</v>
      </c>
      <c r="F35" s="14">
        <v>19908000</v>
      </c>
      <c r="G35" s="14">
        <v>233031408</v>
      </c>
      <c r="H35" s="14">
        <v>19746443</v>
      </c>
      <c r="I35" s="14">
        <v>213284965</v>
      </c>
    </row>
    <row r="36" spans="1:9" x14ac:dyDescent="0.25">
      <c r="A36" s="6" t="s">
        <v>219</v>
      </c>
      <c r="B36" s="14">
        <v>19908000</v>
      </c>
      <c r="C36" s="14">
        <v>218822204</v>
      </c>
      <c r="D36" s="14">
        <v>59603353</v>
      </c>
      <c r="E36" s="14">
        <v>159218851</v>
      </c>
      <c r="F36" s="14">
        <v>19908000</v>
      </c>
      <c r="G36" s="14">
        <v>218822204</v>
      </c>
      <c r="H36" s="14">
        <v>59603353</v>
      </c>
      <c r="I36" s="14">
        <v>159218851</v>
      </c>
    </row>
    <row r="37" spans="1:9" x14ac:dyDescent="0.25">
      <c r="A37" s="6" t="s">
        <v>185</v>
      </c>
      <c r="B37" s="14">
        <v>0</v>
      </c>
      <c r="C37" s="14">
        <v>0</v>
      </c>
      <c r="D37" s="14">
        <v>0</v>
      </c>
      <c r="E37" s="14">
        <v>0</v>
      </c>
      <c r="F37" s="14">
        <v>10000000</v>
      </c>
      <c r="G37" s="14">
        <v>99924294</v>
      </c>
      <c r="H37" s="14">
        <v>29947014</v>
      </c>
      <c r="I37" s="14">
        <v>69977280</v>
      </c>
    </row>
    <row r="38" spans="1:9" x14ac:dyDescent="0.25">
      <c r="A38" s="6" t="s">
        <v>212</v>
      </c>
      <c r="B38" s="14">
        <v>0</v>
      </c>
      <c r="C38" s="14">
        <v>0</v>
      </c>
      <c r="D38" s="14">
        <v>0</v>
      </c>
      <c r="E38" s="14">
        <v>0</v>
      </c>
      <c r="F38" s="14">
        <v>1000000</v>
      </c>
      <c r="G38" s="14">
        <v>381161053</v>
      </c>
      <c r="H38" s="14">
        <v>392413355</v>
      </c>
      <c r="I38" s="14">
        <v>-11252302</v>
      </c>
    </row>
    <row r="39" spans="1:9" x14ac:dyDescent="0.25">
      <c r="A39" s="6" t="s">
        <v>124</v>
      </c>
      <c r="B39" s="14">
        <v>0</v>
      </c>
      <c r="C39" s="14">
        <v>0</v>
      </c>
      <c r="D39" s="14">
        <v>-357138000</v>
      </c>
      <c r="E39" s="14">
        <v>357138000</v>
      </c>
      <c r="F39" s="14">
        <v>20000000</v>
      </c>
      <c r="G39" s="14">
        <v>356867546</v>
      </c>
      <c r="H39" s="14">
        <v>-270454</v>
      </c>
      <c r="I39" s="14">
        <v>357138000</v>
      </c>
    </row>
    <row r="40" spans="1:9" x14ac:dyDescent="0.25">
      <c r="A40" s="6" t="s">
        <v>241</v>
      </c>
      <c r="B40" s="14">
        <v>0</v>
      </c>
      <c r="C40" s="14">
        <v>0</v>
      </c>
      <c r="D40" s="14">
        <v>0</v>
      </c>
      <c r="E40" s="14">
        <v>0</v>
      </c>
      <c r="F40" s="14">
        <v>100000</v>
      </c>
      <c r="G40" s="14">
        <v>146888649</v>
      </c>
      <c r="H40" s="14">
        <v>1389781</v>
      </c>
      <c r="I40" s="14">
        <v>145498868</v>
      </c>
    </row>
    <row r="41" spans="1:9" x14ac:dyDescent="0.25">
      <c r="A41" s="6" t="s">
        <v>79</v>
      </c>
      <c r="B41" s="14">
        <v>200000</v>
      </c>
      <c r="C41" s="14">
        <v>5395964270</v>
      </c>
      <c r="D41" s="14">
        <v>5690804089</v>
      </c>
      <c r="E41" s="14">
        <v>-294839819</v>
      </c>
      <c r="F41" s="14">
        <v>400000</v>
      </c>
      <c r="G41" s="14">
        <v>11061825970</v>
      </c>
      <c r="H41" s="14">
        <v>11201393249</v>
      </c>
      <c r="I41" s="14">
        <v>-139567279</v>
      </c>
    </row>
    <row r="42" spans="1:9" x14ac:dyDescent="0.25">
      <c r="A42" s="6" t="s">
        <v>70</v>
      </c>
      <c r="B42" s="14">
        <v>100000</v>
      </c>
      <c r="C42" s="14">
        <v>15073573643</v>
      </c>
      <c r="D42" s="14">
        <v>11001580680</v>
      </c>
      <c r="E42" s="14">
        <v>4071992963</v>
      </c>
      <c r="F42" s="14">
        <v>100000</v>
      </c>
      <c r="G42" s="14">
        <v>15073573643</v>
      </c>
      <c r="H42" s="14">
        <v>11001580680</v>
      </c>
      <c r="I42" s="14">
        <v>4071992963</v>
      </c>
    </row>
    <row r="43" spans="1:9" x14ac:dyDescent="0.25">
      <c r="A43" s="6" t="s">
        <v>120</v>
      </c>
      <c r="B43" s="14">
        <v>30000000</v>
      </c>
      <c r="C43" s="14">
        <v>359727477</v>
      </c>
      <c r="D43" s="14">
        <v>359727477</v>
      </c>
      <c r="E43" s="14">
        <v>0</v>
      </c>
      <c r="F43" s="14">
        <v>30000000</v>
      </c>
      <c r="G43" s="14">
        <v>359727477</v>
      </c>
      <c r="H43" s="14">
        <v>359727477</v>
      </c>
      <c r="I43" s="14">
        <v>0</v>
      </c>
    </row>
    <row r="44" spans="1:9" x14ac:dyDescent="0.25">
      <c r="A44" s="6" t="s">
        <v>151</v>
      </c>
      <c r="B44" s="14">
        <v>0</v>
      </c>
      <c r="C44" s="14">
        <v>0</v>
      </c>
      <c r="D44" s="14">
        <v>0</v>
      </c>
      <c r="E44" s="14">
        <v>0</v>
      </c>
      <c r="F44" s="14">
        <v>562500</v>
      </c>
      <c r="G44" s="14">
        <v>4950825640</v>
      </c>
      <c r="H44" s="14">
        <v>5503880249</v>
      </c>
      <c r="I44" s="14">
        <v>-553054609</v>
      </c>
    </row>
    <row r="45" spans="1:9" x14ac:dyDescent="0.25">
      <c r="A45" s="6" t="s">
        <v>205</v>
      </c>
      <c r="B45" s="14">
        <v>0</v>
      </c>
      <c r="C45" s="14">
        <v>0</v>
      </c>
      <c r="D45" s="14">
        <v>0</v>
      </c>
      <c r="E45" s="14">
        <v>0</v>
      </c>
      <c r="F45" s="14">
        <v>5000000</v>
      </c>
      <c r="G45" s="14">
        <v>64950770</v>
      </c>
      <c r="H45" s="14">
        <v>14962107</v>
      </c>
      <c r="I45" s="14">
        <v>49988663</v>
      </c>
    </row>
    <row r="46" spans="1:9" x14ac:dyDescent="0.25">
      <c r="A46" s="6" t="s">
        <v>147</v>
      </c>
      <c r="B46" s="14">
        <v>0</v>
      </c>
      <c r="C46" s="14">
        <v>0</v>
      </c>
      <c r="D46" s="14">
        <v>0</v>
      </c>
      <c r="E46" s="14">
        <v>0</v>
      </c>
      <c r="F46" s="14">
        <v>1200000</v>
      </c>
      <c r="G46" s="14">
        <v>3952012977</v>
      </c>
      <c r="H46" s="14">
        <v>3772517754</v>
      </c>
      <c r="I46" s="14">
        <v>179495223</v>
      </c>
    </row>
    <row r="47" spans="1:9" x14ac:dyDescent="0.25">
      <c r="A47" s="6" t="s">
        <v>146</v>
      </c>
      <c r="B47" s="14">
        <v>0</v>
      </c>
      <c r="C47" s="14">
        <v>0</v>
      </c>
      <c r="D47" s="14">
        <v>0</v>
      </c>
      <c r="E47" s="14">
        <v>0</v>
      </c>
      <c r="F47" s="14">
        <v>2900000</v>
      </c>
      <c r="G47" s="14">
        <v>21814981638</v>
      </c>
      <c r="H47" s="14">
        <v>23394781032</v>
      </c>
      <c r="I47" s="14">
        <v>-1579799394</v>
      </c>
    </row>
    <row r="48" spans="1:9" x14ac:dyDescent="0.25">
      <c r="A48" s="6" t="s">
        <v>89</v>
      </c>
      <c r="B48" s="14">
        <v>0</v>
      </c>
      <c r="C48" s="14">
        <v>0</v>
      </c>
      <c r="D48" s="14">
        <v>0</v>
      </c>
      <c r="E48" s="14">
        <v>0</v>
      </c>
      <c r="F48" s="14">
        <v>3200000</v>
      </c>
      <c r="G48" s="14">
        <v>11113821014</v>
      </c>
      <c r="H48" s="14">
        <v>12416498507</v>
      </c>
      <c r="I48" s="14">
        <v>-1302677493</v>
      </c>
    </row>
    <row r="49" spans="1:9" x14ac:dyDescent="0.25">
      <c r="A49" s="6" t="s">
        <v>189</v>
      </c>
      <c r="B49" s="14">
        <v>0</v>
      </c>
      <c r="C49" s="14">
        <v>0</v>
      </c>
      <c r="D49" s="14">
        <v>0</v>
      </c>
      <c r="E49" s="14">
        <v>0</v>
      </c>
      <c r="F49" s="14">
        <v>8096000</v>
      </c>
      <c r="G49" s="14">
        <v>327383857</v>
      </c>
      <c r="H49" s="14">
        <v>32160346</v>
      </c>
      <c r="I49" s="14">
        <v>295223511</v>
      </c>
    </row>
    <row r="50" spans="1:9" x14ac:dyDescent="0.25">
      <c r="A50" s="6" t="s">
        <v>240</v>
      </c>
      <c r="B50" s="14">
        <v>0</v>
      </c>
      <c r="C50" s="14">
        <v>0</v>
      </c>
      <c r="D50" s="14">
        <v>0</v>
      </c>
      <c r="E50" s="14">
        <v>0</v>
      </c>
      <c r="F50" s="14">
        <v>700000</v>
      </c>
      <c r="G50" s="14">
        <v>10200715278</v>
      </c>
      <c r="H50" s="14">
        <v>10478287108</v>
      </c>
      <c r="I50" s="14">
        <v>-277571830</v>
      </c>
    </row>
    <row r="51" spans="1:9" x14ac:dyDescent="0.25">
      <c r="A51" s="6" t="s">
        <v>210</v>
      </c>
      <c r="B51" s="14">
        <v>0</v>
      </c>
      <c r="C51" s="14">
        <v>0</v>
      </c>
      <c r="D51" s="14">
        <v>0</v>
      </c>
      <c r="E51" s="14">
        <v>0</v>
      </c>
      <c r="F51" s="14">
        <v>11000000</v>
      </c>
      <c r="G51" s="14">
        <v>144890222</v>
      </c>
      <c r="H51" s="14">
        <v>64023467</v>
      </c>
      <c r="I51" s="14">
        <v>80866755</v>
      </c>
    </row>
    <row r="52" spans="1:9" x14ac:dyDescent="0.25">
      <c r="A52" s="6" t="s">
        <v>208</v>
      </c>
      <c r="B52" s="14">
        <v>0</v>
      </c>
      <c r="C52" s="14">
        <v>0</v>
      </c>
      <c r="D52" s="14">
        <v>0</v>
      </c>
      <c r="E52" s="14">
        <v>0</v>
      </c>
      <c r="F52" s="14">
        <v>8000000</v>
      </c>
      <c r="G52" s="14">
        <v>60953834</v>
      </c>
      <c r="H52" s="14">
        <v>88020450</v>
      </c>
      <c r="I52" s="14">
        <v>-27066616</v>
      </c>
    </row>
    <row r="53" spans="1:9" x14ac:dyDescent="0.25">
      <c r="A53" s="6" t="s">
        <v>197</v>
      </c>
      <c r="B53" s="14">
        <v>0</v>
      </c>
      <c r="C53" s="14">
        <v>0</v>
      </c>
      <c r="D53" s="14">
        <v>0</v>
      </c>
      <c r="E53" s="14">
        <v>0</v>
      </c>
      <c r="F53" s="14">
        <v>36000000</v>
      </c>
      <c r="G53" s="14">
        <v>334746428</v>
      </c>
      <c r="H53" s="14">
        <v>71800788</v>
      </c>
      <c r="I53" s="14">
        <v>262945640</v>
      </c>
    </row>
    <row r="54" spans="1:9" x14ac:dyDescent="0.25">
      <c r="A54" s="6" t="s">
        <v>201</v>
      </c>
      <c r="B54" s="14">
        <v>0</v>
      </c>
      <c r="C54" s="14">
        <v>0</v>
      </c>
      <c r="D54" s="14">
        <v>0</v>
      </c>
      <c r="E54" s="14">
        <v>0</v>
      </c>
      <c r="F54" s="14">
        <v>20000000</v>
      </c>
      <c r="G54" s="14">
        <v>348735672</v>
      </c>
      <c r="H54" s="14">
        <v>19750712</v>
      </c>
      <c r="I54" s="14">
        <v>328984960</v>
      </c>
    </row>
    <row r="55" spans="1:9" x14ac:dyDescent="0.25">
      <c r="A55" s="6" t="s">
        <v>71</v>
      </c>
      <c r="B55" s="14">
        <v>0</v>
      </c>
      <c r="C55" s="14">
        <v>0</v>
      </c>
      <c r="D55" s="14">
        <v>0</v>
      </c>
      <c r="E55" s="14">
        <v>0</v>
      </c>
      <c r="F55" s="14">
        <v>200000</v>
      </c>
      <c r="G55" s="14">
        <v>5146100772</v>
      </c>
      <c r="H55" s="14">
        <v>4429940696</v>
      </c>
      <c r="I55" s="14">
        <v>716160076</v>
      </c>
    </row>
    <row r="56" spans="1:9" x14ac:dyDescent="0.25">
      <c r="A56" s="6" t="s">
        <v>184</v>
      </c>
      <c r="B56" s="14">
        <v>0</v>
      </c>
      <c r="C56" s="14">
        <v>0</v>
      </c>
      <c r="D56" s="14">
        <v>0</v>
      </c>
      <c r="E56" s="14">
        <v>0</v>
      </c>
      <c r="F56" s="14">
        <v>10000000</v>
      </c>
      <c r="G56" s="14">
        <v>109916722</v>
      </c>
      <c r="H56" s="14">
        <v>64965912</v>
      </c>
      <c r="I56" s="14">
        <v>44950810</v>
      </c>
    </row>
    <row r="57" spans="1:9" x14ac:dyDescent="0.25">
      <c r="A57" s="6" t="s">
        <v>81</v>
      </c>
      <c r="B57" s="14">
        <v>0</v>
      </c>
      <c r="C57" s="14">
        <v>0</v>
      </c>
      <c r="D57" s="14">
        <v>0</v>
      </c>
      <c r="E57" s="14">
        <v>0</v>
      </c>
      <c r="F57" s="14">
        <v>49000</v>
      </c>
      <c r="G57" s="14">
        <v>1444536745</v>
      </c>
      <c r="H57" s="14">
        <v>1279640401</v>
      </c>
      <c r="I57" s="14">
        <v>164896344</v>
      </c>
    </row>
    <row r="58" spans="1:9" x14ac:dyDescent="0.25">
      <c r="A58" s="6" t="s">
        <v>87</v>
      </c>
      <c r="B58" s="14">
        <v>125000</v>
      </c>
      <c r="C58" s="14">
        <v>5394268979</v>
      </c>
      <c r="D58" s="14">
        <v>4419654372</v>
      </c>
      <c r="E58" s="14">
        <v>974614607</v>
      </c>
      <c r="F58" s="14">
        <v>125000</v>
      </c>
      <c r="G58" s="14">
        <v>5394268979</v>
      </c>
      <c r="H58" s="14">
        <v>4419654372</v>
      </c>
      <c r="I58" s="14">
        <v>974614607</v>
      </c>
    </row>
    <row r="59" spans="1:9" x14ac:dyDescent="0.25">
      <c r="A59" s="6" t="s">
        <v>85</v>
      </c>
      <c r="B59" s="14">
        <v>0</v>
      </c>
      <c r="C59" s="14">
        <v>0</v>
      </c>
      <c r="D59" s="14">
        <v>0</v>
      </c>
      <c r="E59" s="14">
        <v>0</v>
      </c>
      <c r="F59" s="14">
        <v>200000</v>
      </c>
      <c r="G59" s="14">
        <v>1738457084</v>
      </c>
      <c r="H59" s="14">
        <v>1728227686</v>
      </c>
      <c r="I59" s="14">
        <v>10229398</v>
      </c>
    </row>
    <row r="60" spans="1:9" x14ac:dyDescent="0.25">
      <c r="A60" s="6" t="s">
        <v>239</v>
      </c>
      <c r="B60" s="14">
        <v>0</v>
      </c>
      <c r="C60" s="14">
        <v>0</v>
      </c>
      <c r="D60" s="14">
        <v>0</v>
      </c>
      <c r="E60" s="14">
        <v>0</v>
      </c>
      <c r="F60" s="14">
        <v>50000</v>
      </c>
      <c r="G60" s="14">
        <v>4537500000</v>
      </c>
      <c r="H60" s="14">
        <v>5197247733</v>
      </c>
      <c r="I60" s="14">
        <v>-659747733</v>
      </c>
    </row>
    <row r="61" spans="1:9" x14ac:dyDescent="0.25">
      <c r="A61" s="6" t="s">
        <v>238</v>
      </c>
      <c r="B61" s="14">
        <v>0</v>
      </c>
      <c r="C61" s="14">
        <v>0</v>
      </c>
      <c r="D61" s="14">
        <v>0</v>
      </c>
      <c r="E61" s="14">
        <v>0</v>
      </c>
      <c r="F61" s="14">
        <v>4502052</v>
      </c>
      <c r="G61" s="14">
        <v>386400092</v>
      </c>
      <c r="H61" s="14">
        <v>-292900</v>
      </c>
      <c r="I61" s="14">
        <v>386692992</v>
      </c>
    </row>
    <row r="62" spans="1:9" x14ac:dyDescent="0.25">
      <c r="A62" s="6" t="s">
        <v>192</v>
      </c>
      <c r="B62" s="14">
        <v>0</v>
      </c>
      <c r="C62" s="14">
        <v>0</v>
      </c>
      <c r="D62" s="14">
        <v>0</v>
      </c>
      <c r="E62" s="14">
        <v>0</v>
      </c>
      <c r="F62" s="14">
        <v>200000</v>
      </c>
      <c r="G62" s="14">
        <v>1053201595</v>
      </c>
      <c r="H62" s="14">
        <v>1099234231</v>
      </c>
      <c r="I62" s="14">
        <v>-46032636</v>
      </c>
    </row>
    <row r="63" spans="1:9" x14ac:dyDescent="0.25">
      <c r="A63" s="6" t="s">
        <v>142</v>
      </c>
      <c r="B63" s="14">
        <v>0</v>
      </c>
      <c r="C63" s="14">
        <v>0</v>
      </c>
      <c r="D63" s="14">
        <v>0</v>
      </c>
      <c r="E63" s="14">
        <v>0</v>
      </c>
      <c r="F63" s="14">
        <v>2513000</v>
      </c>
      <c r="G63" s="14">
        <v>18054275583</v>
      </c>
      <c r="H63" s="14">
        <v>15755790082</v>
      </c>
      <c r="I63" s="14">
        <v>2298485501</v>
      </c>
    </row>
    <row r="64" spans="1:9" x14ac:dyDescent="0.25">
      <c r="A64" s="6" t="s">
        <v>127</v>
      </c>
      <c r="B64" s="14">
        <v>0</v>
      </c>
      <c r="C64" s="14">
        <v>0</v>
      </c>
      <c r="D64" s="14">
        <v>349640781</v>
      </c>
      <c r="E64" s="14">
        <v>-349640781</v>
      </c>
      <c r="F64" s="14">
        <v>10000000</v>
      </c>
      <c r="G64" s="14">
        <v>760623442</v>
      </c>
      <c r="H64" s="14">
        <v>1110264223</v>
      </c>
      <c r="I64" s="14">
        <v>-349640781</v>
      </c>
    </row>
    <row r="65" spans="1:9" x14ac:dyDescent="0.25">
      <c r="A65" s="6" t="s">
        <v>126</v>
      </c>
      <c r="B65" s="14">
        <v>33000000</v>
      </c>
      <c r="C65" s="14">
        <v>186858493</v>
      </c>
      <c r="D65" s="14">
        <v>186858493</v>
      </c>
      <c r="E65" s="14">
        <v>0</v>
      </c>
      <c r="F65" s="14">
        <v>33000000</v>
      </c>
      <c r="G65" s="14">
        <v>186858493</v>
      </c>
      <c r="H65" s="14">
        <v>186858493</v>
      </c>
      <c r="I65" s="14">
        <v>0</v>
      </c>
    </row>
    <row r="66" spans="1:9" x14ac:dyDescent="0.25">
      <c r="A66" s="6" t="s">
        <v>195</v>
      </c>
      <c r="B66" s="14">
        <v>0</v>
      </c>
      <c r="C66" s="14">
        <v>0</v>
      </c>
      <c r="D66" s="14">
        <v>0</v>
      </c>
      <c r="E66" s="14">
        <v>0</v>
      </c>
      <c r="F66" s="14">
        <v>8000000</v>
      </c>
      <c r="G66" s="14">
        <v>249810648</v>
      </c>
      <c r="H66" s="14">
        <v>55853032</v>
      </c>
      <c r="I66" s="14">
        <v>193957616</v>
      </c>
    </row>
    <row r="67" spans="1:9" x14ac:dyDescent="0.25">
      <c r="A67" s="6" t="s">
        <v>100</v>
      </c>
      <c r="B67" s="14">
        <v>2000000</v>
      </c>
      <c r="C67" s="14">
        <v>16332764255</v>
      </c>
      <c r="D67" s="14">
        <v>15273683213</v>
      </c>
      <c r="E67" s="14">
        <v>1059081042</v>
      </c>
      <c r="F67" s="14">
        <v>2000000</v>
      </c>
      <c r="G67" s="14">
        <v>16332764255</v>
      </c>
      <c r="H67" s="14">
        <v>15273683213</v>
      </c>
      <c r="I67" s="14">
        <v>1059081042</v>
      </c>
    </row>
    <row r="68" spans="1:9" x14ac:dyDescent="0.25">
      <c r="A68" s="6" t="s">
        <v>194</v>
      </c>
      <c r="B68" s="14">
        <v>0</v>
      </c>
      <c r="C68" s="14">
        <v>0</v>
      </c>
      <c r="D68" s="14">
        <v>0</v>
      </c>
      <c r="E68" s="14">
        <v>0</v>
      </c>
      <c r="F68" s="14">
        <v>25424000</v>
      </c>
      <c r="G68" s="14">
        <v>608223068</v>
      </c>
      <c r="H68" s="14">
        <v>324504958</v>
      </c>
      <c r="I68" s="14">
        <v>283718110</v>
      </c>
    </row>
    <row r="69" spans="1:9" x14ac:dyDescent="0.25">
      <c r="A69" s="6" t="s">
        <v>103</v>
      </c>
      <c r="B69" s="14">
        <v>10000000</v>
      </c>
      <c r="C69" s="14">
        <v>5606325518</v>
      </c>
      <c r="D69" s="14">
        <v>6128244918</v>
      </c>
      <c r="E69" s="14">
        <v>-521919400</v>
      </c>
      <c r="F69" s="14">
        <v>10000000</v>
      </c>
      <c r="G69" s="14">
        <v>5606325518</v>
      </c>
      <c r="H69" s="14">
        <v>6128244918</v>
      </c>
      <c r="I69" s="14">
        <v>-521919400</v>
      </c>
    </row>
    <row r="70" spans="1:9" x14ac:dyDescent="0.25">
      <c r="A70" s="6" t="s">
        <v>191</v>
      </c>
      <c r="B70" s="14">
        <v>0</v>
      </c>
      <c r="C70" s="14">
        <v>0</v>
      </c>
      <c r="D70" s="14">
        <v>0</v>
      </c>
      <c r="E70" s="14">
        <v>0</v>
      </c>
      <c r="F70" s="14">
        <v>5000000</v>
      </c>
      <c r="G70" s="14">
        <v>120908364</v>
      </c>
      <c r="H70" s="14">
        <v>14919709</v>
      </c>
      <c r="I70" s="14">
        <v>105988655</v>
      </c>
    </row>
    <row r="71" spans="1:9" x14ac:dyDescent="0.25">
      <c r="A71" s="6" t="s">
        <v>206</v>
      </c>
      <c r="B71" s="14">
        <v>0</v>
      </c>
      <c r="C71" s="14">
        <v>0</v>
      </c>
      <c r="D71" s="14">
        <v>0</v>
      </c>
      <c r="E71" s="14">
        <v>0</v>
      </c>
      <c r="F71" s="14">
        <v>14000000</v>
      </c>
      <c r="G71" s="14">
        <v>126903870</v>
      </c>
      <c r="H71" s="14">
        <v>150017443</v>
      </c>
      <c r="I71" s="14">
        <v>-23113573</v>
      </c>
    </row>
    <row r="72" spans="1:9" x14ac:dyDescent="0.25">
      <c r="A72" s="6" t="s">
        <v>150</v>
      </c>
      <c r="B72" s="14">
        <v>0</v>
      </c>
      <c r="C72" s="14">
        <v>0</v>
      </c>
      <c r="D72" s="14">
        <v>0</v>
      </c>
      <c r="E72" s="14">
        <v>0</v>
      </c>
      <c r="F72" s="14">
        <v>1105454</v>
      </c>
      <c r="G72" s="14">
        <v>5875656169</v>
      </c>
      <c r="H72" s="14">
        <v>5233649749</v>
      </c>
      <c r="I72" s="14">
        <v>642006420</v>
      </c>
    </row>
    <row r="73" spans="1:9" x14ac:dyDescent="0.25">
      <c r="A73" s="6" t="s">
        <v>101</v>
      </c>
      <c r="B73" s="14">
        <v>33166219</v>
      </c>
      <c r="C73" s="14">
        <v>41930659122</v>
      </c>
      <c r="D73" s="14">
        <v>36783025983</v>
      </c>
      <c r="E73" s="14">
        <v>5147633139</v>
      </c>
      <c r="F73" s="14">
        <v>67392963</v>
      </c>
      <c r="G73" s="14">
        <v>81275917224</v>
      </c>
      <c r="H73" s="14">
        <v>81155362940</v>
      </c>
      <c r="I73" s="14">
        <v>120554284</v>
      </c>
    </row>
    <row r="74" spans="1:9" x14ac:dyDescent="0.25">
      <c r="A74" s="6" t="s">
        <v>69</v>
      </c>
      <c r="B74" s="14">
        <v>6338333</v>
      </c>
      <c r="C74" s="14">
        <v>14031768438</v>
      </c>
      <c r="D74" s="14">
        <v>16509325136</v>
      </c>
      <c r="E74" s="14">
        <v>-2477556698</v>
      </c>
      <c r="F74" s="14">
        <v>6338333</v>
      </c>
      <c r="G74" s="14">
        <v>14031768438</v>
      </c>
      <c r="H74" s="14">
        <v>16509325136</v>
      </c>
      <c r="I74" s="14">
        <v>-2477556698</v>
      </c>
    </row>
    <row r="75" spans="1:9" x14ac:dyDescent="0.25">
      <c r="A75" s="6" t="s">
        <v>186</v>
      </c>
      <c r="B75" s="14">
        <v>0</v>
      </c>
      <c r="C75" s="14">
        <v>0</v>
      </c>
      <c r="D75" s="14">
        <v>0</v>
      </c>
      <c r="E75" s="14">
        <v>0</v>
      </c>
      <c r="F75" s="14">
        <v>10009000</v>
      </c>
      <c r="G75" s="14">
        <v>155143432</v>
      </c>
      <c r="H75" s="14">
        <v>70088537</v>
      </c>
      <c r="I75" s="14">
        <v>85054895</v>
      </c>
    </row>
    <row r="76" spans="1:9" x14ac:dyDescent="0.25">
      <c r="A76" s="6" t="s">
        <v>96</v>
      </c>
      <c r="B76" s="14">
        <v>45269000</v>
      </c>
      <c r="C76" s="14">
        <v>101766458245</v>
      </c>
      <c r="D76" s="14">
        <v>83255694075</v>
      </c>
      <c r="E76" s="14">
        <v>18510764170</v>
      </c>
      <c r="F76" s="14">
        <v>74411000</v>
      </c>
      <c r="G76" s="14">
        <v>159325076307</v>
      </c>
      <c r="H76" s="14">
        <v>135675813495</v>
      </c>
      <c r="I76" s="14">
        <v>23649262812</v>
      </c>
    </row>
    <row r="77" spans="1:9" x14ac:dyDescent="0.25">
      <c r="A77" s="6" t="s">
        <v>97</v>
      </c>
      <c r="B77" s="14">
        <v>435000</v>
      </c>
      <c r="C77" s="14">
        <v>9927998529</v>
      </c>
      <c r="D77" s="14">
        <v>7555375305</v>
      </c>
      <c r="E77" s="14">
        <v>2372623224</v>
      </c>
      <c r="F77" s="14">
        <v>435000</v>
      </c>
      <c r="G77" s="14">
        <v>9927998529</v>
      </c>
      <c r="H77" s="14">
        <v>7555375305</v>
      </c>
      <c r="I77" s="14">
        <v>2372623224</v>
      </c>
    </row>
    <row r="78" spans="1:9" x14ac:dyDescent="0.25">
      <c r="A78" s="6" t="s">
        <v>86</v>
      </c>
      <c r="B78" s="14">
        <v>0</v>
      </c>
      <c r="C78" s="14">
        <v>0</v>
      </c>
      <c r="D78" s="14">
        <v>0</v>
      </c>
      <c r="E78" s="14">
        <v>0</v>
      </c>
      <c r="F78" s="14">
        <v>170000</v>
      </c>
      <c r="G78" s="14">
        <v>2753946186</v>
      </c>
      <c r="H78" s="14">
        <v>2564501033</v>
      </c>
      <c r="I78" s="14">
        <v>189445153</v>
      </c>
    </row>
    <row r="79" spans="1:9" x14ac:dyDescent="0.25">
      <c r="A79" s="6" t="s">
        <v>141</v>
      </c>
      <c r="B79" s="14">
        <v>0</v>
      </c>
      <c r="C79" s="14">
        <v>0</v>
      </c>
      <c r="D79" s="14">
        <v>0</v>
      </c>
      <c r="E79" s="14">
        <v>0</v>
      </c>
      <c r="F79" s="14">
        <v>2450000</v>
      </c>
      <c r="G79" s="14">
        <v>9241456646</v>
      </c>
      <c r="H79" s="14">
        <v>10267435753</v>
      </c>
      <c r="I79" s="14">
        <v>-1025979107</v>
      </c>
    </row>
    <row r="80" spans="1:9" x14ac:dyDescent="0.25">
      <c r="A80" s="6" t="s">
        <v>198</v>
      </c>
      <c r="B80" s="14">
        <v>0</v>
      </c>
      <c r="C80" s="14">
        <v>0</v>
      </c>
      <c r="D80" s="14">
        <v>0</v>
      </c>
      <c r="E80" s="14">
        <v>0</v>
      </c>
      <c r="F80" s="14">
        <v>148596000</v>
      </c>
      <c r="G80" s="14">
        <v>2596420247</v>
      </c>
      <c r="H80" s="14">
        <v>153149604</v>
      </c>
      <c r="I80" s="14">
        <v>2443270643</v>
      </c>
    </row>
    <row r="81" spans="1:9" x14ac:dyDescent="0.25">
      <c r="A81" s="6" t="s">
        <v>82</v>
      </c>
      <c r="B81" s="14">
        <v>1575000</v>
      </c>
      <c r="C81" s="14">
        <v>17285219525</v>
      </c>
      <c r="D81" s="14">
        <v>10275635587</v>
      </c>
      <c r="E81" s="14">
        <v>7009583938</v>
      </c>
      <c r="F81" s="14">
        <v>1775000</v>
      </c>
      <c r="G81" s="14">
        <v>18777593605</v>
      </c>
      <c r="H81" s="14">
        <v>11566468309</v>
      </c>
      <c r="I81" s="14">
        <v>7211125296</v>
      </c>
    </row>
    <row r="82" spans="1:9" x14ac:dyDescent="0.25">
      <c r="A82" s="6" t="s">
        <v>200</v>
      </c>
      <c r="B82" s="14">
        <v>0</v>
      </c>
      <c r="C82" s="14">
        <v>0</v>
      </c>
      <c r="D82" s="14">
        <v>0</v>
      </c>
      <c r="E82" s="14">
        <v>0</v>
      </c>
      <c r="F82" s="14">
        <v>5149000</v>
      </c>
      <c r="G82" s="14">
        <v>2128867180</v>
      </c>
      <c r="H82" s="14">
        <v>62206486</v>
      </c>
      <c r="I82" s="14">
        <v>2066660694</v>
      </c>
    </row>
    <row r="83" spans="1:9" x14ac:dyDescent="0.25">
      <c r="A83" s="6" t="s">
        <v>199</v>
      </c>
      <c r="B83" s="14">
        <v>0</v>
      </c>
      <c r="C83" s="14">
        <v>0</v>
      </c>
      <c r="D83" s="14">
        <v>0</v>
      </c>
      <c r="E83" s="14">
        <v>0</v>
      </c>
      <c r="F83" s="14">
        <v>4000000</v>
      </c>
      <c r="G83" s="14">
        <v>1402936497</v>
      </c>
      <c r="H83" s="14">
        <v>1316934107</v>
      </c>
      <c r="I83" s="14">
        <v>86002390</v>
      </c>
    </row>
    <row r="84" spans="1:9" x14ac:dyDescent="0.25">
      <c r="A84" s="6" t="s">
        <v>202</v>
      </c>
      <c r="B84" s="14">
        <v>0</v>
      </c>
      <c r="C84" s="14">
        <v>0</v>
      </c>
      <c r="D84" s="14">
        <v>0</v>
      </c>
      <c r="E84" s="14">
        <v>0</v>
      </c>
      <c r="F84" s="14">
        <v>1000000</v>
      </c>
      <c r="G84" s="14">
        <v>77980889</v>
      </c>
      <c r="H84" s="14">
        <v>1942399</v>
      </c>
      <c r="I84" s="14">
        <v>76038490</v>
      </c>
    </row>
    <row r="85" spans="1:9" x14ac:dyDescent="0.25">
      <c r="A85" s="6" t="s">
        <v>181</v>
      </c>
      <c r="B85" s="14">
        <v>0</v>
      </c>
      <c r="C85" s="14">
        <v>0</v>
      </c>
      <c r="D85" s="14">
        <v>0</v>
      </c>
      <c r="E85" s="14">
        <v>0</v>
      </c>
      <c r="F85" s="14">
        <v>15000000</v>
      </c>
      <c r="G85" s="14">
        <v>551581958</v>
      </c>
      <c r="H85" s="14">
        <v>669138695</v>
      </c>
      <c r="I85" s="14">
        <v>-117556737</v>
      </c>
    </row>
    <row r="86" spans="1:9" x14ac:dyDescent="0.25">
      <c r="A86" s="6" t="s">
        <v>93</v>
      </c>
      <c r="B86" s="14">
        <v>2250000</v>
      </c>
      <c r="C86" s="14">
        <v>33197198319</v>
      </c>
      <c r="D86" s="14">
        <v>34313314543</v>
      </c>
      <c r="E86" s="14">
        <v>-1116116224</v>
      </c>
      <c r="F86" s="14">
        <v>2551000</v>
      </c>
      <c r="G86" s="14">
        <v>37523064429</v>
      </c>
      <c r="H86" s="14">
        <v>38520775568</v>
      </c>
      <c r="I86" s="14">
        <v>-997711139</v>
      </c>
    </row>
    <row r="87" spans="1:9" x14ac:dyDescent="0.25">
      <c r="A87" s="6" t="s">
        <v>237</v>
      </c>
      <c r="B87" s="14">
        <v>0</v>
      </c>
      <c r="C87" s="14">
        <v>0</v>
      </c>
      <c r="D87" s="14">
        <v>0</v>
      </c>
      <c r="E87" s="14">
        <v>0</v>
      </c>
      <c r="F87" s="14">
        <v>16000000</v>
      </c>
      <c r="G87" s="14">
        <v>136896309</v>
      </c>
      <c r="H87" s="14">
        <v>31920468</v>
      </c>
      <c r="I87" s="14">
        <v>104975841</v>
      </c>
    </row>
    <row r="88" spans="1:9" x14ac:dyDescent="0.25">
      <c r="A88" s="6" t="s">
        <v>204</v>
      </c>
      <c r="B88" s="14">
        <v>0</v>
      </c>
      <c r="C88" s="14">
        <v>0</v>
      </c>
      <c r="D88" s="14">
        <v>0</v>
      </c>
      <c r="E88" s="14">
        <v>0</v>
      </c>
      <c r="F88" s="14">
        <v>11000000</v>
      </c>
      <c r="G88" s="14">
        <v>191854617</v>
      </c>
      <c r="H88" s="14">
        <v>329103803</v>
      </c>
      <c r="I88" s="14">
        <v>-137249186</v>
      </c>
    </row>
    <row r="89" spans="1:9" x14ac:dyDescent="0.25">
      <c r="A89" s="6" t="s">
        <v>207</v>
      </c>
      <c r="B89" s="14">
        <v>0</v>
      </c>
      <c r="C89" s="14">
        <v>0</v>
      </c>
      <c r="D89" s="14">
        <v>0</v>
      </c>
      <c r="E89" s="14">
        <v>0</v>
      </c>
      <c r="F89" s="14">
        <v>32000000</v>
      </c>
      <c r="G89" s="14">
        <v>395700166</v>
      </c>
      <c r="H89" s="14">
        <v>95772726</v>
      </c>
      <c r="I89" s="14">
        <v>299927440</v>
      </c>
    </row>
    <row r="90" spans="1:9" x14ac:dyDescent="0.25">
      <c r="A90" s="6" t="s">
        <v>193</v>
      </c>
      <c r="B90" s="14">
        <v>0</v>
      </c>
      <c r="C90" s="14">
        <v>0</v>
      </c>
      <c r="D90" s="14">
        <v>0</v>
      </c>
      <c r="E90" s="14">
        <v>0</v>
      </c>
      <c r="F90" s="14">
        <v>100000</v>
      </c>
      <c r="G90" s="14">
        <v>139894951</v>
      </c>
      <c r="H90" s="14">
        <v>112979266</v>
      </c>
      <c r="I90" s="14">
        <v>26915685</v>
      </c>
    </row>
    <row r="91" spans="1:9" x14ac:dyDescent="0.25">
      <c r="A91" s="6" t="s">
        <v>144</v>
      </c>
      <c r="B91" s="14">
        <v>0</v>
      </c>
      <c r="C91" s="14">
        <v>0</v>
      </c>
      <c r="D91" s="14">
        <v>0</v>
      </c>
      <c r="E91" s="14">
        <v>0</v>
      </c>
      <c r="F91" s="14">
        <v>1675000</v>
      </c>
      <c r="G91" s="14">
        <v>8348086329</v>
      </c>
      <c r="H91" s="14">
        <v>7185060607</v>
      </c>
      <c r="I91" s="14">
        <v>1163025722</v>
      </c>
    </row>
    <row r="92" spans="1:9" x14ac:dyDescent="0.25">
      <c r="A92" s="6" t="s">
        <v>74</v>
      </c>
      <c r="B92" s="14">
        <v>225000</v>
      </c>
      <c r="C92" s="14">
        <v>10787834712</v>
      </c>
      <c r="D92" s="14">
        <v>11378167437</v>
      </c>
      <c r="E92" s="14">
        <v>-590332725</v>
      </c>
      <c r="F92" s="14">
        <v>275000</v>
      </c>
      <c r="G92" s="14">
        <v>13376423487</v>
      </c>
      <c r="H92" s="14">
        <v>13905158883</v>
      </c>
      <c r="I92" s="14">
        <v>-528735396</v>
      </c>
    </row>
    <row r="93" spans="1:9" x14ac:dyDescent="0.25">
      <c r="A93" s="6" t="s">
        <v>180</v>
      </c>
      <c r="B93" s="14">
        <v>0</v>
      </c>
      <c r="C93" s="14">
        <v>0</v>
      </c>
      <c r="D93" s="14">
        <v>0</v>
      </c>
      <c r="E93" s="14">
        <v>0</v>
      </c>
      <c r="F93" s="14">
        <v>10000000</v>
      </c>
      <c r="G93" s="14">
        <v>134897786</v>
      </c>
      <c r="H93" s="14">
        <v>99973520</v>
      </c>
      <c r="I93" s="14">
        <v>34924266</v>
      </c>
    </row>
    <row r="94" spans="1:9" x14ac:dyDescent="0.25">
      <c r="A94" s="6" t="s">
        <v>213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-2675971415</v>
      </c>
      <c r="I94" s="14">
        <v>2675971415</v>
      </c>
    </row>
    <row r="95" spans="1:9" ht="19.2" thickBot="1" x14ac:dyDescent="0.3">
      <c r="A95" s="6" t="s">
        <v>2</v>
      </c>
      <c r="B95" s="14"/>
      <c r="C95" s="8">
        <f>SUM(C8:C94)</f>
        <v>356827464541</v>
      </c>
      <c r="D95" s="8">
        <f>SUM(D8:D94)</f>
        <v>302215265295</v>
      </c>
      <c r="E95" s="8">
        <f>SUM(E8:E94)</f>
        <v>54612199246</v>
      </c>
      <c r="F95" s="14"/>
      <c r="G95" s="8">
        <f>SUM(G8:G94)</f>
        <v>685366922512</v>
      </c>
      <c r="H95" s="8">
        <f>SUM(H8:H94)</f>
        <v>604588952536</v>
      </c>
      <c r="I95" s="8">
        <f>SUM(I8:I94)</f>
        <v>80777969976</v>
      </c>
    </row>
    <row r="96" spans="1:9" ht="19.2" thickTop="1" x14ac:dyDescent="0.25">
      <c r="B96" s="32"/>
      <c r="C96" s="32"/>
      <c r="D96" s="32"/>
      <c r="E96" s="32"/>
      <c r="F96" s="32"/>
      <c r="G96" s="32"/>
      <c r="H96" s="32"/>
      <c r="I96" s="32"/>
    </row>
    <row r="97" spans="2:9" x14ac:dyDescent="0.25">
      <c r="B97" s="32"/>
      <c r="C97" s="32"/>
      <c r="D97" s="32"/>
      <c r="E97" s="32"/>
      <c r="F97" s="32"/>
      <c r="G97" s="32"/>
      <c r="H97" s="32"/>
      <c r="I97" s="32"/>
    </row>
  </sheetData>
  <mergeCells count="7">
    <mergeCell ref="A1:I1"/>
    <mergeCell ref="A2:I2"/>
    <mergeCell ref="A3:I3"/>
    <mergeCell ref="B6:E6"/>
    <mergeCell ref="F6:I6"/>
    <mergeCell ref="A5:E5"/>
    <mergeCell ref="F5:I5"/>
  </mergeCells>
  <pageMargins left="0.7" right="0.7" top="0.75" bottom="0.75" header="0.3" footer="0.3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A0C6-6E46-4581-948D-57F602244514}">
  <dimension ref="A1:I56"/>
  <sheetViews>
    <sheetView rightToLeft="1" view="pageBreakPreview" zoomScaleNormal="100" zoomScaleSheetLayoutView="100" workbookViewId="0">
      <selection activeCell="E59" sqref="E59"/>
    </sheetView>
  </sheetViews>
  <sheetFormatPr defaultRowHeight="18.600000000000001" x14ac:dyDescent="0.25"/>
  <cols>
    <col min="1" max="1" width="32.59765625" style="18" customWidth="1"/>
    <col min="2" max="2" width="19" style="18" customWidth="1"/>
    <col min="3" max="4" width="21" style="18" customWidth="1"/>
    <col min="5" max="5" width="20.19921875" style="18" customWidth="1"/>
    <col min="6" max="6" width="19" style="18" customWidth="1"/>
    <col min="7" max="8" width="21" style="18" customWidth="1"/>
    <col min="9" max="9" width="20.19921875" style="18" customWidth="1"/>
    <col min="10" max="16384" width="8.796875" style="18"/>
  </cols>
  <sheetData>
    <row r="1" spans="1:9" ht="20.399999999999999" x14ac:dyDescent="0.25">
      <c r="A1" s="42" t="s">
        <v>111</v>
      </c>
      <c r="B1" s="42"/>
      <c r="C1" s="42"/>
      <c r="D1" s="42"/>
      <c r="E1" s="42"/>
      <c r="F1" s="42"/>
      <c r="G1" s="42"/>
      <c r="H1" s="42"/>
      <c r="I1" s="42"/>
    </row>
    <row r="2" spans="1:9" ht="20.399999999999999" x14ac:dyDescent="0.25">
      <c r="A2" s="42" t="s">
        <v>35</v>
      </c>
      <c r="B2" s="42"/>
      <c r="C2" s="42"/>
      <c r="D2" s="42"/>
      <c r="E2" s="42"/>
      <c r="F2" s="42"/>
      <c r="G2" s="42"/>
      <c r="H2" s="42"/>
      <c r="I2" s="42"/>
    </row>
    <row r="3" spans="1:9" ht="20.399999999999999" x14ac:dyDescent="0.25">
      <c r="A3" s="42" t="s">
        <v>43</v>
      </c>
      <c r="B3" s="42"/>
      <c r="C3" s="42"/>
      <c r="D3" s="42"/>
      <c r="E3" s="42"/>
      <c r="F3" s="42"/>
      <c r="G3" s="42"/>
      <c r="H3" s="42"/>
      <c r="I3" s="42"/>
    </row>
    <row r="4" spans="1:9" ht="20.39999999999999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20.399999999999999" x14ac:dyDescent="0.25">
      <c r="A5" s="43" t="s">
        <v>26</v>
      </c>
      <c r="B5" s="43"/>
      <c r="C5" s="43"/>
      <c r="D5" s="43"/>
    </row>
    <row r="6" spans="1:9" ht="19.2" thickBot="1" x14ac:dyDescent="0.3">
      <c r="B6" s="53" t="s">
        <v>61</v>
      </c>
      <c r="C6" s="53"/>
      <c r="D6" s="53"/>
      <c r="E6" s="53"/>
      <c r="F6" s="53" t="s">
        <v>62</v>
      </c>
      <c r="G6" s="53"/>
      <c r="H6" s="53"/>
      <c r="I6" s="53"/>
    </row>
    <row r="7" spans="1:9" ht="19.2" thickBot="1" x14ac:dyDescent="0.3">
      <c r="A7" s="2" t="s">
        <v>22</v>
      </c>
      <c r="B7" s="33" t="s">
        <v>3</v>
      </c>
      <c r="C7" s="1" t="s">
        <v>11</v>
      </c>
      <c r="D7" s="33" t="s">
        <v>27</v>
      </c>
      <c r="E7" s="1" t="s">
        <v>28</v>
      </c>
      <c r="F7" s="33" t="s">
        <v>3</v>
      </c>
      <c r="G7" s="1" t="s">
        <v>11</v>
      </c>
      <c r="H7" s="33" t="s">
        <v>27</v>
      </c>
      <c r="I7" s="1" t="s">
        <v>28</v>
      </c>
    </row>
    <row r="8" spans="1:9" x14ac:dyDescent="0.25">
      <c r="A8" s="6" t="s">
        <v>105</v>
      </c>
      <c r="B8" s="14">
        <v>2600000</v>
      </c>
      <c r="C8" s="14">
        <v>29772069080</v>
      </c>
      <c r="D8" s="14">
        <v>26244716615</v>
      </c>
      <c r="E8" s="14">
        <v>3527352465</v>
      </c>
      <c r="F8" s="14">
        <v>2600000</v>
      </c>
      <c r="G8" s="14">
        <v>29772069080</v>
      </c>
      <c r="H8" s="14">
        <v>20490451307</v>
      </c>
      <c r="I8" s="14">
        <v>9281617773</v>
      </c>
    </row>
    <row r="9" spans="1:9" x14ac:dyDescent="0.25">
      <c r="A9" s="6" t="s">
        <v>127</v>
      </c>
      <c r="B9" s="14">
        <v>0</v>
      </c>
      <c r="C9" s="14">
        <v>135896980</v>
      </c>
      <c r="D9" s="14">
        <v>-377936450</v>
      </c>
      <c r="E9" s="14">
        <v>513833430</v>
      </c>
      <c r="F9" s="14">
        <v>0</v>
      </c>
      <c r="G9" s="14">
        <v>135896980</v>
      </c>
      <c r="H9" s="14">
        <v>0</v>
      </c>
      <c r="I9" s="14">
        <v>135896980</v>
      </c>
    </row>
    <row r="10" spans="1:9" x14ac:dyDescent="0.25">
      <c r="A10" s="6" t="s">
        <v>126</v>
      </c>
      <c r="B10" s="14">
        <v>-33000000</v>
      </c>
      <c r="C10" s="14">
        <v>-164875013</v>
      </c>
      <c r="D10" s="14">
        <v>-187000000</v>
      </c>
      <c r="E10" s="14">
        <v>22124987</v>
      </c>
      <c r="F10" s="14">
        <v>-33000000</v>
      </c>
      <c r="G10" s="14">
        <v>-164875013</v>
      </c>
      <c r="H10" s="14">
        <v>-187000000</v>
      </c>
      <c r="I10" s="14">
        <v>22124987</v>
      </c>
    </row>
    <row r="11" spans="1:9" x14ac:dyDescent="0.25">
      <c r="A11" s="6" t="s">
        <v>214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2498107</v>
      </c>
      <c r="I11" s="14">
        <v>-2498107</v>
      </c>
    </row>
    <row r="12" spans="1:9" x14ac:dyDescent="0.25">
      <c r="A12" s="6" t="s">
        <v>211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16531468</v>
      </c>
      <c r="I12" s="14">
        <v>-16531468</v>
      </c>
    </row>
    <row r="13" spans="1:9" x14ac:dyDescent="0.25">
      <c r="A13" s="6" t="s">
        <v>124</v>
      </c>
      <c r="B13" s="14">
        <v>0</v>
      </c>
      <c r="C13" s="14">
        <v>-159878800</v>
      </c>
      <c r="D13" s="14">
        <v>-382301450</v>
      </c>
      <c r="E13" s="14">
        <v>222422650</v>
      </c>
      <c r="F13" s="14">
        <v>0</v>
      </c>
      <c r="G13" s="14">
        <v>-159878800</v>
      </c>
      <c r="H13" s="14">
        <v>0</v>
      </c>
      <c r="I13" s="14">
        <v>-159878800</v>
      </c>
    </row>
    <row r="14" spans="1:9" x14ac:dyDescent="0.25">
      <c r="A14" s="6" t="s">
        <v>242</v>
      </c>
      <c r="B14" s="14">
        <v>0</v>
      </c>
      <c r="C14" s="14">
        <v>-304262207</v>
      </c>
      <c r="D14" s="14">
        <v>-304262207</v>
      </c>
      <c r="E14" s="14">
        <v>0</v>
      </c>
      <c r="F14" s="14">
        <v>0</v>
      </c>
      <c r="G14" s="14">
        <v>-304262207</v>
      </c>
      <c r="H14" s="14">
        <v>0</v>
      </c>
      <c r="I14" s="14">
        <v>-304262207</v>
      </c>
    </row>
    <row r="15" spans="1:9" x14ac:dyDescent="0.25">
      <c r="A15" s="6" t="s">
        <v>122</v>
      </c>
      <c r="B15" s="14">
        <v>0</v>
      </c>
      <c r="C15" s="14">
        <v>-959123</v>
      </c>
      <c r="D15" s="14">
        <v>-2150927126</v>
      </c>
      <c r="E15" s="14">
        <v>2149968003</v>
      </c>
      <c r="F15" s="14">
        <v>0</v>
      </c>
      <c r="G15" s="14">
        <v>-959123</v>
      </c>
      <c r="H15" s="14">
        <v>0</v>
      </c>
      <c r="I15" s="14">
        <v>-959123</v>
      </c>
    </row>
    <row r="16" spans="1:9" x14ac:dyDescent="0.25">
      <c r="A16" s="6" t="s">
        <v>120</v>
      </c>
      <c r="B16" s="14">
        <v>-30000000</v>
      </c>
      <c r="C16" s="14">
        <v>-539590950</v>
      </c>
      <c r="D16" s="14">
        <v>-360000000</v>
      </c>
      <c r="E16" s="14">
        <v>-179590950</v>
      </c>
      <c r="F16" s="14">
        <v>-30000000</v>
      </c>
      <c r="G16" s="14">
        <v>-539590950</v>
      </c>
      <c r="H16" s="14">
        <v>-360000000</v>
      </c>
      <c r="I16" s="14">
        <v>-179590950</v>
      </c>
    </row>
    <row r="17" spans="1:9" x14ac:dyDescent="0.25">
      <c r="A17" s="6" t="s">
        <v>238</v>
      </c>
      <c r="B17" s="14">
        <v>0</v>
      </c>
      <c r="C17" s="14">
        <v>-130460609</v>
      </c>
      <c r="D17" s="14">
        <v>-130460609</v>
      </c>
      <c r="E17" s="14">
        <v>0</v>
      </c>
      <c r="F17" s="14">
        <v>0</v>
      </c>
      <c r="G17" s="14">
        <v>-130460609</v>
      </c>
      <c r="H17" s="14">
        <v>0</v>
      </c>
      <c r="I17" s="14">
        <v>-130460609</v>
      </c>
    </row>
    <row r="18" spans="1:9" x14ac:dyDescent="0.25">
      <c r="A18" s="6" t="s">
        <v>104</v>
      </c>
      <c r="B18" s="14">
        <v>12122188</v>
      </c>
      <c r="C18" s="14">
        <v>33499326511</v>
      </c>
      <c r="D18" s="14">
        <v>35300379065</v>
      </c>
      <c r="E18" s="14">
        <v>-1801052554</v>
      </c>
      <c r="F18" s="14">
        <v>12122188</v>
      </c>
      <c r="G18" s="14">
        <v>33499326511</v>
      </c>
      <c r="H18" s="14">
        <v>20583450426</v>
      </c>
      <c r="I18" s="14">
        <v>12915876085</v>
      </c>
    </row>
    <row r="19" spans="1:9" x14ac:dyDescent="0.25">
      <c r="A19" s="6" t="s">
        <v>103</v>
      </c>
      <c r="B19" s="14">
        <v>33438000</v>
      </c>
      <c r="C19" s="14">
        <v>16722480227</v>
      </c>
      <c r="D19" s="14">
        <v>18654961774</v>
      </c>
      <c r="E19" s="14">
        <v>-1932481547</v>
      </c>
      <c r="F19" s="14">
        <v>33438000</v>
      </c>
      <c r="G19" s="14">
        <v>16722480227</v>
      </c>
      <c r="H19" s="14">
        <v>20637664090</v>
      </c>
      <c r="I19" s="14">
        <v>-3915183863</v>
      </c>
    </row>
    <row r="20" spans="1:9" x14ac:dyDescent="0.25">
      <c r="A20" s="6" t="s">
        <v>102</v>
      </c>
      <c r="B20" s="14">
        <v>14000000</v>
      </c>
      <c r="C20" s="14">
        <v>41314153720</v>
      </c>
      <c r="D20" s="14">
        <v>43894096684</v>
      </c>
      <c r="E20" s="14">
        <v>-2579942964</v>
      </c>
      <c r="F20" s="14">
        <v>14000000</v>
      </c>
      <c r="G20" s="14">
        <v>41314153720</v>
      </c>
      <c r="H20" s="14">
        <v>43772900967</v>
      </c>
      <c r="I20" s="14">
        <v>-2458747247</v>
      </c>
    </row>
    <row r="21" spans="1:9" x14ac:dyDescent="0.25">
      <c r="A21" s="6" t="s">
        <v>101</v>
      </c>
      <c r="B21" s="14">
        <v>128971560</v>
      </c>
      <c r="C21" s="14">
        <v>143075613802</v>
      </c>
      <c r="D21" s="14">
        <v>176223195148</v>
      </c>
      <c r="E21" s="14">
        <v>-33147581346</v>
      </c>
      <c r="F21" s="14">
        <v>128971560</v>
      </c>
      <c r="G21" s="14">
        <v>143075613802</v>
      </c>
      <c r="H21" s="14">
        <v>144305922181</v>
      </c>
      <c r="I21" s="14">
        <v>-1230308379</v>
      </c>
    </row>
    <row r="22" spans="1:9" x14ac:dyDescent="0.25">
      <c r="A22" s="6" t="s">
        <v>100</v>
      </c>
      <c r="B22" s="14">
        <v>0</v>
      </c>
      <c r="C22" s="14">
        <v>0</v>
      </c>
      <c r="D22" s="14">
        <v>-377951158</v>
      </c>
      <c r="E22" s="14">
        <v>377951158</v>
      </c>
      <c r="F22" s="14">
        <v>0</v>
      </c>
      <c r="G22" s="14">
        <v>0</v>
      </c>
      <c r="H22" s="14">
        <v>0</v>
      </c>
      <c r="I22" s="14">
        <v>0</v>
      </c>
    </row>
    <row r="23" spans="1:9" x14ac:dyDescent="0.25">
      <c r="A23" s="6" t="s">
        <v>99</v>
      </c>
      <c r="B23" s="14">
        <v>7493258</v>
      </c>
      <c r="C23" s="14">
        <v>14766575540</v>
      </c>
      <c r="D23" s="14">
        <v>16558491303</v>
      </c>
      <c r="E23" s="14">
        <v>-1791915763</v>
      </c>
      <c r="F23" s="14">
        <v>7493258</v>
      </c>
      <c r="G23" s="14">
        <v>14766575540</v>
      </c>
      <c r="H23" s="14">
        <v>15906274164</v>
      </c>
      <c r="I23" s="14">
        <v>-1139698624</v>
      </c>
    </row>
    <row r="24" spans="1:9" x14ac:dyDescent="0.25">
      <c r="A24" s="6" t="s">
        <v>98</v>
      </c>
      <c r="B24" s="14">
        <v>200000</v>
      </c>
      <c r="C24" s="14">
        <v>2972840920</v>
      </c>
      <c r="D24" s="14">
        <v>3381656160</v>
      </c>
      <c r="E24" s="14">
        <v>-408815240</v>
      </c>
      <c r="F24" s="14">
        <v>200000</v>
      </c>
      <c r="G24" s="14">
        <v>2972840920</v>
      </c>
      <c r="H24" s="14">
        <v>3135267771</v>
      </c>
      <c r="I24" s="14">
        <v>-162426851</v>
      </c>
    </row>
    <row r="25" spans="1:9" x14ac:dyDescent="0.25">
      <c r="A25" s="6" t="s">
        <v>97</v>
      </c>
      <c r="B25" s="14">
        <v>435000</v>
      </c>
      <c r="C25" s="14">
        <v>8887415095</v>
      </c>
      <c r="D25" s="14">
        <v>8122050509</v>
      </c>
      <c r="E25" s="14">
        <v>765364586</v>
      </c>
      <c r="F25" s="14">
        <v>435000</v>
      </c>
      <c r="G25" s="14">
        <v>8887415095</v>
      </c>
      <c r="H25" s="14">
        <v>7632716416</v>
      </c>
      <c r="I25" s="14">
        <v>1254698679</v>
      </c>
    </row>
    <row r="26" spans="1:9" x14ac:dyDescent="0.25">
      <c r="A26" s="6" t="s">
        <v>96</v>
      </c>
      <c r="B26" s="14">
        <v>20731000</v>
      </c>
      <c r="C26" s="14">
        <v>44803092128</v>
      </c>
      <c r="D26" s="14">
        <v>50230490350</v>
      </c>
      <c r="E26" s="14">
        <v>-5427398222</v>
      </c>
      <c r="F26" s="14">
        <v>20731000</v>
      </c>
      <c r="G26" s="14">
        <v>44803092128</v>
      </c>
      <c r="H26" s="14">
        <v>38448749141</v>
      </c>
      <c r="I26" s="14">
        <v>6354342987</v>
      </c>
    </row>
    <row r="27" spans="1:9" x14ac:dyDescent="0.25">
      <c r="A27" s="6" t="s">
        <v>95</v>
      </c>
      <c r="B27" s="14">
        <v>350000</v>
      </c>
      <c r="C27" s="14">
        <v>24081400630</v>
      </c>
      <c r="D27" s="14">
        <v>21546150780</v>
      </c>
      <c r="E27" s="14">
        <v>2535249850</v>
      </c>
      <c r="F27" s="14">
        <v>350000</v>
      </c>
      <c r="G27" s="14">
        <v>24081400630</v>
      </c>
      <c r="H27" s="14">
        <v>13384730030</v>
      </c>
      <c r="I27" s="14">
        <v>10696670600</v>
      </c>
    </row>
    <row r="28" spans="1:9" x14ac:dyDescent="0.25">
      <c r="A28" s="6" t="s">
        <v>94</v>
      </c>
      <c r="B28" s="14">
        <v>5433333</v>
      </c>
      <c r="C28" s="14">
        <v>88417866709</v>
      </c>
      <c r="D28" s="14">
        <v>77728063163</v>
      </c>
      <c r="E28" s="14">
        <v>10689803546</v>
      </c>
      <c r="F28" s="14">
        <v>5433333</v>
      </c>
      <c r="G28" s="14">
        <v>88417866709</v>
      </c>
      <c r="H28" s="14">
        <v>63421965634</v>
      </c>
      <c r="I28" s="14">
        <v>24995901075</v>
      </c>
    </row>
    <row r="29" spans="1:9" x14ac:dyDescent="0.25">
      <c r="A29" s="6" t="s">
        <v>93</v>
      </c>
      <c r="B29" s="14">
        <v>6750000</v>
      </c>
      <c r="C29" s="14">
        <v>91827146475</v>
      </c>
      <c r="D29" s="14">
        <v>99815837335</v>
      </c>
      <c r="E29" s="14">
        <v>-7988690860</v>
      </c>
      <c r="F29" s="14">
        <v>6750000</v>
      </c>
      <c r="G29" s="14">
        <v>91827146475</v>
      </c>
      <c r="H29" s="14">
        <v>103715783231</v>
      </c>
      <c r="I29" s="14">
        <v>-11888636756</v>
      </c>
    </row>
    <row r="30" spans="1:9" x14ac:dyDescent="0.25">
      <c r="A30" s="6" t="s">
        <v>92</v>
      </c>
      <c r="B30" s="14">
        <v>2100000</v>
      </c>
      <c r="C30" s="14">
        <v>54907260450</v>
      </c>
      <c r="D30" s="14">
        <v>59787586640</v>
      </c>
      <c r="E30" s="14">
        <v>-4880326190</v>
      </c>
      <c r="F30" s="14">
        <v>2100000</v>
      </c>
      <c r="G30" s="14">
        <v>54907260450</v>
      </c>
      <c r="H30" s="14">
        <v>48807126820</v>
      </c>
      <c r="I30" s="14">
        <v>6100133630</v>
      </c>
    </row>
    <row r="31" spans="1:9" x14ac:dyDescent="0.25">
      <c r="A31" s="6" t="s">
        <v>91</v>
      </c>
      <c r="B31" s="14">
        <v>9200000</v>
      </c>
      <c r="C31" s="14">
        <v>94940393600</v>
      </c>
      <c r="D31" s="14">
        <v>114658783040</v>
      </c>
      <c r="E31" s="14">
        <v>-19718389440</v>
      </c>
      <c r="F31" s="14">
        <v>9200000</v>
      </c>
      <c r="G31" s="14">
        <v>94940393600</v>
      </c>
      <c r="H31" s="14">
        <v>95214260120</v>
      </c>
      <c r="I31" s="14">
        <v>-273866520</v>
      </c>
    </row>
    <row r="32" spans="1:9" x14ac:dyDescent="0.25">
      <c r="A32" s="6" t="s">
        <v>90</v>
      </c>
      <c r="B32" s="14">
        <v>0</v>
      </c>
      <c r="C32" s="14">
        <v>0</v>
      </c>
      <c r="D32" s="14">
        <v>168418817</v>
      </c>
      <c r="E32" s="14">
        <v>-168418817</v>
      </c>
      <c r="F32" s="14">
        <v>0</v>
      </c>
      <c r="G32" s="14">
        <v>0</v>
      </c>
      <c r="H32" s="14">
        <v>0</v>
      </c>
      <c r="I32" s="14">
        <v>0</v>
      </c>
    </row>
    <row r="33" spans="1:9" x14ac:dyDescent="0.25">
      <c r="A33" s="6" t="s">
        <v>89</v>
      </c>
      <c r="B33" s="14">
        <v>22820100</v>
      </c>
      <c r="C33" s="14">
        <v>47280046909</v>
      </c>
      <c r="D33" s="14">
        <v>47280046909</v>
      </c>
      <c r="E33" s="14">
        <v>0</v>
      </c>
      <c r="F33" s="14">
        <v>22820100</v>
      </c>
      <c r="G33" s="14">
        <v>47280046909</v>
      </c>
      <c r="H33" s="14">
        <v>69118575261</v>
      </c>
      <c r="I33" s="14">
        <v>-21838528352</v>
      </c>
    </row>
    <row r="34" spans="1:9" x14ac:dyDescent="0.25">
      <c r="A34" s="6" t="s">
        <v>88</v>
      </c>
      <c r="B34" s="14">
        <v>20000000</v>
      </c>
      <c r="C34" s="14">
        <v>47311433600</v>
      </c>
      <c r="D34" s="14">
        <v>43382044400</v>
      </c>
      <c r="E34" s="14">
        <v>3929389200</v>
      </c>
      <c r="F34" s="14">
        <v>20000000</v>
      </c>
      <c r="G34" s="14">
        <v>47311433600</v>
      </c>
      <c r="H34" s="14">
        <v>42483040215</v>
      </c>
      <c r="I34" s="14">
        <v>4828393385</v>
      </c>
    </row>
    <row r="35" spans="1:9" x14ac:dyDescent="0.25">
      <c r="A35" s="6" t="s">
        <v>87</v>
      </c>
      <c r="B35" s="14">
        <v>125000</v>
      </c>
      <c r="C35" s="14">
        <v>5392987450</v>
      </c>
      <c r="D35" s="14">
        <v>5126132082</v>
      </c>
      <c r="E35" s="14">
        <v>266855368</v>
      </c>
      <c r="F35" s="14">
        <v>125000</v>
      </c>
      <c r="G35" s="14">
        <v>5392987450</v>
      </c>
      <c r="H35" s="14">
        <v>4461676792</v>
      </c>
      <c r="I35" s="14">
        <v>931310658</v>
      </c>
    </row>
    <row r="36" spans="1:9" x14ac:dyDescent="0.25">
      <c r="A36" s="6" t="s">
        <v>86</v>
      </c>
      <c r="B36" s="14">
        <v>800000</v>
      </c>
      <c r="C36" s="14">
        <v>10526000160</v>
      </c>
      <c r="D36" s="14">
        <v>11796105760</v>
      </c>
      <c r="E36" s="14">
        <v>-1270105600</v>
      </c>
      <c r="F36" s="14">
        <v>800000</v>
      </c>
      <c r="G36" s="14">
        <v>10526000160</v>
      </c>
      <c r="H36" s="14">
        <v>12680340666</v>
      </c>
      <c r="I36" s="14">
        <v>-2154340506</v>
      </c>
    </row>
    <row r="37" spans="1:9" x14ac:dyDescent="0.25">
      <c r="A37" s="6" t="s">
        <v>85</v>
      </c>
      <c r="B37" s="14">
        <v>8200000</v>
      </c>
      <c r="C37" s="14">
        <v>74043187400</v>
      </c>
      <c r="D37" s="14">
        <v>92855866910</v>
      </c>
      <c r="E37" s="14">
        <v>-18812679510</v>
      </c>
      <c r="F37" s="14">
        <v>8200000</v>
      </c>
      <c r="G37" s="14">
        <v>74043187400</v>
      </c>
      <c r="H37" s="14">
        <v>78561588853</v>
      </c>
      <c r="I37" s="14">
        <v>-4518401453</v>
      </c>
    </row>
    <row r="38" spans="1:9" x14ac:dyDescent="0.25">
      <c r="A38" s="6" t="s">
        <v>84</v>
      </c>
      <c r="B38" s="14">
        <v>9500000</v>
      </c>
      <c r="C38" s="14">
        <v>192961785550</v>
      </c>
      <c r="D38" s="14">
        <v>222637597998</v>
      </c>
      <c r="E38" s="14">
        <v>-29675812448</v>
      </c>
      <c r="F38" s="14">
        <v>9500000</v>
      </c>
      <c r="G38" s="14">
        <v>192961785550</v>
      </c>
      <c r="H38" s="14">
        <v>115620002710</v>
      </c>
      <c r="I38" s="14">
        <v>77341782840</v>
      </c>
    </row>
    <row r="39" spans="1:9" x14ac:dyDescent="0.25">
      <c r="A39" s="6" t="s">
        <v>83</v>
      </c>
      <c r="B39" s="14">
        <v>14070541</v>
      </c>
      <c r="C39" s="14">
        <v>131519927264</v>
      </c>
      <c r="D39" s="14">
        <v>127889865578</v>
      </c>
      <c r="E39" s="14">
        <v>3630061686</v>
      </c>
      <c r="F39" s="14">
        <v>14070541</v>
      </c>
      <c r="G39" s="14">
        <v>131519927264</v>
      </c>
      <c r="H39" s="14">
        <v>78064675699</v>
      </c>
      <c r="I39" s="14">
        <v>53455251565</v>
      </c>
    </row>
    <row r="40" spans="1:9" x14ac:dyDescent="0.25">
      <c r="A40" s="6" t="s">
        <v>82</v>
      </c>
      <c r="B40" s="14">
        <v>3700000</v>
      </c>
      <c r="C40" s="14">
        <v>40679100920</v>
      </c>
      <c r="D40" s="14">
        <v>50254367995</v>
      </c>
      <c r="E40" s="14">
        <v>-9575267075</v>
      </c>
      <c r="F40" s="14">
        <v>3700000</v>
      </c>
      <c r="G40" s="14">
        <v>40679100920</v>
      </c>
      <c r="H40" s="14">
        <v>24455921860</v>
      </c>
      <c r="I40" s="14">
        <v>16223179060</v>
      </c>
    </row>
    <row r="41" spans="1:9" x14ac:dyDescent="0.25">
      <c r="A41" s="6" t="s">
        <v>81</v>
      </c>
      <c r="B41" s="14">
        <v>800000</v>
      </c>
      <c r="C41" s="14">
        <v>30927071360</v>
      </c>
      <c r="D41" s="14">
        <v>34887180505</v>
      </c>
      <c r="E41" s="14">
        <v>-3960109145</v>
      </c>
      <c r="F41" s="14">
        <v>800000</v>
      </c>
      <c r="G41" s="14">
        <v>30927071360</v>
      </c>
      <c r="H41" s="14">
        <v>30370665081</v>
      </c>
      <c r="I41" s="14">
        <v>556406279</v>
      </c>
    </row>
    <row r="42" spans="1:9" x14ac:dyDescent="0.25">
      <c r="A42" s="6" t="s">
        <v>80</v>
      </c>
      <c r="B42" s="14">
        <v>5684429</v>
      </c>
      <c r="C42" s="14">
        <v>26848724612</v>
      </c>
      <c r="D42" s="14">
        <v>29217729725</v>
      </c>
      <c r="E42" s="14">
        <v>-2369005113</v>
      </c>
      <c r="F42" s="14">
        <v>5684429</v>
      </c>
      <c r="G42" s="14">
        <v>26848724612</v>
      </c>
      <c r="H42" s="14">
        <v>17022388855</v>
      </c>
      <c r="I42" s="14">
        <v>9826335757</v>
      </c>
    </row>
    <row r="43" spans="1:9" x14ac:dyDescent="0.25">
      <c r="A43" s="6" t="s">
        <v>79</v>
      </c>
      <c r="B43" s="14">
        <v>2611149</v>
      </c>
      <c r="C43" s="14">
        <v>60654486395</v>
      </c>
      <c r="D43" s="14">
        <v>75020834969</v>
      </c>
      <c r="E43" s="14">
        <v>-14366348574</v>
      </c>
      <c r="F43" s="14">
        <v>2611149</v>
      </c>
      <c r="G43" s="14">
        <v>60654486395</v>
      </c>
      <c r="H43" s="14">
        <v>74846494807</v>
      </c>
      <c r="I43" s="14">
        <v>-14192008412</v>
      </c>
    </row>
    <row r="44" spans="1:9" x14ac:dyDescent="0.25">
      <c r="A44" s="6" t="s">
        <v>78</v>
      </c>
      <c r="B44" s="14">
        <v>3000000</v>
      </c>
      <c r="C44" s="14">
        <v>30095549100</v>
      </c>
      <c r="D44" s="14">
        <v>34620300300</v>
      </c>
      <c r="E44" s="14">
        <v>-4524751200</v>
      </c>
      <c r="F44" s="14">
        <v>3000000</v>
      </c>
      <c r="G44" s="14">
        <v>30095549100</v>
      </c>
      <c r="H44" s="14">
        <v>28866696331</v>
      </c>
      <c r="I44" s="14">
        <v>1228852769</v>
      </c>
    </row>
    <row r="45" spans="1:9" x14ac:dyDescent="0.25">
      <c r="A45" s="6" t="s">
        <v>77</v>
      </c>
      <c r="B45" s="14">
        <v>0</v>
      </c>
      <c r="C45" s="14">
        <v>0</v>
      </c>
      <c r="D45" s="14">
        <v>10276632</v>
      </c>
      <c r="E45" s="14">
        <v>-10276632</v>
      </c>
      <c r="F45" s="14">
        <v>0</v>
      </c>
      <c r="G45" s="14">
        <v>0</v>
      </c>
      <c r="H45" s="14">
        <v>0</v>
      </c>
      <c r="I45" s="14">
        <v>0</v>
      </c>
    </row>
    <row r="46" spans="1:9" x14ac:dyDescent="0.25">
      <c r="A46" s="6" t="s">
        <v>76</v>
      </c>
      <c r="B46" s="14">
        <v>200000</v>
      </c>
      <c r="C46" s="14">
        <v>7124498600</v>
      </c>
      <c r="D46" s="14">
        <v>7789319500</v>
      </c>
      <c r="E46" s="14">
        <v>-664820900</v>
      </c>
      <c r="F46" s="14">
        <v>200000</v>
      </c>
      <c r="G46" s="14">
        <v>7124498600</v>
      </c>
      <c r="H46" s="14">
        <v>12095771300</v>
      </c>
      <c r="I46" s="14">
        <v>-4971272700</v>
      </c>
    </row>
    <row r="47" spans="1:9" x14ac:dyDescent="0.25">
      <c r="A47" s="6" t="s">
        <v>75</v>
      </c>
      <c r="B47" s="14">
        <v>750000</v>
      </c>
      <c r="C47" s="14">
        <v>45701475525</v>
      </c>
      <c r="D47" s="14">
        <v>51238342125</v>
      </c>
      <c r="E47" s="14">
        <v>-5536866600</v>
      </c>
      <c r="F47" s="14">
        <v>750000</v>
      </c>
      <c r="G47" s="14">
        <v>45701475525</v>
      </c>
      <c r="H47" s="14">
        <v>35245501211</v>
      </c>
      <c r="I47" s="14">
        <v>10455974314</v>
      </c>
    </row>
    <row r="48" spans="1:9" x14ac:dyDescent="0.25">
      <c r="A48" s="6" t="s">
        <v>74</v>
      </c>
      <c r="B48" s="14">
        <v>225000</v>
      </c>
      <c r="C48" s="14">
        <v>10741074682</v>
      </c>
      <c r="D48" s="14">
        <v>14726279070</v>
      </c>
      <c r="E48" s="14">
        <v>-3985204388</v>
      </c>
      <c r="F48" s="14">
        <v>225000</v>
      </c>
      <c r="G48" s="14">
        <v>10741074682</v>
      </c>
      <c r="H48" s="14">
        <v>11462206904</v>
      </c>
      <c r="I48" s="14">
        <v>-721132222</v>
      </c>
    </row>
    <row r="49" spans="1:9" x14ac:dyDescent="0.25">
      <c r="A49" s="6" t="s">
        <v>73</v>
      </c>
      <c r="B49" s="14">
        <v>3441130</v>
      </c>
      <c r="C49" s="14">
        <v>6429560113</v>
      </c>
      <c r="D49" s="14">
        <v>9328496138</v>
      </c>
      <c r="E49" s="14">
        <v>-2898936025</v>
      </c>
      <c r="F49" s="14">
        <v>3441130</v>
      </c>
      <c r="G49" s="14">
        <v>6429560113</v>
      </c>
      <c r="H49" s="14">
        <v>9552583290</v>
      </c>
      <c r="I49" s="14">
        <v>-3123023177</v>
      </c>
    </row>
    <row r="50" spans="1:9" x14ac:dyDescent="0.25">
      <c r="A50" s="6" t="s">
        <v>72</v>
      </c>
      <c r="B50" s="14">
        <v>4671455</v>
      </c>
      <c r="C50" s="14">
        <v>48532058515</v>
      </c>
      <c r="D50" s="14">
        <v>59888652915</v>
      </c>
      <c r="E50" s="14">
        <v>-11356594400</v>
      </c>
      <c r="F50" s="14">
        <v>4671455</v>
      </c>
      <c r="G50" s="14">
        <v>48532058515</v>
      </c>
      <c r="H50" s="14">
        <v>47041933068</v>
      </c>
      <c r="I50" s="14">
        <v>1490125447</v>
      </c>
    </row>
    <row r="51" spans="1:9" x14ac:dyDescent="0.25">
      <c r="A51" s="6" t="s">
        <v>71</v>
      </c>
      <c r="B51" s="14">
        <v>1600000</v>
      </c>
      <c r="C51" s="14">
        <v>42739053440</v>
      </c>
      <c r="D51" s="14">
        <v>41033429573</v>
      </c>
      <c r="E51" s="14">
        <v>1705623867</v>
      </c>
      <c r="F51" s="14">
        <v>1600000</v>
      </c>
      <c r="G51" s="14">
        <v>42739053440</v>
      </c>
      <c r="H51" s="14">
        <v>37156744397</v>
      </c>
      <c r="I51" s="14">
        <v>5582309043</v>
      </c>
    </row>
    <row r="52" spans="1:9" x14ac:dyDescent="0.25">
      <c r="A52" s="6" t="s">
        <v>70</v>
      </c>
      <c r="B52" s="14">
        <v>700000</v>
      </c>
      <c r="C52" s="14">
        <v>105577528000</v>
      </c>
      <c r="D52" s="14">
        <v>93585323363</v>
      </c>
      <c r="E52" s="14">
        <v>11992204637</v>
      </c>
      <c r="F52" s="14">
        <v>700000</v>
      </c>
      <c r="G52" s="14">
        <v>105577528000</v>
      </c>
      <c r="H52" s="14">
        <v>77833049256</v>
      </c>
      <c r="I52" s="14">
        <v>27744478744</v>
      </c>
    </row>
    <row r="53" spans="1:9" x14ac:dyDescent="0.25">
      <c r="A53" s="6" t="s">
        <v>69</v>
      </c>
      <c r="B53" s="14">
        <v>695370</v>
      </c>
      <c r="C53" s="14">
        <v>1449679054</v>
      </c>
      <c r="D53" s="14">
        <v>244913013</v>
      </c>
      <c r="E53" s="14">
        <v>1204766041</v>
      </c>
      <c r="F53" s="14">
        <v>695370</v>
      </c>
      <c r="G53" s="14">
        <v>1449679054</v>
      </c>
      <c r="H53" s="14">
        <v>1823208192</v>
      </c>
      <c r="I53" s="14">
        <v>-373529138</v>
      </c>
    </row>
    <row r="54" spans="1:9" x14ac:dyDescent="0.25">
      <c r="A54" s="6" t="s">
        <v>68</v>
      </c>
      <c r="B54" s="14">
        <v>0</v>
      </c>
      <c r="C54" s="14">
        <v>0</v>
      </c>
      <c r="D54" s="14">
        <v>-107775482</v>
      </c>
      <c r="E54" s="14">
        <v>107775482</v>
      </c>
      <c r="F54" s="14">
        <v>0</v>
      </c>
      <c r="G54" s="14">
        <v>0</v>
      </c>
      <c r="H54" s="14">
        <v>0</v>
      </c>
      <c r="I54" s="14">
        <v>0</v>
      </c>
    </row>
    <row r="55" spans="1:9" ht="19.2" thickBot="1" x14ac:dyDescent="0.3">
      <c r="A55" s="6" t="s">
        <v>2</v>
      </c>
      <c r="B55" s="14"/>
      <c r="C55" s="8">
        <f>SUM(C8:C54)</f>
        <v>1655358733814</v>
      </c>
      <c r="D55" s="8">
        <f>SUM(D8:D54)</f>
        <v>1800749368361</v>
      </c>
      <c r="E55" s="8">
        <f>SUM(E8:E54)</f>
        <v>-145390634547</v>
      </c>
      <c r="F55" s="14"/>
      <c r="G55" s="8">
        <f>SUM(G8:G54)</f>
        <v>1655358733814</v>
      </c>
      <c r="H55" s="8">
        <f>SUM(H8:H54)</f>
        <v>1447692356621</v>
      </c>
      <c r="I55" s="8">
        <f>SUM(I8:I54)</f>
        <v>207666377193</v>
      </c>
    </row>
    <row r="56" spans="1:9" ht="19.2" thickTop="1" x14ac:dyDescent="0.25">
      <c r="B56" s="32"/>
      <c r="C56" s="32"/>
      <c r="D56" s="32"/>
      <c r="E56" s="32"/>
      <c r="F56" s="32"/>
      <c r="G56" s="32"/>
      <c r="H56" s="32"/>
      <c r="I56" s="32"/>
    </row>
  </sheetData>
  <mergeCells count="6">
    <mergeCell ref="B6:E6"/>
    <mergeCell ref="F6:I6"/>
    <mergeCell ref="A5:D5"/>
    <mergeCell ref="A1:I1"/>
    <mergeCell ref="A2:I2"/>
    <mergeCell ref="A3:I3"/>
  </mergeCells>
  <pageMargins left="0.7" right="0.7" top="0.75" bottom="0.75" header="0.3" footer="0.3"/>
  <pageSetup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سربرگ</vt:lpstr>
      <vt:lpstr> سهام</vt:lpstr>
      <vt:lpstr>اوراق مشتقه</vt:lpstr>
      <vt:lpstr>تعدیل قیمت</vt:lpstr>
      <vt:lpstr>سپرده</vt:lpstr>
      <vt:lpstr>درآمدها</vt:lpstr>
      <vt:lpstr>درآمد سرمایه گذاری در سهام </vt:lpstr>
      <vt:lpstr>درآمد سپرده بانکی</vt:lpstr>
      <vt:lpstr>درآمد سرمایه گذاری مشتقه </vt:lpstr>
      <vt:lpstr>سایر درآمدها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'اوراق مشتقه'!Print_Area</vt:lpstr>
      <vt:lpstr>'تعدیل قیمت'!Print_Area</vt:lpstr>
      <vt:lpstr>'درآمد سپرده بانکی'!Print_Area</vt:lpstr>
      <vt:lpstr>'درآمد سرمایه گذاری در سهام '!Print_Area</vt:lpstr>
      <vt:lpstr>'درآمد سرمایه گذاری مشتقه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سربرگ!Print_Area</vt:lpstr>
      <vt:lpstr>'سود 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Arash Ranjbar</cp:lastModifiedBy>
  <cp:lastPrinted>2024-02-06T09:33:07Z</cp:lastPrinted>
  <dcterms:created xsi:type="dcterms:W3CDTF">2017-11-22T14:26:20Z</dcterms:created>
  <dcterms:modified xsi:type="dcterms:W3CDTF">2026-08-01T02:30:19Z</dcterms:modified>
</cp:coreProperties>
</file>