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ownloads\"/>
    </mc:Choice>
  </mc:AlternateContent>
  <xr:revisionPtr revIDLastSave="0" documentId="13_ncr:1_{55DFEEBC-FC15-476B-BDAF-89A8EE7E35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" sheetId="1" r:id="rId1"/>
    <sheet name="1" sheetId="2" r:id="rId2"/>
    <sheet name="2" sheetId="6" r:id="rId3"/>
    <sheet name="3" sheetId="8" r:id="rId4"/>
    <sheet name="4" sheetId="9" r:id="rId5"/>
    <sheet name="7" sheetId="17" r:id="rId6"/>
    <sheet name="6" sheetId="11" r:id="rId7"/>
    <sheet name="12" sheetId="13" state="hidden" r:id="rId8"/>
    <sheet name="5" sheetId="10" r:id="rId9"/>
    <sheet name="8" sheetId="15" r:id="rId10"/>
    <sheet name="9" sheetId="16" r:id="rId11"/>
  </sheets>
  <definedNames>
    <definedName name="_xlnm.Print_Area" localSheetId="1">'1'!$A$1:$W$73</definedName>
    <definedName name="_xlnm.Print_Area" localSheetId="2">'2'!$A$1:$S$13</definedName>
    <definedName name="_xlnm.Print_Area" localSheetId="3">'3'!$A$1:$I$12</definedName>
    <definedName name="_xlnm.Print_Area" localSheetId="4">'4'!$A$1:$S$18</definedName>
    <definedName name="_xlnm.Print_Area" localSheetId="8">'5'!$A$1:$S$12</definedName>
    <definedName name="_xlnm.Print_Area" localSheetId="6">'6'!$A$1:$Q$126</definedName>
    <definedName name="_xlnm.Print_Area" localSheetId="5">'7'!$A$1:$Q$134</definedName>
    <definedName name="_xlnm.Print_Titles" localSheetId="1">'1'!$1:$10</definedName>
    <definedName name="_xlnm.Print_Titles" localSheetId="6">'6'!$1:$8</definedName>
  </definedNames>
  <calcPr calcId="181029"/>
</workbook>
</file>

<file path=xl/calcChain.xml><?xml version="1.0" encoding="utf-8"?>
<calcChain xmlns="http://schemas.openxmlformats.org/spreadsheetml/2006/main">
  <c r="C7" i="16" l="1"/>
  <c r="E7" i="16"/>
  <c r="I7" i="15"/>
  <c r="E7" i="15"/>
  <c r="Q125" i="11"/>
  <c r="Q133" i="17"/>
  <c r="O133" i="17"/>
  <c r="M133" i="17"/>
  <c r="I133" i="17"/>
  <c r="G133" i="17"/>
  <c r="E133" i="17"/>
  <c r="K7" i="11"/>
  <c r="K7" i="17" s="1"/>
  <c r="C7" i="11"/>
  <c r="C7" i="17" s="1"/>
  <c r="T11" i="10"/>
  <c r="T10" i="10"/>
  <c r="T9" i="10"/>
  <c r="O7" i="10"/>
  <c r="I7" i="10"/>
  <c r="U10" i="9"/>
  <c r="U11" i="9"/>
  <c r="U12" i="9"/>
  <c r="U13" i="9"/>
  <c r="U14" i="9"/>
  <c r="U15" i="9"/>
  <c r="U16" i="9"/>
  <c r="U17" i="9"/>
  <c r="U9" i="9"/>
  <c r="T10" i="9"/>
  <c r="T11" i="9"/>
  <c r="T12" i="9"/>
  <c r="T13" i="9"/>
  <c r="T14" i="9"/>
  <c r="T15" i="9"/>
  <c r="T16" i="9"/>
  <c r="T9" i="9"/>
  <c r="G9" i="8"/>
  <c r="G11" i="8" s="1"/>
  <c r="G10" i="8"/>
  <c r="G8" i="8"/>
  <c r="I9" i="8"/>
  <c r="I10" i="8"/>
  <c r="I8" i="8"/>
  <c r="T10" i="6"/>
  <c r="T11" i="6"/>
  <c r="T12" i="6"/>
  <c r="T9" i="6"/>
  <c r="S10" i="6"/>
  <c r="S11" i="6"/>
  <c r="S9" i="6"/>
  <c r="S12" i="6" s="1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11" i="2"/>
  <c r="E10" i="16"/>
  <c r="C10" i="16"/>
  <c r="I11" i="15"/>
  <c r="K10" i="15" s="1"/>
  <c r="E11" i="15"/>
  <c r="G10" i="15" s="1"/>
  <c r="G9" i="15"/>
  <c r="G11" i="15" s="1"/>
  <c r="U92" i="13"/>
  <c r="S92" i="13"/>
  <c r="Q92" i="13"/>
  <c r="O92" i="13"/>
  <c r="M92" i="13"/>
  <c r="K92" i="13"/>
  <c r="I92" i="13"/>
  <c r="G92" i="13"/>
  <c r="E92" i="13"/>
  <c r="C92" i="13"/>
  <c r="O125" i="11"/>
  <c r="M125" i="11"/>
  <c r="I125" i="11"/>
  <c r="G125" i="11"/>
  <c r="E125" i="11"/>
  <c r="S11" i="10"/>
  <c r="Q11" i="10"/>
  <c r="O11" i="10"/>
  <c r="M11" i="10"/>
  <c r="K11" i="10"/>
  <c r="I11" i="10"/>
  <c r="S17" i="9"/>
  <c r="Q17" i="9"/>
  <c r="O17" i="9"/>
  <c r="M17" i="9"/>
  <c r="K17" i="9"/>
  <c r="T17" i="9" s="1"/>
  <c r="I17" i="9"/>
  <c r="E11" i="8"/>
  <c r="Q12" i="6"/>
  <c r="O12" i="6"/>
  <c r="M12" i="6"/>
  <c r="K12" i="6"/>
  <c r="U72" i="2"/>
  <c r="S72" i="2"/>
  <c r="M72" i="2"/>
  <c r="J72" i="2"/>
  <c r="G72" i="2"/>
  <c r="E72" i="2"/>
  <c r="I11" i="8" l="1"/>
  <c r="W72" i="2"/>
  <c r="K9" i="15"/>
  <c r="K11" i="15" s="1"/>
</calcChain>
</file>

<file path=xl/sharedStrings.xml><?xml version="1.0" encoding="utf-8"?>
<sst xmlns="http://schemas.openxmlformats.org/spreadsheetml/2006/main" count="588" uniqueCount="291">
  <si>
    <t>‫سرمایه گذاری قابل معامله شاخصی بازار آشنا</t>
  </si>
  <si>
    <t>‫صورت وضعیت پورتفوی</t>
  </si>
  <si>
    <t>‫برای ماه منتهی به 1404/02/31</t>
  </si>
  <si>
    <t>‫1- سرمایه گذاری ها</t>
  </si>
  <si>
    <t>‫1-1- سرمایه گذاری در سهام و حق تقدم سهام</t>
  </si>
  <si>
    <t>‫1404/01/31</t>
  </si>
  <si>
    <t>‫تغییرات طی دوره</t>
  </si>
  <si>
    <t>‫1404/02/31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</si>
  <si>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</si>
  <si>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</si>
  <si>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</si>
  <si>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</si>
  <si>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</si>
  <si>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</si>
  <si>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</si>
  <si>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</si>
  <si>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</si>
  <si>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‫اختيارخ خگستر-5500-1404/04/04</t>
  </si>
  <si>
    <t>‫اختيارخ شستا-2200-1404/04/11</t>
  </si>
  <si>
    <t>‫اختيارخ فولاد-4320-1404/03/13</t>
  </si>
  <si>
    <t>‫اختيارخ وبصادر-800-1404/03/21</t>
  </si>
  <si>
    <t>‫اختيارخ وبملت-2934-1404/03/21</t>
  </si>
  <si>
    <t>‫اختيارخ وبملت-3250-1404/03/21</t>
  </si>
  <si>
    <t>‫اختيارخ وتجارت-1000-1404/04/18</t>
  </si>
  <si>
    <t>‫اختيارخ وتجارت-900-1404/04/18</t>
  </si>
  <si>
    <t>‫اختيارف خودرو-647-1404/03/07</t>
  </si>
  <si>
    <t>‫اختيارف شستا-1500-1404/04/11</t>
  </si>
  <si>
    <t>‫اختيارف شپنا-3521-1404/04/18</t>
  </si>
  <si>
    <t>‫اختيارف وبملت-2347-1404/03/21</t>
  </si>
  <si>
    <t>‫اخشان خراسان</t>
  </si>
  <si>
    <t>‫ارتباطات سیار</t>
  </si>
  <si>
    <t>‫اقتصاد نوين</t>
  </si>
  <si>
    <t>‫انتقال داده هاي آسياتك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</si>
  <si>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</si>
  <si>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</si>
  <si>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</si>
  <si>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</si>
  <si>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</si>
  <si>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نيشكر و صنايع جانبي</t>
  </si>
  <si>
    <t>‫توسعه‌معادن‌وفلزات‌</t>
  </si>
  <si>
    <t>‫توليد انرژي برق شمس پاسارگاد</t>
  </si>
  <si>
    <t>‫توليدي برنا باطري</t>
  </si>
  <si>
    <t>‫سايپا</t>
  </si>
  <si>
    <t>‫سرمايه گذاري اميد</t>
  </si>
  <si>
    <t>‫سرمايه گذاري تامين اجتماعي</t>
  </si>
  <si>
    <t>‫سرمايه گذاري دارويي تامين</t>
  </si>
  <si>
    <t>‫سرمايه گذاري صدرتامين</t>
  </si>
  <si>
    <t>‫سرمايه گذاري غدير</t>
  </si>
  <si>
    <t>‫سرمايه گذاري ملي ايران</t>
  </si>
  <si>
    <t>‫سرمايه گذاري مهر</t>
  </si>
  <si>
    <t>‫سرمايه گذاري پايا تدبيرپارسا</t>
  </si>
  <si>
    <t>‫سيمان تهران</t>
  </si>
  <si>
    <t>‫سيمان سپاهان</t>
  </si>
  <si>
    <t>‫صبا فولاد خليج فارس</t>
  </si>
  <si>
    <t>‫صنايع ارتباطي آوا</t>
  </si>
  <si>
    <t>‫صنايع الكترونيك ماديران</t>
  </si>
  <si>
    <t>‫صنايع پتروشيمي خليج فارس</t>
  </si>
  <si>
    <t>‫صندوق بازنشستگي</t>
  </si>
  <si>
    <t>‫فولاد خوزستان</t>
  </si>
  <si>
    <t>‫فولاد مباركه</t>
  </si>
  <si>
    <t>‫قند چهار محال</t>
  </si>
  <si>
    <t>‫كاني كربن طبس</t>
  </si>
  <si>
    <t>‫كشتيراني ايران</t>
  </si>
  <si>
    <t>‫مبين انرژي خليج فارس</t>
  </si>
  <si>
    <t>‫مخابرات</t>
  </si>
  <si>
    <t>‫مديريت نيروگاهي ايرانيان مپنا</t>
  </si>
  <si>
    <t>‫معادن روي</t>
  </si>
  <si>
    <t>‫معدنكاران نسوز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</si>
  <si>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</si>
  <si>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</si>
  <si>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</si>
  <si>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</si>
  <si>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</si>
  <si>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</si>
  <si>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</si>
  <si>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</si>
  <si>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</si>
  <si>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</si>
  <si>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</si>
  <si>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</si>
  <si>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</si>
  <si>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</si>
  <si>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</si>
  <si>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</si>
  <si>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</si>
  <si>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</si>
  <si>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‫چادرملو</t>
  </si>
  <si>
    <t>‫چادرملو (تقدم)</t>
  </si>
  <si>
    <t>‫گروه مالي صبا تامين</t>
  </si>
  <si>
    <t>‫گسترش خودرو</t>
  </si>
  <si>
    <t>‫گل گهر</t>
  </si>
  <si>
    <t>‫گل گهر (تقدم)</t>
  </si>
  <si>
    <t>‫جمع</t>
  </si>
  <si>
    <t>‫نام سهام</t>
  </si>
  <si>
    <t>‫تاریخ سررسید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</si>
  <si>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</si>
  <si>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</si>
  <si>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</si>
  <si>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</si>
  <si>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</si>
  <si>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</si>
  <si>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</si>
  <si>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</si>
  <si>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</si>
  <si>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</si>
  <si>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</si>
  <si>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</si>
  <si>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</si>
  <si>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</si>
  <si>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</si>
  <si>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</si>
  <si>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</si>
  <si>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</si>
  <si>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</si>
  <si>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</si>
  <si>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</si>
  <si>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</si>
  <si>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</si>
  <si>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</si>
  <si>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</si>
  <si>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</si>
  <si>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</si>
  <si>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</si>
  <si>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‫1-2</t>
  </si>
  <si>
    <t>‫2-2</t>
  </si>
  <si>
    <t>‫درآمد حاصل از سرمایه گذاری در سپرده بانکی و گواهی سپرده</t>
  </si>
  <si>
    <t>‫3-2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</si>
  <si>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</si>
  <si>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</si>
  <si>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</si>
  <si>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</si>
  <si>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</si>
  <si>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</si>
  <si>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</si>
  <si>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</si>
  <si>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</si>
  <si>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</si>
  <si>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‫1403/10/15</t>
  </si>
  <si>
    <t>‫1403/12/20</t>
  </si>
  <si>
    <t>‫1403/12/22</t>
  </si>
  <si>
    <t>‫1403/12/08</t>
  </si>
  <si>
    <t>‫1404/01/27</t>
  </si>
  <si>
    <t>‫1403/10/19</t>
  </si>
  <si>
    <t>‫1404/02/15</t>
  </si>
  <si>
    <t>‫تاریخ دریافت سود</t>
  </si>
  <si>
    <t>‫درآمد سود</t>
  </si>
  <si>
    <t>‫خالص درآمد</t>
  </si>
  <si>
    <t>‫كوتاه مدت-1.1270160.9967.132-گردشگري</t>
  </si>
  <si>
    <t>‫1404/02/03</t>
  </si>
  <si>
    <t>‫-</t>
  </si>
  <si>
    <t>‫كوتاه مدت-1.14938708.8100.415-پاسارگاد</t>
  </si>
  <si>
    <t>‫1404/02/01</t>
  </si>
  <si>
    <t>‫ارزش دفتری</t>
  </si>
  <si>
    <t>‫سود و زیان ناشی از فروش</t>
  </si>
  <si>
    <t>‫آلومينيوم ايران</t>
  </si>
  <si>
    <t>‫توسعه معادن وص.معدني خاورميانه</t>
  </si>
  <si>
    <t>‫دارويي و نهاده هاي زاگرس دارو</t>
  </si>
  <si>
    <t>‫ذوب آهن  اصفهان</t>
  </si>
  <si>
    <t>‫سرمايه گذاري جامي</t>
  </si>
  <si>
    <t>‫صنايع شيميايي كيمياگران امروز</t>
  </si>
  <si>
    <t>‫صنعتی صبانور</t>
  </si>
  <si>
    <t>‫فروشگاههاي زنجيره اي افق كوروش</t>
  </si>
  <si>
    <t>‫فولاد اميركبير</t>
  </si>
  <si>
    <t>‫نساجي بابكان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</si>
  <si>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</si>
  <si>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</si>
  <si>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</si>
  <si>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</si>
  <si>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</si>
  <si>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</si>
  <si>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</si>
  <si>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اقتصاد نوين</t>
  </si>
  <si>
    <t>‫بانك صادرات ايران</t>
  </si>
  <si>
    <t>‫توسعه معادن روي ايران</t>
  </si>
  <si>
    <t>‫س. نفت و گاز و پتروشيمي تامين</t>
  </si>
  <si>
    <t>‫سرمايه گذاري توسعه معادن و فلزات (هلدينگ)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</si>
  <si>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</si>
  <si>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</si>
  <si>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</si>
  <si>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</si>
  <si>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پالايش نفت بندر عباس</t>
  </si>
  <si>
    <t>‫شركت گسترش نفت و گاز پارسيان</t>
  </si>
  <si>
    <t>‫فرآورده هاي غذايي و قند چهار محال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</si>
  <si>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</si>
  <si>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</si>
  <si>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</si>
  <si>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</si>
  <si>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</si>
  <si>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</si>
  <si>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</si>
  <si>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</si>
  <si>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</si>
  <si>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مديريت سرمايه گذاري اميد</t>
  </si>
  <si>
    <t>‫گروه مپنا</t>
  </si>
  <si>
    <t>‫گسترش سرمايه گذاري ايران خودرو</t>
  </si>
  <si>
    <t>‫توسعه معدني و صنعتي صبانور</t>
  </si>
  <si>
    <t>‫ذوب آهن اصفهان</t>
  </si>
  <si>
    <t>‫فولاد اميركبير كاشان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</si>
  <si>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</si>
  <si>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</si>
  <si>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</si>
  <si>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</si>
  <si>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</si>
  <si>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از ابتدای سال مالی تا پایان اردیبهشت ماه</t>
  </si>
  <si>
    <t>طی اردیبهشت ماه</t>
  </si>
  <si>
    <t>اختيارخ فولاد-5040-1404/03/13</t>
  </si>
  <si>
    <t>اختيارخ وبصادر-700-1404/03/21</t>
  </si>
  <si>
    <t>اختيارف خساپا-543-1404/02/31</t>
  </si>
  <si>
    <t>اختيارف خودرو-3250-1403/11/03</t>
  </si>
  <si>
    <t>اختيارف خودرو-3250-1403/12/01</t>
  </si>
  <si>
    <t>اختيارف خودرو-3250-1404/01/06</t>
  </si>
  <si>
    <t>اختيارف خودرو-3500-1403/12/01</t>
  </si>
  <si>
    <t>اختيارف خودرو-3500-1404/01/06</t>
  </si>
  <si>
    <t>اختيارف خودرو-3750-1404/01/06</t>
  </si>
  <si>
    <t>اختيارف خودرو-647-1404/03/07</t>
  </si>
  <si>
    <t>اختيارف شپنا-3521-1404/04/18</t>
  </si>
  <si>
    <t>اختيارف شستا-1300-1404/01/20</t>
  </si>
  <si>
    <t>اختيارف شستا-1400-1404/02/10</t>
  </si>
  <si>
    <t>اختيارف شستا-1500-1404/02/10</t>
  </si>
  <si>
    <t>اختيارف شستا-1500-1404/03/13</t>
  </si>
  <si>
    <t>اختيارف شستا-1500-1404/04/11</t>
  </si>
  <si>
    <t>اختيارف فولاد-3960-1404/03/13</t>
  </si>
  <si>
    <t>اختيارف وبصادر-600-1404/03/21</t>
  </si>
  <si>
    <t>اختيارف وبملت-1907-1404/01/27</t>
  </si>
  <si>
    <t>اختيارف وبملت-1907-1404/03/21</t>
  </si>
  <si>
    <t>اختيارف وبملت-2054-1404/01/27</t>
  </si>
  <si>
    <t>اختيارف وبملت-2347-1404/03/21</t>
  </si>
  <si>
    <t>اختيارف وبملت-2640-1404/03/21</t>
  </si>
  <si>
    <t>اختيارف وبملت-3000-1403/11/24</t>
  </si>
  <si>
    <t>اختيارخ خساپا-3000-1403/12/22</t>
  </si>
  <si>
    <t>اختيارخ خساپا-3250-1403/12/22</t>
  </si>
  <si>
    <t>اختيارخ خگستر-5500-1404/04/04</t>
  </si>
  <si>
    <t>اختيارخ خودرو-3250-1404/02/03</t>
  </si>
  <si>
    <t>اختيارخ خودرو-3750-1403/12/01</t>
  </si>
  <si>
    <t>اختيارخ خودرو-3750-1404/01/06</t>
  </si>
  <si>
    <t>اختيارخ خودرو-4000-1403/11/03</t>
  </si>
  <si>
    <t>اختيارخ خودرو-4000-1404/01/06</t>
  </si>
  <si>
    <t>اختيارخ خودرو-5000-1403/12/01</t>
  </si>
  <si>
    <t>اختيارخ خودرو-647-1404/03/07</t>
  </si>
  <si>
    <t>اختيارخ خودرو-700-1404/03/07</t>
  </si>
  <si>
    <t>اختيارخ ذوب-500-1403/12/22</t>
  </si>
  <si>
    <t>اختيارخ ذوب-600-1403/11/24</t>
  </si>
  <si>
    <t>اختيارخ ذوب-700-1403/11/24</t>
  </si>
  <si>
    <t>اختيارخ شپنا-5000-1403/12/08</t>
  </si>
  <si>
    <t>اختيارخ شپنا-5500-1403/12/08</t>
  </si>
  <si>
    <t>اختيارخ شستا-1350-1403/10/12</t>
  </si>
  <si>
    <t>اختيارخ شستا-1400-1404/02/10</t>
  </si>
  <si>
    <t>اختيارخ شستا-1450-1403/10/12</t>
  </si>
  <si>
    <t>اختيارخ شستا-1500-1404/01/20</t>
  </si>
  <si>
    <t>اختيارخ شستا-1550-1403/11/10</t>
  </si>
  <si>
    <t>اختيارخ شستا-1650-1403/11/10</t>
  </si>
  <si>
    <t>اختيارخ شستا-1650-1403/12/08</t>
  </si>
  <si>
    <t>اختيارخ شستا-2000-1404/03/13</t>
  </si>
  <si>
    <t>اختيارخ شستا-2200-1404/04/11</t>
  </si>
  <si>
    <t>اختيارخ فملي-10000-1404/01/06</t>
  </si>
  <si>
    <t>اختيارخ فولاد-4320-1404/03/13</t>
  </si>
  <si>
    <t>اختيارخ فولاد-6000-1403/12/01</t>
  </si>
  <si>
    <t>اختيارخ فولاد-6500-1403/12/01</t>
  </si>
  <si>
    <t>اختيارخ وبصادر-2200-1403/11/17</t>
  </si>
  <si>
    <t>اختيارخ وبصادر-2400-1403/11/17</t>
  </si>
  <si>
    <t>اختيارخ وبصادر-800-1404/03/21</t>
  </si>
  <si>
    <t>اختيارخ وبصادر-900-1404/03/21</t>
  </si>
  <si>
    <t>اختيارخ وبملت-2640-1404/03/21</t>
  </si>
  <si>
    <t>اختيارخ وبملت-2934-1404/03/21</t>
  </si>
  <si>
    <t>اختيارخ وبملت-3000-1403/11/24</t>
  </si>
  <si>
    <t>اختيارخ وبملت-3250-1404/03/21</t>
  </si>
  <si>
    <t>اختيارخ وبملت-3500-1404/01/27</t>
  </si>
  <si>
    <t>اختيارخ وبملت-3750-1404/01/27</t>
  </si>
  <si>
    <t>اختيارخ وتجارت-1000-1404/04/18</t>
  </si>
  <si>
    <t>اختيارخ وتجارت-1800-1403/12/15</t>
  </si>
  <si>
    <t>اختيارخ وتجارت-2200-1403/12/15</t>
  </si>
  <si>
    <t>اختيارخ وتجارت-900-1404/04/18</t>
  </si>
  <si>
    <t>اختيارخ خودرو-5000-1404/02/03</t>
  </si>
  <si>
    <t>اختيارخ شپنا-3873-1404/02/17</t>
  </si>
  <si>
    <t>اختيارخ فملي-7429-1404/03/07</t>
  </si>
  <si>
    <t>اختيارخ وبملت-3750-1403/11/24</t>
  </si>
  <si>
    <t>اختيارخ وتجارت-499-1404/02/17</t>
  </si>
  <si>
    <t>اختيارف خودرو-3000-1404/01/06</t>
  </si>
  <si>
    <t>اختيارف خودرو-3250-1404/02/03</t>
  </si>
  <si>
    <t>اختيارف شستا-1350-1403/12/08</t>
  </si>
  <si>
    <t>اختيارف فملي-6686-1404/03/07</t>
  </si>
  <si>
    <t>اختيارف وتجارت-545-1404/02/17</t>
  </si>
  <si>
    <t>‫درصد سود به کل سود سپرده</t>
  </si>
  <si>
    <t>تعدیل کارمزد کارگزاری</t>
  </si>
  <si>
    <t>‫2-1- سرمایه گذاری در  سپرده بانکی</t>
  </si>
  <si>
    <t>‫2-2- سود اوراق بهادار با درآمد ثابت و سپرده بانکی</t>
  </si>
  <si>
    <t>‫1-2- درآمد سود سهام</t>
  </si>
  <si>
    <t>‫3-2- سایر درآمدها:</t>
  </si>
  <si>
    <t>‫2-2- درآمد حاصل از سرمایه گذاری در سپرده بانکی و گواهی سپرده:</t>
  </si>
  <si>
    <t>‫1-2- سود(زیان) حاصل از فروش اوراق بهادار</t>
  </si>
  <si>
    <t>1-2- ‫درآمد ناشی از تغییر قیمت اوراق بهادار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</si>
</sst>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sz val="12"/>
      <color indexed="8"/>
      <name val="B Zar"/>
      <charset val="178"/>
    </font>
    <font>
      <b/>
      <sz val="12"/>
      <color indexed="8"/>
      <name val="B Zar"/>
      <charset val="178"/>
    </font>
    <font>
      <sz val="11"/>
      <color indexed="8"/>
      <name val="Calibri"/>
      <family val="2"/>
      <scheme val="minor"/>
    </font>
    <font>
      <b/>
      <u/>
      <sz val="16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2" borderId="0"/>
  </cellStyleXfs>
  <cellXfs count="52">
    <xf numFmtId="0" fontId="0" fillId="0" borderId="0" xfId="0"/>
    <xf numFmtId="0" fontId="2" fillId="0" borderId="0" xfId="0" applyFont="1"/>
    <xf numFmtId="37" fontId="4" fillId="0" borderId="0" xfId="0" applyNumberFormat="1" applyFont="1" applyAlignment="1">
      <alignment horizontal="right" vertical="center"/>
    </xf>
    <xf numFmtId="37" fontId="4" fillId="0" borderId="1" xfId="0" applyNumberFormat="1" applyFont="1" applyBorder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/>
    </xf>
    <xf numFmtId="37" fontId="5" fillId="0" borderId="3" xfId="0" applyNumberFormat="1" applyFont="1" applyBorder="1" applyAlignment="1">
      <alignment horizontal="center" vertical="center"/>
    </xf>
    <xf numFmtId="37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right" vertical="center" wrapText="1"/>
    </xf>
    <xf numFmtId="37" fontId="5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37" fontId="2" fillId="0" borderId="0" xfId="0" applyNumberFormat="1" applyFont="1"/>
    <xf numFmtId="3" fontId="2" fillId="0" borderId="0" xfId="0" applyNumberFormat="1" applyFont="1"/>
    <xf numFmtId="37" fontId="1" fillId="0" borderId="0" xfId="0" applyNumberFormat="1" applyFont="1" applyAlignment="1">
      <alignment horizontal="center" vertical="center"/>
    </xf>
    <xf numFmtId="0" fontId="2" fillId="0" borderId="0" xfId="0" applyFont="1"/>
    <xf numFmtId="37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/>
    <xf numFmtId="0" fontId="5" fillId="0" borderId="0" xfId="0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right" vertical="center"/>
    </xf>
    <xf numFmtId="0" fontId="7" fillId="0" borderId="5" xfId="0" applyFont="1" applyBorder="1" applyAlignment="1">
      <alignment horizontal="center"/>
    </xf>
    <xf numFmtId="37" fontId="5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/>
    <xf numFmtId="37" fontId="5" fillId="0" borderId="0" xfId="0" applyNumberFormat="1" applyFont="1" applyBorder="1" applyAlignment="1">
      <alignment horizontal="center" vertical="center"/>
    </xf>
    <xf numFmtId="37" fontId="9" fillId="2" borderId="0" xfId="1" applyNumberFormat="1" applyFont="1" applyAlignment="1">
      <alignment horizontal="center" vertical="center"/>
    </xf>
    <xf numFmtId="0" fontId="8" fillId="2" borderId="0" xfId="1"/>
    <xf numFmtId="0" fontId="8" fillId="2" borderId="0" xfId="1"/>
    <xf numFmtId="37" fontId="10" fillId="2" borderId="5" xfId="1" applyNumberFormat="1" applyFont="1" applyBorder="1" applyAlignment="1">
      <alignment horizontal="center" vertical="center"/>
    </xf>
    <xf numFmtId="0" fontId="8" fillId="2" borderId="2" xfId="1" applyBorder="1"/>
    <xf numFmtId="37" fontId="10" fillId="2" borderId="1" xfId="1" applyNumberFormat="1" applyFont="1" applyBorder="1" applyAlignment="1">
      <alignment horizontal="center" vertical="center"/>
    </xf>
    <xf numFmtId="37" fontId="10" fillId="2" borderId="0" xfId="1" applyNumberFormat="1" applyFont="1" applyAlignment="1">
      <alignment horizontal="center" vertical="center"/>
    </xf>
    <xf numFmtId="37" fontId="10" fillId="2" borderId="1" xfId="1" applyNumberFormat="1" applyFont="1" applyBorder="1" applyAlignment="1">
      <alignment horizontal="center" vertical="center" wrapText="1"/>
    </xf>
    <xf numFmtId="37" fontId="11" fillId="2" borderId="0" xfId="1" applyNumberFormat="1" applyFont="1" applyAlignment="1">
      <alignment horizontal="center" vertical="center"/>
    </xf>
    <xf numFmtId="37" fontId="11" fillId="2" borderId="3" xfId="1" applyNumberFormat="1" applyFont="1" applyBorder="1" applyAlignment="1">
      <alignment horizontal="center" vertical="center"/>
    </xf>
    <xf numFmtId="37" fontId="11" fillId="2" borderId="4" xfId="1" applyNumberFormat="1" applyFont="1" applyBorder="1" applyAlignment="1">
      <alignment horizontal="center" vertical="center"/>
    </xf>
    <xf numFmtId="37" fontId="11" fillId="2" borderId="0" xfId="1" applyNumberFormat="1" applyFont="1" applyAlignment="1">
      <alignment horizontal="right" vertical="center" wrapText="1"/>
    </xf>
    <xf numFmtId="37" fontId="11" fillId="2" borderId="0" xfId="1" applyNumberFormat="1" applyFont="1" applyBorder="1" applyAlignment="1">
      <alignment horizontal="center" vertical="center"/>
    </xf>
    <xf numFmtId="37" fontId="11" fillId="0" borderId="0" xfId="1" applyNumberFormat="1" applyFont="1" applyFill="1" applyAlignment="1">
      <alignment horizontal="center" vertical="center"/>
    </xf>
    <xf numFmtId="37" fontId="10" fillId="0" borderId="1" xfId="1" applyNumberFormat="1" applyFont="1" applyFill="1" applyBorder="1" applyAlignment="1">
      <alignment horizontal="center" vertical="center" wrapText="1"/>
    </xf>
    <xf numFmtId="37" fontId="11" fillId="0" borderId="3" xfId="1" applyNumberFormat="1" applyFont="1" applyFill="1" applyBorder="1" applyAlignment="1">
      <alignment horizontal="center" vertical="center"/>
    </xf>
    <xf numFmtId="37" fontId="11" fillId="0" borderId="4" xfId="1" applyNumberFormat="1" applyFont="1" applyFill="1" applyBorder="1" applyAlignment="1">
      <alignment horizontal="center" vertical="center"/>
    </xf>
    <xf numFmtId="0" fontId="8" fillId="0" borderId="0" xfId="1" applyFill="1"/>
    <xf numFmtId="37" fontId="10" fillId="2" borderId="0" xfId="1" applyNumberFormat="1" applyFont="1" applyAlignment="1">
      <alignment horizontal="right" vertical="center" readingOrder="2"/>
    </xf>
    <xf numFmtId="0" fontId="8" fillId="2" borderId="0" xfId="1" applyAlignment="1">
      <alignment readingOrder="2"/>
    </xf>
  </cellXfs>
  <cellStyles count="2">
    <cellStyle name="Normal" xfId="0" builtinId="0"/>
    <cellStyle name="Normal 2" xfId="1" xr:uid="{CB7FDED9-436C-45D1-82BD-D39AF53F8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5</xdr:col>
      <xdr:colOff>590550</xdr:colOff>
      <xdr:row>15</xdr:row>
      <xdr:rowOff>147637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150" cy="1100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2:J24"/>
  <sheetViews>
    <sheetView rightToLeft="1" view="pageBreakPreview" zoomScale="60" zoomScaleNormal="100" workbookViewId="0">
      <selection activeCell="C10" sqref="C10"/>
    </sheetView>
  </sheetViews>
  <sheetFormatPr defaultRowHeight="19.5" x14ac:dyDescent="0.55000000000000004"/>
  <cols>
    <col min="1" max="16384" width="9.140625" style="1"/>
  </cols>
  <sheetData>
    <row r="22" spans="1:10" ht="39.950000000000003" customHeight="1" x14ac:dyDescent="0.55000000000000004">
      <c r="A22" s="19" t="s">
        <v>0</v>
      </c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39.950000000000003" customHeight="1" x14ac:dyDescent="0.55000000000000004">
      <c r="A23" s="19" t="s">
        <v>1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39.950000000000003" customHeight="1" x14ac:dyDescent="0.55000000000000004">
      <c r="A24" s="19" t="s">
        <v>2</v>
      </c>
      <c r="B24" s="20"/>
      <c r="C24" s="20"/>
      <c r="D24" s="20"/>
      <c r="E24" s="20"/>
      <c r="F24" s="20"/>
      <c r="G24" s="20"/>
      <c r="H24" s="20"/>
      <c r="I24" s="20"/>
      <c r="J24" s="20"/>
    </row>
  </sheetData>
  <mergeCells count="3">
    <mergeCell ref="A22:J22"/>
    <mergeCell ref="A23:J23"/>
    <mergeCell ref="A24:J24"/>
  </mergeCells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78"/>
  <sheetViews>
    <sheetView rightToLeft="1" tabSelected="1" view="pageBreakPreview" zoomScale="55" zoomScaleNormal="100" zoomScaleSheetLayoutView="55" workbookViewId="0">
      <selection activeCell="G88" sqref="G88"/>
    </sheetView>
  </sheetViews>
  <sheetFormatPr defaultRowHeight="19.5" x14ac:dyDescent="0.55000000000000004"/>
  <cols>
    <col min="1" max="1" width="25.140625" style="1" bestFit="1" customWidth="1"/>
    <col min="2" max="2" width="1.42578125" style="1" customWidth="1"/>
    <col min="3" max="3" width="11.85546875" style="1" bestFit="1" customWidth="1"/>
    <col min="4" max="4" width="1.42578125" style="1" customWidth="1"/>
    <col min="5" max="5" width="15.5703125" style="1" bestFit="1" customWidth="1"/>
    <col min="6" max="6" width="1.42578125" style="1" customWidth="1"/>
    <col min="7" max="7" width="17.28515625" style="1" bestFit="1" customWidth="1"/>
    <col min="8" max="8" width="1.42578125" style="1" customWidth="1"/>
    <col min="9" max="9" width="11.85546875" style="1" bestFit="1" customWidth="1"/>
    <col min="10" max="10" width="15.5703125" style="1" bestFit="1" customWidth="1"/>
    <col min="11" max="11" width="1.42578125" style="1" customWidth="1"/>
    <col min="12" max="12" width="11.85546875" style="1" bestFit="1" customWidth="1"/>
    <col min="13" max="13" width="15.5703125" style="1" bestFit="1" customWidth="1"/>
    <col min="14" max="14" width="1.42578125" style="1" customWidth="1"/>
    <col min="15" max="15" width="11.85546875" style="1" bestFit="1" customWidth="1"/>
    <col min="16" max="16" width="1.42578125" style="1" customWidth="1"/>
    <col min="17" max="17" width="14.7109375" style="1" bestFit="1" customWidth="1"/>
    <col min="18" max="18" width="1.42578125" style="1" customWidth="1"/>
    <col min="19" max="19" width="15.5703125" style="1" bestFit="1" customWidth="1"/>
    <col min="20" max="20" width="1.42578125" style="1" customWidth="1"/>
    <col min="21" max="21" width="17.28515625" style="1" bestFit="1" customWidth="1"/>
    <col min="22" max="22" width="1.42578125" style="1" customWidth="1"/>
    <col min="23" max="23" width="10.28515625" style="1" customWidth="1"/>
    <col min="24" max="24" width="10.140625" style="1" bestFit="1" customWidth="1"/>
    <col min="25" max="16384" width="9.140625" style="1"/>
  </cols>
  <sheetData>
    <row r="1" spans="1:24" ht="20.100000000000001" customHeight="1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4" ht="20.100000000000001" customHeight="1" x14ac:dyDescent="0.55000000000000004">
      <c r="A2" s="26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ht="20.100000000000001" customHeight="1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5" spans="1:24" ht="21" x14ac:dyDescent="0.55000000000000004">
      <c r="A5" s="27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4" ht="21" x14ac:dyDescent="0.55000000000000004">
      <c r="A6" s="27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8" spans="1:24" ht="21" x14ac:dyDescent="0.55000000000000004">
      <c r="C8" s="21" t="s">
        <v>5</v>
      </c>
      <c r="D8" s="22"/>
      <c r="E8" s="22"/>
      <c r="F8" s="22"/>
      <c r="G8" s="22"/>
      <c r="I8" s="21" t="s">
        <v>6</v>
      </c>
      <c r="J8" s="22"/>
      <c r="K8" s="22"/>
      <c r="L8" s="22"/>
      <c r="M8" s="22"/>
      <c r="O8" s="21" t="s">
        <v>7</v>
      </c>
      <c r="P8" s="22"/>
      <c r="Q8" s="22"/>
      <c r="R8" s="22"/>
      <c r="S8" s="22"/>
      <c r="T8" s="22"/>
      <c r="U8" s="22"/>
      <c r="V8" s="22"/>
      <c r="W8" s="22"/>
    </row>
    <row r="9" spans="1:24" ht="21" x14ac:dyDescent="0.55000000000000004">
      <c r="A9" s="23" t="s">
        <v>8</v>
      </c>
      <c r="C9" s="23" t="s">
        <v>9</v>
      </c>
      <c r="E9" s="23" t="s">
        <v>10</v>
      </c>
      <c r="G9" s="23" t="s">
        <v>11</v>
      </c>
      <c r="I9" s="23" t="s">
        <v>12</v>
      </c>
      <c r="J9" s="20"/>
      <c r="L9" s="23" t="s">
        <v>13</v>
      </c>
      <c r="M9" s="20"/>
      <c r="O9" s="23" t="s">
        <v>9</v>
      </c>
      <c r="Q9" s="25" t="s">
        <v>14</v>
      </c>
      <c r="S9" s="23" t="s">
        <v>10</v>
      </c>
      <c r="U9" s="23" t="s">
        <v>11</v>
      </c>
      <c r="W9" s="25" t="s">
        <v>15</v>
      </c>
    </row>
    <row r="10" spans="1:24" ht="21" x14ac:dyDescent="0.55000000000000004">
      <c r="A10" s="24"/>
      <c r="C10" s="24"/>
      <c r="E10" s="24"/>
      <c r="G10" s="24"/>
      <c r="I10" s="13" t="s">
        <v>9</v>
      </c>
      <c r="J10" s="13" t="s">
        <v>10</v>
      </c>
      <c r="L10" s="13" t="s">
        <v>9</v>
      </c>
      <c r="M10" s="13" t="s">
        <v>16</v>
      </c>
      <c r="O10" s="24"/>
      <c r="Q10" s="24"/>
      <c r="S10" s="24"/>
      <c r="U10" s="24"/>
      <c r="W10" s="24"/>
    </row>
    <row r="11" spans="1:24" ht="21" x14ac:dyDescent="0.55000000000000004">
      <c r="A11" s="14" t="s">
        <v>29</v>
      </c>
      <c r="C11" s="6">
        <v>75000</v>
      </c>
      <c r="E11" s="6">
        <v>525487200</v>
      </c>
      <c r="G11" s="6">
        <v>583755862</v>
      </c>
      <c r="I11" s="16">
        <v>0</v>
      </c>
      <c r="J11" s="16">
        <v>0</v>
      </c>
      <c r="L11" s="16">
        <v>0</v>
      </c>
      <c r="M11" s="16">
        <v>0</v>
      </c>
      <c r="N11" s="9"/>
      <c r="O11" s="6">
        <v>75000</v>
      </c>
      <c r="Q11" s="6">
        <v>8940</v>
      </c>
      <c r="S11" s="6">
        <v>525487200</v>
      </c>
      <c r="U11" s="6">
        <v>674711437</v>
      </c>
      <c r="W11" s="10">
        <f>U11/$U$78</f>
        <v>4.8719353042202967E-4</v>
      </c>
      <c r="X11" s="17"/>
    </row>
    <row r="12" spans="1:24" ht="21" x14ac:dyDescent="0.55000000000000004">
      <c r="A12" s="14" t="s">
        <v>30</v>
      </c>
      <c r="C12" s="6">
        <v>1000000</v>
      </c>
      <c r="E12" s="6">
        <v>4399636215</v>
      </c>
      <c r="G12" s="6">
        <v>4717761300</v>
      </c>
      <c r="I12" s="16">
        <v>0</v>
      </c>
      <c r="J12" s="16">
        <v>0</v>
      </c>
      <c r="L12" s="16">
        <v>0</v>
      </c>
      <c r="M12" s="16">
        <v>0</v>
      </c>
      <c r="N12" s="9"/>
      <c r="O12" s="6">
        <v>1000000</v>
      </c>
      <c r="Q12" s="6">
        <v>5350</v>
      </c>
      <c r="S12" s="6">
        <v>4399636215</v>
      </c>
      <c r="U12" s="6">
        <v>5347989000</v>
      </c>
      <c r="W12" s="10">
        <f t="shared" ref="W12:W71" si="0">U12/$U$78</f>
        <v>3.8616592200558476E-3</v>
      </c>
      <c r="X12" s="17"/>
    </row>
    <row r="13" spans="1:24" ht="21" x14ac:dyDescent="0.55000000000000004">
      <c r="A13" s="14" t="s">
        <v>31</v>
      </c>
      <c r="C13" s="6">
        <v>4242039</v>
      </c>
      <c r="E13" s="6">
        <v>11089731654</v>
      </c>
      <c r="G13" s="6">
        <v>13253398842</v>
      </c>
      <c r="I13" s="6">
        <v>0</v>
      </c>
      <c r="J13" s="6">
        <v>0</v>
      </c>
      <c r="L13" s="6">
        <v>1000000</v>
      </c>
      <c r="M13" s="6">
        <v>3621324170</v>
      </c>
      <c r="O13" s="6">
        <v>3242039</v>
      </c>
      <c r="Q13" s="6">
        <v>4246</v>
      </c>
      <c r="S13" s="6">
        <v>8475486086</v>
      </c>
      <c r="U13" s="6">
        <v>14089858051</v>
      </c>
      <c r="W13" s="10">
        <f t="shared" si="0"/>
        <v>1.0173960763928696E-2</v>
      </c>
      <c r="X13" s="17"/>
    </row>
    <row r="14" spans="1:24" ht="21" x14ac:dyDescent="0.55000000000000004">
      <c r="A14" s="14" t="s">
        <v>32</v>
      </c>
      <c r="C14" s="16">
        <v>0</v>
      </c>
      <c r="E14" s="16">
        <v>0</v>
      </c>
      <c r="G14" s="16">
        <v>0</v>
      </c>
      <c r="H14" s="9"/>
      <c r="I14" s="6">
        <v>2700000</v>
      </c>
      <c r="J14" s="6">
        <v>11676408711</v>
      </c>
      <c r="L14" s="6">
        <v>0</v>
      </c>
      <c r="M14" s="6">
        <v>0</v>
      </c>
      <c r="O14" s="6">
        <v>2700000</v>
      </c>
      <c r="Q14" s="6">
        <v>3983</v>
      </c>
      <c r="S14" s="6">
        <v>11676408711</v>
      </c>
      <c r="U14" s="6">
        <v>10690113105</v>
      </c>
      <c r="W14" s="10">
        <f t="shared" si="0"/>
        <v>7.7190835350190688E-3</v>
      </c>
      <c r="X14" s="17"/>
    </row>
    <row r="15" spans="1:24" ht="21" x14ac:dyDescent="0.55000000000000004">
      <c r="A15" s="14" t="s">
        <v>33</v>
      </c>
      <c r="C15" s="6">
        <v>7726948</v>
      </c>
      <c r="E15" s="6">
        <v>17704787532</v>
      </c>
      <c r="G15" s="6">
        <v>29663916411</v>
      </c>
      <c r="I15" s="6">
        <v>10000000</v>
      </c>
      <c r="J15" s="6">
        <v>6382274721</v>
      </c>
      <c r="L15" s="6">
        <v>0</v>
      </c>
      <c r="M15" s="6">
        <v>0</v>
      </c>
      <c r="O15" s="6">
        <v>75670591</v>
      </c>
      <c r="Q15" s="6">
        <v>602</v>
      </c>
      <c r="S15" s="6">
        <v>24087062253</v>
      </c>
      <c r="U15" s="6">
        <v>45959634451</v>
      </c>
      <c r="W15" s="10">
        <f t="shared" si="0"/>
        <v>3.3186389524754167E-2</v>
      </c>
      <c r="X15" s="17"/>
    </row>
    <row r="16" spans="1:24" ht="21" x14ac:dyDescent="0.55000000000000004">
      <c r="A16" s="14" t="s">
        <v>34</v>
      </c>
      <c r="C16" s="6">
        <v>44066235</v>
      </c>
      <c r="E16" s="6">
        <v>14560081342</v>
      </c>
      <c r="G16" s="6">
        <v>27508937686</v>
      </c>
      <c r="I16" s="6">
        <v>0</v>
      </c>
      <c r="J16" s="6">
        <v>0</v>
      </c>
      <c r="L16" s="6">
        <v>6000000</v>
      </c>
      <c r="M16" s="6">
        <v>3554722902</v>
      </c>
      <c r="O16" s="6">
        <v>38066235</v>
      </c>
      <c r="Q16" s="6">
        <v>575</v>
      </c>
      <c r="S16" s="6">
        <v>12577600015</v>
      </c>
      <c r="U16" s="6">
        <v>22022729205</v>
      </c>
      <c r="W16" s="10">
        <f t="shared" si="0"/>
        <v>1.5902103629098982E-2</v>
      </c>
      <c r="X16" s="17"/>
    </row>
    <row r="17" spans="1:24" ht="21" x14ac:dyDescent="0.55000000000000004">
      <c r="A17" s="14" t="s">
        <v>35</v>
      </c>
      <c r="C17" s="6">
        <v>39560926</v>
      </c>
      <c r="E17" s="6">
        <v>24801576148</v>
      </c>
      <c r="G17" s="6">
        <v>25050368018</v>
      </c>
      <c r="I17" s="6">
        <v>14000000</v>
      </c>
      <c r="J17" s="6">
        <v>10047648955</v>
      </c>
      <c r="L17" s="6">
        <v>0</v>
      </c>
      <c r="M17" s="6">
        <v>0</v>
      </c>
      <c r="O17" s="6">
        <v>53560926</v>
      </c>
      <c r="Q17" s="6">
        <v>662</v>
      </c>
      <c r="S17" s="6">
        <v>34849225103</v>
      </c>
      <c r="U17" s="6">
        <v>35193119642</v>
      </c>
      <c r="W17" s="10">
        <f t="shared" si="0"/>
        <v>2.5412138085560358E-2</v>
      </c>
      <c r="X17" s="17"/>
    </row>
    <row r="18" spans="1:24" ht="21" x14ac:dyDescent="0.55000000000000004">
      <c r="A18" s="14" t="s">
        <v>36</v>
      </c>
      <c r="C18" s="6">
        <v>25392957</v>
      </c>
      <c r="E18" s="6">
        <v>22714344403</v>
      </c>
      <c r="G18" s="6">
        <v>73479080385</v>
      </c>
      <c r="I18" s="16">
        <v>0</v>
      </c>
      <c r="J18" s="16">
        <v>0</v>
      </c>
      <c r="L18" s="16">
        <v>0</v>
      </c>
      <c r="M18" s="16">
        <v>0</v>
      </c>
      <c r="N18" s="9"/>
      <c r="O18" s="6">
        <v>25392957</v>
      </c>
      <c r="Q18" s="6">
        <v>2587</v>
      </c>
      <c r="S18" s="6">
        <v>22714344403</v>
      </c>
      <c r="U18" s="6">
        <v>66007487189</v>
      </c>
      <c r="W18" s="10">
        <f t="shared" si="0"/>
        <v>4.7662480512977883E-2</v>
      </c>
      <c r="X18" s="17"/>
    </row>
    <row r="19" spans="1:24" ht="21" x14ac:dyDescent="0.55000000000000004">
      <c r="A19" s="14" t="s">
        <v>37</v>
      </c>
      <c r="C19" s="6">
        <v>1700000</v>
      </c>
      <c r="E19" s="6">
        <v>8016464339</v>
      </c>
      <c r="G19" s="6">
        <v>6766299540</v>
      </c>
      <c r="I19" s="16">
        <v>0</v>
      </c>
      <c r="J19" s="16">
        <v>0</v>
      </c>
      <c r="L19" s="16">
        <v>0</v>
      </c>
      <c r="M19" s="16">
        <v>0</v>
      </c>
      <c r="N19" s="9"/>
      <c r="O19" s="6">
        <v>1700000</v>
      </c>
      <c r="Q19" s="6">
        <v>4438</v>
      </c>
      <c r="S19" s="6">
        <v>8016464339</v>
      </c>
      <c r="U19" s="6">
        <v>7513228710</v>
      </c>
      <c r="W19" s="10">
        <f t="shared" si="0"/>
        <v>5.425128757811544E-3</v>
      </c>
      <c r="X19" s="17"/>
    </row>
    <row r="20" spans="1:24" ht="21" x14ac:dyDescent="0.55000000000000004">
      <c r="A20" s="14" t="s">
        <v>38</v>
      </c>
      <c r="C20" s="6">
        <v>285750</v>
      </c>
      <c r="E20" s="6">
        <v>13013430474</v>
      </c>
      <c r="G20" s="6">
        <v>15253473589</v>
      </c>
      <c r="I20" s="16">
        <v>0</v>
      </c>
      <c r="J20" s="16">
        <v>0</v>
      </c>
      <c r="L20" s="16">
        <v>0</v>
      </c>
      <c r="M20" s="16">
        <v>0</v>
      </c>
      <c r="N20" s="9"/>
      <c r="O20" s="6">
        <v>285750</v>
      </c>
      <c r="Q20" s="6">
        <v>55400</v>
      </c>
      <c r="S20" s="6">
        <v>13013430474</v>
      </c>
      <c r="U20" s="6">
        <v>15693750759</v>
      </c>
      <c r="W20" s="10">
        <f t="shared" si="0"/>
        <v>1.133209460897373E-2</v>
      </c>
      <c r="X20" s="17"/>
    </row>
    <row r="21" spans="1:24" ht="21" x14ac:dyDescent="0.55000000000000004">
      <c r="A21" s="14" t="s">
        <v>39</v>
      </c>
      <c r="C21" s="6">
        <v>6603333</v>
      </c>
      <c r="E21" s="6">
        <v>13662777497</v>
      </c>
      <c r="G21" s="6">
        <v>16777694339</v>
      </c>
      <c r="I21" s="16">
        <v>0</v>
      </c>
      <c r="J21" s="16">
        <v>0</v>
      </c>
      <c r="L21" s="16">
        <v>0</v>
      </c>
      <c r="M21" s="16">
        <v>0</v>
      </c>
      <c r="N21" s="9"/>
      <c r="O21" s="6">
        <v>6603333</v>
      </c>
      <c r="Q21" s="6">
        <v>2362</v>
      </c>
      <c r="S21" s="6">
        <v>13662777497</v>
      </c>
      <c r="U21" s="6">
        <v>15635550828</v>
      </c>
      <c r="W21" s="10">
        <f t="shared" si="0"/>
        <v>1.1290069784286774E-2</v>
      </c>
      <c r="X21" s="17"/>
    </row>
    <row r="22" spans="1:24" ht="21" x14ac:dyDescent="0.55000000000000004">
      <c r="A22" s="14" t="s">
        <v>40</v>
      </c>
      <c r="C22" s="6">
        <v>900000</v>
      </c>
      <c r="E22" s="6">
        <v>2932719040</v>
      </c>
      <c r="G22" s="6">
        <v>3117837825</v>
      </c>
      <c r="I22" s="16">
        <v>0</v>
      </c>
      <c r="J22" s="16">
        <v>0</v>
      </c>
      <c r="L22" s="16">
        <v>0</v>
      </c>
      <c r="M22" s="16">
        <v>0</v>
      </c>
      <c r="N22" s="9"/>
      <c r="O22" s="6">
        <v>900000</v>
      </c>
      <c r="Q22" s="6">
        <v>3868</v>
      </c>
      <c r="S22" s="6">
        <v>2932719040</v>
      </c>
      <c r="U22" s="6">
        <v>3436331445</v>
      </c>
      <c r="W22" s="10">
        <f t="shared" si="0"/>
        <v>2.4812954940169256E-3</v>
      </c>
      <c r="X22" s="17"/>
    </row>
    <row r="23" spans="1:24" ht="21" x14ac:dyDescent="0.55000000000000004">
      <c r="A23" s="14" t="s">
        <v>41</v>
      </c>
      <c r="C23" s="6">
        <v>800000</v>
      </c>
      <c r="E23" s="6">
        <v>4614185880</v>
      </c>
      <c r="G23" s="6">
        <v>5415584400</v>
      </c>
      <c r="I23" s="16">
        <v>0</v>
      </c>
      <c r="J23" s="16">
        <v>0</v>
      </c>
      <c r="L23" s="16">
        <v>0</v>
      </c>
      <c r="M23" s="16">
        <v>0</v>
      </c>
      <c r="N23" s="9"/>
      <c r="O23" s="6">
        <v>800000</v>
      </c>
      <c r="Q23" s="6">
        <v>7430</v>
      </c>
      <c r="S23" s="6">
        <v>4614185880</v>
      </c>
      <c r="U23" s="6">
        <v>5916585600</v>
      </c>
      <c r="W23" s="10">
        <f t="shared" si="0"/>
        <v>4.2722296798833465E-3</v>
      </c>
      <c r="X23" s="17"/>
    </row>
    <row r="24" spans="1:24" ht="21" x14ac:dyDescent="0.55000000000000004">
      <c r="A24" s="14" t="s">
        <v>42</v>
      </c>
      <c r="C24" s="6">
        <v>28192301</v>
      </c>
      <c r="E24" s="6">
        <v>9586342604</v>
      </c>
      <c r="G24" s="6">
        <v>9976742224</v>
      </c>
      <c r="I24" s="16">
        <v>0</v>
      </c>
      <c r="J24" s="16">
        <v>0</v>
      </c>
      <c r="L24" s="16">
        <v>0</v>
      </c>
      <c r="M24" s="16">
        <v>0</v>
      </c>
      <c r="N24" s="9"/>
      <c r="O24" s="6">
        <v>28192301</v>
      </c>
      <c r="Q24" s="6">
        <v>542</v>
      </c>
      <c r="S24" s="6">
        <v>9586342604</v>
      </c>
      <c r="U24" s="6">
        <v>15413506245</v>
      </c>
      <c r="W24" s="10">
        <f t="shared" si="0"/>
        <v>1.1129736524213613E-2</v>
      </c>
      <c r="X24" s="17"/>
    </row>
    <row r="25" spans="1:24" ht="21" x14ac:dyDescent="0.55000000000000004">
      <c r="A25" s="14" t="s">
        <v>44</v>
      </c>
      <c r="C25" s="6">
        <v>33000000</v>
      </c>
      <c r="E25" s="6">
        <v>41591938196</v>
      </c>
      <c r="G25" s="6">
        <v>50419210050</v>
      </c>
      <c r="I25" s="6">
        <v>7600000</v>
      </c>
      <c r="J25" s="6">
        <v>12692567665</v>
      </c>
      <c r="L25" s="6">
        <v>0</v>
      </c>
      <c r="M25" s="6">
        <v>0</v>
      </c>
      <c r="O25" s="6">
        <v>40600000</v>
      </c>
      <c r="Q25" s="6">
        <v>1644</v>
      </c>
      <c r="S25" s="6">
        <v>54284505861</v>
      </c>
      <c r="U25" s="6">
        <v>67398578100</v>
      </c>
      <c r="W25" s="10">
        <f t="shared" si="0"/>
        <v>4.8666955100042111E-2</v>
      </c>
      <c r="X25" s="17"/>
    </row>
    <row r="26" spans="1:24" ht="21" x14ac:dyDescent="0.55000000000000004">
      <c r="A26" s="14" t="s">
        <v>45</v>
      </c>
      <c r="C26" s="6">
        <v>500000</v>
      </c>
      <c r="E26" s="6">
        <v>12548398732</v>
      </c>
      <c r="G26" s="6">
        <v>12684078000</v>
      </c>
      <c r="I26" s="6">
        <v>200000</v>
      </c>
      <c r="J26" s="6">
        <v>5419024147</v>
      </c>
      <c r="L26" s="6">
        <v>100000</v>
      </c>
      <c r="M26" s="6">
        <v>3130082309</v>
      </c>
      <c r="O26" s="6">
        <v>600000</v>
      </c>
      <c r="Q26" s="6">
        <v>30050</v>
      </c>
      <c r="S26" s="6">
        <v>15400648182</v>
      </c>
      <c r="U26" s="6">
        <v>17845185600</v>
      </c>
      <c r="W26" s="10">
        <f t="shared" si="0"/>
        <v>1.2885595969970739E-2</v>
      </c>
      <c r="X26" s="17"/>
    </row>
    <row r="27" spans="1:24" ht="21" x14ac:dyDescent="0.55000000000000004">
      <c r="A27" s="14" t="s">
        <v>46</v>
      </c>
      <c r="C27" s="6">
        <v>888004</v>
      </c>
      <c r="E27" s="6">
        <v>8268927676</v>
      </c>
      <c r="G27" s="6">
        <v>12764136640</v>
      </c>
      <c r="I27" s="6">
        <v>400000</v>
      </c>
      <c r="J27" s="6">
        <v>5776355470</v>
      </c>
      <c r="L27" s="6">
        <v>0</v>
      </c>
      <c r="M27" s="6">
        <v>0</v>
      </c>
      <c r="O27" s="6">
        <v>1288004</v>
      </c>
      <c r="Q27" s="6">
        <v>12560</v>
      </c>
      <c r="S27" s="6">
        <v>14045283146</v>
      </c>
      <c r="U27" s="6">
        <v>16324339797</v>
      </c>
      <c r="W27" s="10">
        <f t="shared" si="0"/>
        <v>1.1787428375116264E-2</v>
      </c>
      <c r="X27" s="17"/>
    </row>
    <row r="28" spans="1:24" ht="21" x14ac:dyDescent="0.55000000000000004">
      <c r="A28" s="14" t="s">
        <v>47</v>
      </c>
      <c r="C28" s="6">
        <v>3900000</v>
      </c>
      <c r="E28" s="6">
        <v>27252015953</v>
      </c>
      <c r="G28" s="6">
        <v>42063225750</v>
      </c>
      <c r="I28" s="6">
        <v>1400000</v>
      </c>
      <c r="J28" s="6">
        <v>15722576946</v>
      </c>
      <c r="L28" s="6">
        <v>0</v>
      </c>
      <c r="M28" s="6">
        <v>0</v>
      </c>
      <c r="O28" s="6">
        <v>5300000</v>
      </c>
      <c r="Q28" s="6">
        <v>10730</v>
      </c>
      <c r="S28" s="6">
        <v>42974592899</v>
      </c>
      <c r="U28" s="6">
        <v>57004791300</v>
      </c>
      <c r="W28" s="10">
        <f t="shared" si="0"/>
        <v>4.1161841939279298E-2</v>
      </c>
      <c r="X28" s="17"/>
    </row>
    <row r="29" spans="1:24" ht="21" x14ac:dyDescent="0.55000000000000004">
      <c r="A29" s="14" t="s">
        <v>48</v>
      </c>
      <c r="C29" s="6">
        <v>1285714</v>
      </c>
      <c r="E29" s="6">
        <v>5010028996</v>
      </c>
      <c r="G29" s="6">
        <v>6304689720</v>
      </c>
      <c r="I29" s="16">
        <v>0</v>
      </c>
      <c r="J29" s="16">
        <v>0</v>
      </c>
      <c r="L29" s="16">
        <v>0</v>
      </c>
      <c r="M29" s="16">
        <v>0</v>
      </c>
      <c r="N29" s="9"/>
      <c r="O29" s="6">
        <v>1285714</v>
      </c>
      <c r="Q29" s="6">
        <v>5510</v>
      </c>
      <c r="S29" s="6">
        <v>5010028996</v>
      </c>
      <c r="U29" s="6">
        <v>7144377770</v>
      </c>
      <c r="W29" s="10">
        <f t="shared" si="0"/>
        <v>5.1587900212738914E-3</v>
      </c>
      <c r="X29" s="17"/>
    </row>
    <row r="30" spans="1:24" ht="21" x14ac:dyDescent="0.55000000000000004">
      <c r="A30" s="14" t="s">
        <v>49</v>
      </c>
      <c r="C30" s="16">
        <v>0</v>
      </c>
      <c r="E30" s="16">
        <v>0</v>
      </c>
      <c r="G30" s="16">
        <v>0</v>
      </c>
      <c r="H30" s="9"/>
      <c r="I30" s="6">
        <v>1500000</v>
      </c>
      <c r="J30" s="6">
        <v>4654315200</v>
      </c>
      <c r="L30" s="6">
        <v>0</v>
      </c>
      <c r="M30" s="6">
        <v>0</v>
      </c>
      <c r="O30" s="6">
        <v>1500000</v>
      </c>
      <c r="Q30" s="6">
        <v>3724</v>
      </c>
      <c r="S30" s="6">
        <v>4654315200</v>
      </c>
      <c r="U30" s="6">
        <v>5552763300</v>
      </c>
      <c r="W30" s="10">
        <f t="shared" si="0"/>
        <v>4.0095220080356812E-3</v>
      </c>
      <c r="X30" s="17"/>
    </row>
    <row r="31" spans="1:24" ht="21" x14ac:dyDescent="0.55000000000000004">
      <c r="A31" s="14" t="s">
        <v>50</v>
      </c>
      <c r="C31" s="6">
        <v>6500000</v>
      </c>
      <c r="E31" s="6">
        <v>7807238400</v>
      </c>
      <c r="G31" s="6">
        <v>8981241750</v>
      </c>
      <c r="I31" s="6">
        <v>0</v>
      </c>
      <c r="J31" s="6">
        <v>0</v>
      </c>
      <c r="L31" s="6">
        <v>3250000</v>
      </c>
      <c r="M31" s="6">
        <v>4755535365</v>
      </c>
      <c r="O31" s="6">
        <v>3250000</v>
      </c>
      <c r="Q31" s="6">
        <v>1358</v>
      </c>
      <c r="S31" s="6">
        <v>3903619200</v>
      </c>
      <c r="U31" s="6">
        <v>4371086362</v>
      </c>
      <c r="W31" s="10">
        <f t="shared" si="0"/>
        <v>3.1562604095628603E-3</v>
      </c>
      <c r="X31" s="17"/>
    </row>
    <row r="32" spans="1:24" ht="21" x14ac:dyDescent="0.55000000000000004">
      <c r="A32" s="14" t="s">
        <v>51</v>
      </c>
      <c r="C32" s="6">
        <v>1500000</v>
      </c>
      <c r="E32" s="6">
        <v>13606516134</v>
      </c>
      <c r="G32" s="6">
        <v>15641376750</v>
      </c>
      <c r="I32" s="6">
        <v>1000000</v>
      </c>
      <c r="J32" s="6">
        <v>10810022336</v>
      </c>
      <c r="L32" s="6">
        <v>0</v>
      </c>
      <c r="M32" s="6">
        <v>0</v>
      </c>
      <c r="O32" s="6">
        <v>2500000</v>
      </c>
      <c r="Q32" s="6">
        <v>12460</v>
      </c>
      <c r="S32" s="6">
        <v>24416538470</v>
      </c>
      <c r="U32" s="6">
        <v>31362277500</v>
      </c>
      <c r="W32" s="10">
        <f t="shared" si="0"/>
        <v>2.2645975537688101E-2</v>
      </c>
      <c r="X32" s="17"/>
    </row>
    <row r="33" spans="1:24" ht="21" x14ac:dyDescent="0.55000000000000004">
      <c r="A33" s="14" t="s">
        <v>53</v>
      </c>
      <c r="C33" s="6">
        <v>2400000</v>
      </c>
      <c r="E33" s="6">
        <v>11429569715</v>
      </c>
      <c r="G33" s="6">
        <v>9984238200</v>
      </c>
      <c r="I33" s="16">
        <v>0</v>
      </c>
      <c r="J33" s="16">
        <v>0</v>
      </c>
      <c r="L33" s="16">
        <v>0</v>
      </c>
      <c r="M33" s="16">
        <v>0</v>
      </c>
      <c r="N33" s="9"/>
      <c r="O33" s="6">
        <v>2400000</v>
      </c>
      <c r="Q33" s="6">
        <v>3104</v>
      </c>
      <c r="S33" s="6">
        <v>11429569715</v>
      </c>
      <c r="U33" s="6">
        <v>7405274880</v>
      </c>
      <c r="W33" s="10">
        <f t="shared" si="0"/>
        <v>5.347177792886253E-3</v>
      </c>
      <c r="X33" s="17"/>
    </row>
    <row r="34" spans="1:24" ht="21" x14ac:dyDescent="0.55000000000000004">
      <c r="A34" s="14" t="s">
        <v>54</v>
      </c>
      <c r="C34" s="6">
        <v>249999</v>
      </c>
      <c r="E34" s="6">
        <v>1709077715</v>
      </c>
      <c r="G34" s="6">
        <v>1898627905</v>
      </c>
      <c r="I34" s="6">
        <v>250000</v>
      </c>
      <c r="J34" s="6">
        <v>2026838681</v>
      </c>
      <c r="L34" s="6">
        <v>250000</v>
      </c>
      <c r="M34" s="6">
        <v>2184424901</v>
      </c>
      <c r="O34" s="6">
        <v>249999</v>
      </c>
      <c r="Q34" s="6">
        <v>9160</v>
      </c>
      <c r="S34" s="6">
        <v>1867954462</v>
      </c>
      <c r="U34" s="6">
        <v>2283820740</v>
      </c>
      <c r="W34" s="10">
        <f t="shared" si="0"/>
        <v>1.649094158117335E-3</v>
      </c>
      <c r="X34" s="17"/>
    </row>
    <row r="35" spans="1:24" ht="21" x14ac:dyDescent="0.55000000000000004">
      <c r="A35" s="14" t="s">
        <v>55</v>
      </c>
      <c r="C35" s="6">
        <v>1500000</v>
      </c>
      <c r="E35" s="6">
        <v>4654315200</v>
      </c>
      <c r="G35" s="6">
        <v>6924552300</v>
      </c>
      <c r="I35" s="16">
        <v>0</v>
      </c>
      <c r="J35" s="16">
        <v>0</v>
      </c>
      <c r="L35" s="16">
        <v>0</v>
      </c>
      <c r="M35" s="16">
        <v>0</v>
      </c>
      <c r="N35" s="9"/>
      <c r="O35" s="6">
        <v>1500000</v>
      </c>
      <c r="Q35" s="6">
        <v>4750</v>
      </c>
      <c r="S35" s="6">
        <v>4654315200</v>
      </c>
      <c r="U35" s="6">
        <v>7082606250</v>
      </c>
      <c r="W35" s="10">
        <f t="shared" si="0"/>
        <v>5.1141862347393891E-3</v>
      </c>
      <c r="X35" s="17"/>
    </row>
    <row r="36" spans="1:24" ht="21" x14ac:dyDescent="0.55000000000000004">
      <c r="A36" s="14" t="s">
        <v>56</v>
      </c>
      <c r="C36" s="6">
        <v>13266666</v>
      </c>
      <c r="E36" s="6">
        <v>64654676195</v>
      </c>
      <c r="G36" s="6">
        <v>119612705089</v>
      </c>
      <c r="I36" s="16">
        <v>0</v>
      </c>
      <c r="J36" s="16">
        <v>0</v>
      </c>
      <c r="L36" s="16">
        <v>0</v>
      </c>
      <c r="M36" s="16">
        <v>0</v>
      </c>
      <c r="N36" s="9"/>
      <c r="O36" s="6">
        <v>13266666</v>
      </c>
      <c r="Q36" s="6">
        <v>8520</v>
      </c>
      <c r="S36" s="6">
        <v>64654676195</v>
      </c>
      <c r="U36" s="6">
        <v>114733245235</v>
      </c>
      <c r="W36" s="10">
        <f t="shared" si="0"/>
        <v>8.2846223937384014E-2</v>
      </c>
      <c r="X36" s="17"/>
    </row>
    <row r="37" spans="1:24" ht="21" x14ac:dyDescent="0.55000000000000004">
      <c r="A37" s="14" t="s">
        <v>57</v>
      </c>
      <c r="C37" s="6">
        <v>650000</v>
      </c>
      <c r="E37" s="6">
        <v>12030071874</v>
      </c>
      <c r="G37" s="6">
        <v>16683141150</v>
      </c>
      <c r="I37" s="16">
        <v>0</v>
      </c>
      <c r="J37" s="16">
        <v>0</v>
      </c>
      <c r="L37" s="16">
        <v>0</v>
      </c>
      <c r="M37" s="16">
        <v>0</v>
      </c>
      <c r="N37" s="9"/>
      <c r="O37" s="6">
        <v>650000</v>
      </c>
      <c r="Q37" s="6">
        <v>24230</v>
      </c>
      <c r="S37" s="6">
        <v>12030071874</v>
      </c>
      <c r="U37" s="6">
        <v>15623483850</v>
      </c>
      <c r="W37" s="10">
        <f t="shared" si="0"/>
        <v>1.1281356498441962E-2</v>
      </c>
      <c r="X37" s="17"/>
    </row>
    <row r="38" spans="1:24" ht="21" x14ac:dyDescent="0.55000000000000004">
      <c r="A38" s="14" t="s">
        <v>58</v>
      </c>
      <c r="C38" s="6">
        <v>3868421</v>
      </c>
      <c r="E38" s="6">
        <v>9853037681</v>
      </c>
      <c r="G38" s="6">
        <v>6971717262</v>
      </c>
      <c r="I38" s="6">
        <v>6846145</v>
      </c>
      <c r="J38" s="6">
        <v>13595356374</v>
      </c>
      <c r="L38" s="6">
        <v>10714566</v>
      </c>
      <c r="M38" s="6">
        <v>19957292440</v>
      </c>
      <c r="O38" s="16">
        <v>0</v>
      </c>
      <c r="Q38" s="16">
        <v>0</v>
      </c>
      <c r="S38" s="16">
        <v>0</v>
      </c>
      <c r="U38" s="16">
        <v>0</v>
      </c>
      <c r="W38" s="10">
        <f t="shared" si="0"/>
        <v>0</v>
      </c>
      <c r="X38" s="17"/>
    </row>
    <row r="39" spans="1:24" ht="21" x14ac:dyDescent="0.55000000000000004">
      <c r="A39" s="14" t="s">
        <v>59</v>
      </c>
      <c r="C39" s="6">
        <v>20766211</v>
      </c>
      <c r="E39" s="6">
        <v>69033791937</v>
      </c>
      <c r="G39" s="6">
        <v>89816179046</v>
      </c>
      <c r="I39" s="16">
        <v>0</v>
      </c>
      <c r="J39" s="16">
        <v>0</v>
      </c>
      <c r="L39" s="16">
        <v>0</v>
      </c>
      <c r="M39" s="16">
        <v>0</v>
      </c>
      <c r="N39" s="9"/>
      <c r="O39" s="6">
        <v>20766211</v>
      </c>
      <c r="Q39" s="6">
        <v>3733</v>
      </c>
      <c r="S39" s="6">
        <v>69033791937</v>
      </c>
      <c r="U39" s="6">
        <v>77802155556</v>
      </c>
      <c r="W39" s="10">
        <f t="shared" si="0"/>
        <v>5.6179137867158419E-2</v>
      </c>
      <c r="X39" s="17"/>
    </row>
    <row r="40" spans="1:24" ht="21" x14ac:dyDescent="0.55000000000000004">
      <c r="A40" s="14" t="s">
        <v>60</v>
      </c>
      <c r="C40" s="16">
        <v>0</v>
      </c>
      <c r="E40" s="16">
        <v>0</v>
      </c>
      <c r="G40" s="16">
        <v>0</v>
      </c>
      <c r="H40" s="9"/>
      <c r="I40" s="6">
        <v>1800000</v>
      </c>
      <c r="J40" s="6">
        <v>7757852041</v>
      </c>
      <c r="L40" s="6">
        <v>0</v>
      </c>
      <c r="M40" s="6">
        <v>0</v>
      </c>
      <c r="O40" s="6">
        <v>1800000</v>
      </c>
      <c r="Q40" s="6">
        <v>4076</v>
      </c>
      <c r="S40" s="6">
        <v>7757852041</v>
      </c>
      <c r="U40" s="6">
        <v>7337878290</v>
      </c>
      <c r="W40" s="10">
        <f t="shared" si="0"/>
        <v>5.2985122733472589E-3</v>
      </c>
      <c r="X40" s="17"/>
    </row>
    <row r="41" spans="1:24" ht="21" x14ac:dyDescent="0.55000000000000004">
      <c r="A41" s="14" t="s">
        <v>61</v>
      </c>
      <c r="C41" s="6">
        <v>200000</v>
      </c>
      <c r="E41" s="6">
        <v>2542357120</v>
      </c>
      <c r="G41" s="6">
        <v>3019923900</v>
      </c>
      <c r="I41" s="16">
        <v>0</v>
      </c>
      <c r="J41" s="16">
        <v>0</v>
      </c>
      <c r="L41" s="16">
        <v>0</v>
      </c>
      <c r="M41" s="16">
        <v>0</v>
      </c>
      <c r="N41" s="9"/>
      <c r="O41" s="6">
        <v>200000</v>
      </c>
      <c r="Q41" s="6">
        <v>14770</v>
      </c>
      <c r="S41" s="6">
        <v>2542357120</v>
      </c>
      <c r="U41" s="6">
        <v>2954316600</v>
      </c>
      <c r="W41" s="10">
        <f t="shared" si="0"/>
        <v>2.1332437178449774E-3</v>
      </c>
      <c r="X41" s="17"/>
    </row>
    <row r="42" spans="1:24" ht="21" x14ac:dyDescent="0.55000000000000004">
      <c r="A42" s="14" t="s">
        <v>62</v>
      </c>
      <c r="C42" s="6">
        <v>1641844</v>
      </c>
      <c r="E42" s="6">
        <v>15237275155</v>
      </c>
      <c r="G42" s="6">
        <v>22767446643</v>
      </c>
      <c r="I42" s="16">
        <v>0</v>
      </c>
      <c r="J42" s="16">
        <v>0</v>
      </c>
      <c r="L42" s="16">
        <v>0</v>
      </c>
      <c r="M42" s="16">
        <v>0</v>
      </c>
      <c r="N42" s="9"/>
      <c r="O42" s="6">
        <v>1641844</v>
      </c>
      <c r="Q42" s="6">
        <v>12900</v>
      </c>
      <c r="S42" s="6">
        <v>15237275155</v>
      </c>
      <c r="U42" s="6">
        <v>21314899868</v>
      </c>
      <c r="W42" s="10">
        <f t="shared" si="0"/>
        <v>1.5390996428719163E-2</v>
      </c>
      <c r="X42" s="17"/>
    </row>
    <row r="43" spans="1:24" ht="21" x14ac:dyDescent="0.55000000000000004">
      <c r="A43" s="14" t="s">
        <v>63</v>
      </c>
      <c r="C43" s="16">
        <v>0</v>
      </c>
      <c r="E43" s="16">
        <v>0</v>
      </c>
      <c r="G43" s="16">
        <v>0</v>
      </c>
      <c r="H43" s="9"/>
      <c r="I43" s="6">
        <v>200000</v>
      </c>
      <c r="J43" s="6">
        <v>2340169658</v>
      </c>
      <c r="L43" s="6">
        <v>0</v>
      </c>
      <c r="M43" s="6">
        <v>0</v>
      </c>
      <c r="O43" s="6">
        <v>200000</v>
      </c>
      <c r="Q43" s="6">
        <v>11690</v>
      </c>
      <c r="S43" s="6">
        <v>2340169658</v>
      </c>
      <c r="U43" s="6">
        <v>2324088900</v>
      </c>
      <c r="W43" s="10">
        <f t="shared" si="0"/>
        <v>1.6781708655186935E-3</v>
      </c>
      <c r="X43" s="17"/>
    </row>
    <row r="44" spans="1:24" ht="21" x14ac:dyDescent="0.55000000000000004">
      <c r="A44" s="14" t="s">
        <v>64</v>
      </c>
      <c r="C44" s="6">
        <v>20010652</v>
      </c>
      <c r="E44" s="6">
        <v>8819935931</v>
      </c>
      <c r="G44" s="6">
        <v>10542541969</v>
      </c>
      <c r="I44" s="6">
        <v>9000000</v>
      </c>
      <c r="J44" s="6">
        <v>6210357732</v>
      </c>
      <c r="L44" s="6">
        <v>0</v>
      </c>
      <c r="M44" s="6">
        <v>0</v>
      </c>
      <c r="O44" s="6">
        <v>29010652</v>
      </c>
      <c r="Q44" s="6">
        <v>692</v>
      </c>
      <c r="S44" s="6">
        <v>15030293663</v>
      </c>
      <c r="U44" s="6">
        <v>20417331343</v>
      </c>
      <c r="W44" s="10">
        <f t="shared" si="0"/>
        <v>1.4742882947147271E-2</v>
      </c>
      <c r="X44" s="17"/>
    </row>
    <row r="45" spans="1:24" ht="21" x14ac:dyDescent="0.55000000000000004">
      <c r="A45" s="14" t="s">
        <v>65</v>
      </c>
      <c r="C45" s="6">
        <v>800000</v>
      </c>
      <c r="E45" s="6">
        <v>12871934080</v>
      </c>
      <c r="G45" s="6">
        <v>11300360400</v>
      </c>
      <c r="I45" s="6">
        <v>200000</v>
      </c>
      <c r="J45" s="6">
        <v>3543214308</v>
      </c>
      <c r="L45" s="6">
        <v>0</v>
      </c>
      <c r="M45" s="6">
        <v>0</v>
      </c>
      <c r="O45" s="6">
        <v>1000000</v>
      </c>
      <c r="Q45" s="6">
        <v>17730</v>
      </c>
      <c r="S45" s="6">
        <v>16415148388</v>
      </c>
      <c r="U45" s="6">
        <v>17624506500</v>
      </c>
      <c r="W45" s="10">
        <f t="shared" si="0"/>
        <v>1.2726248693604123E-2</v>
      </c>
      <c r="X45" s="17"/>
    </row>
    <row r="46" spans="1:24" ht="21" x14ac:dyDescent="0.55000000000000004">
      <c r="A46" s="14" t="s">
        <v>66</v>
      </c>
      <c r="C46" s="6">
        <v>2421626</v>
      </c>
      <c r="E46" s="6">
        <v>14654234242</v>
      </c>
      <c r="G46" s="6">
        <v>14443303952</v>
      </c>
      <c r="I46" s="6">
        <v>0</v>
      </c>
      <c r="J46" s="6">
        <v>0</v>
      </c>
      <c r="L46" s="6">
        <v>2421626</v>
      </c>
      <c r="M46" s="6">
        <v>13863899230</v>
      </c>
      <c r="O46" s="16">
        <v>0</v>
      </c>
      <c r="Q46" s="16">
        <v>0</v>
      </c>
      <c r="S46" s="16">
        <v>0</v>
      </c>
      <c r="U46" s="16">
        <v>0</v>
      </c>
      <c r="W46" s="10">
        <f t="shared" si="0"/>
        <v>0</v>
      </c>
      <c r="X46" s="17"/>
    </row>
    <row r="47" spans="1:24" ht="21" x14ac:dyDescent="0.55000000000000004">
      <c r="A47" s="14" t="s">
        <v>67</v>
      </c>
      <c r="C47" s="6">
        <v>175000</v>
      </c>
      <c r="E47" s="6">
        <v>7181514900</v>
      </c>
      <c r="G47" s="6">
        <v>7819445812</v>
      </c>
      <c r="I47" s="16">
        <v>0</v>
      </c>
      <c r="J47" s="16">
        <v>0</v>
      </c>
      <c r="L47" s="16">
        <v>0</v>
      </c>
      <c r="M47" s="16">
        <v>0</v>
      </c>
      <c r="N47" s="9"/>
      <c r="O47" s="6">
        <v>175000</v>
      </c>
      <c r="Q47" s="6">
        <v>49050</v>
      </c>
      <c r="S47" s="6">
        <v>7181514900</v>
      </c>
      <c r="U47" s="6">
        <v>8576166375</v>
      </c>
      <c r="W47" s="10">
        <f t="shared" si="0"/>
        <v>6.1926514723107482E-3</v>
      </c>
      <c r="X47" s="17"/>
    </row>
    <row r="48" spans="1:24" ht="21" x14ac:dyDescent="0.55000000000000004">
      <c r="A48" s="14" t="s">
        <v>68</v>
      </c>
      <c r="C48" s="6">
        <v>11320000</v>
      </c>
      <c r="E48" s="6">
        <v>61919507698</v>
      </c>
      <c r="G48" s="6">
        <v>109263192660</v>
      </c>
      <c r="I48" s="16">
        <v>0</v>
      </c>
      <c r="J48" s="16">
        <v>0</v>
      </c>
      <c r="L48" s="16">
        <v>0</v>
      </c>
      <c r="M48" s="16">
        <v>0</v>
      </c>
      <c r="N48" s="9"/>
      <c r="O48" s="6">
        <v>15238461</v>
      </c>
      <c r="Q48" s="6">
        <v>6700</v>
      </c>
      <c r="S48" s="6">
        <v>61919507698</v>
      </c>
      <c r="U48" s="6">
        <v>103156464590</v>
      </c>
      <c r="W48" s="10">
        <f t="shared" si="0"/>
        <v>7.4486898270048438E-2</v>
      </c>
      <c r="X48" s="17"/>
    </row>
    <row r="49" spans="1:24" ht="21" x14ac:dyDescent="0.55000000000000004">
      <c r="A49" s="14" t="s">
        <v>69</v>
      </c>
      <c r="C49" s="6">
        <v>1000000</v>
      </c>
      <c r="E49" s="6">
        <v>12779722483</v>
      </c>
      <c r="G49" s="6">
        <v>14552892000</v>
      </c>
      <c r="I49" s="6">
        <v>500000</v>
      </c>
      <c r="J49" s="6">
        <v>8036450900</v>
      </c>
      <c r="L49" s="6">
        <v>335500</v>
      </c>
      <c r="M49" s="6">
        <v>4794225834</v>
      </c>
      <c r="O49" s="6">
        <v>1164500</v>
      </c>
      <c r="Q49" s="6">
        <v>16610</v>
      </c>
      <c r="S49" s="6">
        <v>16528576490</v>
      </c>
      <c r="U49" s="6">
        <v>19343015170</v>
      </c>
      <c r="W49" s="10">
        <f t="shared" si="0"/>
        <v>1.3967144075073944E-2</v>
      </c>
      <c r="X49" s="17"/>
    </row>
    <row r="50" spans="1:24" ht="21" x14ac:dyDescent="0.55000000000000004">
      <c r="A50" s="14" t="s">
        <v>70</v>
      </c>
      <c r="C50" s="6">
        <v>14200000</v>
      </c>
      <c r="E50" s="6">
        <v>37019592698</v>
      </c>
      <c r="G50" s="6">
        <v>52453235160</v>
      </c>
      <c r="I50" s="16">
        <v>0</v>
      </c>
      <c r="J50" s="16">
        <v>0</v>
      </c>
      <c r="L50" s="16">
        <v>0</v>
      </c>
      <c r="M50" s="16">
        <v>0</v>
      </c>
      <c r="N50" s="9"/>
      <c r="O50" s="6">
        <v>14200000</v>
      </c>
      <c r="Q50" s="6">
        <v>4202</v>
      </c>
      <c r="S50" s="6">
        <v>37019592698</v>
      </c>
      <c r="U50" s="6">
        <v>59990917500</v>
      </c>
      <c r="W50" s="10">
        <f t="shared" si="0"/>
        <v>4.3318054633897846E-2</v>
      </c>
      <c r="X50" s="17"/>
    </row>
    <row r="51" spans="1:24" ht="21" x14ac:dyDescent="0.55000000000000004">
      <c r="A51" s="14" t="s">
        <v>71</v>
      </c>
      <c r="C51" s="6">
        <v>400000</v>
      </c>
      <c r="E51" s="6">
        <v>3581320357</v>
      </c>
      <c r="G51" s="6">
        <v>3817152000</v>
      </c>
      <c r="I51" s="6">
        <v>600000</v>
      </c>
      <c r="J51" s="6">
        <v>6413946606</v>
      </c>
      <c r="L51" s="6">
        <v>0</v>
      </c>
      <c r="M51" s="6">
        <v>0</v>
      </c>
      <c r="O51" s="6">
        <v>1000000</v>
      </c>
      <c r="Q51" s="6">
        <v>10500</v>
      </c>
      <c r="S51" s="6">
        <v>9995266963</v>
      </c>
      <c r="U51" s="6">
        <v>10517049000</v>
      </c>
      <c r="W51" s="10">
        <f t="shared" si="0"/>
        <v>7.5941179457603841E-3</v>
      </c>
      <c r="X51" s="17"/>
    </row>
    <row r="52" spans="1:24" ht="21" x14ac:dyDescent="0.55000000000000004">
      <c r="A52" s="14" t="s">
        <v>72</v>
      </c>
      <c r="C52" s="6">
        <v>400000</v>
      </c>
      <c r="E52" s="6">
        <v>6776045113</v>
      </c>
      <c r="G52" s="6">
        <v>5825133000</v>
      </c>
      <c r="I52" s="16">
        <v>0</v>
      </c>
      <c r="J52" s="16">
        <v>0</v>
      </c>
      <c r="L52" s="16">
        <v>0</v>
      </c>
      <c r="M52" s="16">
        <v>0</v>
      </c>
      <c r="N52" s="9"/>
      <c r="O52" s="6">
        <v>400000</v>
      </c>
      <c r="Q52" s="6">
        <v>18140</v>
      </c>
      <c r="S52" s="6">
        <v>6776045113</v>
      </c>
      <c r="U52" s="6">
        <v>7236684000</v>
      </c>
      <c r="W52" s="10">
        <f t="shared" si="0"/>
        <v>5.2254422159863515E-3</v>
      </c>
      <c r="X52" s="17"/>
    </row>
    <row r="53" spans="1:24" ht="21" x14ac:dyDescent="0.55000000000000004">
      <c r="A53" s="14" t="s">
        <v>73</v>
      </c>
      <c r="C53" s="6">
        <v>650000</v>
      </c>
      <c r="E53" s="6">
        <v>10326401749</v>
      </c>
      <c r="G53" s="6">
        <v>12534970500</v>
      </c>
      <c r="I53" s="16">
        <v>0</v>
      </c>
      <c r="J53" s="16">
        <v>0</v>
      </c>
      <c r="L53" s="16">
        <v>0</v>
      </c>
      <c r="M53" s="16">
        <v>0</v>
      </c>
      <c r="N53" s="9"/>
      <c r="O53" s="6">
        <v>650000</v>
      </c>
      <c r="Q53" s="6">
        <v>23780</v>
      </c>
      <c r="S53" s="6">
        <v>10326401749</v>
      </c>
      <c r="U53" s="6">
        <v>15500718675</v>
      </c>
      <c r="W53" s="10">
        <f t="shared" si="0"/>
        <v>1.1192710603706479E-2</v>
      </c>
      <c r="X53" s="17"/>
    </row>
    <row r="54" spans="1:24" ht="21" x14ac:dyDescent="0.55000000000000004">
      <c r="A54" s="14" t="s">
        <v>74</v>
      </c>
      <c r="C54" s="6">
        <v>6485981</v>
      </c>
      <c r="E54" s="6">
        <v>12347277052</v>
      </c>
      <c r="G54" s="6">
        <v>15912157071</v>
      </c>
      <c r="I54" s="16">
        <v>0</v>
      </c>
      <c r="J54" s="16">
        <v>0</v>
      </c>
      <c r="L54" s="16">
        <v>0</v>
      </c>
      <c r="M54" s="16">
        <v>0</v>
      </c>
      <c r="N54" s="9"/>
      <c r="O54" s="6">
        <v>6485981</v>
      </c>
      <c r="Q54" s="6">
        <v>2715</v>
      </c>
      <c r="S54" s="6">
        <v>12347277052</v>
      </c>
      <c r="U54" s="6">
        <v>17775452612</v>
      </c>
      <c r="W54" s="10">
        <f t="shared" si="0"/>
        <v>1.2835243391449683E-2</v>
      </c>
      <c r="X54" s="17"/>
    </row>
    <row r="55" spans="1:24" ht="21" x14ac:dyDescent="0.55000000000000004">
      <c r="A55" s="14" t="s">
        <v>75</v>
      </c>
      <c r="C55" s="6">
        <v>500000</v>
      </c>
      <c r="E55" s="6">
        <v>17557212522</v>
      </c>
      <c r="G55" s="6">
        <v>31854332250</v>
      </c>
      <c r="I55" s="16">
        <v>0</v>
      </c>
      <c r="J55" s="16">
        <v>0</v>
      </c>
      <c r="L55" s="16">
        <v>0</v>
      </c>
      <c r="M55" s="16">
        <v>0</v>
      </c>
      <c r="N55" s="9"/>
      <c r="O55" s="6">
        <v>500000</v>
      </c>
      <c r="Q55" s="6">
        <v>60490</v>
      </c>
      <c r="S55" s="6">
        <v>17557212522</v>
      </c>
      <c r="U55" s="6">
        <v>30810579750</v>
      </c>
      <c r="W55" s="10">
        <f t="shared" si="0"/>
        <v>2.2247607346771558E-2</v>
      </c>
      <c r="X55" s="17"/>
    </row>
    <row r="56" spans="1:24" ht="21" x14ac:dyDescent="0.55000000000000004">
      <c r="A56" s="14" t="s">
        <v>76</v>
      </c>
      <c r="C56" s="6">
        <v>3250000</v>
      </c>
      <c r="E56" s="6">
        <v>13719754359</v>
      </c>
      <c r="G56" s="6">
        <v>14657515762</v>
      </c>
      <c r="I56" s="6">
        <v>2400000</v>
      </c>
      <c r="J56" s="6">
        <v>11561919480</v>
      </c>
      <c r="L56" s="6">
        <v>800000</v>
      </c>
      <c r="M56" s="6">
        <v>4276005514</v>
      </c>
      <c r="O56" s="6">
        <v>4850000</v>
      </c>
      <c r="Q56" s="6">
        <v>5330</v>
      </c>
      <c r="S56" s="6">
        <v>21701967809</v>
      </c>
      <c r="U56" s="6">
        <v>25600266675</v>
      </c>
      <c r="W56" s="10">
        <f t="shared" si="0"/>
        <v>1.8485360729313803E-2</v>
      </c>
      <c r="X56" s="17"/>
    </row>
    <row r="57" spans="1:24" ht="21" x14ac:dyDescent="0.55000000000000004">
      <c r="A57" s="14" t="s">
        <v>77</v>
      </c>
      <c r="C57" s="6">
        <v>220000</v>
      </c>
      <c r="E57" s="6">
        <v>13591734748</v>
      </c>
      <c r="G57" s="6">
        <v>19109219580</v>
      </c>
      <c r="I57" s="16">
        <v>0</v>
      </c>
      <c r="J57" s="16">
        <v>0</v>
      </c>
      <c r="L57" s="16">
        <v>0</v>
      </c>
      <c r="M57" s="16">
        <v>0</v>
      </c>
      <c r="N57" s="9"/>
      <c r="O57" s="6">
        <v>220000</v>
      </c>
      <c r="Q57" s="6">
        <v>73730</v>
      </c>
      <c r="S57" s="6">
        <v>13591734748</v>
      </c>
      <c r="U57" s="6">
        <v>16379955900</v>
      </c>
      <c r="W57" s="10">
        <f t="shared" si="0"/>
        <v>1.1827587477338338E-2</v>
      </c>
      <c r="X57" s="17"/>
    </row>
    <row r="58" spans="1:24" ht="21" x14ac:dyDescent="0.55000000000000004">
      <c r="A58" s="14" t="s">
        <v>78</v>
      </c>
      <c r="C58" s="6">
        <v>227029</v>
      </c>
      <c r="E58" s="6">
        <v>9721636580</v>
      </c>
      <c r="G58" s="6">
        <v>16415830628</v>
      </c>
      <c r="I58" s="16">
        <v>0</v>
      </c>
      <c r="J58" s="16">
        <v>0</v>
      </c>
      <c r="L58" s="16">
        <v>0</v>
      </c>
      <c r="M58" s="16">
        <v>0</v>
      </c>
      <c r="N58" s="9"/>
      <c r="O58" s="6">
        <v>227029</v>
      </c>
      <c r="Q58" s="6">
        <v>70390</v>
      </c>
      <c r="S58" s="6">
        <v>9721636580</v>
      </c>
      <c r="U58" s="6">
        <v>15899027601</v>
      </c>
      <c r="W58" s="10">
        <f t="shared" si="0"/>
        <v>1.1480320270913806E-2</v>
      </c>
      <c r="X58" s="17"/>
    </row>
    <row r="59" spans="1:24" ht="21" x14ac:dyDescent="0.55000000000000004">
      <c r="A59" s="14" t="s">
        <v>79</v>
      </c>
      <c r="C59" s="6">
        <v>400000</v>
      </c>
      <c r="E59" s="6">
        <v>14119090350</v>
      </c>
      <c r="G59" s="6">
        <v>16481349000</v>
      </c>
      <c r="I59" s="16">
        <v>0</v>
      </c>
      <c r="J59" s="16">
        <v>0</v>
      </c>
      <c r="L59" s="16">
        <v>0</v>
      </c>
      <c r="M59" s="16">
        <v>0</v>
      </c>
      <c r="N59" s="9"/>
      <c r="O59" s="6">
        <v>400000</v>
      </c>
      <c r="Q59" s="6">
        <v>36100</v>
      </c>
      <c r="S59" s="6">
        <v>14119090350</v>
      </c>
      <c r="U59" s="6">
        <v>14421677400</v>
      </c>
      <c r="W59" s="10">
        <f t="shared" si="0"/>
        <v>1.0413559844715658E-2</v>
      </c>
      <c r="X59" s="17"/>
    </row>
    <row r="60" spans="1:24" ht="21" x14ac:dyDescent="0.55000000000000004">
      <c r="A60" s="14" t="s">
        <v>80</v>
      </c>
      <c r="C60" s="6">
        <v>924900</v>
      </c>
      <c r="E60" s="6">
        <v>24193498250</v>
      </c>
      <c r="G60" s="6">
        <v>52258516670</v>
      </c>
      <c r="I60" s="16">
        <v>0</v>
      </c>
      <c r="J60" s="16">
        <v>0</v>
      </c>
      <c r="L60" s="16">
        <v>0</v>
      </c>
      <c r="M60" s="16">
        <v>0</v>
      </c>
      <c r="N60" s="9"/>
      <c r="O60" s="6">
        <v>924900</v>
      </c>
      <c r="Q60" s="6">
        <v>47620</v>
      </c>
      <c r="S60" s="6">
        <v>24193498250</v>
      </c>
      <c r="U60" s="6">
        <v>44287346024</v>
      </c>
      <c r="W60" s="10">
        <f t="shared" si="0"/>
        <v>3.1978868712217487E-2</v>
      </c>
      <c r="X60" s="17"/>
    </row>
    <row r="61" spans="1:24" ht="21" x14ac:dyDescent="0.55000000000000004">
      <c r="A61" s="14" t="s">
        <v>81</v>
      </c>
      <c r="C61" s="6">
        <v>5400000</v>
      </c>
      <c r="E61" s="6">
        <v>14926400244</v>
      </c>
      <c r="G61" s="6">
        <v>22126360140</v>
      </c>
      <c r="I61" s="16">
        <v>0</v>
      </c>
      <c r="J61" s="16">
        <v>0</v>
      </c>
      <c r="L61" s="16">
        <v>0</v>
      </c>
      <c r="M61" s="16">
        <v>0</v>
      </c>
      <c r="N61" s="9"/>
      <c r="O61" s="6">
        <v>5400000</v>
      </c>
      <c r="Q61" s="6">
        <v>3684</v>
      </c>
      <c r="S61" s="6">
        <v>14926400244</v>
      </c>
      <c r="U61" s="6">
        <v>19855751130</v>
      </c>
      <c r="W61" s="10">
        <f t="shared" si="0"/>
        <v>1.4337378858164969E-2</v>
      </c>
      <c r="X61" s="17"/>
    </row>
    <row r="62" spans="1:24" ht="21" x14ac:dyDescent="0.55000000000000004">
      <c r="A62" s="14" t="s">
        <v>82</v>
      </c>
      <c r="C62" s="6">
        <v>108000</v>
      </c>
      <c r="E62" s="6">
        <v>14985484296</v>
      </c>
      <c r="G62" s="6">
        <v>32171792058</v>
      </c>
      <c r="I62" s="16">
        <v>0</v>
      </c>
      <c r="J62" s="16">
        <v>0</v>
      </c>
      <c r="L62" s="16">
        <v>0</v>
      </c>
      <c r="M62" s="16">
        <v>0</v>
      </c>
      <c r="N62" s="9"/>
      <c r="O62" s="6">
        <v>108000</v>
      </c>
      <c r="Q62" s="6">
        <v>281110</v>
      </c>
      <c r="S62" s="6">
        <v>14985484296</v>
      </c>
      <c r="U62" s="6">
        <v>30473397990</v>
      </c>
      <c r="W62" s="10">
        <f t="shared" si="0"/>
        <v>2.2004136192971757E-2</v>
      </c>
      <c r="X62" s="17"/>
    </row>
    <row r="63" spans="1:24" ht="21" x14ac:dyDescent="0.55000000000000004">
      <c r="A63" s="14" t="s">
        <v>83</v>
      </c>
      <c r="C63" s="6">
        <v>1418099</v>
      </c>
      <c r="E63" s="6">
        <v>19243670489</v>
      </c>
      <c r="G63" s="6">
        <v>28179129606</v>
      </c>
      <c r="I63" s="6">
        <v>300000</v>
      </c>
      <c r="J63" s="6">
        <v>6603122016</v>
      </c>
      <c r="L63" s="6">
        <v>0</v>
      </c>
      <c r="M63" s="6">
        <v>0</v>
      </c>
      <c r="O63" s="6">
        <v>1718099</v>
      </c>
      <c r="Q63" s="6">
        <v>21210</v>
      </c>
      <c r="S63" s="6">
        <v>25846792505</v>
      </c>
      <c r="U63" s="6">
        <v>37009679658</v>
      </c>
      <c r="W63" s="10">
        <f t="shared" si="0"/>
        <v>2.6723834077188462E-2</v>
      </c>
      <c r="X63" s="17"/>
    </row>
    <row r="64" spans="1:24" ht="21" x14ac:dyDescent="0.55000000000000004">
      <c r="A64" s="14" t="s">
        <v>84</v>
      </c>
      <c r="C64" s="6">
        <v>350000</v>
      </c>
      <c r="E64" s="6">
        <v>10947286168</v>
      </c>
      <c r="G64" s="6">
        <v>11376902250</v>
      </c>
      <c r="I64" s="16">
        <v>0</v>
      </c>
      <c r="J64" s="16">
        <v>0</v>
      </c>
      <c r="L64" s="16">
        <v>0</v>
      </c>
      <c r="M64" s="16">
        <v>0</v>
      </c>
      <c r="N64" s="9"/>
      <c r="O64" s="6">
        <v>350000</v>
      </c>
      <c r="Q64" s="6">
        <v>31950</v>
      </c>
      <c r="S64" s="6">
        <v>10947286168</v>
      </c>
      <c r="U64" s="6">
        <v>11202943500</v>
      </c>
      <c r="W64" s="10">
        <f t="shared" si="0"/>
        <v>8.0893865074404096E-3</v>
      </c>
      <c r="X64" s="17"/>
    </row>
    <row r="65" spans="1:24" ht="21" x14ac:dyDescent="0.55000000000000004">
      <c r="A65" s="14" t="s">
        <v>85</v>
      </c>
      <c r="C65" s="6">
        <v>3600000</v>
      </c>
      <c r="E65" s="6">
        <v>18948298801</v>
      </c>
      <c r="G65" s="6">
        <v>28342353600</v>
      </c>
      <c r="I65" s="16">
        <v>0</v>
      </c>
      <c r="J65" s="16">
        <v>0</v>
      </c>
      <c r="L65" s="16">
        <v>0</v>
      </c>
      <c r="M65" s="16">
        <v>0</v>
      </c>
      <c r="N65" s="9"/>
      <c r="O65" s="6">
        <v>3600000</v>
      </c>
      <c r="Q65" s="6">
        <v>8400</v>
      </c>
      <c r="S65" s="6">
        <v>18948298801</v>
      </c>
      <c r="U65" s="6">
        <v>30382144200</v>
      </c>
      <c r="W65" s="10">
        <f t="shared" si="0"/>
        <v>2.1938243940852586E-2</v>
      </c>
      <c r="X65" s="17"/>
    </row>
    <row r="66" spans="1:24" ht="21" x14ac:dyDescent="0.55000000000000004">
      <c r="A66" s="14" t="s">
        <v>86</v>
      </c>
      <c r="C66" s="6">
        <v>6202960</v>
      </c>
      <c r="E66" s="6">
        <v>18415182848</v>
      </c>
      <c r="G66" s="6">
        <v>17234116424</v>
      </c>
      <c r="I66" s="6">
        <v>2400000</v>
      </c>
      <c r="J66" s="6">
        <v>7083367234</v>
      </c>
      <c r="L66" s="6">
        <v>2000000</v>
      </c>
      <c r="M66" s="6">
        <v>6094279230</v>
      </c>
      <c r="O66" s="6">
        <v>6602960</v>
      </c>
      <c r="Q66" s="6">
        <v>2775</v>
      </c>
      <c r="S66" s="6">
        <v>19570694999</v>
      </c>
      <c r="U66" s="6">
        <v>18371719014</v>
      </c>
      <c r="W66" s="10">
        <f t="shared" si="0"/>
        <v>1.3265793575620374E-2</v>
      </c>
      <c r="X66" s="17"/>
    </row>
    <row r="67" spans="1:24" ht="21" x14ac:dyDescent="0.55000000000000004">
      <c r="A67" s="14" t="s">
        <v>87</v>
      </c>
      <c r="C67" s="6">
        <v>904441</v>
      </c>
      <c r="E67" s="6">
        <v>1780639412</v>
      </c>
      <c r="G67" s="6">
        <v>1613811939</v>
      </c>
      <c r="I67" s="6">
        <v>0</v>
      </c>
      <c r="J67" s="6">
        <v>0</v>
      </c>
      <c r="L67" s="6">
        <v>904441</v>
      </c>
      <c r="M67" s="6">
        <v>1483381171</v>
      </c>
      <c r="O67" s="16">
        <v>0</v>
      </c>
      <c r="Q67" s="16">
        <v>0</v>
      </c>
      <c r="S67" s="16">
        <v>0</v>
      </c>
      <c r="U67" s="16">
        <v>0</v>
      </c>
      <c r="W67" s="10">
        <f t="shared" si="0"/>
        <v>0</v>
      </c>
      <c r="X67" s="17"/>
    </row>
    <row r="68" spans="1:24" ht="21" x14ac:dyDescent="0.55000000000000004">
      <c r="A68" s="14" t="s">
        <v>88</v>
      </c>
      <c r="C68" s="6">
        <v>400000</v>
      </c>
      <c r="E68" s="6">
        <v>1641121542</v>
      </c>
      <c r="G68" s="6">
        <v>1629844380</v>
      </c>
      <c r="I68" s="6">
        <v>3150000</v>
      </c>
      <c r="J68" s="6">
        <v>13882461851</v>
      </c>
      <c r="L68" s="6">
        <v>0</v>
      </c>
      <c r="M68" s="6">
        <v>0</v>
      </c>
      <c r="O68" s="6">
        <v>3550000</v>
      </c>
      <c r="Q68" s="6">
        <v>4192</v>
      </c>
      <c r="S68" s="6">
        <v>15523583393</v>
      </c>
      <c r="U68" s="6">
        <v>14535446422</v>
      </c>
      <c r="W68" s="10">
        <f t="shared" si="0"/>
        <v>1.0495709825346327E-2</v>
      </c>
      <c r="X68" s="17"/>
    </row>
    <row r="69" spans="1:24" ht="21" x14ac:dyDescent="0.55000000000000004">
      <c r="A69" s="14" t="s">
        <v>89</v>
      </c>
      <c r="C69" s="6">
        <v>3200000</v>
      </c>
      <c r="E69" s="6">
        <v>17364899642</v>
      </c>
      <c r="G69" s="6">
        <v>18576806400</v>
      </c>
      <c r="I69" s="6">
        <v>1200000</v>
      </c>
      <c r="J69" s="6">
        <v>6656171164</v>
      </c>
      <c r="L69" s="6">
        <v>2400000</v>
      </c>
      <c r="M69" s="6">
        <v>13622461291</v>
      </c>
      <c r="O69" s="6">
        <v>2000000</v>
      </c>
      <c r="Q69" s="6">
        <v>5760</v>
      </c>
      <c r="S69" s="6">
        <v>10997396074</v>
      </c>
      <c r="U69" s="6">
        <v>11530980000</v>
      </c>
      <c r="W69" s="10">
        <f t="shared" si="0"/>
        <v>8.326254080417813E-3</v>
      </c>
      <c r="X69" s="17"/>
    </row>
    <row r="70" spans="1:24" ht="21" x14ac:dyDescent="0.55000000000000004">
      <c r="A70" s="14" t="s">
        <v>90</v>
      </c>
      <c r="C70" s="6">
        <v>6710221</v>
      </c>
      <c r="E70" s="6">
        <v>14478267197</v>
      </c>
      <c r="G70" s="6">
        <v>14614616750</v>
      </c>
      <c r="I70" s="16">
        <v>0</v>
      </c>
      <c r="J70" s="16">
        <v>0</v>
      </c>
      <c r="L70" s="16">
        <v>0</v>
      </c>
      <c r="M70" s="16">
        <v>0</v>
      </c>
      <c r="N70" s="9"/>
      <c r="O70" s="6">
        <v>6710221</v>
      </c>
      <c r="Q70" s="6">
        <v>2402</v>
      </c>
      <c r="S70" s="6">
        <v>14478267197</v>
      </c>
      <c r="U70" s="6">
        <v>16342223203</v>
      </c>
      <c r="W70" s="10">
        <f t="shared" si="0"/>
        <v>1.180034156915348E-2</v>
      </c>
      <c r="X70" s="17"/>
    </row>
    <row r="71" spans="1:24" ht="21" x14ac:dyDescent="0.55000000000000004">
      <c r="A71" s="14" t="s">
        <v>91</v>
      </c>
      <c r="C71" s="6">
        <v>1403444</v>
      </c>
      <c r="E71" s="6">
        <v>1624688341</v>
      </c>
      <c r="G71" s="6">
        <v>1330919207</v>
      </c>
      <c r="I71" s="6">
        <v>0</v>
      </c>
      <c r="J71" s="6">
        <v>0</v>
      </c>
      <c r="L71" s="6">
        <v>1403444</v>
      </c>
      <c r="M71" s="6">
        <v>1452292363</v>
      </c>
      <c r="O71" s="16">
        <v>0</v>
      </c>
      <c r="Q71" s="16">
        <v>0</v>
      </c>
      <c r="S71" s="16">
        <v>0</v>
      </c>
      <c r="U71" s="16">
        <v>0</v>
      </c>
      <c r="W71" s="10">
        <f t="shared" si="0"/>
        <v>0</v>
      </c>
      <c r="X71" s="17"/>
    </row>
    <row r="72" spans="1:24" ht="21.75" thickBot="1" x14ac:dyDescent="0.6">
      <c r="A72" s="15" t="s">
        <v>92</v>
      </c>
      <c r="C72" s="6"/>
      <c r="E72" s="7">
        <f>SUM(E11:$E$71)</f>
        <v>870387153099</v>
      </c>
      <c r="G72" s="7">
        <f>SUM(G11:$G$71)</f>
        <v>1244539141744</v>
      </c>
      <c r="I72" s="6"/>
      <c r="J72" s="7">
        <f>SUM(J11:$J$71)</f>
        <v>178892422196</v>
      </c>
      <c r="L72" s="6"/>
      <c r="M72" s="7">
        <f>SUM(M11:$M$71)</f>
        <v>82789926720</v>
      </c>
      <c r="O72" s="6"/>
      <c r="Q72" s="6"/>
      <c r="S72" s="7">
        <f>SUM(S11:$S$71)</f>
        <v>968017703781</v>
      </c>
      <c r="U72" s="7">
        <f>SUM(U11:$U$71)</f>
        <v>1346701209797</v>
      </c>
      <c r="W72" s="11">
        <f>SUM(W11:$W$71)</f>
        <v>0.97242181004354133</v>
      </c>
    </row>
    <row r="73" spans="1:24" ht="21.75" thickTop="1" x14ac:dyDescent="0.55000000000000004">
      <c r="C73" s="6"/>
      <c r="E73" s="8"/>
      <c r="G73" s="8"/>
      <c r="I73" s="6"/>
      <c r="J73" s="8"/>
      <c r="L73" s="6"/>
      <c r="M73" s="8"/>
      <c r="O73" s="6"/>
      <c r="Q73" s="6"/>
      <c r="S73" s="8"/>
      <c r="U73" s="8"/>
      <c r="W73" s="8"/>
    </row>
    <row r="78" spans="1:24" x14ac:dyDescent="0.55000000000000004">
      <c r="U78" s="18">
        <v>1384894081856</v>
      </c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17" right="0.17" top="0.43" bottom="0.43" header="0.3" footer="0.3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T13"/>
  <sheetViews>
    <sheetView rightToLeft="1" tabSelected="1" view="pageBreakPreview" zoomScaleNormal="100" zoomScaleSheetLayoutView="100" workbookViewId="0">
      <selection activeCell="G88" sqref="G88"/>
    </sheetView>
  </sheetViews>
  <sheetFormatPr defaultRowHeight="19.5" x14ac:dyDescent="0.55000000000000004"/>
  <cols>
    <col min="1" max="1" width="24.7109375" style="1" bestFit="1" customWidth="1"/>
    <col min="2" max="2" width="1.42578125" style="1" customWidth="1"/>
    <col min="3" max="3" width="18.5703125" style="1" bestFit="1" customWidth="1"/>
    <col min="4" max="4" width="1.42578125" style="1" customWidth="1"/>
    <col min="5" max="5" width="10.5703125" style="1" bestFit="1" customWidth="1"/>
    <col min="6" max="6" width="1.42578125" style="1" customWidth="1"/>
    <col min="7" max="7" width="12.28515625" style="1" bestFit="1" customWidth="1"/>
    <col min="8" max="8" width="1.42578125" style="1" customWidth="1"/>
    <col min="9" max="9" width="12.28515625" style="1" bestFit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6.140625" style="1" bestFit="1" customWidth="1"/>
    <col min="16" max="16" width="1.42578125" style="1" customWidth="1"/>
    <col min="17" max="17" width="14" style="1" bestFit="1" customWidth="1"/>
    <col min="18" max="18" width="1.42578125" style="1" customWidth="1"/>
    <col min="19" max="19" width="12.5703125" style="1" bestFit="1" customWidth="1"/>
    <col min="20" max="16384" width="9.140625" style="1"/>
  </cols>
  <sheetData>
    <row r="1" spans="1:20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0" ht="26.25" x14ac:dyDescent="0.55000000000000004">
      <c r="A2" s="26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5" spans="1:20" ht="21" x14ac:dyDescent="0.55000000000000004">
      <c r="A5" s="27" t="s">
        <v>284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7" spans="1:20" ht="21" x14ac:dyDescent="0.55000000000000004">
      <c r="C7" s="21" t="s">
        <v>95</v>
      </c>
      <c r="D7" s="22"/>
      <c r="E7" s="22"/>
      <c r="F7" s="22"/>
      <c r="G7" s="22"/>
      <c r="H7" s="22"/>
      <c r="I7" s="22"/>
      <c r="K7" s="3" t="s">
        <v>5</v>
      </c>
      <c r="M7" s="21" t="s">
        <v>6</v>
      </c>
      <c r="N7" s="22"/>
      <c r="O7" s="22"/>
      <c r="Q7" s="21" t="s">
        <v>7</v>
      </c>
      <c r="R7" s="22"/>
      <c r="S7" s="22"/>
    </row>
    <row r="8" spans="1:20" ht="42" x14ac:dyDescent="0.55000000000000004">
      <c r="A8" s="3" t="s">
        <v>96</v>
      </c>
      <c r="C8" s="3" t="s">
        <v>97</v>
      </c>
      <c r="E8" s="3" t="s">
        <v>98</v>
      </c>
      <c r="G8" s="4" t="s">
        <v>99</v>
      </c>
      <c r="I8" s="4" t="s">
        <v>100</v>
      </c>
      <c r="K8" s="3" t="s">
        <v>101</v>
      </c>
      <c r="M8" s="3" t="s">
        <v>102</v>
      </c>
      <c r="O8" s="3" t="s">
        <v>103</v>
      </c>
      <c r="Q8" s="3" t="s">
        <v>101</v>
      </c>
      <c r="S8" s="4" t="s">
        <v>15</v>
      </c>
    </row>
    <row r="9" spans="1:20" ht="21" x14ac:dyDescent="0.55000000000000004">
      <c r="A9" s="14" t="s">
        <v>104</v>
      </c>
      <c r="C9" s="9" t="s">
        <v>105</v>
      </c>
      <c r="E9" s="5" t="s">
        <v>106</v>
      </c>
      <c r="G9" s="9" t="s">
        <v>107</v>
      </c>
      <c r="I9" s="9">
        <v>10</v>
      </c>
      <c r="K9" s="6">
        <v>869978267</v>
      </c>
      <c r="M9" s="6">
        <v>3247851428</v>
      </c>
      <c r="O9" s="6">
        <v>2225473424</v>
      </c>
      <c r="Q9" s="6">
        <v>1892356271</v>
      </c>
      <c r="S9" s="10">
        <f>Q9/'1'!$U$78</f>
        <v>1.366426715076948E-3</v>
      </c>
      <c r="T9" s="17">
        <f>K9+M9-O9-Q9</f>
        <v>0</v>
      </c>
    </row>
    <row r="10" spans="1:20" ht="21" x14ac:dyDescent="0.55000000000000004">
      <c r="A10" s="14" t="s">
        <v>109</v>
      </c>
      <c r="C10" s="9" t="s">
        <v>110</v>
      </c>
      <c r="E10" s="5" t="s">
        <v>111</v>
      </c>
      <c r="G10" s="9" t="s">
        <v>112</v>
      </c>
      <c r="I10" s="9" t="s">
        <v>108</v>
      </c>
      <c r="K10" s="6">
        <v>156818</v>
      </c>
      <c r="M10" s="16">
        <v>0</v>
      </c>
      <c r="O10" s="16">
        <v>0</v>
      </c>
      <c r="P10" s="9"/>
      <c r="Q10" s="6">
        <v>156818</v>
      </c>
      <c r="S10" s="10">
        <f>Q10/'1'!$U$78</f>
        <v>1.1323465242182021E-7</v>
      </c>
      <c r="T10" s="17">
        <f t="shared" ref="T10:T12" si="0">K10+M10-O10-Q10</f>
        <v>0</v>
      </c>
    </row>
    <row r="11" spans="1:20" ht="21" x14ac:dyDescent="0.55000000000000004">
      <c r="A11" s="14" t="s">
        <v>109</v>
      </c>
      <c r="C11" s="9" t="s">
        <v>113</v>
      </c>
      <c r="E11" s="5" t="s">
        <v>106</v>
      </c>
      <c r="G11" s="9" t="s">
        <v>114</v>
      </c>
      <c r="I11" s="9">
        <v>10</v>
      </c>
      <c r="K11" s="6">
        <v>777839363</v>
      </c>
      <c r="M11" s="6">
        <v>158184564444</v>
      </c>
      <c r="O11" s="6">
        <v>156350200000</v>
      </c>
      <c r="Q11" s="6">
        <v>2612203807</v>
      </c>
      <c r="S11" s="10">
        <f>Q11/'1'!$U$78</f>
        <v>1.8862119791133705E-3</v>
      </c>
      <c r="T11" s="17">
        <f t="shared" si="0"/>
        <v>0</v>
      </c>
    </row>
    <row r="12" spans="1:20" ht="21" x14ac:dyDescent="0.55000000000000004">
      <c r="A12" s="7" t="s">
        <v>92</v>
      </c>
      <c r="K12" s="7">
        <f>SUM(K9:$K$11)</f>
        <v>1647974448</v>
      </c>
      <c r="M12" s="7">
        <f>SUM(M9:$M$11)</f>
        <v>161432415872</v>
      </c>
      <c r="O12" s="7">
        <f>SUM(O9:$O$11)</f>
        <v>158575673424</v>
      </c>
      <c r="Q12" s="7">
        <f>SUM(Q9:$Q$11)</f>
        <v>4504716896</v>
      </c>
      <c r="S12" s="11">
        <f>SUM(S9:$S$11)</f>
        <v>3.2527519288427405E-3</v>
      </c>
      <c r="T12" s="17">
        <f t="shared" si="0"/>
        <v>0</v>
      </c>
    </row>
    <row r="13" spans="1:20" ht="21" x14ac:dyDescent="0.55000000000000004">
      <c r="K13" s="8"/>
      <c r="M13" s="8"/>
      <c r="O13" s="8"/>
      <c r="Q13" s="8"/>
      <c r="S13" s="8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17" right="0.17" top="0.75" bottom="0.75" header="0.3" footer="0.3"/>
  <pageSetup paperSize="9" scale="8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I17"/>
  <sheetViews>
    <sheetView rightToLeft="1" tabSelected="1" view="pageBreakPreview" zoomScale="90" zoomScaleNormal="100" zoomScaleSheetLayoutView="90" workbookViewId="0">
      <selection activeCell="G88" sqref="G88"/>
    </sheetView>
  </sheetViews>
  <sheetFormatPr defaultRowHeight="19.5" x14ac:dyDescent="0.55000000000000004"/>
  <cols>
    <col min="1" max="1" width="56.28515625" style="1" bestFit="1" customWidth="1"/>
    <col min="2" max="2" width="1.42578125" style="1" customWidth="1"/>
    <col min="3" max="3" width="9.42578125" style="1" bestFit="1" customWidth="1"/>
    <col min="4" max="4" width="1.42578125" style="1" customWidth="1"/>
    <col min="5" max="5" width="16.140625" style="1" bestFit="1" customWidth="1"/>
    <col min="6" max="6" width="1.42578125" style="1" customWidth="1"/>
    <col min="7" max="7" width="12" style="1" bestFit="1" customWidth="1"/>
    <col min="8" max="8" width="1.42578125" style="1" customWidth="1"/>
    <col min="9" max="9" width="12.28515625" style="1" bestFit="1" customWidth="1"/>
    <col min="10" max="16384" width="9.140625" style="1"/>
  </cols>
  <sheetData>
    <row r="1" spans="1:9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</row>
    <row r="3" spans="1:9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</row>
    <row r="5" spans="1:9" ht="21" x14ac:dyDescent="0.55000000000000004">
      <c r="A5" s="27" t="s">
        <v>117</v>
      </c>
      <c r="B5" s="20"/>
      <c r="C5" s="20"/>
      <c r="D5" s="20"/>
      <c r="E5" s="20"/>
      <c r="F5" s="20"/>
      <c r="G5" s="20"/>
      <c r="H5" s="20"/>
      <c r="I5" s="20"/>
    </row>
    <row r="6" spans="1:9" ht="21" x14ac:dyDescent="0.55000000000000004">
      <c r="E6" s="28" t="s">
        <v>203</v>
      </c>
      <c r="F6" s="28"/>
      <c r="G6" s="28"/>
      <c r="H6" s="28"/>
      <c r="I6" s="28"/>
    </row>
    <row r="7" spans="1:9" ht="42" x14ac:dyDescent="0.55000000000000004">
      <c r="A7" s="3" t="s">
        <v>118</v>
      </c>
      <c r="C7" s="3" t="s">
        <v>119</v>
      </c>
      <c r="E7" s="3" t="s">
        <v>101</v>
      </c>
      <c r="G7" s="4" t="s">
        <v>120</v>
      </c>
      <c r="I7" s="4" t="s">
        <v>121</v>
      </c>
    </row>
    <row r="8" spans="1:9" ht="21" x14ac:dyDescent="0.55000000000000004">
      <c r="A8" s="2" t="s">
        <v>122</v>
      </c>
      <c r="C8" s="9" t="s">
        <v>123</v>
      </c>
      <c r="E8" s="6">
        <v>227185021368</v>
      </c>
      <c r="G8" s="10">
        <f>E8/$E$17</f>
        <v>0.97895494164247598</v>
      </c>
      <c r="I8" s="10">
        <f>E8/'1'!$U$78</f>
        <v>0.16404505178008444</v>
      </c>
    </row>
    <row r="9" spans="1:9" ht="21" x14ac:dyDescent="0.55000000000000004">
      <c r="A9" s="2" t="s">
        <v>125</v>
      </c>
      <c r="C9" s="9" t="s">
        <v>124</v>
      </c>
      <c r="E9" s="6">
        <v>4798829524</v>
      </c>
      <c r="G9" s="10">
        <f>E9/$E$17</f>
        <v>2.0678466601061412E-2</v>
      </c>
      <c r="I9" s="10">
        <f>E9/'1'!$U$78</f>
        <v>3.4651238581139216E-3</v>
      </c>
    </row>
    <row r="10" spans="1:9" ht="21" x14ac:dyDescent="0.55000000000000004">
      <c r="A10" s="2" t="s">
        <v>127</v>
      </c>
      <c r="C10" s="9" t="s">
        <v>126</v>
      </c>
      <c r="E10" s="6">
        <v>85074555</v>
      </c>
      <c r="G10" s="10">
        <f>E10/$E$17</f>
        <v>3.6659175646258321E-4</v>
      </c>
      <c r="I10" s="10">
        <f>E10/'1'!$U$78</f>
        <v>6.1430369379573952E-5</v>
      </c>
    </row>
    <row r="11" spans="1:9" ht="21" x14ac:dyDescent="0.55000000000000004">
      <c r="A11" s="3" t="s">
        <v>92</v>
      </c>
      <c r="E11" s="7">
        <f>SUM(E8:$E$10)</f>
        <v>232068925447</v>
      </c>
      <c r="G11" s="11">
        <f>SUM(G8:$G$10)</f>
        <v>1</v>
      </c>
      <c r="I11" s="11">
        <f>SUM(I8:$I$10)</f>
        <v>0.16757160600757795</v>
      </c>
    </row>
    <row r="12" spans="1:9" ht="21" x14ac:dyDescent="0.55000000000000004">
      <c r="E12" s="8"/>
      <c r="G12" s="8"/>
      <c r="I12" s="8"/>
    </row>
    <row r="17" spans="5:5" x14ac:dyDescent="0.55000000000000004">
      <c r="E17" s="18">
        <v>232068925447</v>
      </c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U18"/>
  <sheetViews>
    <sheetView rightToLeft="1" tabSelected="1" view="pageBreakPreview" zoomScale="85" zoomScaleNormal="100" zoomScaleSheetLayoutView="85" workbookViewId="0">
      <selection activeCell="G88" sqref="G88"/>
    </sheetView>
  </sheetViews>
  <sheetFormatPr defaultRowHeight="19.5" x14ac:dyDescent="0.55000000000000004"/>
  <cols>
    <col min="1" max="1" width="25.140625" style="1" bestFit="1" customWidth="1"/>
    <col min="2" max="2" width="1.42578125" style="1" customWidth="1"/>
    <col min="3" max="3" width="12.7109375" style="1" bestFit="1" customWidth="1"/>
    <col min="4" max="4" width="1.42578125" style="1" customWidth="1"/>
    <col min="5" max="5" width="16.5703125" style="1" bestFit="1" customWidth="1"/>
    <col min="6" max="6" width="1.42578125" style="1" customWidth="1"/>
    <col min="7" max="7" width="10.85546875" style="1" bestFit="1" customWidth="1"/>
    <col min="8" max="8" width="1.42578125" style="1" customWidth="1"/>
    <col min="9" max="9" width="16.28515625" style="1" bestFit="1" customWidth="1"/>
    <col min="10" max="10" width="1.42578125" style="1" customWidth="1"/>
    <col min="11" max="11" width="13" style="1" bestFit="1" customWidth="1"/>
    <col min="12" max="12" width="1.42578125" style="1" customWidth="1"/>
    <col min="13" max="13" width="17.28515625" style="1" bestFit="1" customWidth="1"/>
    <col min="14" max="14" width="1.42578125" style="1" customWidth="1"/>
    <col min="15" max="15" width="16.28515625" style="1" bestFit="1" customWidth="1"/>
    <col min="16" max="16" width="1.42578125" style="1" customWidth="1"/>
    <col min="17" max="17" width="13" style="1" bestFit="1" customWidth="1"/>
    <col min="18" max="18" width="1.42578125" style="1" customWidth="1"/>
    <col min="19" max="19" width="17.28515625" style="1" bestFit="1" customWidth="1"/>
    <col min="20" max="16384" width="9.140625" style="1"/>
  </cols>
  <sheetData>
    <row r="1" spans="1:21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1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1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5" spans="1:21" ht="21" x14ac:dyDescent="0.55000000000000004">
      <c r="A5" s="27" t="s">
        <v>286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7" spans="1:21" ht="21" x14ac:dyDescent="0.55000000000000004">
      <c r="C7" s="21" t="s">
        <v>129</v>
      </c>
      <c r="D7" s="22"/>
      <c r="E7" s="22"/>
      <c r="F7" s="22"/>
      <c r="G7" s="22"/>
      <c r="I7" s="21" t="s">
        <v>204</v>
      </c>
      <c r="J7" s="22"/>
      <c r="K7" s="22"/>
      <c r="L7" s="22"/>
      <c r="M7" s="22"/>
      <c r="O7" s="21" t="s">
        <v>203</v>
      </c>
      <c r="P7" s="22"/>
      <c r="Q7" s="22"/>
      <c r="R7" s="22"/>
      <c r="S7" s="22"/>
    </row>
    <row r="8" spans="1:21" ht="42" x14ac:dyDescent="0.55000000000000004">
      <c r="A8" s="3" t="s">
        <v>93</v>
      </c>
      <c r="C8" s="4" t="s">
        <v>131</v>
      </c>
      <c r="E8" s="4" t="s">
        <v>132</v>
      </c>
      <c r="G8" s="4" t="s">
        <v>133</v>
      </c>
      <c r="I8" s="4" t="s">
        <v>134</v>
      </c>
      <c r="K8" s="4" t="s">
        <v>135</v>
      </c>
      <c r="M8" s="4" t="s">
        <v>136</v>
      </c>
      <c r="O8" s="4" t="s">
        <v>134</v>
      </c>
      <c r="Q8" s="4" t="s">
        <v>135</v>
      </c>
      <c r="S8" s="4" t="s">
        <v>136</v>
      </c>
    </row>
    <row r="9" spans="1:21" ht="21" x14ac:dyDescent="0.55000000000000004">
      <c r="A9" s="14" t="s">
        <v>37</v>
      </c>
      <c r="C9" s="9" t="s">
        <v>137</v>
      </c>
      <c r="E9" s="6">
        <v>1700000</v>
      </c>
      <c r="G9" s="6">
        <v>560</v>
      </c>
      <c r="N9" s="9"/>
      <c r="O9" s="6">
        <v>952000000</v>
      </c>
      <c r="Q9" s="6">
        <v>0</v>
      </c>
      <c r="S9" s="6">
        <v>952000000</v>
      </c>
      <c r="T9" s="1">
        <f>I9+K9-M9</f>
        <v>0</v>
      </c>
      <c r="U9" s="17">
        <f>O9+Q9-S9</f>
        <v>0</v>
      </c>
    </row>
    <row r="10" spans="1:21" ht="21" x14ac:dyDescent="0.55000000000000004">
      <c r="A10" s="14" t="s">
        <v>38</v>
      </c>
      <c r="C10" s="9" t="s">
        <v>138</v>
      </c>
      <c r="E10" s="6">
        <v>285750</v>
      </c>
      <c r="G10" s="6">
        <v>4400</v>
      </c>
      <c r="N10" s="9"/>
      <c r="O10" s="6">
        <v>1257300000</v>
      </c>
      <c r="Q10" s="6">
        <v>0</v>
      </c>
      <c r="S10" s="6">
        <v>1257300000</v>
      </c>
      <c r="T10" s="1">
        <f t="shared" ref="T10:T17" si="0">I10+K10-M10</f>
        <v>0</v>
      </c>
      <c r="U10" s="17">
        <f t="shared" ref="U10:U17" si="1">O10+Q10-S10</f>
        <v>0</v>
      </c>
    </row>
    <row r="11" spans="1:21" ht="21" x14ac:dyDescent="0.55000000000000004">
      <c r="A11" s="14" t="s">
        <v>40</v>
      </c>
      <c r="C11" s="9" t="s">
        <v>139</v>
      </c>
      <c r="E11" s="6">
        <v>900000</v>
      </c>
      <c r="G11" s="6">
        <v>325</v>
      </c>
      <c r="K11" s="6"/>
      <c r="N11" s="9"/>
      <c r="O11" s="6">
        <v>292500000</v>
      </c>
      <c r="Q11" s="6">
        <v>-30506135</v>
      </c>
      <c r="S11" s="6">
        <v>261993865</v>
      </c>
      <c r="T11" s="1">
        <f t="shared" si="0"/>
        <v>0</v>
      </c>
      <c r="U11" s="17">
        <f t="shared" si="1"/>
        <v>0</v>
      </c>
    </row>
    <row r="12" spans="1:21" ht="21" x14ac:dyDescent="0.55000000000000004">
      <c r="A12" s="14" t="s">
        <v>47</v>
      </c>
      <c r="C12" s="9" t="s">
        <v>140</v>
      </c>
      <c r="E12" s="6">
        <v>4279048</v>
      </c>
      <c r="G12" s="6">
        <v>1170</v>
      </c>
      <c r="N12" s="9"/>
      <c r="O12" s="6">
        <v>5006486160</v>
      </c>
      <c r="Q12" s="6">
        <v>0</v>
      </c>
      <c r="S12" s="6">
        <v>5006486160</v>
      </c>
      <c r="T12" s="1">
        <f t="shared" si="0"/>
        <v>0</v>
      </c>
      <c r="U12" s="17">
        <f t="shared" si="1"/>
        <v>0</v>
      </c>
    </row>
    <row r="13" spans="1:21" ht="21" x14ac:dyDescent="0.55000000000000004">
      <c r="A13" s="14" t="s">
        <v>48</v>
      </c>
      <c r="C13" s="9" t="s">
        <v>141</v>
      </c>
      <c r="E13" s="6">
        <v>1285714</v>
      </c>
      <c r="G13" s="6">
        <v>500</v>
      </c>
      <c r="N13" s="9"/>
      <c r="O13" s="6">
        <v>642857000</v>
      </c>
      <c r="Q13" s="6">
        <v>0</v>
      </c>
      <c r="S13" s="6">
        <v>642857000</v>
      </c>
      <c r="T13" s="1">
        <f t="shared" si="0"/>
        <v>0</v>
      </c>
      <c r="U13" s="17">
        <f t="shared" si="1"/>
        <v>0</v>
      </c>
    </row>
    <row r="14" spans="1:21" ht="21" x14ac:dyDescent="0.55000000000000004">
      <c r="A14" s="14" t="s">
        <v>53</v>
      </c>
      <c r="C14" s="9" t="s">
        <v>5</v>
      </c>
      <c r="E14" s="6">
        <v>2400000</v>
      </c>
      <c r="G14" s="6">
        <v>560</v>
      </c>
      <c r="I14" s="6">
        <v>1344000000</v>
      </c>
      <c r="K14" s="6">
        <v>0</v>
      </c>
      <c r="M14" s="6">
        <v>1344000000</v>
      </c>
      <c r="O14" s="6">
        <v>1344000000</v>
      </c>
      <c r="Q14" s="6">
        <v>0</v>
      </c>
      <c r="S14" s="6">
        <v>1344000000</v>
      </c>
      <c r="T14" s="1">
        <f t="shared" si="0"/>
        <v>0</v>
      </c>
      <c r="U14" s="17">
        <f t="shared" si="1"/>
        <v>0</v>
      </c>
    </row>
    <row r="15" spans="1:21" ht="21" x14ac:dyDescent="0.55000000000000004">
      <c r="A15" s="14" t="s">
        <v>75</v>
      </c>
      <c r="C15" s="9" t="s">
        <v>142</v>
      </c>
      <c r="E15" s="6">
        <v>607000</v>
      </c>
      <c r="G15" s="6">
        <v>7240</v>
      </c>
      <c r="N15" s="9"/>
      <c r="O15" s="6">
        <v>4394680000</v>
      </c>
      <c r="Q15" s="6">
        <v>0</v>
      </c>
      <c r="S15" s="6">
        <v>4394680000</v>
      </c>
      <c r="T15" s="1">
        <f t="shared" si="0"/>
        <v>0</v>
      </c>
      <c r="U15" s="17">
        <f t="shared" si="1"/>
        <v>0</v>
      </c>
    </row>
    <row r="16" spans="1:21" ht="21" x14ac:dyDescent="0.55000000000000004">
      <c r="A16" s="14" t="s">
        <v>84</v>
      </c>
      <c r="C16" s="9" t="s">
        <v>143</v>
      </c>
      <c r="E16" s="6">
        <v>350000</v>
      </c>
      <c r="G16" s="6">
        <v>5330</v>
      </c>
      <c r="I16" s="6">
        <v>1865500000</v>
      </c>
      <c r="K16" s="6">
        <v>-248142518</v>
      </c>
      <c r="M16" s="6">
        <v>1617357482</v>
      </c>
      <c r="O16" s="6">
        <v>1865500000</v>
      </c>
      <c r="Q16" s="6">
        <v>-248142518</v>
      </c>
      <c r="S16" s="6">
        <v>1617357482</v>
      </c>
      <c r="T16" s="1">
        <f t="shared" si="0"/>
        <v>0</v>
      </c>
      <c r="U16" s="17">
        <f t="shared" si="1"/>
        <v>0</v>
      </c>
    </row>
    <row r="17" spans="1:21" ht="21.75" thickBot="1" x14ac:dyDescent="0.6">
      <c r="A17" s="7" t="s">
        <v>92</v>
      </c>
      <c r="I17" s="29">
        <f>SUM(I9:$I$16)</f>
        <v>3209500000</v>
      </c>
      <c r="J17" s="30"/>
      <c r="K17" s="29">
        <f>SUM(K9:$K$16)</f>
        <v>-248142518</v>
      </c>
      <c r="L17" s="30"/>
      <c r="M17" s="29">
        <f>SUM(M9:$M$16)</f>
        <v>2961357482</v>
      </c>
      <c r="N17" s="30"/>
      <c r="O17" s="29">
        <f>SUM(O9:$O$16)</f>
        <v>15755323160</v>
      </c>
      <c r="P17" s="30"/>
      <c r="Q17" s="29">
        <f>SUM(Q9:$Q$16)</f>
        <v>-278648653</v>
      </c>
      <c r="S17" s="7">
        <f>SUM(S9:$S$16)</f>
        <v>15476674507</v>
      </c>
      <c r="T17" s="1">
        <f t="shared" si="0"/>
        <v>0</v>
      </c>
      <c r="U17" s="17">
        <f t="shared" si="1"/>
        <v>0</v>
      </c>
    </row>
    <row r="18" spans="1:21" ht="21" x14ac:dyDescent="0.55000000000000004">
      <c r="I18" s="8"/>
      <c r="K18" s="8"/>
      <c r="M18" s="8"/>
      <c r="O18" s="8"/>
      <c r="Q18" s="8"/>
      <c r="S18" s="8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17" right="0.17" top="0.75" bottom="0.75" header="0.3" footer="0.3"/>
  <pageSetup paperSize="9" scale="8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71D-8E3A-4729-9609-ADB469AC4E78}">
  <sheetPr>
    <tabColor rgb="FFFFFF00"/>
    <pageSetUpPr fitToPage="1"/>
  </sheetPr>
  <dimension ref="A1:Q134"/>
  <sheetViews>
    <sheetView rightToLeft="1" tabSelected="1" view="pageBreakPreview" zoomScale="70" zoomScaleNormal="100" zoomScaleSheetLayoutView="70" workbookViewId="0">
      <selection activeCell="G88" sqref="G88"/>
    </sheetView>
  </sheetViews>
  <sheetFormatPr defaultRowHeight="15" x14ac:dyDescent="0.25"/>
  <cols>
    <col min="1" max="1" width="29" style="34" bestFit="1" customWidth="1"/>
    <col min="2" max="2" width="1.42578125" style="34" customWidth="1"/>
    <col min="3" max="3" width="14" style="34" bestFit="1" customWidth="1"/>
    <col min="4" max="4" width="1.42578125" style="34" customWidth="1"/>
    <col min="5" max="5" width="19.7109375" style="34" bestFit="1" customWidth="1"/>
    <col min="6" max="6" width="1.42578125" style="34" customWidth="1"/>
    <col min="7" max="7" width="19.85546875" style="34" bestFit="1" customWidth="1"/>
    <col min="8" max="8" width="1.42578125" style="34" customWidth="1"/>
    <col min="9" max="9" width="17.7109375" style="34" bestFit="1" customWidth="1"/>
    <col min="10" max="10" width="1.42578125" style="34" customWidth="1"/>
    <col min="11" max="11" width="14" style="34" bestFit="1" customWidth="1"/>
    <col min="12" max="12" width="1.42578125" style="34" customWidth="1"/>
    <col min="13" max="13" width="19.7109375" style="34" bestFit="1" customWidth="1"/>
    <col min="14" max="14" width="1.42578125" style="34" customWidth="1"/>
    <col min="15" max="15" width="19.42578125" style="34" bestFit="1" customWidth="1"/>
    <col min="16" max="16" width="1.42578125" style="34" customWidth="1"/>
    <col min="17" max="17" width="17.7109375" style="49" bestFit="1" customWidth="1"/>
    <col min="18" max="16384" width="9.140625" style="34"/>
  </cols>
  <sheetData>
    <row r="1" spans="1:17" ht="20.100000000000001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20.100000000000001" customHeight="1" x14ac:dyDescent="0.25">
      <c r="A2" s="32" t="s">
        <v>116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20.100000000000001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5" spans="1:17" ht="21" x14ac:dyDescent="0.25">
      <c r="A5" s="50" t="s">
        <v>290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7" spans="1:17" ht="21" x14ac:dyDescent="0.25">
      <c r="C7" s="35" t="str">
        <f>'6'!C7:I7</f>
        <v>طی اردیبهشت ماه</v>
      </c>
      <c r="D7" s="36"/>
      <c r="E7" s="36"/>
      <c r="F7" s="36"/>
      <c r="G7" s="36"/>
      <c r="H7" s="36"/>
      <c r="I7" s="36"/>
      <c r="K7" s="37" t="str">
        <f>'6'!K7:Q7</f>
        <v>از ابتدای سال مالی تا پایان اردیبهشت ماه</v>
      </c>
      <c r="L7" s="36"/>
      <c r="M7" s="36"/>
      <c r="N7" s="36"/>
      <c r="O7" s="36"/>
      <c r="P7" s="36"/>
      <c r="Q7" s="36"/>
    </row>
    <row r="8" spans="1:17" ht="42" x14ac:dyDescent="0.25">
      <c r="A8" s="38" t="s">
        <v>118</v>
      </c>
      <c r="C8" s="39" t="s">
        <v>9</v>
      </c>
      <c r="E8" s="39" t="s">
        <v>11</v>
      </c>
      <c r="G8" s="39" t="s">
        <v>152</v>
      </c>
      <c r="I8" s="39" t="s">
        <v>164</v>
      </c>
      <c r="K8" s="39" t="s">
        <v>9</v>
      </c>
      <c r="M8" s="39" t="s">
        <v>11</v>
      </c>
      <c r="O8" s="39" t="s">
        <v>152</v>
      </c>
      <c r="Q8" s="46" t="s">
        <v>164</v>
      </c>
    </row>
    <row r="9" spans="1:17" ht="18.75" x14ac:dyDescent="0.25">
      <c r="A9" s="43" t="s">
        <v>29</v>
      </c>
      <c r="C9" s="40">
        <v>75000</v>
      </c>
      <c r="E9" s="40">
        <v>674711437</v>
      </c>
      <c r="G9" s="40">
        <v>583755862</v>
      </c>
      <c r="I9" s="40">
        <v>90955575</v>
      </c>
      <c r="K9" s="40">
        <v>75000</v>
      </c>
      <c r="M9" s="40">
        <v>674711437</v>
      </c>
      <c r="O9" s="40">
        <v>525487200</v>
      </c>
      <c r="Q9" s="45">
        <v>149224237</v>
      </c>
    </row>
    <row r="10" spans="1:17" ht="18.75" x14ac:dyDescent="0.25">
      <c r="A10" s="43" t="s">
        <v>30</v>
      </c>
      <c r="C10" s="40">
        <v>1000000</v>
      </c>
      <c r="E10" s="40">
        <v>5347989000</v>
      </c>
      <c r="G10" s="40">
        <v>4717761300</v>
      </c>
      <c r="I10" s="40">
        <v>630227700</v>
      </c>
      <c r="K10" s="40">
        <v>1000000</v>
      </c>
      <c r="M10" s="40">
        <v>5347989000</v>
      </c>
      <c r="O10" s="40">
        <v>4540820400</v>
      </c>
      <c r="Q10" s="45">
        <v>807168600</v>
      </c>
    </row>
    <row r="11" spans="1:17" ht="18.75" x14ac:dyDescent="0.25">
      <c r="A11" s="43" t="s">
        <v>31</v>
      </c>
      <c r="C11" s="40">
        <v>3242039</v>
      </c>
      <c r="E11" s="40">
        <v>14089858051</v>
      </c>
      <c r="G11" s="40">
        <v>10639153274</v>
      </c>
      <c r="I11" s="40">
        <v>3450704777</v>
      </c>
      <c r="K11" s="40">
        <v>3242039</v>
      </c>
      <c r="M11" s="40">
        <v>14089858051</v>
      </c>
      <c r="O11" s="40">
        <v>8475486086</v>
      </c>
      <c r="Q11" s="45">
        <v>5614371965</v>
      </c>
    </row>
    <row r="12" spans="1:17" ht="18.75" x14ac:dyDescent="0.25">
      <c r="A12" s="43" t="s">
        <v>32</v>
      </c>
      <c r="C12" s="40">
        <v>2700000</v>
      </c>
      <c r="E12" s="40">
        <v>10690113105</v>
      </c>
      <c r="G12" s="40">
        <v>11676408711</v>
      </c>
      <c r="I12" s="40">
        <v>-986295606</v>
      </c>
      <c r="K12" s="40">
        <v>2700000</v>
      </c>
      <c r="M12" s="40">
        <v>10690113105</v>
      </c>
      <c r="O12" s="40">
        <v>11676408711</v>
      </c>
      <c r="Q12" s="45">
        <v>-986295606</v>
      </c>
    </row>
    <row r="13" spans="1:17" ht="18.75" x14ac:dyDescent="0.25">
      <c r="A13" s="43" t="s">
        <v>33</v>
      </c>
      <c r="C13" s="40">
        <v>75670591</v>
      </c>
      <c r="E13" s="40">
        <v>45959634451</v>
      </c>
      <c r="G13" s="40">
        <v>36046191132</v>
      </c>
      <c r="I13" s="40">
        <v>9913443319</v>
      </c>
      <c r="K13" s="40">
        <v>75670591</v>
      </c>
      <c r="M13" s="40">
        <v>45959634451</v>
      </c>
      <c r="O13" s="40">
        <v>32881630396</v>
      </c>
      <c r="Q13" s="45">
        <v>13078004055</v>
      </c>
    </row>
    <row r="14" spans="1:17" ht="18.75" x14ac:dyDescent="0.25">
      <c r="A14" s="43" t="s">
        <v>34</v>
      </c>
      <c r="C14" s="40">
        <v>38066235</v>
      </c>
      <c r="E14" s="40">
        <v>22022729205</v>
      </c>
      <c r="G14" s="40">
        <v>24896711114</v>
      </c>
      <c r="I14" s="40">
        <v>-2873981909</v>
      </c>
      <c r="K14" s="40">
        <v>38066235</v>
      </c>
      <c r="M14" s="40">
        <v>22022729205</v>
      </c>
      <c r="O14" s="40">
        <v>16572938428</v>
      </c>
      <c r="Q14" s="45">
        <v>5449790777</v>
      </c>
    </row>
    <row r="15" spans="1:17" ht="18.75" x14ac:dyDescent="0.25">
      <c r="A15" s="43" t="s">
        <v>35</v>
      </c>
      <c r="C15" s="40">
        <v>53560926</v>
      </c>
      <c r="E15" s="40">
        <v>35193119642</v>
      </c>
      <c r="G15" s="40">
        <v>35098016973</v>
      </c>
      <c r="I15" s="40">
        <v>95102669</v>
      </c>
      <c r="K15" s="40">
        <v>53560926</v>
      </c>
      <c r="M15" s="40">
        <v>35193119642</v>
      </c>
      <c r="O15" s="40">
        <v>34956720664</v>
      </c>
      <c r="Q15" s="45">
        <v>236398978</v>
      </c>
    </row>
    <row r="16" spans="1:17" ht="18.75" x14ac:dyDescent="0.25">
      <c r="A16" s="43" t="s">
        <v>36</v>
      </c>
      <c r="C16" s="40">
        <v>25392957</v>
      </c>
      <c r="E16" s="40">
        <v>66007487189</v>
      </c>
      <c r="G16" s="40">
        <v>73479080385</v>
      </c>
      <c r="I16" s="40">
        <v>-7471593196</v>
      </c>
      <c r="K16" s="40">
        <v>25392957</v>
      </c>
      <c r="M16" s="40">
        <v>66007487189</v>
      </c>
      <c r="O16" s="40">
        <v>48018380490</v>
      </c>
      <c r="Q16" s="45">
        <v>17989106699</v>
      </c>
    </row>
    <row r="17" spans="1:17" ht="18.75" x14ac:dyDescent="0.25">
      <c r="A17" s="43" t="s">
        <v>37</v>
      </c>
      <c r="C17" s="40">
        <v>1700000</v>
      </c>
      <c r="E17" s="40">
        <v>7513228710</v>
      </c>
      <c r="G17" s="40">
        <v>6766299540</v>
      </c>
      <c r="I17" s="40">
        <v>746929170</v>
      </c>
      <c r="K17" s="40">
        <v>1700000</v>
      </c>
      <c r="M17" s="40">
        <v>7513228710</v>
      </c>
      <c r="O17" s="40">
        <v>9023985900</v>
      </c>
      <c r="Q17" s="45">
        <v>-1510757190</v>
      </c>
    </row>
    <row r="18" spans="1:17" ht="18.75" x14ac:dyDescent="0.25">
      <c r="A18" s="43" t="s">
        <v>38</v>
      </c>
      <c r="C18" s="40">
        <v>285750</v>
      </c>
      <c r="E18" s="40">
        <v>15693750759</v>
      </c>
      <c r="G18" s="40">
        <v>15253473589</v>
      </c>
      <c r="I18" s="40">
        <v>440277170</v>
      </c>
      <c r="K18" s="40">
        <v>285750</v>
      </c>
      <c r="M18" s="40">
        <v>15693750759</v>
      </c>
      <c r="O18" s="40">
        <v>13013430474</v>
      </c>
      <c r="Q18" s="45">
        <v>2680320285</v>
      </c>
    </row>
    <row r="19" spans="1:17" ht="18.75" x14ac:dyDescent="0.25">
      <c r="A19" s="43" t="s">
        <v>39</v>
      </c>
      <c r="C19" s="40">
        <v>6603333</v>
      </c>
      <c r="E19" s="40">
        <v>15635550828</v>
      </c>
      <c r="G19" s="40">
        <v>16777694339</v>
      </c>
      <c r="I19" s="40">
        <v>-1142143511</v>
      </c>
      <c r="K19" s="40">
        <v>6603333</v>
      </c>
      <c r="M19" s="40">
        <v>15635550828</v>
      </c>
      <c r="O19" s="40">
        <v>18202576065</v>
      </c>
      <c r="Q19" s="45">
        <v>-2567025237</v>
      </c>
    </row>
    <row r="20" spans="1:17" ht="18.75" x14ac:dyDescent="0.25">
      <c r="A20" s="43" t="s">
        <v>40</v>
      </c>
      <c r="C20" s="40">
        <v>900000</v>
      </c>
      <c r="E20" s="40">
        <v>3436331445</v>
      </c>
      <c r="G20" s="40">
        <v>3117837825</v>
      </c>
      <c r="I20" s="40">
        <v>318493620</v>
      </c>
      <c r="K20" s="40">
        <v>900000</v>
      </c>
      <c r="M20" s="40">
        <v>3436331445</v>
      </c>
      <c r="O20" s="40">
        <v>2932719040</v>
      </c>
      <c r="Q20" s="45">
        <v>503612405</v>
      </c>
    </row>
    <row r="21" spans="1:17" ht="18.75" x14ac:dyDescent="0.25">
      <c r="A21" s="43" t="s">
        <v>41</v>
      </c>
      <c r="C21" s="40">
        <v>800000</v>
      </c>
      <c r="E21" s="40">
        <v>5916585600</v>
      </c>
      <c r="G21" s="40">
        <v>5415584400</v>
      </c>
      <c r="I21" s="40">
        <v>501001200</v>
      </c>
      <c r="K21" s="40">
        <v>800000</v>
      </c>
      <c r="M21" s="40">
        <v>5916585600</v>
      </c>
      <c r="O21" s="40">
        <v>5232679200</v>
      </c>
      <c r="Q21" s="45">
        <v>683906400</v>
      </c>
    </row>
    <row r="22" spans="1:17" ht="18.75" x14ac:dyDescent="0.25">
      <c r="A22" s="43" t="s">
        <v>42</v>
      </c>
      <c r="C22" s="40">
        <v>28192301</v>
      </c>
      <c r="E22" s="40">
        <v>15413506245</v>
      </c>
      <c r="G22" s="40">
        <v>9976742224</v>
      </c>
      <c r="I22" s="40">
        <v>5436764021</v>
      </c>
      <c r="K22" s="40">
        <v>28192301</v>
      </c>
      <c r="M22" s="40">
        <v>15413506245</v>
      </c>
      <c r="O22" s="40">
        <v>9709785882</v>
      </c>
      <c r="Q22" s="45">
        <v>5703720363</v>
      </c>
    </row>
    <row r="23" spans="1:17" ht="18.75" x14ac:dyDescent="0.25">
      <c r="A23" s="43" t="s">
        <v>44</v>
      </c>
      <c r="C23" s="40">
        <v>40600000</v>
      </c>
      <c r="E23" s="40">
        <v>67398578100</v>
      </c>
      <c r="G23" s="40">
        <v>63111777715</v>
      </c>
      <c r="I23" s="40">
        <v>4286800385</v>
      </c>
      <c r="K23" s="40">
        <v>40600000</v>
      </c>
      <c r="M23" s="40">
        <v>67398578100</v>
      </c>
      <c r="O23" s="40">
        <v>59510273778</v>
      </c>
      <c r="Q23" s="45">
        <v>7888304322</v>
      </c>
    </row>
    <row r="24" spans="1:17" ht="18.75" x14ac:dyDescent="0.25">
      <c r="A24" s="43" t="s">
        <v>45</v>
      </c>
      <c r="C24" s="40">
        <v>600000</v>
      </c>
      <c r="E24" s="40">
        <v>17845185600</v>
      </c>
      <c r="G24" s="40">
        <v>15429756886</v>
      </c>
      <c r="I24" s="40">
        <v>2415428714</v>
      </c>
      <c r="K24" s="40">
        <v>600000</v>
      </c>
      <c r="M24" s="40">
        <v>17845185600</v>
      </c>
      <c r="O24" s="40">
        <v>16040071563</v>
      </c>
      <c r="Q24" s="45">
        <v>1805114037</v>
      </c>
    </row>
    <row r="25" spans="1:17" ht="18.75" x14ac:dyDescent="0.25">
      <c r="A25" s="43" t="s">
        <v>46</v>
      </c>
      <c r="C25" s="40">
        <v>1288004</v>
      </c>
      <c r="E25" s="40">
        <v>16324339797</v>
      </c>
      <c r="G25" s="40">
        <v>18540492110</v>
      </c>
      <c r="I25" s="40">
        <v>-2216152313</v>
      </c>
      <c r="K25" s="40">
        <v>1288004</v>
      </c>
      <c r="M25" s="40">
        <v>16324339797</v>
      </c>
      <c r="O25" s="40">
        <v>15830540555</v>
      </c>
      <c r="Q25" s="45">
        <v>493799242</v>
      </c>
    </row>
    <row r="26" spans="1:17" ht="18.75" x14ac:dyDescent="0.25">
      <c r="A26" s="43" t="s">
        <v>47</v>
      </c>
      <c r="C26" s="40">
        <v>5300000</v>
      </c>
      <c r="E26" s="40">
        <v>57004791300</v>
      </c>
      <c r="G26" s="40">
        <v>57785802696</v>
      </c>
      <c r="I26" s="40">
        <v>-781011396</v>
      </c>
      <c r="K26" s="40">
        <v>5300000</v>
      </c>
      <c r="M26" s="40">
        <v>57004791300</v>
      </c>
      <c r="O26" s="40">
        <v>56816603946</v>
      </c>
      <c r="Q26" s="45">
        <v>188187354</v>
      </c>
    </row>
    <row r="27" spans="1:17" ht="18.75" x14ac:dyDescent="0.25">
      <c r="A27" s="43" t="s">
        <v>48</v>
      </c>
      <c r="C27" s="40">
        <v>1285714</v>
      </c>
      <c r="E27" s="40">
        <v>7144377770</v>
      </c>
      <c r="G27" s="40">
        <v>6304689720</v>
      </c>
      <c r="I27" s="40">
        <v>839688050</v>
      </c>
      <c r="K27" s="40">
        <v>1285714</v>
      </c>
      <c r="M27" s="40">
        <v>7144377770</v>
      </c>
      <c r="O27" s="40">
        <v>6317569321</v>
      </c>
      <c r="Q27" s="45">
        <v>826808449</v>
      </c>
    </row>
    <row r="28" spans="1:17" ht="18.75" x14ac:dyDescent="0.25">
      <c r="A28" s="43" t="s">
        <v>49</v>
      </c>
      <c r="C28" s="40">
        <v>1500000</v>
      </c>
      <c r="E28" s="40">
        <v>5552763300</v>
      </c>
      <c r="G28" s="40">
        <v>4654315200</v>
      </c>
      <c r="I28" s="40">
        <v>898448100</v>
      </c>
      <c r="K28" s="40">
        <v>1500000</v>
      </c>
      <c r="M28" s="40">
        <v>5552763300</v>
      </c>
      <c r="O28" s="40">
        <v>4654315200</v>
      </c>
      <c r="Q28" s="45">
        <v>898448100</v>
      </c>
    </row>
    <row r="29" spans="1:17" ht="18.75" x14ac:dyDescent="0.25">
      <c r="A29" s="43" t="s">
        <v>50</v>
      </c>
      <c r="C29" s="40">
        <v>3250000</v>
      </c>
      <c r="E29" s="40">
        <v>4371086362</v>
      </c>
      <c r="G29" s="40">
        <v>5077622550</v>
      </c>
      <c r="I29" s="40">
        <v>-706536188</v>
      </c>
      <c r="K29" s="40">
        <v>3250000</v>
      </c>
      <c r="M29" s="40">
        <v>4371086362</v>
      </c>
      <c r="O29" s="40">
        <v>3903619200</v>
      </c>
      <c r="Q29" s="45">
        <v>467467162</v>
      </c>
    </row>
    <row r="30" spans="1:17" ht="18.75" x14ac:dyDescent="0.25">
      <c r="A30" s="43" t="s">
        <v>51</v>
      </c>
      <c r="C30" s="40">
        <v>2500000</v>
      </c>
      <c r="E30" s="40">
        <v>31362277500</v>
      </c>
      <c r="G30" s="40">
        <v>26451399086</v>
      </c>
      <c r="I30" s="40">
        <v>4910878414</v>
      </c>
      <c r="K30" s="40">
        <v>2500000</v>
      </c>
      <c r="M30" s="40">
        <v>31362277500</v>
      </c>
      <c r="O30" s="40">
        <v>24416538470</v>
      </c>
      <c r="Q30" s="45">
        <v>6945739030</v>
      </c>
    </row>
    <row r="31" spans="1:17" ht="18.75" x14ac:dyDescent="0.25">
      <c r="A31" s="43" t="s">
        <v>53</v>
      </c>
      <c r="C31" s="40">
        <v>2400000</v>
      </c>
      <c r="E31" s="40">
        <v>7405274880</v>
      </c>
      <c r="G31" s="40">
        <v>9984238200</v>
      </c>
      <c r="I31" s="40">
        <v>-2578963320</v>
      </c>
      <c r="K31" s="40">
        <v>2400000</v>
      </c>
      <c r="M31" s="40">
        <v>7405274880</v>
      </c>
      <c r="O31" s="40">
        <v>11806928280</v>
      </c>
      <c r="Q31" s="45">
        <v>-4401653400</v>
      </c>
    </row>
    <row r="32" spans="1:17" ht="18.75" x14ac:dyDescent="0.25">
      <c r="A32" s="43" t="s">
        <v>54</v>
      </c>
      <c r="C32" s="40">
        <v>249999</v>
      </c>
      <c r="E32" s="40">
        <v>2283820740</v>
      </c>
      <c r="G32" s="40">
        <v>2057504652</v>
      </c>
      <c r="I32" s="40">
        <v>226316088</v>
      </c>
      <c r="K32" s="40">
        <v>249999</v>
      </c>
      <c r="M32" s="40">
        <v>2283820740</v>
      </c>
      <c r="O32" s="40">
        <v>1867954462</v>
      </c>
      <c r="Q32" s="45">
        <v>415866278</v>
      </c>
    </row>
    <row r="33" spans="1:17" ht="18.75" x14ac:dyDescent="0.25">
      <c r="A33" s="43" t="s">
        <v>55</v>
      </c>
      <c r="C33" s="40">
        <v>1500000</v>
      </c>
      <c r="E33" s="40">
        <v>7082606250</v>
      </c>
      <c r="G33" s="40">
        <v>6924552300</v>
      </c>
      <c r="I33" s="40">
        <v>158053950</v>
      </c>
      <c r="K33" s="40">
        <v>1500000</v>
      </c>
      <c r="M33" s="40">
        <v>7082606250</v>
      </c>
      <c r="O33" s="40">
        <v>4654315200</v>
      </c>
      <c r="Q33" s="45">
        <v>2428291050</v>
      </c>
    </row>
    <row r="34" spans="1:17" ht="18.75" x14ac:dyDescent="0.25">
      <c r="A34" s="43" t="s">
        <v>56</v>
      </c>
      <c r="C34" s="40">
        <v>13266666</v>
      </c>
      <c r="E34" s="40">
        <v>114733245235</v>
      </c>
      <c r="G34" s="40">
        <v>119612705089</v>
      </c>
      <c r="I34" s="40">
        <v>-4879459854</v>
      </c>
      <c r="K34" s="40">
        <v>13266666</v>
      </c>
      <c r="M34" s="40">
        <v>114733245235</v>
      </c>
      <c r="O34" s="40">
        <v>91140183834</v>
      </c>
      <c r="Q34" s="45">
        <v>23593061401</v>
      </c>
    </row>
    <row r="35" spans="1:17" ht="18.75" x14ac:dyDescent="0.25">
      <c r="A35" s="43" t="s">
        <v>57</v>
      </c>
      <c r="C35" s="40">
        <v>650000</v>
      </c>
      <c r="E35" s="40">
        <v>15623483850</v>
      </c>
      <c r="G35" s="40">
        <v>16683141150</v>
      </c>
      <c r="I35" s="40">
        <v>-1059657300</v>
      </c>
      <c r="K35" s="40">
        <v>650000</v>
      </c>
      <c r="M35" s="40">
        <v>15623483850</v>
      </c>
      <c r="O35" s="40">
        <v>14822279550</v>
      </c>
      <c r="Q35" s="45">
        <v>801204300</v>
      </c>
    </row>
    <row r="36" spans="1:17" ht="18.75" x14ac:dyDescent="0.25">
      <c r="A36" s="43" t="s">
        <v>59</v>
      </c>
      <c r="C36" s="40">
        <v>20766211</v>
      </c>
      <c r="E36" s="40">
        <v>77802155556</v>
      </c>
      <c r="G36" s="40">
        <v>89816179046</v>
      </c>
      <c r="I36" s="40">
        <v>-12014023490</v>
      </c>
      <c r="K36" s="40">
        <v>20766211</v>
      </c>
      <c r="M36" s="40">
        <v>77802155556</v>
      </c>
      <c r="O36" s="40">
        <v>86718517330</v>
      </c>
      <c r="Q36" s="45">
        <v>-8916361774</v>
      </c>
    </row>
    <row r="37" spans="1:17" ht="18.75" x14ac:dyDescent="0.25">
      <c r="A37" s="43" t="s">
        <v>60</v>
      </c>
      <c r="C37" s="40">
        <v>1800000</v>
      </c>
      <c r="E37" s="40">
        <v>7337878290</v>
      </c>
      <c r="G37" s="40">
        <v>7757852041</v>
      </c>
      <c r="I37" s="40">
        <v>-419973751</v>
      </c>
      <c r="K37" s="40">
        <v>1800000</v>
      </c>
      <c r="M37" s="40">
        <v>7337878290</v>
      </c>
      <c r="O37" s="40">
        <v>7757852041</v>
      </c>
      <c r="Q37" s="45">
        <v>-419973751</v>
      </c>
    </row>
    <row r="38" spans="1:17" ht="18.75" x14ac:dyDescent="0.25">
      <c r="A38" s="43" t="s">
        <v>61</v>
      </c>
      <c r="C38" s="40">
        <v>200000</v>
      </c>
      <c r="E38" s="40">
        <v>2954316600</v>
      </c>
      <c r="G38" s="40">
        <v>3019923900</v>
      </c>
      <c r="I38" s="40">
        <v>-65607300</v>
      </c>
      <c r="K38" s="40">
        <v>200000</v>
      </c>
      <c r="M38" s="40">
        <v>2954316600</v>
      </c>
      <c r="O38" s="40">
        <v>3632258700</v>
      </c>
      <c r="Q38" s="45">
        <v>-677942100</v>
      </c>
    </row>
    <row r="39" spans="1:17" ht="18.75" x14ac:dyDescent="0.25">
      <c r="A39" s="43" t="s">
        <v>62</v>
      </c>
      <c r="C39" s="40">
        <v>1641844</v>
      </c>
      <c r="E39" s="40">
        <v>21314899868</v>
      </c>
      <c r="G39" s="40">
        <v>22767446643</v>
      </c>
      <c r="I39" s="40">
        <v>-1452546775</v>
      </c>
      <c r="K39" s="40">
        <v>1641844</v>
      </c>
      <c r="M39" s="40">
        <v>21314899868</v>
      </c>
      <c r="O39" s="40">
        <v>18663728023</v>
      </c>
      <c r="Q39" s="45">
        <v>2651171845</v>
      </c>
    </row>
    <row r="40" spans="1:17" ht="18.75" x14ac:dyDescent="0.25">
      <c r="A40" s="43" t="s">
        <v>63</v>
      </c>
      <c r="C40" s="40">
        <v>200000</v>
      </c>
      <c r="E40" s="40">
        <v>2324088900</v>
      </c>
      <c r="G40" s="40">
        <v>2340169658</v>
      </c>
      <c r="I40" s="40">
        <v>-16080758</v>
      </c>
      <c r="K40" s="40">
        <v>200000</v>
      </c>
      <c r="M40" s="40">
        <v>2324088900</v>
      </c>
      <c r="O40" s="40">
        <v>2340169658</v>
      </c>
      <c r="Q40" s="45">
        <v>-16080758</v>
      </c>
    </row>
    <row r="41" spans="1:17" ht="18.75" x14ac:dyDescent="0.25">
      <c r="A41" s="43" t="s">
        <v>64</v>
      </c>
      <c r="C41" s="40">
        <v>29010652</v>
      </c>
      <c r="E41" s="40">
        <v>20417331343</v>
      </c>
      <c r="G41" s="40">
        <v>16752899701</v>
      </c>
      <c r="I41" s="40">
        <v>3664431642</v>
      </c>
      <c r="K41" s="40">
        <v>29010652</v>
      </c>
      <c r="M41" s="40">
        <v>20417331343</v>
      </c>
      <c r="O41" s="40">
        <v>17878019607</v>
      </c>
      <c r="Q41" s="45">
        <v>2539311736</v>
      </c>
    </row>
    <row r="42" spans="1:17" ht="18.75" x14ac:dyDescent="0.25">
      <c r="A42" s="43" t="s">
        <v>65</v>
      </c>
      <c r="C42" s="40">
        <v>1000000</v>
      </c>
      <c r="E42" s="40">
        <v>17624506500</v>
      </c>
      <c r="G42" s="40">
        <v>14843574708</v>
      </c>
      <c r="I42" s="40">
        <v>2780931792</v>
      </c>
      <c r="K42" s="40">
        <v>1000000</v>
      </c>
      <c r="M42" s="40">
        <v>17624506500</v>
      </c>
      <c r="O42" s="40">
        <v>16415148388</v>
      </c>
      <c r="Q42" s="45">
        <v>1209358112</v>
      </c>
    </row>
    <row r="43" spans="1:17" ht="18.75" x14ac:dyDescent="0.25">
      <c r="A43" s="43" t="s">
        <v>67</v>
      </c>
      <c r="C43" s="40">
        <v>175000</v>
      </c>
      <c r="E43" s="40">
        <v>8576166375</v>
      </c>
      <c r="G43" s="40">
        <v>7819445812</v>
      </c>
      <c r="I43" s="40">
        <v>756720563</v>
      </c>
      <c r="K43" s="40">
        <v>175000</v>
      </c>
      <c r="M43" s="40">
        <v>8576166375</v>
      </c>
      <c r="O43" s="40">
        <v>7181514900</v>
      </c>
      <c r="Q43" s="45">
        <v>1394651475</v>
      </c>
    </row>
    <row r="44" spans="1:17" ht="18.75" x14ac:dyDescent="0.25">
      <c r="A44" s="43" t="s">
        <v>68</v>
      </c>
      <c r="C44" s="40">
        <v>15238461</v>
      </c>
      <c r="E44" s="40">
        <v>103156464590</v>
      </c>
      <c r="G44" s="40">
        <v>109263192660</v>
      </c>
      <c r="I44" s="40">
        <v>-6106728070</v>
      </c>
      <c r="K44" s="40">
        <v>15238461</v>
      </c>
      <c r="M44" s="40">
        <v>103156464590</v>
      </c>
      <c r="O44" s="40">
        <v>88783376940</v>
      </c>
      <c r="Q44" s="45">
        <v>14373087650</v>
      </c>
    </row>
    <row r="45" spans="1:17" ht="18.75" x14ac:dyDescent="0.25">
      <c r="A45" s="43" t="s">
        <v>69</v>
      </c>
      <c r="C45" s="40">
        <v>1164500</v>
      </c>
      <c r="E45" s="40">
        <v>19343015170</v>
      </c>
      <c r="G45" s="40">
        <v>18301746007</v>
      </c>
      <c r="I45" s="40">
        <v>1041269163</v>
      </c>
      <c r="K45" s="40">
        <v>1164500</v>
      </c>
      <c r="M45" s="40">
        <v>19343015170</v>
      </c>
      <c r="O45" s="40">
        <v>16528576490</v>
      </c>
      <c r="Q45" s="45">
        <v>2814438680</v>
      </c>
    </row>
    <row r="46" spans="1:17" ht="18.75" x14ac:dyDescent="0.25">
      <c r="A46" s="43" t="s">
        <v>70</v>
      </c>
      <c r="C46" s="40">
        <v>14200000</v>
      </c>
      <c r="E46" s="40">
        <v>59990917500</v>
      </c>
      <c r="G46" s="40">
        <v>52453235160</v>
      </c>
      <c r="I46" s="40">
        <v>7537682340</v>
      </c>
      <c r="K46" s="40">
        <v>14200000</v>
      </c>
      <c r="M46" s="40">
        <v>59990917500</v>
      </c>
      <c r="O46" s="40">
        <v>47843626500</v>
      </c>
      <c r="Q46" s="45">
        <v>12147291000</v>
      </c>
    </row>
    <row r="47" spans="1:17" ht="18.75" x14ac:dyDescent="0.25">
      <c r="A47" s="43" t="s">
        <v>71</v>
      </c>
      <c r="C47" s="40">
        <v>1000000</v>
      </c>
      <c r="E47" s="40">
        <v>10517049000</v>
      </c>
      <c r="G47" s="40">
        <v>10231098606</v>
      </c>
      <c r="I47" s="40">
        <v>285950394</v>
      </c>
      <c r="K47" s="40">
        <v>1000000</v>
      </c>
      <c r="M47" s="40">
        <v>10517049000</v>
      </c>
      <c r="O47" s="40">
        <v>9995266963</v>
      </c>
      <c r="Q47" s="45">
        <v>521782037</v>
      </c>
    </row>
    <row r="48" spans="1:17" ht="18.75" x14ac:dyDescent="0.25">
      <c r="A48" s="43" t="s">
        <v>72</v>
      </c>
      <c r="C48" s="40">
        <v>400000</v>
      </c>
      <c r="E48" s="40">
        <v>7236684000</v>
      </c>
      <c r="G48" s="40">
        <v>5825133000</v>
      </c>
      <c r="I48" s="40">
        <v>1411551000</v>
      </c>
      <c r="K48" s="40">
        <v>400000</v>
      </c>
      <c r="M48" s="40">
        <v>7236684000</v>
      </c>
      <c r="O48" s="40">
        <v>6508744501</v>
      </c>
      <c r="Q48" s="45">
        <v>727939499</v>
      </c>
    </row>
    <row r="49" spans="1:17" ht="18.75" x14ac:dyDescent="0.25">
      <c r="A49" s="43" t="s">
        <v>73</v>
      </c>
      <c r="C49" s="40">
        <v>650000</v>
      </c>
      <c r="E49" s="40">
        <v>15500718675</v>
      </c>
      <c r="G49" s="40">
        <v>12534970500</v>
      </c>
      <c r="I49" s="40">
        <v>2965748175</v>
      </c>
      <c r="K49" s="40">
        <v>650000</v>
      </c>
      <c r="M49" s="40">
        <v>15500718675</v>
      </c>
      <c r="O49" s="40">
        <v>10809035837</v>
      </c>
      <c r="Q49" s="45">
        <v>4691682838</v>
      </c>
    </row>
    <row r="50" spans="1:17" ht="18.75" x14ac:dyDescent="0.25">
      <c r="A50" s="43" t="s">
        <v>74</v>
      </c>
      <c r="C50" s="40">
        <v>6485981</v>
      </c>
      <c r="E50" s="40">
        <v>17775452612</v>
      </c>
      <c r="G50" s="40">
        <v>15912157071</v>
      </c>
      <c r="I50" s="40">
        <v>1863295541</v>
      </c>
      <c r="K50" s="40">
        <v>6485981</v>
      </c>
      <c r="M50" s="40">
        <v>17775452612</v>
      </c>
      <c r="O50" s="40">
        <v>13744591464</v>
      </c>
      <c r="Q50" s="45">
        <v>4030861148</v>
      </c>
    </row>
    <row r="51" spans="1:17" ht="18.75" x14ac:dyDescent="0.25">
      <c r="A51" s="43" t="s">
        <v>75</v>
      </c>
      <c r="C51" s="40">
        <v>500000</v>
      </c>
      <c r="E51" s="40">
        <v>30810579750</v>
      </c>
      <c r="G51" s="40">
        <v>31854332250</v>
      </c>
      <c r="I51" s="40">
        <v>-1043752500</v>
      </c>
      <c r="K51" s="40">
        <v>500000</v>
      </c>
      <c r="M51" s="40">
        <v>30810579750</v>
      </c>
      <c r="O51" s="40">
        <v>30005399249</v>
      </c>
      <c r="Q51" s="45">
        <v>805180501</v>
      </c>
    </row>
    <row r="52" spans="1:17" ht="18.75" x14ac:dyDescent="0.25">
      <c r="A52" s="43" t="s">
        <v>76</v>
      </c>
      <c r="C52" s="40">
        <v>4850000</v>
      </c>
      <c r="E52" s="40">
        <v>25600266675</v>
      </c>
      <c r="G52" s="40">
        <v>22639729212</v>
      </c>
      <c r="I52" s="40">
        <v>2960537463</v>
      </c>
      <c r="K52" s="40">
        <v>4850000</v>
      </c>
      <c r="M52" s="40">
        <v>25600266675</v>
      </c>
      <c r="O52" s="40">
        <v>21701967809</v>
      </c>
      <c r="Q52" s="45">
        <v>3898298866</v>
      </c>
    </row>
    <row r="53" spans="1:17" ht="18.75" x14ac:dyDescent="0.25">
      <c r="A53" s="43" t="s">
        <v>77</v>
      </c>
      <c r="C53" s="40">
        <v>220000</v>
      </c>
      <c r="E53" s="40">
        <v>16379955900</v>
      </c>
      <c r="G53" s="40">
        <v>19109219580</v>
      </c>
      <c r="I53" s="40">
        <v>-2729263680</v>
      </c>
      <c r="K53" s="40">
        <v>220000</v>
      </c>
      <c r="M53" s="40">
        <v>16379955900</v>
      </c>
      <c r="O53" s="40">
        <v>14183749608</v>
      </c>
      <c r="Q53" s="45">
        <v>2196206292</v>
      </c>
    </row>
    <row r="54" spans="1:17" ht="18.75" x14ac:dyDescent="0.25">
      <c r="A54" s="43" t="s">
        <v>78</v>
      </c>
      <c r="C54" s="40">
        <v>227029</v>
      </c>
      <c r="E54" s="40">
        <v>15899027601</v>
      </c>
      <c r="G54" s="40">
        <v>16415830628</v>
      </c>
      <c r="I54" s="40">
        <v>-516803027</v>
      </c>
      <c r="K54" s="40">
        <v>227029</v>
      </c>
      <c r="M54" s="40">
        <v>15899027601</v>
      </c>
      <c r="O54" s="40">
        <v>11577290503</v>
      </c>
      <c r="Q54" s="45">
        <v>4321737098</v>
      </c>
    </row>
    <row r="55" spans="1:17" ht="18.75" x14ac:dyDescent="0.25">
      <c r="A55" s="43" t="s">
        <v>79</v>
      </c>
      <c r="C55" s="40">
        <v>400000</v>
      </c>
      <c r="E55" s="40">
        <v>14421677400</v>
      </c>
      <c r="G55" s="40">
        <v>16481349000</v>
      </c>
      <c r="I55" s="40">
        <v>-2059671600</v>
      </c>
      <c r="K55" s="40">
        <v>400000</v>
      </c>
      <c r="M55" s="40">
        <v>14421677400</v>
      </c>
      <c r="O55" s="40">
        <v>14190122526</v>
      </c>
      <c r="Q55" s="45">
        <v>231554874</v>
      </c>
    </row>
    <row r="56" spans="1:17" ht="18.75" x14ac:dyDescent="0.25">
      <c r="A56" s="43" t="s">
        <v>80</v>
      </c>
      <c r="C56" s="40">
        <v>924900</v>
      </c>
      <c r="E56" s="40">
        <v>44287346024</v>
      </c>
      <c r="G56" s="40">
        <v>52258516670</v>
      </c>
      <c r="I56" s="40">
        <v>-7971170646</v>
      </c>
      <c r="K56" s="40">
        <v>924900</v>
      </c>
      <c r="M56" s="40">
        <v>44287346024</v>
      </c>
      <c r="O56" s="40">
        <v>30816321742</v>
      </c>
      <c r="Q56" s="45">
        <v>13471024282</v>
      </c>
    </row>
    <row r="57" spans="1:17" ht="18.75" x14ac:dyDescent="0.25">
      <c r="A57" s="43" t="s">
        <v>81</v>
      </c>
      <c r="C57" s="40">
        <v>5400000</v>
      </c>
      <c r="E57" s="40">
        <v>19855751130</v>
      </c>
      <c r="G57" s="40">
        <v>22126360140</v>
      </c>
      <c r="I57" s="40">
        <v>-2270609010</v>
      </c>
      <c r="K57" s="40">
        <v>5400000</v>
      </c>
      <c r="M57" s="40">
        <v>19855751130</v>
      </c>
      <c r="O57" s="40">
        <v>16905321117</v>
      </c>
      <c r="Q57" s="45">
        <v>2950430013</v>
      </c>
    </row>
    <row r="58" spans="1:17" ht="18.75" x14ac:dyDescent="0.25">
      <c r="A58" s="43" t="s">
        <v>82</v>
      </c>
      <c r="C58" s="40">
        <v>108000</v>
      </c>
      <c r="E58" s="40">
        <v>30473397990</v>
      </c>
      <c r="G58" s="40">
        <v>32171792058</v>
      </c>
      <c r="I58" s="40">
        <v>-1698394068</v>
      </c>
      <c r="K58" s="40">
        <v>108000</v>
      </c>
      <c r="M58" s="40">
        <v>30473397990</v>
      </c>
      <c r="O58" s="40">
        <v>22437696600</v>
      </c>
      <c r="Q58" s="45">
        <v>8035701390</v>
      </c>
    </row>
    <row r="59" spans="1:17" ht="18.75" x14ac:dyDescent="0.25">
      <c r="A59" s="43" t="s">
        <v>83</v>
      </c>
      <c r="C59" s="40">
        <v>1718099</v>
      </c>
      <c r="E59" s="40">
        <v>37009679658</v>
      </c>
      <c r="G59" s="40">
        <v>34782251622</v>
      </c>
      <c r="I59" s="40">
        <v>2227428036</v>
      </c>
      <c r="K59" s="40">
        <v>1718099</v>
      </c>
      <c r="M59" s="40">
        <v>37009679658</v>
      </c>
      <c r="O59" s="40">
        <v>33703858184</v>
      </c>
      <c r="Q59" s="45">
        <v>3305821474</v>
      </c>
    </row>
    <row r="60" spans="1:17" ht="18.75" x14ac:dyDescent="0.25">
      <c r="A60" s="43" t="s">
        <v>84</v>
      </c>
      <c r="C60" s="40">
        <v>350000</v>
      </c>
      <c r="E60" s="40">
        <v>11202943500</v>
      </c>
      <c r="G60" s="40">
        <v>11376902250</v>
      </c>
      <c r="I60" s="40">
        <v>-173958750</v>
      </c>
      <c r="K60" s="40">
        <v>350000</v>
      </c>
      <c r="M60" s="40">
        <v>11202943500</v>
      </c>
      <c r="O60" s="40">
        <v>10947286168</v>
      </c>
      <c r="Q60" s="45">
        <v>255657332</v>
      </c>
    </row>
    <row r="61" spans="1:17" ht="18.75" x14ac:dyDescent="0.25">
      <c r="A61" s="43" t="s">
        <v>85</v>
      </c>
      <c r="C61" s="40">
        <v>3600000</v>
      </c>
      <c r="E61" s="40">
        <v>30382144200</v>
      </c>
      <c r="G61" s="40">
        <v>28342353600</v>
      </c>
      <c r="I61" s="40">
        <v>2039790600</v>
      </c>
      <c r="K61" s="40">
        <v>3600000</v>
      </c>
      <c r="M61" s="40">
        <v>30382144200</v>
      </c>
      <c r="O61" s="40">
        <v>18787545000</v>
      </c>
      <c r="Q61" s="45">
        <v>11594599200</v>
      </c>
    </row>
    <row r="62" spans="1:17" ht="18.75" x14ac:dyDescent="0.25">
      <c r="A62" s="43" t="s">
        <v>86</v>
      </c>
      <c r="C62" s="40">
        <v>6602960</v>
      </c>
      <c r="E62" s="40">
        <v>18371719014</v>
      </c>
      <c r="G62" s="40">
        <v>18076898730</v>
      </c>
      <c r="I62" s="40">
        <v>294820284</v>
      </c>
      <c r="K62" s="40">
        <v>6602960</v>
      </c>
      <c r="M62" s="40">
        <v>18371719014</v>
      </c>
      <c r="O62" s="40">
        <v>20603166326</v>
      </c>
      <c r="Q62" s="45">
        <v>-2231447312</v>
      </c>
    </row>
    <row r="63" spans="1:17" ht="18.75" x14ac:dyDescent="0.25">
      <c r="A63" s="43" t="s">
        <v>88</v>
      </c>
      <c r="C63" s="40">
        <v>3550000</v>
      </c>
      <c r="E63" s="40">
        <v>14535446422</v>
      </c>
      <c r="G63" s="40">
        <v>15512306231</v>
      </c>
      <c r="I63" s="40">
        <v>-976859809</v>
      </c>
      <c r="K63" s="40">
        <v>3550000</v>
      </c>
      <c r="M63" s="40">
        <v>14535446422</v>
      </c>
      <c r="O63" s="40">
        <v>15523583393</v>
      </c>
      <c r="Q63" s="45">
        <v>-988136971</v>
      </c>
    </row>
    <row r="64" spans="1:17" ht="18.75" x14ac:dyDescent="0.25">
      <c r="A64" s="43" t="s">
        <v>89</v>
      </c>
      <c r="C64" s="40">
        <v>2000000</v>
      </c>
      <c r="E64" s="40">
        <v>11530980000</v>
      </c>
      <c r="G64" s="40">
        <v>12209302832</v>
      </c>
      <c r="I64" s="40">
        <v>-678322832</v>
      </c>
      <c r="K64" s="40">
        <v>2000000</v>
      </c>
      <c r="M64" s="40">
        <v>11530980000</v>
      </c>
      <c r="O64" s="40">
        <v>10997396074</v>
      </c>
      <c r="Q64" s="45">
        <v>533583926</v>
      </c>
    </row>
    <row r="65" spans="1:17" ht="18.75" x14ac:dyDescent="0.25">
      <c r="A65" s="43" t="s">
        <v>90</v>
      </c>
      <c r="C65" s="40">
        <v>6710221</v>
      </c>
      <c r="E65" s="40">
        <v>16342223203</v>
      </c>
      <c r="G65" s="40">
        <v>14614616750</v>
      </c>
      <c r="I65" s="40">
        <v>1727606453</v>
      </c>
      <c r="K65" s="40">
        <v>6710221</v>
      </c>
      <c r="M65" s="40">
        <v>16342223203</v>
      </c>
      <c r="O65" s="40">
        <v>21921018887</v>
      </c>
      <c r="Q65" s="45">
        <v>-5578795684</v>
      </c>
    </row>
    <row r="66" spans="1:17" ht="18.75" x14ac:dyDescent="0.25">
      <c r="A66" s="43" t="s">
        <v>229</v>
      </c>
      <c r="C66" s="40"/>
      <c r="E66" s="40"/>
      <c r="G66" s="40"/>
      <c r="I66" s="40"/>
      <c r="K66" s="40"/>
      <c r="M66" s="40"/>
      <c r="O66" s="40"/>
      <c r="Q66" s="45">
        <v>3399125</v>
      </c>
    </row>
    <row r="67" spans="1:17" ht="18.75" x14ac:dyDescent="0.25">
      <c r="A67" s="43" t="s">
        <v>230</v>
      </c>
      <c r="C67" s="40"/>
      <c r="E67" s="40"/>
      <c r="G67" s="40"/>
      <c r="I67" s="40"/>
      <c r="K67" s="40"/>
      <c r="M67" s="40"/>
      <c r="O67" s="40"/>
      <c r="Q67" s="45">
        <v>6998198</v>
      </c>
    </row>
    <row r="68" spans="1:17" ht="18.75" x14ac:dyDescent="0.25">
      <c r="A68" s="43" t="s">
        <v>231</v>
      </c>
      <c r="C68" s="40"/>
      <c r="E68" s="40"/>
      <c r="G68" s="40"/>
      <c r="I68" s="40"/>
      <c r="K68" s="40"/>
      <c r="M68" s="40"/>
      <c r="O68" s="40"/>
      <c r="Q68" s="45">
        <v>258361015</v>
      </c>
    </row>
    <row r="69" spans="1:17" ht="18.75" x14ac:dyDescent="0.25">
      <c r="A69" s="43" t="s">
        <v>232</v>
      </c>
      <c r="C69" s="40"/>
      <c r="E69" s="40"/>
      <c r="G69" s="40"/>
      <c r="I69" s="40"/>
      <c r="K69" s="40"/>
      <c r="M69" s="40"/>
      <c r="O69" s="40"/>
      <c r="Q69" s="45">
        <v>-132110973</v>
      </c>
    </row>
    <row r="70" spans="1:17" ht="18.75" x14ac:dyDescent="0.25">
      <c r="A70" s="43" t="s">
        <v>233</v>
      </c>
      <c r="C70" s="40"/>
      <c r="E70" s="40"/>
      <c r="G70" s="40"/>
      <c r="I70" s="40"/>
      <c r="K70" s="40"/>
      <c r="M70" s="40"/>
      <c r="O70" s="40"/>
      <c r="Q70" s="45">
        <v>18005293</v>
      </c>
    </row>
    <row r="71" spans="1:17" ht="18.75" x14ac:dyDescent="0.25">
      <c r="A71" s="43" t="s">
        <v>234</v>
      </c>
      <c r="C71" s="40"/>
      <c r="E71" s="40"/>
      <c r="G71" s="40"/>
      <c r="I71" s="40"/>
      <c r="K71" s="40"/>
      <c r="M71" s="40"/>
      <c r="O71" s="40"/>
      <c r="Q71" s="45">
        <v>2998</v>
      </c>
    </row>
    <row r="72" spans="1:17" ht="18.75" x14ac:dyDescent="0.25">
      <c r="A72" s="43" t="s">
        <v>235</v>
      </c>
      <c r="C72" s="40"/>
      <c r="E72" s="40"/>
      <c r="G72" s="40"/>
      <c r="I72" s="40"/>
      <c r="K72" s="40"/>
      <c r="M72" s="40"/>
      <c r="O72" s="40"/>
      <c r="Q72" s="45">
        <v>552857603</v>
      </c>
    </row>
    <row r="73" spans="1:17" ht="18.75" x14ac:dyDescent="0.25">
      <c r="A73" s="43" t="s">
        <v>236</v>
      </c>
      <c r="C73" s="40"/>
      <c r="E73" s="40"/>
      <c r="G73" s="40"/>
      <c r="I73" s="40"/>
      <c r="K73" s="40"/>
      <c r="M73" s="40"/>
      <c r="O73" s="40"/>
      <c r="Q73" s="45">
        <v>36052714</v>
      </c>
    </row>
    <row r="74" spans="1:17" ht="18.75" x14ac:dyDescent="0.25">
      <c r="A74" s="43" t="s">
        <v>237</v>
      </c>
      <c r="C74" s="40"/>
      <c r="E74" s="40"/>
      <c r="G74" s="40"/>
      <c r="I74" s="40"/>
      <c r="K74" s="40"/>
      <c r="M74" s="40"/>
      <c r="O74" s="40"/>
      <c r="Q74" s="45">
        <v>-3898996</v>
      </c>
    </row>
    <row r="75" spans="1:17" ht="18.75" x14ac:dyDescent="0.25">
      <c r="A75" s="43" t="s">
        <v>238</v>
      </c>
      <c r="C75" s="40"/>
      <c r="E75" s="40"/>
      <c r="G75" s="40"/>
      <c r="I75" s="40"/>
      <c r="K75" s="40"/>
      <c r="M75" s="40"/>
      <c r="O75" s="40"/>
      <c r="Q75" s="45">
        <v>336473735</v>
      </c>
    </row>
    <row r="76" spans="1:17" ht="18.75" x14ac:dyDescent="0.25">
      <c r="A76" s="43" t="s">
        <v>239</v>
      </c>
      <c r="C76" s="40"/>
      <c r="E76" s="40"/>
      <c r="G76" s="40"/>
      <c r="I76" s="40"/>
      <c r="K76" s="40"/>
      <c r="M76" s="40"/>
      <c r="O76" s="40"/>
      <c r="Q76" s="45">
        <v>169936230</v>
      </c>
    </row>
    <row r="77" spans="1:17" ht="18.75" x14ac:dyDescent="0.25">
      <c r="A77" s="43" t="s">
        <v>240</v>
      </c>
      <c r="C77" s="40"/>
      <c r="E77" s="40"/>
      <c r="G77" s="40"/>
      <c r="I77" s="40"/>
      <c r="K77" s="40"/>
      <c r="M77" s="40"/>
      <c r="O77" s="40"/>
      <c r="Q77" s="45">
        <v>29992</v>
      </c>
    </row>
    <row r="78" spans="1:17" ht="18.75" x14ac:dyDescent="0.25">
      <c r="A78" s="43" t="s">
        <v>241</v>
      </c>
      <c r="C78" s="40"/>
      <c r="E78" s="40"/>
      <c r="G78" s="40"/>
      <c r="I78" s="40"/>
      <c r="K78" s="40"/>
      <c r="M78" s="40"/>
      <c r="O78" s="40"/>
      <c r="Q78" s="45">
        <v>26803097</v>
      </c>
    </row>
    <row r="79" spans="1:17" ht="18.75" x14ac:dyDescent="0.25">
      <c r="A79" s="43" t="s">
        <v>242</v>
      </c>
      <c r="C79" s="40"/>
      <c r="E79" s="40"/>
      <c r="G79" s="40"/>
      <c r="I79" s="40"/>
      <c r="K79" s="40"/>
      <c r="M79" s="40"/>
      <c r="O79" s="40"/>
      <c r="Q79" s="45">
        <v>25493434</v>
      </c>
    </row>
    <row r="80" spans="1:17" ht="18.75" x14ac:dyDescent="0.25">
      <c r="A80" s="43" t="s">
        <v>243</v>
      </c>
      <c r="C80" s="40"/>
      <c r="E80" s="40"/>
      <c r="G80" s="40"/>
      <c r="I80" s="40"/>
      <c r="K80" s="40"/>
      <c r="M80" s="40"/>
      <c r="O80" s="40"/>
      <c r="Q80" s="45">
        <v>-22527198</v>
      </c>
    </row>
    <row r="81" spans="1:17" ht="18.75" x14ac:dyDescent="0.25">
      <c r="A81" s="43" t="s">
        <v>244</v>
      </c>
      <c r="C81" s="40"/>
      <c r="E81" s="40"/>
      <c r="G81" s="40"/>
      <c r="I81" s="40"/>
      <c r="K81" s="40"/>
      <c r="M81" s="40"/>
      <c r="O81" s="40"/>
      <c r="Q81" s="45">
        <v>-79979</v>
      </c>
    </row>
    <row r="82" spans="1:17" ht="18.75" x14ac:dyDescent="0.25">
      <c r="A82" s="43" t="s">
        <v>245</v>
      </c>
      <c r="C82" s="40"/>
      <c r="E82" s="40"/>
      <c r="G82" s="40"/>
      <c r="I82" s="40"/>
      <c r="K82" s="40"/>
      <c r="M82" s="40"/>
      <c r="O82" s="40"/>
      <c r="Q82" s="45">
        <v>322177018</v>
      </c>
    </row>
    <row r="83" spans="1:17" ht="18.75" x14ac:dyDescent="0.25">
      <c r="A83" s="43" t="s">
        <v>246</v>
      </c>
      <c r="C83" s="40"/>
      <c r="E83" s="40"/>
      <c r="G83" s="40"/>
      <c r="I83" s="40"/>
      <c r="K83" s="40"/>
      <c r="M83" s="40"/>
      <c r="O83" s="40"/>
      <c r="Q83" s="45">
        <v>1811533</v>
      </c>
    </row>
    <row r="84" spans="1:17" ht="18.75" x14ac:dyDescent="0.25">
      <c r="A84" s="43" t="s">
        <v>247</v>
      </c>
      <c r="C84" s="40"/>
      <c r="E84" s="40"/>
      <c r="G84" s="40"/>
      <c r="I84" s="40"/>
      <c r="K84" s="40"/>
      <c r="M84" s="40"/>
      <c r="O84" s="40"/>
      <c r="Q84" s="45">
        <v>136568824</v>
      </c>
    </row>
    <row r="85" spans="1:17" ht="18.75" x14ac:dyDescent="0.25">
      <c r="A85" s="43" t="s">
        <v>248</v>
      </c>
      <c r="C85" s="40"/>
      <c r="E85" s="40"/>
      <c r="G85" s="40"/>
      <c r="I85" s="40"/>
      <c r="K85" s="40"/>
      <c r="M85" s="40"/>
      <c r="O85" s="40"/>
      <c r="Q85" s="45">
        <v>-59984550</v>
      </c>
    </row>
    <row r="86" spans="1:17" ht="18.75" x14ac:dyDescent="0.25">
      <c r="A86" s="43" t="s">
        <v>249</v>
      </c>
      <c r="C86" s="40"/>
      <c r="E86" s="40"/>
      <c r="G86" s="40"/>
      <c r="I86" s="40"/>
      <c r="K86" s="40"/>
      <c r="M86" s="40"/>
      <c r="O86" s="40"/>
      <c r="Q86" s="45">
        <v>-11996910</v>
      </c>
    </row>
    <row r="87" spans="1:17" ht="18.75" x14ac:dyDescent="0.25">
      <c r="A87" s="43" t="s">
        <v>250</v>
      </c>
      <c r="C87" s="40"/>
      <c r="E87" s="40"/>
      <c r="G87" s="40"/>
      <c r="I87" s="40"/>
      <c r="K87" s="40"/>
      <c r="M87" s="40"/>
      <c r="O87" s="40"/>
      <c r="Q87" s="45">
        <v>-1999485</v>
      </c>
    </row>
    <row r="88" spans="1:17" ht="18.75" x14ac:dyDescent="0.25">
      <c r="A88" s="43" t="s">
        <v>251</v>
      </c>
      <c r="C88" s="40"/>
      <c r="E88" s="40"/>
      <c r="G88" s="40"/>
      <c r="I88" s="40"/>
      <c r="K88" s="40"/>
      <c r="M88" s="40"/>
      <c r="O88" s="40"/>
      <c r="Q88" s="45">
        <v>-9760486</v>
      </c>
    </row>
    <row r="89" spans="1:17" ht="18.75" x14ac:dyDescent="0.25">
      <c r="A89" s="43" t="s">
        <v>252</v>
      </c>
      <c r="C89" s="40"/>
      <c r="E89" s="40"/>
      <c r="G89" s="40"/>
      <c r="I89" s="40"/>
      <c r="K89" s="40"/>
      <c r="M89" s="40"/>
      <c r="O89" s="40"/>
      <c r="Q89" s="45">
        <v>-15082116</v>
      </c>
    </row>
    <row r="90" spans="1:17" ht="18.75" x14ac:dyDescent="0.25">
      <c r="A90" s="43" t="s">
        <v>253</v>
      </c>
      <c r="C90" s="40"/>
      <c r="E90" s="40"/>
      <c r="G90" s="40"/>
      <c r="I90" s="40"/>
      <c r="K90" s="40"/>
      <c r="M90" s="40"/>
      <c r="O90" s="40"/>
      <c r="Q90" s="45">
        <v>899003100</v>
      </c>
    </row>
    <row r="91" spans="1:17" ht="18.75" x14ac:dyDescent="0.25">
      <c r="A91" s="43" t="s">
        <v>254</v>
      </c>
      <c r="C91" s="40"/>
      <c r="E91" s="40"/>
      <c r="G91" s="40"/>
      <c r="I91" s="40"/>
      <c r="K91" s="40"/>
      <c r="M91" s="40"/>
      <c r="O91" s="40"/>
      <c r="Q91" s="45">
        <v>-15336050</v>
      </c>
    </row>
    <row r="92" spans="1:17" ht="18.75" x14ac:dyDescent="0.25">
      <c r="A92" s="43" t="s">
        <v>255</v>
      </c>
      <c r="C92" s="40"/>
      <c r="E92" s="40"/>
      <c r="G92" s="40"/>
      <c r="I92" s="40"/>
      <c r="K92" s="40"/>
      <c r="M92" s="40"/>
      <c r="O92" s="40"/>
      <c r="Q92" s="45">
        <v>35448908</v>
      </c>
    </row>
    <row r="93" spans="1:17" ht="18.75" x14ac:dyDescent="0.25">
      <c r="A93" s="43" t="s">
        <v>205</v>
      </c>
      <c r="C93" s="40"/>
      <c r="E93" s="40"/>
      <c r="G93" s="40"/>
      <c r="I93" s="40"/>
      <c r="K93" s="40"/>
      <c r="M93" s="40"/>
      <c r="O93" s="40"/>
      <c r="Q93" s="45">
        <v>1282578</v>
      </c>
    </row>
    <row r="94" spans="1:17" ht="18.75" x14ac:dyDescent="0.25">
      <c r="A94" s="43" t="s">
        <v>256</v>
      </c>
      <c r="C94" s="40"/>
      <c r="E94" s="40"/>
      <c r="G94" s="40"/>
      <c r="I94" s="40"/>
      <c r="K94" s="40"/>
      <c r="M94" s="40"/>
      <c r="O94" s="40"/>
      <c r="Q94" s="45">
        <v>1519609</v>
      </c>
    </row>
    <row r="95" spans="1:17" ht="18.75" x14ac:dyDescent="0.25">
      <c r="A95" s="43" t="s">
        <v>257</v>
      </c>
      <c r="C95" s="40"/>
      <c r="E95" s="40"/>
      <c r="G95" s="40"/>
      <c r="I95" s="40"/>
      <c r="K95" s="40"/>
      <c r="M95" s="40"/>
      <c r="O95" s="40"/>
      <c r="Q95" s="45">
        <v>6238393</v>
      </c>
    </row>
    <row r="96" spans="1:17" ht="18.75" x14ac:dyDescent="0.25">
      <c r="A96" s="43" t="s">
        <v>258</v>
      </c>
      <c r="C96" s="40"/>
      <c r="E96" s="40"/>
      <c r="G96" s="40"/>
      <c r="I96" s="40"/>
      <c r="K96" s="40"/>
      <c r="M96" s="40"/>
      <c r="O96" s="40"/>
      <c r="Q96" s="45">
        <v>-3551085</v>
      </c>
    </row>
    <row r="97" spans="1:17" ht="18.75" x14ac:dyDescent="0.25">
      <c r="A97" s="43" t="s">
        <v>259</v>
      </c>
      <c r="C97" s="40"/>
      <c r="E97" s="40"/>
      <c r="G97" s="40"/>
      <c r="I97" s="40"/>
      <c r="K97" s="40"/>
      <c r="M97" s="40"/>
      <c r="O97" s="40"/>
      <c r="Q97" s="45">
        <v>-2469364</v>
      </c>
    </row>
    <row r="98" spans="1:17" ht="18.75" x14ac:dyDescent="0.25">
      <c r="A98" s="43" t="s">
        <v>206</v>
      </c>
      <c r="C98" s="40"/>
      <c r="E98" s="40"/>
      <c r="G98" s="40"/>
      <c r="I98" s="40"/>
      <c r="K98" s="40"/>
      <c r="M98" s="40"/>
      <c r="O98" s="40"/>
      <c r="Q98" s="45">
        <v>34990988</v>
      </c>
    </row>
    <row r="99" spans="1:17" ht="18.75" x14ac:dyDescent="0.25">
      <c r="A99" s="43" t="s">
        <v>260</v>
      </c>
      <c r="C99" s="40"/>
      <c r="E99" s="40"/>
      <c r="G99" s="40"/>
      <c r="I99" s="40"/>
      <c r="K99" s="40"/>
      <c r="M99" s="40"/>
      <c r="O99" s="40"/>
      <c r="Q99" s="45">
        <v>390693650</v>
      </c>
    </row>
    <row r="100" spans="1:17" ht="18.75" x14ac:dyDescent="0.25">
      <c r="A100" s="43" t="s">
        <v>261</v>
      </c>
      <c r="C100" s="40"/>
      <c r="E100" s="40"/>
      <c r="G100" s="40"/>
      <c r="I100" s="40"/>
      <c r="K100" s="40"/>
      <c r="M100" s="40"/>
      <c r="O100" s="40"/>
      <c r="Q100" s="45">
        <v>-24993562</v>
      </c>
    </row>
    <row r="101" spans="1:17" ht="18.75" x14ac:dyDescent="0.25">
      <c r="A101" s="43" t="s">
        <v>262</v>
      </c>
      <c r="C101" s="40"/>
      <c r="E101" s="40"/>
      <c r="G101" s="40"/>
      <c r="I101" s="40"/>
      <c r="K101" s="40"/>
      <c r="M101" s="40"/>
      <c r="O101" s="40"/>
      <c r="Q101" s="45">
        <v>-6289548</v>
      </c>
    </row>
    <row r="102" spans="1:17" ht="18.75" x14ac:dyDescent="0.25">
      <c r="A102" s="43" t="s">
        <v>263</v>
      </c>
      <c r="C102" s="40"/>
      <c r="E102" s="40"/>
      <c r="G102" s="40"/>
      <c r="I102" s="40"/>
      <c r="K102" s="40"/>
      <c r="M102" s="40"/>
      <c r="O102" s="40"/>
      <c r="Q102" s="45">
        <v>-10332562</v>
      </c>
    </row>
    <row r="103" spans="1:17" ht="18.75" x14ac:dyDescent="0.25">
      <c r="A103" s="43" t="s">
        <v>264</v>
      </c>
      <c r="C103" s="40"/>
      <c r="E103" s="40"/>
      <c r="G103" s="40"/>
      <c r="I103" s="40"/>
      <c r="K103" s="40"/>
      <c r="M103" s="40"/>
      <c r="O103" s="40"/>
      <c r="Q103" s="45">
        <v>1769544</v>
      </c>
    </row>
    <row r="104" spans="1:17" ht="18.75" x14ac:dyDescent="0.25">
      <c r="A104" s="43" t="s">
        <v>265</v>
      </c>
      <c r="C104" s="40"/>
      <c r="E104" s="40"/>
      <c r="G104" s="40"/>
      <c r="I104" s="40"/>
      <c r="K104" s="40"/>
      <c r="M104" s="40"/>
      <c r="O104" s="40"/>
      <c r="Q104" s="45">
        <v>250932599</v>
      </c>
    </row>
    <row r="105" spans="1:17" ht="18.75" x14ac:dyDescent="0.25">
      <c r="A105" s="43" t="s">
        <v>266</v>
      </c>
      <c r="C105" s="40"/>
      <c r="E105" s="40"/>
      <c r="G105" s="40"/>
      <c r="I105" s="40"/>
      <c r="K105" s="40"/>
      <c r="M105" s="40"/>
      <c r="O105" s="40"/>
      <c r="Q105" s="45">
        <v>-85859485</v>
      </c>
    </row>
    <row r="106" spans="1:17" ht="18.75" x14ac:dyDescent="0.25">
      <c r="A106" s="43" t="s">
        <v>267</v>
      </c>
      <c r="C106" s="40"/>
      <c r="E106" s="40"/>
      <c r="G106" s="40"/>
      <c r="I106" s="40"/>
      <c r="K106" s="40"/>
      <c r="M106" s="40"/>
      <c r="O106" s="40"/>
      <c r="Q106" s="45">
        <v>-20820926</v>
      </c>
    </row>
    <row r="107" spans="1:17" ht="37.5" x14ac:dyDescent="0.25">
      <c r="A107" s="43" t="s">
        <v>268</v>
      </c>
      <c r="C107" s="40"/>
      <c r="E107" s="40"/>
      <c r="G107" s="40"/>
      <c r="I107" s="40"/>
      <c r="K107" s="40"/>
      <c r="M107" s="40"/>
      <c r="O107" s="40"/>
      <c r="Q107" s="45">
        <v>12826602</v>
      </c>
    </row>
    <row r="108" spans="1:17" ht="37.5" x14ac:dyDescent="0.25">
      <c r="A108" s="43" t="s">
        <v>269</v>
      </c>
      <c r="C108" s="40"/>
      <c r="E108" s="40"/>
      <c r="G108" s="40"/>
      <c r="I108" s="40"/>
      <c r="K108" s="40"/>
      <c r="M108" s="40"/>
      <c r="O108" s="40"/>
      <c r="Q108" s="45">
        <v>180993382</v>
      </c>
    </row>
    <row r="109" spans="1:17" ht="37.5" x14ac:dyDescent="0.25">
      <c r="A109" s="43" t="s">
        <v>270</v>
      </c>
      <c r="C109" s="40"/>
      <c r="E109" s="40"/>
      <c r="G109" s="40"/>
      <c r="I109" s="40"/>
      <c r="K109" s="40"/>
      <c r="M109" s="40"/>
      <c r="O109" s="40"/>
      <c r="Q109" s="45">
        <v>-2499356</v>
      </c>
    </row>
    <row r="110" spans="1:17" ht="18.75" x14ac:dyDescent="0.25">
      <c r="A110" s="43" t="s">
        <v>271</v>
      </c>
      <c r="C110" s="40"/>
      <c r="E110" s="40"/>
      <c r="G110" s="40"/>
      <c r="I110" s="40"/>
      <c r="K110" s="40"/>
      <c r="M110" s="40"/>
      <c r="O110" s="40"/>
      <c r="Q110" s="45">
        <v>100861166</v>
      </c>
    </row>
    <row r="111" spans="1:17" ht="18.75" x14ac:dyDescent="0.25">
      <c r="A111" s="43" t="s">
        <v>207</v>
      </c>
      <c r="C111" s="40"/>
      <c r="E111" s="40"/>
      <c r="G111" s="40"/>
      <c r="I111" s="40"/>
      <c r="K111" s="40"/>
      <c r="M111" s="40"/>
      <c r="O111" s="40"/>
      <c r="Q111" s="45">
        <v>6839138</v>
      </c>
    </row>
    <row r="112" spans="1:17" ht="18.75" x14ac:dyDescent="0.25">
      <c r="A112" s="43" t="s">
        <v>208</v>
      </c>
      <c r="C112" s="40"/>
      <c r="E112" s="40"/>
      <c r="G112" s="40"/>
      <c r="I112" s="40"/>
      <c r="K112" s="40"/>
      <c r="M112" s="40"/>
      <c r="O112" s="40"/>
      <c r="Q112" s="45">
        <v>-24993562</v>
      </c>
    </row>
    <row r="113" spans="1:17" ht="18.75" x14ac:dyDescent="0.25">
      <c r="A113" s="43" t="s">
        <v>209</v>
      </c>
      <c r="C113" s="40"/>
      <c r="E113" s="40"/>
      <c r="G113" s="40"/>
      <c r="I113" s="40"/>
      <c r="K113" s="40"/>
      <c r="M113" s="40"/>
      <c r="O113" s="40"/>
      <c r="Q113" s="45">
        <v>51986610</v>
      </c>
    </row>
    <row r="114" spans="1:17" ht="18.75" x14ac:dyDescent="0.25">
      <c r="A114" s="43" t="s">
        <v>210</v>
      </c>
      <c r="C114" s="40"/>
      <c r="E114" s="40"/>
      <c r="G114" s="40"/>
      <c r="I114" s="40"/>
      <c r="K114" s="40"/>
      <c r="M114" s="40"/>
      <c r="O114" s="40"/>
      <c r="Q114" s="45">
        <v>-998</v>
      </c>
    </row>
    <row r="115" spans="1:17" ht="18.75" x14ac:dyDescent="0.25">
      <c r="A115" s="43" t="s">
        <v>211</v>
      </c>
      <c r="C115" s="40"/>
      <c r="E115" s="40"/>
      <c r="G115" s="40"/>
      <c r="I115" s="40"/>
      <c r="K115" s="40"/>
      <c r="M115" s="40"/>
      <c r="O115" s="40"/>
      <c r="Q115" s="45">
        <v>24667646</v>
      </c>
    </row>
    <row r="116" spans="1:17" ht="18.75" x14ac:dyDescent="0.25">
      <c r="A116" s="43" t="s">
        <v>212</v>
      </c>
      <c r="C116" s="40"/>
      <c r="E116" s="40"/>
      <c r="G116" s="40"/>
      <c r="I116" s="40"/>
      <c r="K116" s="40"/>
      <c r="M116" s="40"/>
      <c r="O116" s="40"/>
      <c r="Q116" s="45">
        <v>2000</v>
      </c>
    </row>
    <row r="117" spans="1:17" ht="18.75" x14ac:dyDescent="0.25">
      <c r="A117" s="43" t="s">
        <v>213</v>
      </c>
      <c r="C117" s="40"/>
      <c r="E117" s="40"/>
      <c r="G117" s="40"/>
      <c r="I117" s="40"/>
      <c r="K117" s="40"/>
      <c r="M117" s="40"/>
      <c r="O117" s="40"/>
      <c r="Q117" s="45">
        <v>50986</v>
      </c>
    </row>
    <row r="118" spans="1:17" ht="18.75" x14ac:dyDescent="0.25">
      <c r="A118" s="43" t="s">
        <v>214</v>
      </c>
      <c r="C118" s="40"/>
      <c r="E118" s="40"/>
      <c r="G118" s="40"/>
      <c r="I118" s="40"/>
      <c r="K118" s="40"/>
      <c r="M118" s="40"/>
      <c r="O118" s="40"/>
      <c r="Q118" s="45">
        <v>660789843</v>
      </c>
    </row>
    <row r="119" spans="1:17" ht="18.75" x14ac:dyDescent="0.25">
      <c r="A119" s="43" t="s">
        <v>215</v>
      </c>
      <c r="C119" s="40"/>
      <c r="E119" s="40"/>
      <c r="G119" s="40"/>
      <c r="I119" s="40"/>
      <c r="K119" s="40"/>
      <c r="M119" s="40"/>
      <c r="O119" s="40"/>
      <c r="Q119" s="45">
        <v>10827092</v>
      </c>
    </row>
    <row r="120" spans="1:17" ht="18.75" x14ac:dyDescent="0.25">
      <c r="A120" s="43" t="s">
        <v>216</v>
      </c>
      <c r="C120" s="40"/>
      <c r="E120" s="40"/>
      <c r="G120" s="40"/>
      <c r="I120" s="40"/>
      <c r="K120" s="40"/>
      <c r="M120" s="40"/>
      <c r="O120" s="40"/>
      <c r="Q120" s="45">
        <v>-20994592</v>
      </c>
    </row>
    <row r="121" spans="1:17" ht="18.75" x14ac:dyDescent="0.25">
      <c r="A121" s="43" t="s">
        <v>217</v>
      </c>
      <c r="C121" s="40"/>
      <c r="E121" s="40"/>
      <c r="G121" s="40"/>
      <c r="I121" s="40"/>
      <c r="K121" s="40"/>
      <c r="M121" s="40"/>
      <c r="O121" s="40"/>
      <c r="Q121" s="45">
        <v>186951848</v>
      </c>
    </row>
    <row r="122" spans="1:17" ht="18.75" x14ac:dyDescent="0.25">
      <c r="A122" s="43" t="s">
        <v>218</v>
      </c>
      <c r="C122" s="40"/>
      <c r="E122" s="40"/>
      <c r="G122" s="40"/>
      <c r="I122" s="40"/>
      <c r="K122" s="40"/>
      <c r="M122" s="40"/>
      <c r="O122" s="40"/>
      <c r="Q122" s="45">
        <v>239938200</v>
      </c>
    </row>
    <row r="123" spans="1:17" ht="18.75" x14ac:dyDescent="0.25">
      <c r="A123" s="43" t="s">
        <v>219</v>
      </c>
      <c r="C123" s="40"/>
      <c r="E123" s="40"/>
      <c r="G123" s="40"/>
      <c r="I123" s="40"/>
      <c r="K123" s="40"/>
      <c r="M123" s="40"/>
      <c r="O123" s="40"/>
      <c r="Q123" s="45">
        <v>19187058</v>
      </c>
    </row>
    <row r="124" spans="1:17" ht="18.75" x14ac:dyDescent="0.25">
      <c r="A124" s="43" t="s">
        <v>220</v>
      </c>
      <c r="C124" s="40"/>
      <c r="E124" s="40"/>
      <c r="G124" s="40"/>
      <c r="I124" s="40"/>
      <c r="K124" s="40"/>
      <c r="M124" s="40"/>
      <c r="O124" s="40"/>
      <c r="Q124" s="45">
        <v>33053303</v>
      </c>
    </row>
    <row r="125" spans="1:17" ht="18.75" x14ac:dyDescent="0.25">
      <c r="A125" s="43" t="s">
        <v>221</v>
      </c>
      <c r="C125" s="40"/>
      <c r="E125" s="40"/>
      <c r="G125" s="40"/>
      <c r="I125" s="40"/>
      <c r="K125" s="40"/>
      <c r="M125" s="40"/>
      <c r="O125" s="40"/>
      <c r="Q125" s="45">
        <v>-17246938</v>
      </c>
    </row>
    <row r="126" spans="1:17" ht="18.75" x14ac:dyDescent="0.25">
      <c r="A126" s="43" t="s">
        <v>222</v>
      </c>
      <c r="C126" s="40"/>
      <c r="E126" s="40"/>
      <c r="G126" s="40"/>
      <c r="I126" s="40"/>
      <c r="K126" s="40"/>
      <c r="M126" s="40"/>
      <c r="O126" s="40"/>
      <c r="Q126" s="45">
        <v>-1058727</v>
      </c>
    </row>
    <row r="127" spans="1:17" ht="18.75" x14ac:dyDescent="0.25">
      <c r="A127" s="43" t="s">
        <v>223</v>
      </c>
      <c r="C127" s="40"/>
      <c r="E127" s="40"/>
      <c r="G127" s="40"/>
      <c r="I127" s="40"/>
      <c r="K127" s="40"/>
      <c r="M127" s="40"/>
      <c r="O127" s="40"/>
      <c r="Q127" s="45">
        <v>17717036</v>
      </c>
    </row>
    <row r="128" spans="1:17" ht="18.75" x14ac:dyDescent="0.25">
      <c r="A128" s="43" t="s">
        <v>224</v>
      </c>
      <c r="C128" s="40"/>
      <c r="E128" s="40"/>
      <c r="G128" s="40"/>
      <c r="I128" s="40"/>
      <c r="K128" s="40"/>
      <c r="M128" s="40"/>
      <c r="O128" s="40"/>
      <c r="Q128" s="45">
        <v>57921</v>
      </c>
    </row>
    <row r="129" spans="1:17" ht="18.75" x14ac:dyDescent="0.25">
      <c r="A129" s="43" t="s">
        <v>225</v>
      </c>
      <c r="C129" s="40"/>
      <c r="E129" s="40"/>
      <c r="G129" s="40"/>
      <c r="I129" s="40"/>
      <c r="K129" s="40"/>
      <c r="M129" s="40"/>
      <c r="O129" s="40"/>
      <c r="Q129" s="45">
        <v>3478672</v>
      </c>
    </row>
    <row r="130" spans="1:17" ht="18.75" x14ac:dyDescent="0.25">
      <c r="A130" s="43" t="s">
        <v>226</v>
      </c>
      <c r="C130" s="40"/>
      <c r="E130" s="40"/>
      <c r="G130" s="40"/>
      <c r="I130" s="40"/>
      <c r="K130" s="40"/>
      <c r="M130" s="40"/>
      <c r="O130" s="40"/>
      <c r="Q130" s="45">
        <v>268262077</v>
      </c>
    </row>
    <row r="131" spans="1:17" ht="18.75" x14ac:dyDescent="0.25">
      <c r="A131" s="43" t="s">
        <v>227</v>
      </c>
      <c r="C131" s="40"/>
      <c r="E131" s="40"/>
      <c r="G131" s="40"/>
      <c r="I131" s="40"/>
      <c r="K131" s="40"/>
      <c r="M131" s="40"/>
      <c r="O131" s="40"/>
      <c r="Q131" s="45">
        <v>2659259</v>
      </c>
    </row>
    <row r="132" spans="1:17" ht="18.75" x14ac:dyDescent="0.25">
      <c r="A132" s="43" t="s">
        <v>228</v>
      </c>
      <c r="C132" s="40"/>
      <c r="E132" s="40"/>
      <c r="G132" s="40"/>
      <c r="I132" s="40"/>
      <c r="K132" s="40"/>
      <c r="M132" s="40"/>
      <c r="O132" s="40"/>
      <c r="Q132" s="45">
        <v>-1887514</v>
      </c>
    </row>
    <row r="133" spans="1:17" ht="19.5" thickBot="1" x14ac:dyDescent="0.3">
      <c r="A133" s="41" t="s">
        <v>92</v>
      </c>
      <c r="C133" s="44"/>
      <c r="E133" s="41">
        <f>SUM(E9:E132)</f>
        <v>1346701209797</v>
      </c>
      <c r="G133" s="41">
        <f>SUM(G9:G132)</f>
        <v>1344673494088</v>
      </c>
      <c r="I133" s="41">
        <f>SUM(I9:I132)</f>
        <v>2027715709</v>
      </c>
      <c r="K133" s="44"/>
      <c r="M133" s="41">
        <f>SUM(M9:M132)</f>
        <v>1346701209797</v>
      </c>
      <c r="O133" s="41">
        <f>SUM(O9:O132)</f>
        <v>1176646392823</v>
      </c>
      <c r="Q133" s="47">
        <f>SUM(Q9:Q132)</f>
        <v>174897042029</v>
      </c>
    </row>
    <row r="134" spans="1:17" ht="19.5" thickTop="1" x14ac:dyDescent="0.25">
      <c r="C134" s="44"/>
      <c r="E134" s="42"/>
      <c r="G134" s="42"/>
      <c r="I134" s="42"/>
      <c r="K134" s="44"/>
      <c r="M134" s="42"/>
      <c r="O134" s="42"/>
      <c r="Q134" s="48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8" bottom="0.31" header="0.3" footer="0.3"/>
  <pageSetup paperSize="9" scale="7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Q130"/>
  <sheetViews>
    <sheetView rightToLeft="1" tabSelected="1" view="pageBreakPreview" zoomScale="80" zoomScaleNormal="100" zoomScaleSheetLayoutView="80" workbookViewId="0">
      <selection activeCell="G88" sqref="G88"/>
    </sheetView>
  </sheetViews>
  <sheetFormatPr defaultRowHeight="19.5" x14ac:dyDescent="0.55000000000000004"/>
  <cols>
    <col min="1" max="1" width="28.7109375" style="1" bestFit="1" customWidth="1"/>
    <col min="2" max="2" width="1.42578125" style="1" customWidth="1"/>
    <col min="3" max="3" width="12.28515625" style="1" bestFit="1" customWidth="1"/>
    <col min="4" max="4" width="1.42578125" style="1" customWidth="1"/>
    <col min="5" max="5" width="16.140625" style="1" bestFit="1" customWidth="1"/>
    <col min="6" max="6" width="1.42578125" style="1" customWidth="1"/>
    <col min="7" max="7" width="16.140625" style="1" bestFit="1" customWidth="1"/>
    <col min="8" max="8" width="1.42578125" style="1" customWidth="1"/>
    <col min="9" max="9" width="16.5703125" style="1" bestFit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6.140625" style="1" bestFit="1" customWidth="1"/>
    <col min="16" max="16" width="1.42578125" style="1" customWidth="1"/>
    <col min="17" max="17" width="16.5703125" style="1" bestFit="1" customWidth="1"/>
    <col min="18" max="16384" width="9.140625" style="1"/>
  </cols>
  <sheetData>
    <row r="1" spans="1:17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1" x14ac:dyDescent="0.55000000000000004">
      <c r="A5" s="27" t="s">
        <v>289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7" spans="1:17" ht="21" x14ac:dyDescent="0.55000000000000004">
      <c r="C7" s="21" t="str">
        <f>'5'!I7</f>
        <v>طی اردیبهشت ماه</v>
      </c>
      <c r="D7" s="22"/>
      <c r="E7" s="22"/>
      <c r="F7" s="22"/>
      <c r="G7" s="22"/>
      <c r="H7" s="22"/>
      <c r="I7" s="22"/>
      <c r="K7" s="21" t="str">
        <f>'5'!O7</f>
        <v>از ابتدای سال مالی تا پایان اردیبهشت ماه</v>
      </c>
      <c r="L7" s="22"/>
      <c r="M7" s="22"/>
      <c r="N7" s="22"/>
      <c r="O7" s="22"/>
      <c r="P7" s="22"/>
      <c r="Q7" s="22"/>
    </row>
    <row r="8" spans="1:17" ht="42" x14ac:dyDescent="0.55000000000000004">
      <c r="A8" s="12" t="s">
        <v>118</v>
      </c>
      <c r="C8" s="4" t="s">
        <v>9</v>
      </c>
      <c r="E8" s="4" t="s">
        <v>11</v>
      </c>
      <c r="G8" s="4" t="s">
        <v>152</v>
      </c>
      <c r="I8" s="4" t="s">
        <v>153</v>
      </c>
      <c r="K8" s="4" t="s">
        <v>9</v>
      </c>
      <c r="M8" s="4" t="s">
        <v>11</v>
      </c>
      <c r="O8" s="4" t="s">
        <v>152</v>
      </c>
      <c r="Q8" s="4" t="s">
        <v>153</v>
      </c>
    </row>
    <row r="9" spans="1:17" ht="21" x14ac:dyDescent="0.55000000000000004">
      <c r="A9" s="14" t="s">
        <v>154</v>
      </c>
      <c r="J9" s="9"/>
      <c r="K9" s="6">
        <v>579887</v>
      </c>
      <c r="M9" s="6">
        <v>3249801158</v>
      </c>
      <c r="O9" s="6">
        <v>2839489099</v>
      </c>
      <c r="Q9" s="6">
        <v>410312059</v>
      </c>
    </row>
    <row r="10" spans="1:17" ht="21" x14ac:dyDescent="0.55000000000000004">
      <c r="A10" s="14" t="s">
        <v>29</v>
      </c>
      <c r="J10" s="9"/>
      <c r="K10" s="6">
        <v>75000</v>
      </c>
      <c r="M10" s="6">
        <v>717207107</v>
      </c>
      <c r="O10" s="6">
        <v>521194307</v>
      </c>
      <c r="Q10" s="6">
        <v>196012800</v>
      </c>
    </row>
    <row r="11" spans="1:17" ht="21" x14ac:dyDescent="0.55000000000000004">
      <c r="A11" s="14" t="s">
        <v>30</v>
      </c>
      <c r="J11" s="9"/>
      <c r="K11" s="6">
        <v>1000000</v>
      </c>
      <c r="M11" s="6">
        <v>4170420373</v>
      </c>
      <c r="O11" s="6">
        <v>4515857909</v>
      </c>
      <c r="Q11" s="6">
        <v>-345437536</v>
      </c>
    </row>
    <row r="12" spans="1:17" ht="21" x14ac:dyDescent="0.55000000000000004">
      <c r="A12" s="14" t="s">
        <v>31</v>
      </c>
      <c r="C12" s="6">
        <v>1000000</v>
      </c>
      <c r="E12" s="6">
        <v>3621324170</v>
      </c>
      <c r="G12" s="6">
        <v>2592569738</v>
      </c>
      <c r="I12" s="6">
        <v>1028754432</v>
      </c>
      <c r="K12" s="6">
        <v>1000000</v>
      </c>
      <c r="M12" s="6">
        <v>3621324170</v>
      </c>
      <c r="O12" s="6">
        <v>2592569738</v>
      </c>
      <c r="Q12" s="6">
        <v>1028754432</v>
      </c>
    </row>
    <row r="13" spans="1:17" ht="21" x14ac:dyDescent="0.55000000000000004">
      <c r="A13" s="14" t="s">
        <v>34</v>
      </c>
      <c r="C13" s="6">
        <v>6000000</v>
      </c>
      <c r="E13" s="6">
        <v>3554722902</v>
      </c>
      <c r="G13" s="6">
        <v>2590949474</v>
      </c>
      <c r="I13" s="6">
        <v>963773428</v>
      </c>
      <c r="K13" s="6">
        <v>6000000</v>
      </c>
      <c r="M13" s="6">
        <v>3554722902</v>
      </c>
      <c r="O13" s="6">
        <v>2590949474</v>
      </c>
      <c r="Q13" s="6">
        <v>963773428</v>
      </c>
    </row>
    <row r="14" spans="1:17" ht="21" x14ac:dyDescent="0.55000000000000004">
      <c r="A14" s="14" t="s">
        <v>155</v>
      </c>
      <c r="J14" s="9"/>
      <c r="K14" s="6">
        <v>491813</v>
      </c>
      <c r="M14" s="6">
        <v>2682696973</v>
      </c>
      <c r="O14" s="6">
        <v>2819485476</v>
      </c>
      <c r="Q14" s="6">
        <v>-136788503</v>
      </c>
    </row>
    <row r="15" spans="1:17" ht="21" x14ac:dyDescent="0.55000000000000004">
      <c r="A15" s="14" t="s">
        <v>38</v>
      </c>
      <c r="J15" s="9"/>
      <c r="K15" s="6">
        <v>285750</v>
      </c>
      <c r="M15" s="6">
        <v>15769900291</v>
      </c>
      <c r="O15" s="6">
        <v>12919038315</v>
      </c>
      <c r="Q15" s="6">
        <v>2850861976</v>
      </c>
    </row>
    <row r="16" spans="1:17" ht="21" x14ac:dyDescent="0.55000000000000004">
      <c r="A16" s="14" t="s">
        <v>39</v>
      </c>
      <c r="J16" s="9"/>
      <c r="K16" s="6">
        <v>2000000</v>
      </c>
      <c r="M16" s="6">
        <v>4769451925</v>
      </c>
      <c r="O16" s="6">
        <v>5871486070</v>
      </c>
      <c r="Q16" s="6">
        <v>-1102034145</v>
      </c>
    </row>
    <row r="17" spans="1:17" ht="21" x14ac:dyDescent="0.55000000000000004">
      <c r="A17" s="14" t="s">
        <v>40</v>
      </c>
      <c r="J17" s="9"/>
      <c r="K17" s="6">
        <v>900000</v>
      </c>
      <c r="M17" s="6">
        <v>3867396344</v>
      </c>
      <c r="O17" s="6">
        <v>2909570409</v>
      </c>
      <c r="Q17" s="6">
        <v>957825935</v>
      </c>
    </row>
    <row r="18" spans="1:17" ht="21" x14ac:dyDescent="0.55000000000000004">
      <c r="A18" s="14" t="s">
        <v>41</v>
      </c>
      <c r="J18" s="9"/>
      <c r="K18" s="6">
        <v>800000</v>
      </c>
      <c r="M18" s="6">
        <v>6202872074</v>
      </c>
      <c r="O18" s="6">
        <v>5195551274</v>
      </c>
      <c r="Q18" s="6">
        <v>1007320800</v>
      </c>
    </row>
    <row r="19" spans="1:17" ht="21" x14ac:dyDescent="0.55000000000000004">
      <c r="A19" s="14" t="s">
        <v>156</v>
      </c>
      <c r="J19" s="9"/>
      <c r="K19" s="6">
        <v>595000</v>
      </c>
      <c r="M19" s="6">
        <v>17461482461</v>
      </c>
      <c r="O19" s="6">
        <v>11150692921</v>
      </c>
      <c r="Q19" s="6">
        <v>6310789540</v>
      </c>
    </row>
    <row r="20" spans="1:17" ht="21" x14ac:dyDescent="0.55000000000000004">
      <c r="A20" s="14" t="s">
        <v>157</v>
      </c>
      <c r="J20" s="9"/>
      <c r="K20" s="6">
        <v>24500000</v>
      </c>
      <c r="M20" s="6">
        <v>10435935006</v>
      </c>
      <c r="O20" s="6">
        <v>12893982706</v>
      </c>
      <c r="Q20" s="6">
        <v>-2458047700</v>
      </c>
    </row>
    <row r="21" spans="1:17" ht="21" x14ac:dyDescent="0.55000000000000004">
      <c r="A21" s="14" t="s">
        <v>43</v>
      </c>
      <c r="C21" s="6">
        <v>700000</v>
      </c>
      <c r="E21" s="6">
        <v>13113781594</v>
      </c>
      <c r="G21" s="6">
        <v>11995700499</v>
      </c>
      <c r="I21" s="6">
        <v>1118081095</v>
      </c>
      <c r="K21" s="6">
        <v>700000</v>
      </c>
      <c r="M21" s="6">
        <v>13113781594</v>
      </c>
      <c r="O21" s="6">
        <v>11995700499</v>
      </c>
      <c r="Q21" s="6">
        <v>1118081095</v>
      </c>
    </row>
    <row r="22" spans="1:17" ht="21" x14ac:dyDescent="0.55000000000000004">
      <c r="A22" s="14" t="s">
        <v>44</v>
      </c>
      <c r="J22" s="9"/>
      <c r="K22" s="6">
        <v>6600000</v>
      </c>
      <c r="M22" s="6">
        <v>8504700751</v>
      </c>
      <c r="O22" s="6">
        <v>9265330938</v>
      </c>
      <c r="Q22" s="6">
        <v>-760630187</v>
      </c>
    </row>
    <row r="23" spans="1:17" ht="21" x14ac:dyDescent="0.55000000000000004">
      <c r="A23" s="14" t="s">
        <v>158</v>
      </c>
      <c r="J23" s="9"/>
      <c r="K23" s="6">
        <v>24869520</v>
      </c>
      <c r="M23" s="6">
        <v>29276157072</v>
      </c>
      <c r="O23" s="6">
        <v>29713114579</v>
      </c>
      <c r="Q23" s="6">
        <v>-436957507</v>
      </c>
    </row>
    <row r="24" spans="1:17" ht="21" x14ac:dyDescent="0.55000000000000004">
      <c r="A24" s="14" t="s">
        <v>45</v>
      </c>
      <c r="C24" s="6">
        <v>100000</v>
      </c>
      <c r="E24" s="6">
        <v>3130082309</v>
      </c>
      <c r="G24" s="6">
        <v>2654609820</v>
      </c>
      <c r="I24" s="6">
        <v>475472489</v>
      </c>
      <c r="K24" s="6">
        <v>300000</v>
      </c>
      <c r="M24" s="6">
        <v>9187205683</v>
      </c>
      <c r="O24" s="6">
        <v>7809283394</v>
      </c>
      <c r="Q24" s="6">
        <v>1377922289</v>
      </c>
    </row>
    <row r="25" spans="1:17" ht="21" x14ac:dyDescent="0.55000000000000004">
      <c r="A25" s="14" t="s">
        <v>47</v>
      </c>
      <c r="J25" s="9"/>
      <c r="K25" s="6">
        <v>379048</v>
      </c>
      <c r="M25" s="6">
        <v>3555752666</v>
      </c>
      <c r="O25" s="6">
        <v>3972718969</v>
      </c>
      <c r="Q25" s="6">
        <v>-416966303</v>
      </c>
    </row>
    <row r="26" spans="1:17" ht="21" x14ac:dyDescent="0.55000000000000004">
      <c r="A26" s="14" t="s">
        <v>48</v>
      </c>
      <c r="J26" s="9"/>
      <c r="K26" s="6">
        <v>1500000</v>
      </c>
      <c r="M26" s="6">
        <v>7997741250</v>
      </c>
      <c r="O26" s="6">
        <v>7322627909</v>
      </c>
      <c r="Q26" s="6">
        <v>675113341</v>
      </c>
    </row>
    <row r="27" spans="1:17" ht="21" x14ac:dyDescent="0.55000000000000004">
      <c r="A27" s="14" t="s">
        <v>50</v>
      </c>
      <c r="C27" s="6">
        <v>3250000</v>
      </c>
      <c r="E27" s="6">
        <v>4755535365</v>
      </c>
      <c r="G27" s="6">
        <v>3875154565</v>
      </c>
      <c r="I27" s="6">
        <v>880380800</v>
      </c>
      <c r="K27" s="6">
        <v>3250000</v>
      </c>
      <c r="M27" s="6">
        <v>4755535365</v>
      </c>
      <c r="O27" s="6">
        <v>3875154565</v>
      </c>
      <c r="Q27" s="6">
        <v>880380800</v>
      </c>
    </row>
    <row r="28" spans="1:17" ht="21" x14ac:dyDescent="0.55000000000000004">
      <c r="A28" s="14" t="s">
        <v>52</v>
      </c>
      <c r="C28" s="6">
        <v>200000</v>
      </c>
      <c r="E28" s="6">
        <v>3244579200</v>
      </c>
      <c r="G28" s="6">
        <v>2977357612</v>
      </c>
      <c r="I28" s="6">
        <v>267221588</v>
      </c>
      <c r="K28" s="6">
        <v>1383146</v>
      </c>
      <c r="M28" s="6">
        <v>16041014404</v>
      </c>
      <c r="O28" s="6">
        <v>13226976376</v>
      </c>
      <c r="Q28" s="6">
        <v>2814038028</v>
      </c>
    </row>
    <row r="29" spans="1:17" ht="21" x14ac:dyDescent="0.55000000000000004">
      <c r="A29" s="14" t="s">
        <v>54</v>
      </c>
      <c r="C29" s="6">
        <v>250000</v>
      </c>
      <c r="E29" s="6">
        <v>2184424901</v>
      </c>
      <c r="G29" s="6">
        <v>1854886835</v>
      </c>
      <c r="I29" s="6">
        <v>329538066</v>
      </c>
      <c r="K29" s="6">
        <v>500001</v>
      </c>
      <c r="M29" s="6">
        <v>4453353147</v>
      </c>
      <c r="O29" s="6">
        <v>3550397338</v>
      </c>
      <c r="Q29" s="6">
        <v>902955809</v>
      </c>
    </row>
    <row r="30" spans="1:17" ht="21" x14ac:dyDescent="0.55000000000000004">
      <c r="A30" s="14" t="s">
        <v>55</v>
      </c>
      <c r="J30" s="9"/>
      <c r="K30" s="6">
        <v>1500000</v>
      </c>
      <c r="M30" s="6">
        <v>5355941527</v>
      </c>
      <c r="O30" s="6">
        <v>4622256727</v>
      </c>
      <c r="Q30" s="6">
        <v>733684800</v>
      </c>
    </row>
    <row r="31" spans="1:17" ht="21" x14ac:dyDescent="0.55000000000000004">
      <c r="A31" s="14" t="s">
        <v>159</v>
      </c>
      <c r="J31" s="9"/>
      <c r="K31" s="6">
        <v>9506493</v>
      </c>
      <c r="M31" s="6">
        <v>25599861319</v>
      </c>
      <c r="O31" s="6">
        <v>24151987937</v>
      </c>
      <c r="Q31" s="6">
        <v>1447873382</v>
      </c>
    </row>
    <row r="32" spans="1:17" ht="21" x14ac:dyDescent="0.55000000000000004">
      <c r="A32" s="14" t="s">
        <v>56</v>
      </c>
      <c r="J32" s="9"/>
      <c r="K32" s="6">
        <v>1899204</v>
      </c>
      <c r="M32" s="6">
        <v>20137787069</v>
      </c>
      <c r="O32" s="6">
        <v>17153782575</v>
      </c>
      <c r="Q32" s="6">
        <v>2984004494</v>
      </c>
    </row>
    <row r="33" spans="1:17" ht="21" x14ac:dyDescent="0.55000000000000004">
      <c r="A33" s="14" t="s">
        <v>57</v>
      </c>
      <c r="J33" s="9"/>
      <c r="K33" s="6">
        <v>442665</v>
      </c>
      <c r="M33" s="6">
        <v>10269779848</v>
      </c>
      <c r="O33" s="6">
        <v>10032843674</v>
      </c>
      <c r="Q33" s="6">
        <v>236936174</v>
      </c>
    </row>
    <row r="34" spans="1:17" ht="21" x14ac:dyDescent="0.55000000000000004">
      <c r="A34" s="14" t="s">
        <v>160</v>
      </c>
      <c r="J34" s="9"/>
      <c r="K34" s="6">
        <v>3800000</v>
      </c>
      <c r="M34" s="6">
        <v>23683463035</v>
      </c>
      <c r="O34" s="6">
        <v>25997778915</v>
      </c>
      <c r="Q34" s="6">
        <v>-2314315880</v>
      </c>
    </row>
    <row r="35" spans="1:17" ht="21" x14ac:dyDescent="0.55000000000000004">
      <c r="A35" s="14" t="s">
        <v>161</v>
      </c>
      <c r="J35" s="9"/>
      <c r="K35" s="6">
        <v>265</v>
      </c>
      <c r="M35" s="6">
        <v>5023485</v>
      </c>
      <c r="O35" s="6">
        <v>4865758</v>
      </c>
      <c r="Q35" s="6">
        <v>157727</v>
      </c>
    </row>
    <row r="36" spans="1:17" ht="21" x14ac:dyDescent="0.55000000000000004">
      <c r="A36" s="14" t="s">
        <v>162</v>
      </c>
      <c r="J36" s="9"/>
      <c r="K36" s="6">
        <v>800000</v>
      </c>
      <c r="M36" s="6">
        <v>2926501004</v>
      </c>
      <c r="O36" s="6">
        <v>3290681565</v>
      </c>
      <c r="Q36" s="6">
        <v>-364180561</v>
      </c>
    </row>
    <row r="37" spans="1:17" ht="21" x14ac:dyDescent="0.55000000000000004">
      <c r="A37" s="14" t="s">
        <v>58</v>
      </c>
      <c r="C37" s="6">
        <v>10714566</v>
      </c>
      <c r="E37" s="6">
        <v>19957292440</v>
      </c>
      <c r="G37" s="6">
        <v>22854446815</v>
      </c>
      <c r="I37" s="6">
        <v>-2897154375</v>
      </c>
      <c r="K37" s="6">
        <v>16214566</v>
      </c>
      <c r="M37" s="6">
        <v>32438711144</v>
      </c>
      <c r="O37" s="6">
        <v>39973740709</v>
      </c>
      <c r="Q37" s="6">
        <v>-7535029565</v>
      </c>
    </row>
    <row r="38" spans="1:17" ht="21" x14ac:dyDescent="0.55000000000000004">
      <c r="A38" s="14" t="s">
        <v>60</v>
      </c>
      <c r="J38" s="9"/>
      <c r="K38" s="6">
        <v>100000</v>
      </c>
      <c r="M38" s="6">
        <v>596430000</v>
      </c>
      <c r="O38" s="6">
        <v>536199150</v>
      </c>
      <c r="Q38" s="6">
        <v>60230850</v>
      </c>
    </row>
    <row r="39" spans="1:17" ht="21" x14ac:dyDescent="0.55000000000000004">
      <c r="A39" s="14" t="s">
        <v>65</v>
      </c>
      <c r="J39" s="9"/>
      <c r="K39" s="6">
        <v>800000</v>
      </c>
      <c r="M39" s="6">
        <v>14622475665</v>
      </c>
      <c r="O39" s="6">
        <v>12784409745</v>
      </c>
      <c r="Q39" s="6">
        <v>1838065920</v>
      </c>
    </row>
    <row r="40" spans="1:17" ht="21" x14ac:dyDescent="0.55000000000000004">
      <c r="A40" s="14" t="s">
        <v>66</v>
      </c>
      <c r="C40" s="6">
        <v>2421626</v>
      </c>
      <c r="E40" s="6">
        <v>13863899230</v>
      </c>
      <c r="G40" s="6">
        <v>14571250792</v>
      </c>
      <c r="I40" s="6">
        <v>-707351562</v>
      </c>
      <c r="K40" s="6">
        <v>2421626</v>
      </c>
      <c r="M40" s="6">
        <v>13863899230</v>
      </c>
      <c r="O40" s="6">
        <v>14571250792</v>
      </c>
      <c r="Q40" s="6">
        <v>-707351562</v>
      </c>
    </row>
    <row r="41" spans="1:17" ht="21" x14ac:dyDescent="0.55000000000000004">
      <c r="A41" s="14" t="s">
        <v>67</v>
      </c>
      <c r="J41" s="9"/>
      <c r="K41" s="6">
        <v>175000</v>
      </c>
      <c r="M41" s="6">
        <v>8066371716</v>
      </c>
      <c r="O41" s="6">
        <v>7133232866</v>
      </c>
      <c r="Q41" s="6">
        <v>933138850</v>
      </c>
    </row>
    <row r="42" spans="1:17" ht="21" x14ac:dyDescent="0.55000000000000004">
      <c r="A42" s="14" t="s">
        <v>68</v>
      </c>
      <c r="J42" s="9"/>
      <c r="K42" s="6">
        <v>1000000</v>
      </c>
      <c r="M42" s="6">
        <v>8617419289</v>
      </c>
      <c r="O42" s="6">
        <v>7791474059</v>
      </c>
      <c r="Q42" s="6">
        <v>825945230</v>
      </c>
    </row>
    <row r="43" spans="1:17" ht="21" x14ac:dyDescent="0.55000000000000004">
      <c r="A43" s="14" t="s">
        <v>69</v>
      </c>
      <c r="C43" s="6">
        <v>335500</v>
      </c>
      <c r="E43" s="6">
        <v>4794225834</v>
      </c>
      <c r="G43" s="6">
        <v>4258900527</v>
      </c>
      <c r="I43" s="6">
        <v>535325307</v>
      </c>
      <c r="K43" s="6">
        <v>335500</v>
      </c>
      <c r="M43" s="6">
        <v>4794225834</v>
      </c>
      <c r="O43" s="6">
        <v>4258900527</v>
      </c>
      <c r="Q43" s="6">
        <v>535325307</v>
      </c>
    </row>
    <row r="44" spans="1:17" ht="21" x14ac:dyDescent="0.55000000000000004">
      <c r="A44" s="14" t="s">
        <v>163</v>
      </c>
      <c r="J44" s="9"/>
      <c r="K44" s="6">
        <v>450000</v>
      </c>
      <c r="M44" s="6">
        <v>5159086050</v>
      </c>
      <c r="O44" s="6">
        <v>2461380650</v>
      </c>
      <c r="Q44" s="6">
        <v>2697705400</v>
      </c>
    </row>
    <row r="45" spans="1:17" ht="21" x14ac:dyDescent="0.55000000000000004">
      <c r="A45" s="14" t="s">
        <v>72</v>
      </c>
      <c r="J45" s="9"/>
      <c r="K45" s="6">
        <v>200000</v>
      </c>
      <c r="M45" s="6">
        <v>2614598713</v>
      </c>
      <c r="O45" s="6">
        <v>3238722313</v>
      </c>
      <c r="Q45" s="6">
        <v>-624123600</v>
      </c>
    </row>
    <row r="46" spans="1:17" ht="21" x14ac:dyDescent="0.55000000000000004">
      <c r="A46" s="14" t="s">
        <v>75</v>
      </c>
      <c r="J46" s="9"/>
      <c r="K46" s="6">
        <v>107000</v>
      </c>
      <c r="M46" s="6">
        <v>6157421097</v>
      </c>
      <c r="O46" s="6">
        <v>6384299567</v>
      </c>
      <c r="Q46" s="6">
        <v>-226878470</v>
      </c>
    </row>
    <row r="47" spans="1:17" ht="21" x14ac:dyDescent="0.55000000000000004">
      <c r="A47" s="14" t="s">
        <v>76</v>
      </c>
      <c r="C47" s="6">
        <v>800000</v>
      </c>
      <c r="E47" s="6">
        <v>4276005514</v>
      </c>
      <c r="G47" s="6">
        <v>3554111544</v>
      </c>
      <c r="I47" s="6">
        <v>721893970</v>
      </c>
      <c r="K47" s="6">
        <v>800000</v>
      </c>
      <c r="M47" s="6">
        <v>4276005514</v>
      </c>
      <c r="O47" s="6">
        <v>3554111544</v>
      </c>
      <c r="Q47" s="6">
        <v>721893970</v>
      </c>
    </row>
    <row r="48" spans="1:17" ht="21" x14ac:dyDescent="0.55000000000000004">
      <c r="A48" s="14" t="s">
        <v>77</v>
      </c>
      <c r="J48" s="9"/>
      <c r="K48" s="6">
        <v>80000</v>
      </c>
      <c r="M48" s="6">
        <v>5912445118</v>
      </c>
      <c r="O48" s="6">
        <v>5122337638</v>
      </c>
      <c r="Q48" s="6">
        <v>790107480</v>
      </c>
    </row>
    <row r="49" spans="1:17" ht="21" x14ac:dyDescent="0.55000000000000004">
      <c r="A49" s="14" t="s">
        <v>78</v>
      </c>
      <c r="J49" s="9"/>
      <c r="K49" s="6">
        <v>57971</v>
      </c>
      <c r="M49" s="6">
        <v>3706094373</v>
      </c>
      <c r="O49" s="6">
        <v>2934034335</v>
      </c>
      <c r="Q49" s="6">
        <v>772060038</v>
      </c>
    </row>
    <row r="50" spans="1:17" ht="21" x14ac:dyDescent="0.55000000000000004">
      <c r="A50" s="14" t="s">
        <v>82</v>
      </c>
      <c r="J50" s="9"/>
      <c r="K50" s="6">
        <v>20000</v>
      </c>
      <c r="M50" s="6">
        <v>4904535772</v>
      </c>
      <c r="O50" s="6">
        <v>4125772382</v>
      </c>
      <c r="Q50" s="6">
        <v>778763390</v>
      </c>
    </row>
    <row r="51" spans="1:17" ht="21" x14ac:dyDescent="0.55000000000000004">
      <c r="A51" s="14" t="s">
        <v>83</v>
      </c>
      <c r="J51" s="9"/>
      <c r="K51" s="6">
        <v>300000</v>
      </c>
      <c r="M51" s="6">
        <v>5245904839</v>
      </c>
      <c r="O51" s="6">
        <v>5792252553</v>
      </c>
      <c r="Q51" s="6">
        <v>-546347714</v>
      </c>
    </row>
    <row r="52" spans="1:17" ht="21" x14ac:dyDescent="0.55000000000000004">
      <c r="A52" s="14" t="s">
        <v>84</v>
      </c>
      <c r="J52" s="9"/>
      <c r="K52" s="6">
        <v>310000</v>
      </c>
      <c r="M52" s="6">
        <v>10283746872</v>
      </c>
      <c r="O52" s="6">
        <v>9634613371</v>
      </c>
      <c r="Q52" s="6">
        <v>649133501</v>
      </c>
    </row>
    <row r="53" spans="1:17" ht="21" x14ac:dyDescent="0.55000000000000004">
      <c r="A53" s="14" t="s">
        <v>86</v>
      </c>
      <c r="C53" s="6">
        <v>904441</v>
      </c>
      <c r="E53" s="6">
        <v>1483381171</v>
      </c>
      <c r="G53" s="6">
        <v>1881588319</v>
      </c>
      <c r="I53" s="6">
        <v>-398207148</v>
      </c>
      <c r="K53" s="6">
        <v>904441</v>
      </c>
      <c r="M53" s="6">
        <v>1483381171</v>
      </c>
      <c r="O53" s="6">
        <v>2677923172</v>
      </c>
      <c r="Q53" s="6">
        <v>-1194542001</v>
      </c>
    </row>
    <row r="54" spans="1:17" ht="21" x14ac:dyDescent="0.55000000000000004">
      <c r="A54" s="14" t="s">
        <v>89</v>
      </c>
      <c r="C54" s="6">
        <v>2400000</v>
      </c>
      <c r="E54" s="6">
        <v>13622461291</v>
      </c>
      <c r="G54" s="6">
        <v>12942136023</v>
      </c>
      <c r="I54" s="6">
        <v>680325268</v>
      </c>
      <c r="K54" s="6">
        <v>2400000</v>
      </c>
      <c r="M54" s="6">
        <v>13622461291</v>
      </c>
      <c r="O54" s="6">
        <v>12942136023</v>
      </c>
      <c r="Q54" s="6">
        <v>680325268</v>
      </c>
    </row>
    <row r="55" spans="1:17" ht="21" x14ac:dyDescent="0.55000000000000004">
      <c r="A55" s="14" t="s">
        <v>90</v>
      </c>
      <c r="C55" s="6">
        <v>1403444</v>
      </c>
      <c r="E55" s="6">
        <v>1452292363</v>
      </c>
      <c r="G55" s="6">
        <v>1615995500</v>
      </c>
      <c r="I55" s="6">
        <v>-163703137</v>
      </c>
      <c r="K55" s="6">
        <v>1403444</v>
      </c>
      <c r="M55" s="6">
        <v>1452292363</v>
      </c>
      <c r="O55" s="6">
        <v>1615995500</v>
      </c>
      <c r="Q55" s="6">
        <v>-163703137</v>
      </c>
    </row>
    <row r="56" spans="1:17" ht="21" x14ac:dyDescent="0.55000000000000004">
      <c r="A56" s="14" t="s">
        <v>229</v>
      </c>
      <c r="C56" s="6"/>
      <c r="E56" s="6"/>
      <c r="G56" s="6"/>
      <c r="I56" s="6"/>
      <c r="K56" s="6"/>
      <c r="M56" s="6"/>
      <c r="O56" s="6"/>
      <c r="Q56" s="6">
        <v>165978980</v>
      </c>
    </row>
    <row r="57" spans="1:17" ht="21" x14ac:dyDescent="0.55000000000000004">
      <c r="A57" s="14" t="s">
        <v>230</v>
      </c>
      <c r="C57" s="6"/>
      <c r="E57" s="6"/>
      <c r="G57" s="6"/>
      <c r="I57" s="6"/>
      <c r="K57" s="6"/>
      <c r="M57" s="6"/>
      <c r="O57" s="6"/>
      <c r="Q57" s="6">
        <v>153286869</v>
      </c>
    </row>
    <row r="58" spans="1:17" ht="21" x14ac:dyDescent="0.55000000000000004">
      <c r="A58" s="14" t="s">
        <v>232</v>
      </c>
      <c r="C58" s="6"/>
      <c r="E58" s="6"/>
      <c r="G58" s="6"/>
      <c r="I58" s="6"/>
      <c r="K58" s="6"/>
      <c r="M58" s="6"/>
      <c r="O58" s="6"/>
      <c r="Q58" s="6">
        <v>-987077134</v>
      </c>
    </row>
    <row r="59" spans="1:17" ht="21" x14ac:dyDescent="0.55000000000000004">
      <c r="A59" s="14" t="s">
        <v>233</v>
      </c>
      <c r="C59" s="6"/>
      <c r="E59" s="6"/>
      <c r="G59" s="6"/>
      <c r="I59" s="6"/>
      <c r="K59" s="6"/>
      <c r="M59" s="6"/>
      <c r="O59" s="6"/>
      <c r="Q59" s="6">
        <v>17872710</v>
      </c>
    </row>
    <row r="60" spans="1:17" ht="21" x14ac:dyDescent="0.55000000000000004">
      <c r="A60" s="14" t="s">
        <v>234</v>
      </c>
      <c r="C60" s="6"/>
      <c r="E60" s="6"/>
      <c r="G60" s="6"/>
      <c r="I60" s="6"/>
      <c r="K60" s="6"/>
      <c r="M60" s="6"/>
      <c r="O60" s="6"/>
      <c r="Q60" s="6">
        <v>-2600103280</v>
      </c>
    </row>
    <row r="61" spans="1:17" ht="21" x14ac:dyDescent="0.55000000000000004">
      <c r="A61" s="14" t="s">
        <v>235</v>
      </c>
      <c r="C61" s="6"/>
      <c r="E61" s="6"/>
      <c r="G61" s="6"/>
      <c r="I61" s="6"/>
      <c r="K61" s="6"/>
      <c r="M61" s="6"/>
      <c r="O61" s="6"/>
      <c r="Q61" s="6">
        <v>652987649</v>
      </c>
    </row>
    <row r="62" spans="1:17" ht="21" x14ac:dyDescent="0.55000000000000004">
      <c r="A62" s="14" t="s">
        <v>236</v>
      </c>
      <c r="C62" s="6"/>
      <c r="E62" s="6"/>
      <c r="G62" s="6"/>
      <c r="I62" s="6"/>
      <c r="K62" s="6"/>
      <c r="M62" s="6"/>
      <c r="O62" s="6"/>
      <c r="Q62" s="6">
        <v>-143352748</v>
      </c>
    </row>
    <row r="63" spans="1:17" ht="21" x14ac:dyDescent="0.55000000000000004">
      <c r="A63" s="14" t="s">
        <v>237</v>
      </c>
      <c r="C63" s="6"/>
      <c r="E63" s="6"/>
      <c r="G63" s="6"/>
      <c r="I63" s="6"/>
      <c r="K63" s="6"/>
      <c r="M63" s="6"/>
      <c r="O63" s="6"/>
      <c r="Q63" s="6">
        <v>330679973</v>
      </c>
    </row>
    <row r="64" spans="1:17" ht="21" x14ac:dyDescent="0.55000000000000004">
      <c r="A64" s="14" t="s">
        <v>272</v>
      </c>
      <c r="C64" s="6"/>
      <c r="E64" s="6"/>
      <c r="G64" s="6"/>
      <c r="I64" s="6"/>
      <c r="K64" s="6"/>
      <c r="M64" s="6"/>
      <c r="O64" s="6"/>
      <c r="Q64" s="6">
        <v>152611430</v>
      </c>
    </row>
    <row r="65" spans="1:17" ht="21" x14ac:dyDescent="0.55000000000000004">
      <c r="A65" s="14" t="s">
        <v>238</v>
      </c>
      <c r="C65" s="6"/>
      <c r="E65" s="6"/>
      <c r="G65" s="6"/>
      <c r="I65" s="6"/>
      <c r="K65" s="6"/>
      <c r="M65" s="6"/>
      <c r="O65" s="6"/>
      <c r="Q65" s="6">
        <v>450982632</v>
      </c>
    </row>
    <row r="66" spans="1:17" ht="21" x14ac:dyDescent="0.55000000000000004">
      <c r="A66" s="14" t="s">
        <v>239</v>
      </c>
      <c r="C66" s="6"/>
      <c r="E66" s="6"/>
      <c r="G66" s="6"/>
      <c r="I66" s="6"/>
      <c r="K66" s="6"/>
      <c r="M66" s="6"/>
      <c r="O66" s="6"/>
      <c r="Q66" s="6">
        <v>815842743</v>
      </c>
    </row>
    <row r="67" spans="1:17" ht="21" x14ac:dyDescent="0.55000000000000004">
      <c r="A67" s="14" t="s">
        <v>240</v>
      </c>
      <c r="C67" s="6"/>
      <c r="E67" s="6"/>
      <c r="G67" s="6"/>
      <c r="I67" s="6"/>
      <c r="K67" s="6"/>
      <c r="M67" s="6"/>
      <c r="O67" s="6"/>
      <c r="Q67" s="6">
        <v>836739081</v>
      </c>
    </row>
    <row r="68" spans="1:17" ht="21" x14ac:dyDescent="0.55000000000000004">
      <c r="A68" s="14" t="s">
        <v>241</v>
      </c>
      <c r="C68" s="6"/>
      <c r="E68" s="6"/>
      <c r="G68" s="6"/>
      <c r="I68" s="6"/>
      <c r="K68" s="6"/>
      <c r="M68" s="6"/>
      <c r="O68" s="6"/>
      <c r="Q68" s="6">
        <v>798978106</v>
      </c>
    </row>
    <row r="69" spans="1:17" ht="21" x14ac:dyDescent="0.55000000000000004">
      <c r="A69" s="14" t="s">
        <v>242</v>
      </c>
      <c r="C69" s="6"/>
      <c r="E69" s="6"/>
      <c r="G69" s="6"/>
      <c r="I69" s="6"/>
      <c r="K69" s="6"/>
      <c r="M69" s="6"/>
      <c r="O69" s="6"/>
      <c r="Q69" s="6">
        <v>416670792</v>
      </c>
    </row>
    <row r="70" spans="1:17" ht="21" x14ac:dyDescent="0.55000000000000004">
      <c r="A70" s="14" t="s">
        <v>273</v>
      </c>
      <c r="C70" s="6"/>
      <c r="E70" s="6"/>
      <c r="G70" s="6"/>
      <c r="I70" s="6"/>
      <c r="K70" s="6"/>
      <c r="M70" s="6"/>
      <c r="O70" s="6"/>
      <c r="Q70" s="6">
        <v>190746694</v>
      </c>
    </row>
    <row r="71" spans="1:17" ht="21" x14ac:dyDescent="0.55000000000000004">
      <c r="A71" s="14" t="s">
        <v>243</v>
      </c>
      <c r="C71" s="6"/>
      <c r="E71" s="6"/>
      <c r="G71" s="6"/>
      <c r="I71" s="6"/>
      <c r="K71" s="6"/>
      <c r="M71" s="6"/>
      <c r="O71" s="6"/>
      <c r="Q71" s="6">
        <v>299720319</v>
      </c>
    </row>
    <row r="72" spans="1:17" ht="21" x14ac:dyDescent="0.55000000000000004">
      <c r="A72" s="14" t="s">
        <v>244</v>
      </c>
      <c r="C72" s="6"/>
      <c r="E72" s="6"/>
      <c r="G72" s="6"/>
      <c r="I72" s="6"/>
      <c r="K72" s="6"/>
      <c r="M72" s="6"/>
      <c r="O72" s="6"/>
      <c r="Q72" s="6">
        <v>2313123597</v>
      </c>
    </row>
    <row r="73" spans="1:17" ht="21" x14ac:dyDescent="0.55000000000000004">
      <c r="A73" s="14" t="s">
        <v>245</v>
      </c>
      <c r="C73" s="6"/>
      <c r="E73" s="6"/>
      <c r="G73" s="6"/>
      <c r="I73" s="6"/>
      <c r="K73" s="6"/>
      <c r="M73" s="6"/>
      <c r="O73" s="6"/>
      <c r="Q73" s="6">
        <v>2539867414</v>
      </c>
    </row>
    <row r="74" spans="1:17" ht="21" x14ac:dyDescent="0.55000000000000004">
      <c r="A74" s="14" t="s">
        <v>246</v>
      </c>
      <c r="C74" s="6"/>
      <c r="E74" s="6"/>
      <c r="G74" s="6"/>
      <c r="I74" s="6"/>
      <c r="K74" s="6"/>
      <c r="M74" s="6"/>
      <c r="O74" s="6"/>
      <c r="Q74" s="6">
        <v>-1633923532</v>
      </c>
    </row>
    <row r="75" spans="1:17" ht="21" x14ac:dyDescent="0.55000000000000004">
      <c r="A75" s="14" t="s">
        <v>247</v>
      </c>
      <c r="C75" s="6"/>
      <c r="E75" s="6"/>
      <c r="G75" s="6"/>
      <c r="I75" s="6"/>
      <c r="K75" s="6"/>
      <c r="M75" s="6"/>
      <c r="O75" s="6"/>
      <c r="Q75" s="6">
        <v>288880900</v>
      </c>
    </row>
    <row r="76" spans="1:17" ht="21" x14ac:dyDescent="0.55000000000000004">
      <c r="A76" s="14" t="s">
        <v>248</v>
      </c>
      <c r="C76" s="6"/>
      <c r="E76" s="6"/>
      <c r="G76" s="6"/>
      <c r="I76" s="6"/>
      <c r="K76" s="6"/>
      <c r="M76" s="6"/>
      <c r="O76" s="6"/>
      <c r="Q76" s="6">
        <v>64568918</v>
      </c>
    </row>
    <row r="77" spans="1:17" ht="21" x14ac:dyDescent="0.55000000000000004">
      <c r="A77" s="14" t="s">
        <v>249</v>
      </c>
      <c r="C77" s="6"/>
      <c r="E77" s="6"/>
      <c r="G77" s="6"/>
      <c r="I77" s="6"/>
      <c r="K77" s="6"/>
      <c r="M77" s="6"/>
      <c r="O77" s="6"/>
      <c r="Q77" s="6">
        <v>818500907</v>
      </c>
    </row>
    <row r="78" spans="1:17" ht="21" x14ac:dyDescent="0.55000000000000004">
      <c r="A78" s="14" t="s">
        <v>250</v>
      </c>
      <c r="C78" s="6"/>
      <c r="E78" s="6"/>
      <c r="G78" s="6"/>
      <c r="I78" s="6"/>
      <c r="K78" s="6"/>
      <c r="M78" s="6"/>
      <c r="O78" s="6"/>
      <c r="Q78" s="6">
        <v>103932028</v>
      </c>
    </row>
    <row r="79" spans="1:17" ht="21" x14ac:dyDescent="0.55000000000000004">
      <c r="A79" s="14" t="s">
        <v>251</v>
      </c>
      <c r="C79" s="6"/>
      <c r="E79" s="6"/>
      <c r="G79" s="6"/>
      <c r="I79" s="6"/>
      <c r="K79" s="6"/>
      <c r="M79" s="6"/>
      <c r="O79" s="6"/>
      <c r="Q79" s="6">
        <v>853398759</v>
      </c>
    </row>
    <row r="80" spans="1:17" ht="21" x14ac:dyDescent="0.55000000000000004">
      <c r="A80" s="14" t="s">
        <v>252</v>
      </c>
      <c r="C80" s="6"/>
      <c r="E80" s="6"/>
      <c r="G80" s="6"/>
      <c r="I80" s="6"/>
      <c r="K80" s="6"/>
      <c r="M80" s="6"/>
      <c r="O80" s="6"/>
      <c r="Q80" s="6">
        <v>478416987</v>
      </c>
    </row>
    <row r="81" spans="1:17" ht="21" x14ac:dyDescent="0.55000000000000004">
      <c r="A81" s="14" t="s">
        <v>254</v>
      </c>
      <c r="C81" s="6"/>
      <c r="E81" s="6"/>
      <c r="G81" s="6"/>
      <c r="I81" s="6"/>
      <c r="K81" s="6"/>
      <c r="M81" s="6"/>
      <c r="O81" s="6"/>
      <c r="Q81" s="6">
        <v>429981911</v>
      </c>
    </row>
    <row r="82" spans="1:17" ht="21" x14ac:dyDescent="0.55000000000000004">
      <c r="A82" s="14" t="s">
        <v>274</v>
      </c>
      <c r="C82" s="6"/>
      <c r="E82" s="6"/>
      <c r="G82" s="6"/>
      <c r="I82" s="6"/>
      <c r="K82" s="6"/>
      <c r="M82" s="6"/>
      <c r="O82" s="6"/>
      <c r="Q82" s="6">
        <v>37185668</v>
      </c>
    </row>
    <row r="83" spans="1:17" ht="21" x14ac:dyDescent="0.55000000000000004">
      <c r="A83" s="14" t="s">
        <v>205</v>
      </c>
      <c r="C83" s="6"/>
      <c r="E83" s="6"/>
      <c r="G83" s="6"/>
      <c r="I83" s="6"/>
      <c r="K83" s="6"/>
      <c r="M83" s="6"/>
      <c r="O83" s="6"/>
      <c r="Q83" s="6">
        <v>67514952</v>
      </c>
    </row>
    <row r="84" spans="1:17" ht="21" x14ac:dyDescent="0.55000000000000004">
      <c r="A84" s="14" t="s">
        <v>256</v>
      </c>
      <c r="C84" s="6"/>
      <c r="E84" s="6"/>
      <c r="G84" s="6"/>
      <c r="I84" s="6"/>
      <c r="K84" s="6"/>
      <c r="M84" s="6"/>
      <c r="O84" s="6"/>
      <c r="Q84" s="6">
        <v>1596292</v>
      </c>
    </row>
    <row r="85" spans="1:17" ht="21" x14ac:dyDescent="0.55000000000000004">
      <c r="A85" s="14" t="s">
        <v>257</v>
      </c>
      <c r="C85" s="6"/>
      <c r="E85" s="6"/>
      <c r="G85" s="6"/>
      <c r="I85" s="6"/>
      <c r="K85" s="6"/>
      <c r="M85" s="6"/>
      <c r="O85" s="6"/>
      <c r="Q85" s="6">
        <v>718657381</v>
      </c>
    </row>
    <row r="86" spans="1:17" ht="21" x14ac:dyDescent="0.55000000000000004">
      <c r="A86" s="14" t="s">
        <v>258</v>
      </c>
      <c r="C86" s="6"/>
      <c r="E86" s="6"/>
      <c r="G86" s="6"/>
      <c r="I86" s="6"/>
      <c r="K86" s="6"/>
      <c r="M86" s="6"/>
      <c r="O86" s="6"/>
      <c r="Q86" s="6">
        <v>1027103692</v>
      </c>
    </row>
    <row r="87" spans="1:17" ht="21" x14ac:dyDescent="0.55000000000000004">
      <c r="A87" s="14" t="s">
        <v>259</v>
      </c>
      <c r="C87" s="6"/>
      <c r="E87" s="6"/>
      <c r="G87" s="6"/>
      <c r="I87" s="6"/>
      <c r="K87" s="6"/>
      <c r="M87" s="6"/>
      <c r="O87" s="6"/>
      <c r="Q87" s="6">
        <v>394213597</v>
      </c>
    </row>
    <row r="88" spans="1:17" ht="21" x14ac:dyDescent="0.55000000000000004">
      <c r="A88" s="14" t="s">
        <v>206</v>
      </c>
      <c r="C88" s="6"/>
      <c r="E88" s="6"/>
      <c r="G88" s="6"/>
      <c r="I88" s="6"/>
      <c r="K88" s="6"/>
      <c r="M88" s="6"/>
      <c r="O88" s="6"/>
      <c r="Q88" s="6">
        <v>-696321648</v>
      </c>
    </row>
    <row r="89" spans="1:17" ht="21" x14ac:dyDescent="0.55000000000000004">
      <c r="A89" s="14" t="s">
        <v>261</v>
      </c>
      <c r="C89" s="6"/>
      <c r="E89" s="6"/>
      <c r="G89" s="6"/>
      <c r="I89" s="6"/>
      <c r="K89" s="6"/>
      <c r="M89" s="6"/>
      <c r="O89" s="6"/>
      <c r="Q89" s="6">
        <v>292147825</v>
      </c>
    </row>
    <row r="90" spans="1:17" ht="21" x14ac:dyDescent="0.55000000000000004">
      <c r="A90" s="14" t="s">
        <v>262</v>
      </c>
      <c r="C90" s="6"/>
      <c r="E90" s="6"/>
      <c r="G90" s="6"/>
      <c r="I90" s="6"/>
      <c r="K90" s="6"/>
      <c r="M90" s="6"/>
      <c r="O90" s="6"/>
      <c r="Q90" s="6">
        <v>246240351</v>
      </c>
    </row>
    <row r="91" spans="1:17" ht="21" x14ac:dyDescent="0.55000000000000004">
      <c r="A91" s="14" t="s">
        <v>263</v>
      </c>
      <c r="C91" s="6"/>
      <c r="E91" s="6"/>
      <c r="G91" s="6"/>
      <c r="I91" s="6"/>
      <c r="K91" s="6"/>
      <c r="M91" s="6"/>
      <c r="O91" s="6"/>
      <c r="Q91" s="6">
        <v>500834670</v>
      </c>
    </row>
    <row r="92" spans="1:17" ht="21" x14ac:dyDescent="0.55000000000000004">
      <c r="A92" s="14" t="s">
        <v>264</v>
      </c>
      <c r="C92" s="6"/>
      <c r="E92" s="6"/>
      <c r="G92" s="6"/>
      <c r="I92" s="6"/>
      <c r="K92" s="6"/>
      <c r="M92" s="6"/>
      <c r="O92" s="6"/>
      <c r="Q92" s="6">
        <v>1500319978</v>
      </c>
    </row>
    <row r="93" spans="1:17" ht="21" x14ac:dyDescent="0.55000000000000004">
      <c r="A93" s="14" t="s">
        <v>266</v>
      </c>
      <c r="C93" s="6"/>
      <c r="E93" s="6"/>
      <c r="G93" s="6"/>
      <c r="I93" s="6"/>
      <c r="K93" s="6"/>
      <c r="M93" s="6"/>
      <c r="O93" s="6"/>
      <c r="Q93" s="6">
        <v>388881313</v>
      </c>
    </row>
    <row r="94" spans="1:17" ht="21" x14ac:dyDescent="0.55000000000000004">
      <c r="A94" s="14" t="s">
        <v>275</v>
      </c>
      <c r="C94" s="6"/>
      <c r="E94" s="6"/>
      <c r="G94" s="6"/>
      <c r="I94" s="6"/>
      <c r="K94" s="6"/>
      <c r="M94" s="6"/>
      <c r="O94" s="6"/>
      <c r="Q94" s="6">
        <v>169892337</v>
      </c>
    </row>
    <row r="95" spans="1:17" ht="21" x14ac:dyDescent="0.55000000000000004">
      <c r="A95" s="14" t="s">
        <v>267</v>
      </c>
      <c r="C95" s="6"/>
      <c r="E95" s="6"/>
      <c r="G95" s="6"/>
      <c r="I95" s="6"/>
      <c r="K95" s="6"/>
      <c r="M95" s="6"/>
      <c r="O95" s="6"/>
      <c r="Q95" s="6">
        <v>-1836545797</v>
      </c>
    </row>
    <row r="96" spans="1:17" ht="21" x14ac:dyDescent="0.55000000000000004">
      <c r="A96" s="14" t="s">
        <v>269</v>
      </c>
      <c r="C96" s="6"/>
      <c r="E96" s="6"/>
      <c r="G96" s="6"/>
      <c r="I96" s="6"/>
      <c r="K96" s="6"/>
      <c r="M96" s="6"/>
      <c r="O96" s="6"/>
      <c r="Q96" s="6">
        <v>294439966</v>
      </c>
    </row>
    <row r="97" spans="1:17" ht="21" x14ac:dyDescent="0.55000000000000004">
      <c r="A97" s="14" t="s">
        <v>270</v>
      </c>
      <c r="C97" s="6"/>
      <c r="E97" s="6"/>
      <c r="G97" s="6"/>
      <c r="I97" s="6"/>
      <c r="K97" s="6"/>
      <c r="M97" s="6"/>
      <c r="O97" s="6"/>
      <c r="Q97" s="6">
        <v>593579598</v>
      </c>
    </row>
    <row r="98" spans="1:17" ht="21" x14ac:dyDescent="0.55000000000000004">
      <c r="A98" s="14" t="s">
        <v>276</v>
      </c>
      <c r="C98" s="6"/>
      <c r="E98" s="6"/>
      <c r="G98" s="6"/>
      <c r="I98" s="6"/>
      <c r="K98" s="6"/>
      <c r="M98" s="6"/>
      <c r="O98" s="6"/>
      <c r="Q98" s="6">
        <v>-4999124626</v>
      </c>
    </row>
    <row r="99" spans="1:17" ht="21" x14ac:dyDescent="0.55000000000000004">
      <c r="A99" s="14" t="s">
        <v>207</v>
      </c>
      <c r="C99" s="6"/>
      <c r="E99" s="6"/>
      <c r="G99" s="6"/>
      <c r="I99" s="6"/>
      <c r="K99" s="6"/>
      <c r="M99" s="6"/>
      <c r="O99" s="6"/>
      <c r="Q99" s="6">
        <v>314113740</v>
      </c>
    </row>
    <row r="100" spans="1:17" ht="21" x14ac:dyDescent="0.55000000000000004">
      <c r="A100" s="14" t="s">
        <v>277</v>
      </c>
      <c r="C100" s="6"/>
      <c r="E100" s="6"/>
      <c r="G100" s="6"/>
      <c r="I100" s="6"/>
      <c r="K100" s="6"/>
      <c r="M100" s="6"/>
      <c r="O100" s="6"/>
      <c r="Q100" s="6">
        <v>-1001</v>
      </c>
    </row>
    <row r="101" spans="1:17" ht="21" x14ac:dyDescent="0.55000000000000004">
      <c r="A101" s="14" t="s">
        <v>208</v>
      </c>
      <c r="C101" s="6"/>
      <c r="E101" s="6"/>
      <c r="G101" s="6"/>
      <c r="I101" s="6"/>
      <c r="K101" s="6"/>
      <c r="M101" s="6"/>
      <c r="O101" s="6"/>
      <c r="Q101" s="6">
        <v>2635614794</v>
      </c>
    </row>
    <row r="102" spans="1:17" ht="21" x14ac:dyDescent="0.55000000000000004">
      <c r="A102" s="14" t="s">
        <v>209</v>
      </c>
      <c r="C102" s="6"/>
      <c r="E102" s="6"/>
      <c r="G102" s="6"/>
      <c r="I102" s="6"/>
      <c r="K102" s="6"/>
      <c r="M102" s="6"/>
      <c r="O102" s="6"/>
      <c r="Q102" s="6">
        <v>220595472</v>
      </c>
    </row>
    <row r="103" spans="1:17" ht="21" x14ac:dyDescent="0.55000000000000004">
      <c r="A103" s="14" t="s">
        <v>210</v>
      </c>
      <c r="C103" s="6"/>
      <c r="E103" s="6"/>
      <c r="G103" s="6"/>
      <c r="I103" s="6"/>
      <c r="K103" s="6"/>
      <c r="M103" s="6"/>
      <c r="O103" s="6"/>
      <c r="Q103" s="6">
        <v>769032514</v>
      </c>
    </row>
    <row r="104" spans="1:17" ht="21" x14ac:dyDescent="0.55000000000000004">
      <c r="A104" s="14" t="s">
        <v>278</v>
      </c>
      <c r="C104" s="6"/>
      <c r="E104" s="6"/>
      <c r="G104" s="6"/>
      <c r="I104" s="6"/>
      <c r="K104" s="6"/>
      <c r="M104" s="6"/>
      <c r="O104" s="6"/>
      <c r="Q104" s="6">
        <v>2823802</v>
      </c>
    </row>
    <row r="105" spans="1:17" ht="21" x14ac:dyDescent="0.55000000000000004">
      <c r="A105" s="14" t="s">
        <v>211</v>
      </c>
      <c r="C105" s="6"/>
      <c r="E105" s="6"/>
      <c r="G105" s="6"/>
      <c r="I105" s="6"/>
      <c r="K105" s="6"/>
      <c r="M105" s="6"/>
      <c r="O105" s="6"/>
      <c r="Q105" s="6">
        <v>137838676</v>
      </c>
    </row>
    <row r="106" spans="1:17" ht="21" x14ac:dyDescent="0.55000000000000004">
      <c r="A106" s="14" t="s">
        <v>212</v>
      </c>
      <c r="C106" s="6"/>
      <c r="E106" s="6"/>
      <c r="G106" s="6"/>
      <c r="I106" s="6"/>
      <c r="K106" s="6"/>
      <c r="M106" s="6"/>
      <c r="O106" s="6"/>
      <c r="Q106" s="6">
        <v>1604128594</v>
      </c>
    </row>
    <row r="107" spans="1:17" ht="21" x14ac:dyDescent="0.55000000000000004">
      <c r="A107" s="14" t="s">
        <v>213</v>
      </c>
      <c r="C107" s="6"/>
      <c r="E107" s="6"/>
      <c r="G107" s="6"/>
      <c r="I107" s="6"/>
      <c r="K107" s="6"/>
      <c r="M107" s="6"/>
      <c r="O107" s="6"/>
      <c r="Q107" s="6">
        <v>1173724363</v>
      </c>
    </row>
    <row r="108" spans="1:17" ht="21" x14ac:dyDescent="0.55000000000000004">
      <c r="A108" s="14" t="s">
        <v>214</v>
      </c>
      <c r="C108" s="6"/>
      <c r="E108" s="6"/>
      <c r="G108" s="6"/>
      <c r="I108" s="6"/>
      <c r="K108" s="6"/>
      <c r="M108" s="6"/>
      <c r="O108" s="6"/>
      <c r="Q108" s="6">
        <v>586818363</v>
      </c>
    </row>
    <row r="109" spans="1:17" ht="21" x14ac:dyDescent="0.55000000000000004">
      <c r="A109" s="14" t="s">
        <v>215</v>
      </c>
      <c r="C109" s="6"/>
      <c r="E109" s="6"/>
      <c r="G109" s="6"/>
      <c r="I109" s="6"/>
      <c r="K109" s="6"/>
      <c r="M109" s="6"/>
      <c r="O109" s="6"/>
      <c r="Q109" s="6">
        <v>3351200</v>
      </c>
    </row>
    <row r="110" spans="1:17" ht="21" x14ac:dyDescent="0.55000000000000004">
      <c r="A110" s="14" t="s">
        <v>216</v>
      </c>
      <c r="C110" s="6"/>
      <c r="E110" s="6"/>
      <c r="G110" s="6"/>
      <c r="I110" s="6"/>
      <c r="K110" s="6"/>
      <c r="M110" s="6"/>
      <c r="O110" s="6"/>
      <c r="Q110" s="6">
        <v>97524246</v>
      </c>
    </row>
    <row r="111" spans="1:17" ht="21" x14ac:dyDescent="0.55000000000000004">
      <c r="A111" s="14" t="s">
        <v>279</v>
      </c>
      <c r="C111" s="6"/>
      <c r="E111" s="6"/>
      <c r="G111" s="6"/>
      <c r="I111" s="6"/>
      <c r="K111" s="6"/>
      <c r="M111" s="6"/>
      <c r="O111" s="6"/>
      <c r="Q111" s="6">
        <v>228052331</v>
      </c>
    </row>
    <row r="112" spans="1:17" ht="21" x14ac:dyDescent="0.55000000000000004">
      <c r="A112" s="14" t="s">
        <v>217</v>
      </c>
      <c r="C112" s="6"/>
      <c r="E112" s="6"/>
      <c r="G112" s="6"/>
      <c r="I112" s="6"/>
      <c r="K112" s="6"/>
      <c r="M112" s="6"/>
      <c r="O112" s="6"/>
      <c r="Q112" s="6">
        <v>1327034090</v>
      </c>
    </row>
    <row r="113" spans="1:17" ht="21" x14ac:dyDescent="0.55000000000000004">
      <c r="A113" s="14" t="s">
        <v>218</v>
      </c>
      <c r="C113" s="6"/>
      <c r="E113" s="6"/>
      <c r="G113" s="6"/>
      <c r="I113" s="6"/>
      <c r="K113" s="6"/>
      <c r="M113" s="6"/>
      <c r="O113" s="6"/>
      <c r="Q113" s="6">
        <v>315434648</v>
      </c>
    </row>
    <row r="114" spans="1:17" ht="21" x14ac:dyDescent="0.55000000000000004">
      <c r="A114" s="14" t="s">
        <v>219</v>
      </c>
      <c r="C114" s="6"/>
      <c r="E114" s="6"/>
      <c r="G114" s="6"/>
      <c r="I114" s="6"/>
      <c r="K114" s="6"/>
      <c r="M114" s="6"/>
      <c r="O114" s="6"/>
      <c r="Q114" s="6">
        <v>292526296</v>
      </c>
    </row>
    <row r="115" spans="1:17" ht="21" x14ac:dyDescent="0.55000000000000004">
      <c r="A115" s="14" t="s">
        <v>280</v>
      </c>
      <c r="C115" s="6"/>
      <c r="E115" s="6"/>
      <c r="G115" s="6"/>
      <c r="I115" s="6"/>
      <c r="K115" s="6"/>
      <c r="M115" s="6"/>
      <c r="O115" s="6"/>
      <c r="Q115" s="6">
        <v>39885150</v>
      </c>
    </row>
    <row r="116" spans="1:17" ht="21" x14ac:dyDescent="0.55000000000000004">
      <c r="A116" s="14" t="s">
        <v>221</v>
      </c>
      <c r="C116" s="6"/>
      <c r="E116" s="6"/>
      <c r="G116" s="6"/>
      <c r="I116" s="6"/>
      <c r="K116" s="6"/>
      <c r="M116" s="6"/>
      <c r="O116" s="6"/>
      <c r="Q116" s="6">
        <v>-5922</v>
      </c>
    </row>
    <row r="117" spans="1:17" ht="21" x14ac:dyDescent="0.55000000000000004">
      <c r="A117" s="14" t="s">
        <v>222</v>
      </c>
      <c r="C117" s="6"/>
      <c r="E117" s="6"/>
      <c r="G117" s="6"/>
      <c r="I117" s="6"/>
      <c r="K117" s="6"/>
      <c r="M117" s="6"/>
      <c r="O117" s="6"/>
      <c r="Q117" s="6">
        <v>2056806</v>
      </c>
    </row>
    <row r="118" spans="1:17" ht="21" x14ac:dyDescent="0.55000000000000004">
      <c r="A118" s="14" t="s">
        <v>223</v>
      </c>
      <c r="C118" s="6"/>
      <c r="E118" s="6"/>
      <c r="G118" s="6"/>
      <c r="I118" s="6"/>
      <c r="K118" s="6"/>
      <c r="M118" s="6"/>
      <c r="O118" s="6"/>
      <c r="Q118" s="6">
        <v>798792798</v>
      </c>
    </row>
    <row r="119" spans="1:17" ht="21" x14ac:dyDescent="0.55000000000000004">
      <c r="A119" s="14" t="s">
        <v>224</v>
      </c>
      <c r="C119" s="6"/>
      <c r="E119" s="6"/>
      <c r="G119" s="6"/>
      <c r="I119" s="6"/>
      <c r="K119" s="6"/>
      <c r="M119" s="6"/>
      <c r="O119" s="6"/>
      <c r="Q119" s="6">
        <v>1155071</v>
      </c>
    </row>
    <row r="120" spans="1:17" ht="21" x14ac:dyDescent="0.55000000000000004">
      <c r="A120" s="14" t="s">
        <v>225</v>
      </c>
      <c r="C120" s="6"/>
      <c r="E120" s="6"/>
      <c r="G120" s="6"/>
      <c r="I120" s="6"/>
      <c r="K120" s="6"/>
      <c r="M120" s="6"/>
      <c r="O120" s="6"/>
      <c r="Q120" s="6">
        <v>140314108</v>
      </c>
    </row>
    <row r="121" spans="1:17" ht="21" x14ac:dyDescent="0.55000000000000004">
      <c r="A121" s="14" t="s">
        <v>226</v>
      </c>
      <c r="C121" s="6"/>
      <c r="E121" s="6"/>
      <c r="G121" s="6"/>
      <c r="I121" s="6"/>
      <c r="K121" s="6"/>
      <c r="M121" s="6"/>
      <c r="O121" s="6"/>
      <c r="Q121" s="6">
        <v>232798337</v>
      </c>
    </row>
    <row r="122" spans="1:17" ht="21" x14ac:dyDescent="0.55000000000000004">
      <c r="A122" s="14" t="s">
        <v>227</v>
      </c>
      <c r="C122" s="6"/>
      <c r="E122" s="6"/>
      <c r="G122" s="6"/>
      <c r="I122" s="6"/>
      <c r="K122" s="6"/>
      <c r="M122" s="6"/>
      <c r="O122" s="6"/>
      <c r="Q122" s="6">
        <v>4658928</v>
      </c>
    </row>
    <row r="123" spans="1:17" ht="21" x14ac:dyDescent="0.55000000000000004">
      <c r="A123" s="14" t="s">
        <v>228</v>
      </c>
      <c r="C123" s="6"/>
      <c r="E123" s="6"/>
      <c r="G123" s="6"/>
      <c r="I123" s="6"/>
      <c r="K123" s="6"/>
      <c r="M123" s="6"/>
      <c r="O123" s="6"/>
      <c r="Q123" s="6">
        <v>250998754</v>
      </c>
    </row>
    <row r="124" spans="1:17" ht="21" x14ac:dyDescent="0.55000000000000004">
      <c r="A124" s="14" t="s">
        <v>281</v>
      </c>
      <c r="C124" s="6"/>
      <c r="E124" s="6"/>
      <c r="G124" s="6"/>
      <c r="I124" s="6"/>
      <c r="K124" s="6"/>
      <c r="M124" s="6"/>
      <c r="O124" s="6"/>
      <c r="Q124" s="6">
        <v>-2697975</v>
      </c>
    </row>
    <row r="125" spans="1:17" ht="21.75" thickBot="1" x14ac:dyDescent="0.6">
      <c r="A125" s="7" t="s">
        <v>92</v>
      </c>
      <c r="C125" s="31"/>
      <c r="E125" s="7">
        <f>SUM(E9:$E$124)</f>
        <v>93054008284</v>
      </c>
      <c r="G125" s="7">
        <f>SUM(G9:$G$124)</f>
        <v>90219658063</v>
      </c>
      <c r="I125" s="7">
        <f>SUM(I9:$I$124)</f>
        <v>2834350221</v>
      </c>
      <c r="K125" s="31"/>
      <c r="M125" s="7">
        <f>SUM(M9:$M$124)</f>
        <v>409184316054</v>
      </c>
      <c r="O125" s="7">
        <f>SUM(O9:$O$124)</f>
        <v>390338156312</v>
      </c>
      <c r="Q125" s="7">
        <f>SUM(Q9:$Q$124)</f>
        <v>36532656179</v>
      </c>
    </row>
    <row r="126" spans="1:17" ht="21.75" thickTop="1" x14ac:dyDescent="0.55000000000000004">
      <c r="C126" s="31"/>
      <c r="E126" s="8"/>
      <c r="G126" s="8"/>
      <c r="I126" s="8"/>
      <c r="K126" s="31"/>
      <c r="M126" s="8"/>
      <c r="O126" s="8"/>
      <c r="Q126" s="8"/>
    </row>
    <row r="130" spans="17:17" x14ac:dyDescent="0.55000000000000004">
      <c r="Q130" s="17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43" bottom="0.4" header="0.3" footer="0.3"/>
  <pageSetup paperSize="9" scale="8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3"/>
  <sheetViews>
    <sheetView rightToLeft="1" view="pageBreakPreview" topLeftCell="A70" zoomScale="60" zoomScaleNormal="100" workbookViewId="0">
      <selection activeCell="S92" sqref="S92"/>
    </sheetView>
  </sheetViews>
  <sheetFormatPr defaultRowHeight="19.5" x14ac:dyDescent="0.55000000000000004"/>
  <cols>
    <col min="1" max="1" width="23.42578125" style="1" bestFit="1" customWidth="1"/>
    <col min="2" max="2" width="1.42578125" style="1" customWidth="1"/>
    <col min="3" max="3" width="15.42578125" style="1" bestFit="1" customWidth="1"/>
    <col min="4" max="4" width="1.42578125" style="1" customWidth="1"/>
    <col min="5" max="5" width="16.85546875" style="1" bestFit="1" customWidth="1"/>
    <col min="6" max="6" width="1.42578125" style="1" customWidth="1"/>
    <col min="7" max="7" width="14.7109375" style="1" bestFit="1" customWidth="1"/>
    <col min="8" max="8" width="1.42578125" style="1" customWidth="1"/>
    <col min="9" max="9" width="15.5703125" style="1" bestFit="1" customWidth="1"/>
    <col min="10" max="10" width="1.42578125" style="1" customWidth="1"/>
    <col min="11" max="11" width="12.28515625" style="1" bestFit="1" customWidth="1"/>
    <col min="12" max="12" width="1.42578125" style="1" customWidth="1"/>
    <col min="13" max="13" width="15.42578125" style="1" bestFit="1" customWidth="1"/>
    <col min="14" max="14" width="1.42578125" style="1" customWidth="1"/>
    <col min="15" max="15" width="16.85546875" style="1" bestFit="1" customWidth="1"/>
    <col min="16" max="16" width="1.42578125" style="1" customWidth="1"/>
    <col min="17" max="17" width="14.85546875" style="1" bestFit="1" customWidth="1"/>
    <col min="18" max="18" width="1.42578125" style="1" customWidth="1"/>
    <col min="19" max="19" width="16.140625" style="1" bestFit="1" customWidth="1"/>
    <col min="20" max="20" width="1.42578125" style="1" customWidth="1"/>
    <col min="21" max="21" width="12.28515625" style="1" bestFit="1" customWidth="1"/>
    <col min="22" max="16384" width="9.140625" style="1"/>
  </cols>
  <sheetData>
    <row r="1" spans="1:21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5" spans="1:21" ht="21" x14ac:dyDescent="0.55000000000000004">
      <c r="A5" s="27" t="s">
        <v>165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7" spans="1:21" ht="21" x14ac:dyDescent="0.55000000000000004">
      <c r="C7" s="21" t="s">
        <v>130</v>
      </c>
      <c r="D7" s="22"/>
      <c r="E7" s="22"/>
      <c r="F7" s="22"/>
      <c r="G7" s="22"/>
      <c r="H7" s="22"/>
      <c r="I7" s="22"/>
      <c r="J7" s="22"/>
      <c r="K7" s="22"/>
      <c r="M7" s="21" t="s">
        <v>7</v>
      </c>
      <c r="N7" s="22"/>
      <c r="O7" s="22"/>
      <c r="P7" s="22"/>
      <c r="Q7" s="22"/>
      <c r="R7" s="22"/>
      <c r="S7" s="22"/>
      <c r="T7" s="22"/>
      <c r="U7" s="22"/>
    </row>
    <row r="8" spans="1:21" ht="42" x14ac:dyDescent="0.55000000000000004">
      <c r="A8" s="3" t="s">
        <v>166</v>
      </c>
      <c r="C8" s="4" t="s">
        <v>128</v>
      </c>
      <c r="E8" s="4" t="s">
        <v>167</v>
      </c>
      <c r="G8" s="4" t="s">
        <v>168</v>
      </c>
      <c r="I8" s="4" t="s">
        <v>169</v>
      </c>
      <c r="K8" s="4" t="s">
        <v>170</v>
      </c>
      <c r="M8" s="4" t="s">
        <v>128</v>
      </c>
      <c r="O8" s="4" t="s">
        <v>167</v>
      </c>
      <c r="Q8" s="4" t="s">
        <v>168</v>
      </c>
      <c r="S8" s="4" t="s">
        <v>169</v>
      </c>
      <c r="U8" s="4" t="s">
        <v>170</v>
      </c>
    </row>
    <row r="9" spans="1:21" ht="21" x14ac:dyDescent="0.55000000000000004">
      <c r="A9" s="5" t="s">
        <v>29</v>
      </c>
      <c r="C9" s="6">
        <v>0</v>
      </c>
      <c r="E9" s="6">
        <v>90955575</v>
      </c>
      <c r="G9" s="6">
        <v>0</v>
      </c>
      <c r="I9" s="6">
        <v>90955575</v>
      </c>
      <c r="K9" s="10">
        <v>6.0396450740848023E-3</v>
      </c>
      <c r="M9" s="6">
        <v>0</v>
      </c>
      <c r="O9" s="6">
        <v>149224237</v>
      </c>
      <c r="Q9" s="6">
        <v>196012800</v>
      </c>
      <c r="S9" s="6">
        <v>345237037</v>
      </c>
      <c r="U9" s="10">
        <v>1.4876487075338545E-3</v>
      </c>
    </row>
    <row r="10" spans="1:21" ht="21" x14ac:dyDescent="0.55000000000000004">
      <c r="A10" s="5" t="s">
        <v>32</v>
      </c>
      <c r="C10" s="6">
        <v>0</v>
      </c>
      <c r="E10" s="6">
        <v>-986295606</v>
      </c>
      <c r="G10" s="6">
        <v>0</v>
      </c>
      <c r="I10" s="6">
        <v>-986295606</v>
      </c>
      <c r="K10" s="10">
        <v>-6.5492141612753088E-2</v>
      </c>
      <c r="M10" s="6">
        <v>0</v>
      </c>
      <c r="O10" s="6">
        <v>-986295606</v>
      </c>
      <c r="Q10" s="6">
        <v>0</v>
      </c>
      <c r="S10" s="6">
        <v>-986295606</v>
      </c>
      <c r="U10" s="10">
        <v>-4.2500115174844925E-3</v>
      </c>
    </row>
    <row r="11" spans="1:21" ht="21" x14ac:dyDescent="0.55000000000000004">
      <c r="A11" s="5" t="s">
        <v>33</v>
      </c>
      <c r="C11" s="6">
        <v>0</v>
      </c>
      <c r="E11" s="6">
        <v>9913443319</v>
      </c>
      <c r="G11" s="6">
        <v>0</v>
      </c>
      <c r="I11" s="6">
        <v>9913443319</v>
      </c>
      <c r="K11" s="10">
        <v>0.65827387830616468</v>
      </c>
      <c r="M11" s="6">
        <v>0</v>
      </c>
      <c r="O11" s="6">
        <v>13078004055</v>
      </c>
      <c r="Q11" s="6">
        <v>0</v>
      </c>
      <c r="S11" s="6">
        <v>13078004055</v>
      </c>
      <c r="U11" s="10">
        <v>5.6353964796492156E-2</v>
      </c>
    </row>
    <row r="12" spans="1:21" ht="21" x14ac:dyDescent="0.55000000000000004">
      <c r="A12" s="5" t="s">
        <v>171</v>
      </c>
      <c r="C12" s="6">
        <v>0</v>
      </c>
      <c r="E12" s="6">
        <v>3450704777</v>
      </c>
      <c r="G12" s="6">
        <v>1028754432</v>
      </c>
      <c r="I12" s="6">
        <v>4479459209</v>
      </c>
      <c r="K12" s="10">
        <v>0.29744568979087488</v>
      </c>
      <c r="M12" s="6">
        <v>0</v>
      </c>
      <c r="O12" s="6">
        <v>5614371965</v>
      </c>
      <c r="Q12" s="6">
        <v>1028754432</v>
      </c>
      <c r="S12" s="6">
        <v>6643126397</v>
      </c>
      <c r="U12" s="10">
        <v>2.862566103671282E-2</v>
      </c>
    </row>
    <row r="13" spans="1:21" ht="21" x14ac:dyDescent="0.55000000000000004">
      <c r="A13" s="5" t="s">
        <v>34</v>
      </c>
      <c r="C13" s="6">
        <v>0</v>
      </c>
      <c r="E13" s="6">
        <v>-2873981909</v>
      </c>
      <c r="G13" s="6">
        <v>963773428</v>
      </c>
      <c r="I13" s="6">
        <v>-1910208481</v>
      </c>
      <c r="K13" s="10">
        <v>-0.12684193621717704</v>
      </c>
      <c r="M13" s="6">
        <v>0</v>
      </c>
      <c r="O13" s="6">
        <v>5449790777</v>
      </c>
      <c r="Q13" s="6">
        <v>963773428</v>
      </c>
      <c r="S13" s="6">
        <v>6413564205</v>
      </c>
      <c r="U13" s="10">
        <v>2.7636462713163779E-2</v>
      </c>
    </row>
    <row r="14" spans="1:21" ht="21" x14ac:dyDescent="0.55000000000000004">
      <c r="A14" s="5" t="s">
        <v>172</v>
      </c>
      <c r="C14" s="6">
        <v>0</v>
      </c>
      <c r="E14" s="6">
        <v>95102669</v>
      </c>
      <c r="G14" s="6">
        <v>0</v>
      </c>
      <c r="I14" s="6">
        <v>95102669</v>
      </c>
      <c r="K14" s="10">
        <v>6.3150210018260823E-3</v>
      </c>
      <c r="M14" s="6">
        <v>0</v>
      </c>
      <c r="O14" s="6">
        <v>236398978</v>
      </c>
      <c r="Q14" s="6">
        <v>0</v>
      </c>
      <c r="S14" s="6">
        <v>236398978</v>
      </c>
      <c r="U14" s="10">
        <v>1.0186584763326656E-3</v>
      </c>
    </row>
    <row r="15" spans="1:21" ht="21" x14ac:dyDescent="0.55000000000000004">
      <c r="A15" s="5" t="s">
        <v>36</v>
      </c>
      <c r="C15" s="6">
        <v>0</v>
      </c>
      <c r="E15" s="6">
        <v>-7471593196</v>
      </c>
      <c r="G15" s="6">
        <v>0</v>
      </c>
      <c r="I15" s="6">
        <v>-7471593196</v>
      </c>
      <c r="K15" s="10">
        <v>-0.49612979789074968</v>
      </c>
      <c r="M15" s="6">
        <v>0</v>
      </c>
      <c r="O15" s="6">
        <v>17989106699</v>
      </c>
      <c r="Q15" s="6">
        <v>0</v>
      </c>
      <c r="S15" s="6">
        <v>17989106699</v>
      </c>
      <c r="U15" s="10">
        <v>7.7516223528635936E-2</v>
      </c>
    </row>
    <row r="16" spans="1:21" ht="42" x14ac:dyDescent="0.55000000000000004">
      <c r="A16" s="5" t="s">
        <v>37</v>
      </c>
      <c r="C16" s="6">
        <v>0</v>
      </c>
      <c r="E16" s="6">
        <v>746929170</v>
      </c>
      <c r="G16" s="6">
        <v>0</v>
      </c>
      <c r="I16" s="6">
        <v>746929170</v>
      </c>
      <c r="K16" s="10">
        <v>4.9597697362484372E-2</v>
      </c>
      <c r="M16" s="6">
        <v>952000000</v>
      </c>
      <c r="O16" s="6">
        <v>-1510757190</v>
      </c>
      <c r="Q16" s="6">
        <v>0</v>
      </c>
      <c r="S16" s="6">
        <v>-558757190</v>
      </c>
      <c r="U16" s="10">
        <v>-2.407720848121948E-3</v>
      </c>
    </row>
    <row r="17" spans="1:21" ht="21" x14ac:dyDescent="0.55000000000000004">
      <c r="A17" s="5" t="s">
        <v>173</v>
      </c>
      <c r="C17" s="6">
        <v>0</v>
      </c>
      <c r="E17" s="6">
        <v>210930290</v>
      </c>
      <c r="G17" s="6">
        <v>-707351562</v>
      </c>
      <c r="I17" s="6">
        <v>-496421272</v>
      </c>
      <c r="K17" s="10">
        <v>-3.2963436162167209E-2</v>
      </c>
      <c r="M17" s="6">
        <v>0</v>
      </c>
      <c r="O17" s="6">
        <v>0</v>
      </c>
      <c r="Q17" s="6">
        <v>-707351562</v>
      </c>
      <c r="S17" s="6">
        <v>-707351562</v>
      </c>
      <c r="U17" s="10">
        <v>-3.0480236017706094E-3</v>
      </c>
    </row>
    <row r="18" spans="1:21" ht="21" x14ac:dyDescent="0.55000000000000004">
      <c r="A18" s="5" t="s">
        <v>38</v>
      </c>
      <c r="C18" s="6">
        <v>0</v>
      </c>
      <c r="E18" s="6">
        <v>440277170</v>
      </c>
      <c r="G18" s="6">
        <v>0</v>
      </c>
      <c r="I18" s="6">
        <v>440277170</v>
      </c>
      <c r="K18" s="10">
        <v>2.9235347487193575E-2</v>
      </c>
      <c r="M18" s="6">
        <v>1257300000</v>
      </c>
      <c r="O18" s="6">
        <v>2680320285</v>
      </c>
      <c r="Q18" s="6">
        <v>2850861976</v>
      </c>
      <c r="S18" s="6">
        <v>6788482261</v>
      </c>
      <c r="U18" s="10">
        <v>2.9252008850061902E-2</v>
      </c>
    </row>
    <row r="19" spans="1:21" ht="21" x14ac:dyDescent="0.55000000000000004">
      <c r="A19" s="5" t="s">
        <v>40</v>
      </c>
      <c r="C19" s="6">
        <v>0</v>
      </c>
      <c r="E19" s="6">
        <v>318493620</v>
      </c>
      <c r="G19" s="6">
        <v>0</v>
      </c>
      <c r="I19" s="6">
        <v>318493620</v>
      </c>
      <c r="K19" s="10">
        <v>2.1148658816795306E-2</v>
      </c>
      <c r="M19" s="6">
        <v>292500000</v>
      </c>
      <c r="O19" s="6">
        <v>503612405</v>
      </c>
      <c r="Q19" s="6">
        <v>957825935</v>
      </c>
      <c r="S19" s="6">
        <v>1753938340</v>
      </c>
      <c r="U19" s="10">
        <v>7.5578336764461178E-3</v>
      </c>
    </row>
    <row r="20" spans="1:21" ht="21" x14ac:dyDescent="0.55000000000000004">
      <c r="A20" s="5" t="s">
        <v>41</v>
      </c>
      <c r="C20" s="6">
        <v>0</v>
      </c>
      <c r="E20" s="6">
        <v>501001200</v>
      </c>
      <c r="G20" s="6">
        <v>0</v>
      </c>
      <c r="I20" s="6">
        <v>501001200</v>
      </c>
      <c r="K20" s="10">
        <v>3.3267553194958908E-2</v>
      </c>
      <c r="M20" s="6">
        <v>0</v>
      </c>
      <c r="O20" s="6">
        <v>683906400</v>
      </c>
      <c r="Q20" s="6">
        <v>1007320800</v>
      </c>
      <c r="S20" s="6">
        <v>1691227200</v>
      </c>
      <c r="U20" s="10">
        <v>7.2876073207235291E-3</v>
      </c>
    </row>
    <row r="21" spans="1:21" ht="42" x14ac:dyDescent="0.55000000000000004">
      <c r="A21" s="5" t="s">
        <v>174</v>
      </c>
      <c r="C21" s="6">
        <v>0</v>
      </c>
      <c r="E21" s="6">
        <v>2227428036</v>
      </c>
      <c r="G21" s="6">
        <v>0</v>
      </c>
      <c r="I21" s="6">
        <v>2227428036</v>
      </c>
      <c r="K21" s="10">
        <v>0.14790599438798319</v>
      </c>
      <c r="M21" s="6">
        <v>0</v>
      </c>
      <c r="O21" s="6">
        <v>3305821474</v>
      </c>
      <c r="Q21" s="6">
        <v>-546347714</v>
      </c>
      <c r="S21" s="6">
        <v>2759473760</v>
      </c>
      <c r="U21" s="10">
        <v>1.1890750796061274E-2</v>
      </c>
    </row>
    <row r="22" spans="1:21" ht="21" x14ac:dyDescent="0.55000000000000004">
      <c r="A22" s="5" t="s">
        <v>42</v>
      </c>
      <c r="C22" s="6">
        <v>0</v>
      </c>
      <c r="E22" s="6">
        <v>5436764021</v>
      </c>
      <c r="G22" s="6">
        <v>0</v>
      </c>
      <c r="I22" s="6">
        <v>5436764021</v>
      </c>
      <c r="K22" s="10">
        <v>0.36101278056231439</v>
      </c>
      <c r="M22" s="6">
        <v>0</v>
      </c>
      <c r="O22" s="6">
        <v>5703720363</v>
      </c>
      <c r="Q22" s="6">
        <v>0</v>
      </c>
      <c r="S22" s="6">
        <v>5703720363</v>
      </c>
      <c r="U22" s="10">
        <v>2.4577699715779562E-2</v>
      </c>
    </row>
    <row r="23" spans="1:21" ht="21" x14ac:dyDescent="0.55000000000000004">
      <c r="A23" s="5" t="s">
        <v>44</v>
      </c>
      <c r="C23" s="6">
        <v>0</v>
      </c>
      <c r="E23" s="6">
        <v>4286800385</v>
      </c>
      <c r="G23" s="6">
        <v>0</v>
      </c>
      <c r="I23" s="6">
        <v>4286800385</v>
      </c>
      <c r="K23" s="10">
        <v>0.28465273105964184</v>
      </c>
      <c r="M23" s="6">
        <v>0</v>
      </c>
      <c r="O23" s="6">
        <v>7888304322</v>
      </c>
      <c r="Q23" s="6">
        <v>-760630187</v>
      </c>
      <c r="S23" s="6">
        <v>7127674135</v>
      </c>
      <c r="U23" s="10">
        <v>3.0713608559487304E-2</v>
      </c>
    </row>
    <row r="24" spans="1:21" ht="42" x14ac:dyDescent="0.55000000000000004">
      <c r="A24" s="5" t="s">
        <v>175</v>
      </c>
      <c r="C24" s="6">
        <v>0</v>
      </c>
      <c r="E24" s="6">
        <v>-1142143511</v>
      </c>
      <c r="G24" s="6">
        <v>0</v>
      </c>
      <c r="I24" s="6">
        <v>-1142143511</v>
      </c>
      <c r="K24" s="10">
        <v>-7.5840776446183436E-2</v>
      </c>
      <c r="M24" s="6">
        <v>0</v>
      </c>
      <c r="O24" s="6">
        <v>-2567025237</v>
      </c>
      <c r="Q24" s="6">
        <v>-1102034145</v>
      </c>
      <c r="S24" s="6">
        <v>-3669059382</v>
      </c>
      <c r="U24" s="10">
        <v>-1.5810214034183312E-2</v>
      </c>
    </row>
    <row r="25" spans="1:21" ht="21" x14ac:dyDescent="0.55000000000000004">
      <c r="A25" s="5" t="s">
        <v>45</v>
      </c>
      <c r="C25" s="6">
        <v>0</v>
      </c>
      <c r="E25" s="6">
        <v>2415428714</v>
      </c>
      <c r="G25" s="6">
        <v>475472489</v>
      </c>
      <c r="I25" s="6">
        <v>2890901203</v>
      </c>
      <c r="K25" s="10">
        <v>0.19196203432681042</v>
      </c>
      <c r="M25" s="6">
        <v>0</v>
      </c>
      <c r="O25" s="6">
        <v>1805114037</v>
      </c>
      <c r="Q25" s="6">
        <v>1377922289</v>
      </c>
      <c r="S25" s="6">
        <v>3183036326</v>
      </c>
      <c r="U25" s="10">
        <v>1.3715909270786636E-2</v>
      </c>
    </row>
    <row r="26" spans="1:21" ht="21" x14ac:dyDescent="0.55000000000000004">
      <c r="A26" s="5" t="s">
        <v>46</v>
      </c>
      <c r="C26" s="6">
        <v>0</v>
      </c>
      <c r="E26" s="6">
        <v>-2216152313</v>
      </c>
      <c r="G26" s="6">
        <v>0</v>
      </c>
      <c r="I26" s="6">
        <v>-2216152313</v>
      </c>
      <c r="K26" s="10">
        <v>-0.14715726221984843</v>
      </c>
      <c r="M26" s="6">
        <v>0</v>
      </c>
      <c r="O26" s="6">
        <v>493799242</v>
      </c>
      <c r="Q26" s="6">
        <v>0</v>
      </c>
      <c r="S26" s="6">
        <v>493799242</v>
      </c>
      <c r="U26" s="10">
        <v>2.1278128515003361E-3</v>
      </c>
    </row>
    <row r="27" spans="1:21" ht="42" x14ac:dyDescent="0.55000000000000004">
      <c r="A27" s="5" t="s">
        <v>176</v>
      </c>
      <c r="C27" s="6">
        <v>0</v>
      </c>
      <c r="E27" s="6">
        <v>-1059657300</v>
      </c>
      <c r="G27" s="6">
        <v>0</v>
      </c>
      <c r="I27" s="6">
        <v>-1059657300</v>
      </c>
      <c r="K27" s="10">
        <v>-7.0363515289337694E-2</v>
      </c>
      <c r="M27" s="6">
        <v>0</v>
      </c>
      <c r="O27" s="6">
        <v>801204300</v>
      </c>
      <c r="Q27" s="6">
        <v>236936174</v>
      </c>
      <c r="S27" s="6">
        <v>1038140474</v>
      </c>
      <c r="U27" s="10">
        <v>4.4734144047954023E-3</v>
      </c>
    </row>
    <row r="28" spans="1:21" ht="21" x14ac:dyDescent="0.55000000000000004">
      <c r="A28" s="5" t="s">
        <v>177</v>
      </c>
      <c r="C28" s="6">
        <v>0</v>
      </c>
      <c r="E28" s="6">
        <v>-781011396</v>
      </c>
      <c r="G28" s="6">
        <v>0</v>
      </c>
      <c r="I28" s="6">
        <v>-781011396</v>
      </c>
      <c r="K28" s="10">
        <v>-5.1860830198209341E-2</v>
      </c>
      <c r="M28" s="6">
        <v>5006486160</v>
      </c>
      <c r="O28" s="6">
        <v>188187354</v>
      </c>
      <c r="Q28" s="6">
        <v>-416966303</v>
      </c>
      <c r="S28" s="6">
        <v>4777707211</v>
      </c>
      <c r="U28" s="10">
        <v>2.0587449189060577E-2</v>
      </c>
    </row>
    <row r="29" spans="1:21" ht="21" x14ac:dyDescent="0.55000000000000004">
      <c r="A29" s="5" t="s">
        <v>48</v>
      </c>
      <c r="C29" s="6">
        <v>0</v>
      </c>
      <c r="E29" s="6">
        <v>839688050</v>
      </c>
      <c r="G29" s="6">
        <v>0</v>
      </c>
      <c r="I29" s="6">
        <v>839688050</v>
      </c>
      <c r="K29" s="10">
        <v>5.5757085752581662E-2</v>
      </c>
      <c r="M29" s="6">
        <v>642857000</v>
      </c>
      <c r="O29" s="6">
        <v>826808449</v>
      </c>
      <c r="Q29" s="6">
        <v>675113341</v>
      </c>
      <c r="S29" s="6">
        <v>2144778790</v>
      </c>
      <c r="U29" s="10">
        <v>9.2419904382666923E-3</v>
      </c>
    </row>
    <row r="30" spans="1:21" ht="21" x14ac:dyDescent="0.55000000000000004">
      <c r="A30" s="5" t="s">
        <v>49</v>
      </c>
      <c r="C30" s="6">
        <v>0</v>
      </c>
      <c r="E30" s="6">
        <v>898448100</v>
      </c>
      <c r="G30" s="6">
        <v>0</v>
      </c>
      <c r="I30" s="6">
        <v>898448100</v>
      </c>
      <c r="K30" s="10">
        <v>5.9658878980049873E-2</v>
      </c>
      <c r="M30" s="6">
        <v>0</v>
      </c>
      <c r="O30" s="6">
        <v>898448100</v>
      </c>
      <c r="Q30" s="6">
        <v>0</v>
      </c>
      <c r="S30" s="6">
        <v>898448100</v>
      </c>
      <c r="U30" s="10">
        <v>3.8714709359275591E-3</v>
      </c>
    </row>
    <row r="31" spans="1:21" ht="21" x14ac:dyDescent="0.55000000000000004">
      <c r="A31" s="5" t="s">
        <v>50</v>
      </c>
      <c r="C31" s="6">
        <v>0</v>
      </c>
      <c r="E31" s="6">
        <v>-706536188</v>
      </c>
      <c r="G31" s="6">
        <v>880380800</v>
      </c>
      <c r="I31" s="6">
        <v>173844612</v>
      </c>
      <c r="K31" s="10">
        <v>1.1543654740481643E-2</v>
      </c>
      <c r="M31" s="6">
        <v>0</v>
      </c>
      <c r="O31" s="6">
        <v>467467162</v>
      </c>
      <c r="Q31" s="6">
        <v>880380800</v>
      </c>
      <c r="S31" s="6">
        <v>1347847962</v>
      </c>
      <c r="U31" s="10">
        <v>5.8079639891633061E-3</v>
      </c>
    </row>
    <row r="32" spans="1:21" ht="21" x14ac:dyDescent="0.55000000000000004">
      <c r="A32" s="5" t="s">
        <v>51</v>
      </c>
      <c r="C32" s="6">
        <v>0</v>
      </c>
      <c r="E32" s="6">
        <v>4910878414</v>
      </c>
      <c r="G32" s="6">
        <v>0</v>
      </c>
      <c r="I32" s="6">
        <v>4910878414</v>
      </c>
      <c r="K32" s="10">
        <v>0.32609284942175876</v>
      </c>
      <c r="M32" s="6">
        <v>0</v>
      </c>
      <c r="O32" s="6">
        <v>6945739030</v>
      </c>
      <c r="Q32" s="6">
        <v>0</v>
      </c>
      <c r="S32" s="6">
        <v>6945739030</v>
      </c>
      <c r="U32" s="10">
        <v>2.9929638432295284E-2</v>
      </c>
    </row>
    <row r="33" spans="1:21" ht="21" x14ac:dyDescent="0.55000000000000004">
      <c r="A33" s="5" t="s">
        <v>52</v>
      </c>
      <c r="C33" s="6">
        <v>0</v>
      </c>
      <c r="E33" s="6">
        <v>0</v>
      </c>
      <c r="G33" s="6">
        <v>267221588</v>
      </c>
      <c r="I33" s="6">
        <v>267221588</v>
      </c>
      <c r="K33" s="10">
        <v>1.7744086029397522E-2</v>
      </c>
      <c r="M33" s="6">
        <v>0</v>
      </c>
      <c r="O33" s="6">
        <v>0</v>
      </c>
      <c r="Q33" s="6">
        <v>2814038028</v>
      </c>
      <c r="S33" s="6">
        <v>2814038028</v>
      </c>
      <c r="U33" s="10">
        <v>1.2125871753746157E-2</v>
      </c>
    </row>
    <row r="34" spans="1:21" ht="21" x14ac:dyDescent="0.55000000000000004">
      <c r="A34" s="5" t="s">
        <v>178</v>
      </c>
      <c r="C34" s="6">
        <v>0</v>
      </c>
      <c r="E34" s="6">
        <v>630227700</v>
      </c>
      <c r="G34" s="6">
        <v>0</v>
      </c>
      <c r="I34" s="6">
        <v>630227700</v>
      </c>
      <c r="K34" s="10">
        <v>4.184846969365863E-2</v>
      </c>
      <c r="M34" s="6">
        <v>0</v>
      </c>
      <c r="O34" s="6">
        <v>807168600</v>
      </c>
      <c r="Q34" s="6">
        <v>-345437536</v>
      </c>
      <c r="S34" s="6">
        <v>461731064</v>
      </c>
      <c r="U34" s="10">
        <v>1.9896289997061683E-3</v>
      </c>
    </row>
    <row r="35" spans="1:21" ht="21" x14ac:dyDescent="0.55000000000000004">
      <c r="A35" s="5" t="s">
        <v>179</v>
      </c>
      <c r="C35" s="6">
        <v>0</v>
      </c>
      <c r="E35" s="6">
        <v>3664431642</v>
      </c>
      <c r="G35" s="6">
        <v>0</v>
      </c>
      <c r="I35" s="6">
        <v>3664431642</v>
      </c>
      <c r="K35" s="10">
        <v>0.24332611295047921</v>
      </c>
      <c r="M35" s="6">
        <v>0</v>
      </c>
      <c r="O35" s="6">
        <v>2539311736</v>
      </c>
      <c r="Q35" s="6">
        <v>0</v>
      </c>
      <c r="S35" s="6">
        <v>2539311736</v>
      </c>
      <c r="U35" s="10">
        <v>1.0942058404023286E-2</v>
      </c>
    </row>
    <row r="36" spans="1:21" ht="21" x14ac:dyDescent="0.55000000000000004">
      <c r="A36" s="5" t="s">
        <v>180</v>
      </c>
      <c r="C36" s="6">
        <v>0</v>
      </c>
      <c r="E36" s="6">
        <v>285950394</v>
      </c>
      <c r="G36" s="6">
        <v>0</v>
      </c>
      <c r="I36" s="6">
        <v>285950394</v>
      </c>
      <c r="K36" s="10">
        <v>1.8987718878746115E-2</v>
      </c>
      <c r="M36" s="6">
        <v>0</v>
      </c>
      <c r="O36" s="6">
        <v>521782037</v>
      </c>
      <c r="Q36" s="6">
        <v>0</v>
      </c>
      <c r="S36" s="6">
        <v>521782037</v>
      </c>
      <c r="U36" s="10">
        <v>2.2483925238804313E-3</v>
      </c>
    </row>
    <row r="37" spans="1:21" ht="42" x14ac:dyDescent="0.55000000000000004">
      <c r="A37" s="5" t="s">
        <v>181</v>
      </c>
      <c r="C37" s="6">
        <v>0</v>
      </c>
      <c r="E37" s="6">
        <v>-1043752500</v>
      </c>
      <c r="G37" s="6">
        <v>0</v>
      </c>
      <c r="I37" s="6">
        <v>-1043752500</v>
      </c>
      <c r="K37" s="10">
        <v>-6.9307402489497724E-2</v>
      </c>
      <c r="M37" s="6">
        <v>4394680000</v>
      </c>
      <c r="O37" s="6">
        <v>805180501</v>
      </c>
      <c r="Q37" s="6">
        <v>-226878470</v>
      </c>
      <c r="S37" s="6">
        <v>4972982031</v>
      </c>
      <c r="U37" s="10">
        <v>2.1428901010427315E-2</v>
      </c>
    </row>
    <row r="38" spans="1:21" ht="21" x14ac:dyDescent="0.55000000000000004">
      <c r="A38" s="5" t="s">
        <v>53</v>
      </c>
      <c r="C38" s="6">
        <v>1344000000</v>
      </c>
      <c r="E38" s="6">
        <v>-2578963320</v>
      </c>
      <c r="G38" s="6">
        <v>0</v>
      </c>
      <c r="I38" s="6">
        <v>-1234963320</v>
      </c>
      <c r="K38" s="10">
        <v>-8.2004210652435683E-2</v>
      </c>
      <c r="M38" s="6">
        <v>1344000000</v>
      </c>
      <c r="O38" s="6">
        <v>-4401653400</v>
      </c>
      <c r="Q38" s="6">
        <v>0</v>
      </c>
      <c r="S38" s="6">
        <v>-3057653400</v>
      </c>
      <c r="U38" s="10">
        <v>-1.3175626138271184E-2</v>
      </c>
    </row>
    <row r="39" spans="1:21" ht="21" x14ac:dyDescent="0.55000000000000004">
      <c r="A39" s="5" t="s">
        <v>54</v>
      </c>
      <c r="C39" s="6">
        <v>0</v>
      </c>
      <c r="E39" s="6">
        <v>226316088</v>
      </c>
      <c r="G39" s="6">
        <v>329538066</v>
      </c>
      <c r="I39" s="6">
        <v>555854154</v>
      </c>
      <c r="K39" s="10">
        <v>3.690990687613898E-2</v>
      </c>
      <c r="M39" s="6">
        <v>0</v>
      </c>
      <c r="O39" s="6">
        <v>415866278</v>
      </c>
      <c r="Q39" s="6">
        <v>902955809</v>
      </c>
      <c r="S39" s="6">
        <v>1318822087</v>
      </c>
      <c r="U39" s="10">
        <v>5.6828896176416054E-3</v>
      </c>
    </row>
    <row r="40" spans="1:21" ht="21" x14ac:dyDescent="0.55000000000000004">
      <c r="A40" s="5" t="s">
        <v>55</v>
      </c>
      <c r="C40" s="6">
        <v>0</v>
      </c>
      <c r="E40" s="6">
        <v>158053950</v>
      </c>
      <c r="G40" s="6">
        <v>0</v>
      </c>
      <c r="I40" s="6">
        <v>158053950</v>
      </c>
      <c r="K40" s="10">
        <v>1.0495120948409657E-2</v>
      </c>
      <c r="M40" s="6">
        <v>0</v>
      </c>
      <c r="O40" s="6">
        <v>2428291050</v>
      </c>
      <c r="Q40" s="6">
        <v>733684800</v>
      </c>
      <c r="S40" s="6">
        <v>3161975850</v>
      </c>
      <c r="U40" s="10">
        <v>1.3625158318415764E-2</v>
      </c>
    </row>
    <row r="41" spans="1:21" ht="21" x14ac:dyDescent="0.55000000000000004">
      <c r="A41" s="5" t="s">
        <v>56</v>
      </c>
      <c r="C41" s="6">
        <v>0</v>
      </c>
      <c r="E41" s="6">
        <v>-4879459854</v>
      </c>
      <c r="G41" s="6">
        <v>0</v>
      </c>
      <c r="I41" s="6">
        <v>-4879459854</v>
      </c>
      <c r="K41" s="10">
        <v>-0.32400658971597557</v>
      </c>
      <c r="M41" s="6">
        <v>0</v>
      </c>
      <c r="O41" s="6">
        <v>23593061401</v>
      </c>
      <c r="Q41" s="6">
        <v>2984004494</v>
      </c>
      <c r="S41" s="6">
        <v>26577065895</v>
      </c>
      <c r="U41" s="10">
        <v>0.11452229480447904</v>
      </c>
    </row>
    <row r="42" spans="1:21" ht="42" x14ac:dyDescent="0.55000000000000004">
      <c r="A42" s="5" t="s">
        <v>182</v>
      </c>
      <c r="C42" s="6">
        <v>0</v>
      </c>
      <c r="E42" s="6">
        <v>-419973751</v>
      </c>
      <c r="G42" s="6">
        <v>0</v>
      </c>
      <c r="I42" s="6">
        <v>-419973751</v>
      </c>
      <c r="K42" s="10">
        <v>-2.7887156960659829E-2</v>
      </c>
      <c r="M42" s="6">
        <v>0</v>
      </c>
      <c r="O42" s="6">
        <v>-419973751</v>
      </c>
      <c r="Q42" s="6">
        <v>60230850</v>
      </c>
      <c r="S42" s="6">
        <v>-359742901</v>
      </c>
      <c r="U42" s="10">
        <v>-1.5501554131259949E-3</v>
      </c>
    </row>
    <row r="43" spans="1:21" ht="21" x14ac:dyDescent="0.55000000000000004">
      <c r="A43" s="5" t="s">
        <v>58</v>
      </c>
      <c r="C43" s="6">
        <v>0</v>
      </c>
      <c r="E43" s="6">
        <v>2406829576</v>
      </c>
      <c r="G43" s="6">
        <v>-2897154375</v>
      </c>
      <c r="I43" s="6">
        <v>-490324799</v>
      </c>
      <c r="K43" s="10">
        <v>-3.2558617291814938E-2</v>
      </c>
      <c r="M43" s="6">
        <v>0</v>
      </c>
      <c r="O43" s="6">
        <v>0</v>
      </c>
      <c r="Q43" s="6">
        <v>-7535029565</v>
      </c>
      <c r="S43" s="6">
        <v>-7535029565</v>
      </c>
      <c r="U43" s="10">
        <v>-3.2468929437607333E-2</v>
      </c>
    </row>
    <row r="44" spans="1:21" ht="21" x14ac:dyDescent="0.55000000000000004">
      <c r="A44" s="5" t="s">
        <v>183</v>
      </c>
      <c r="C44" s="6">
        <v>0</v>
      </c>
      <c r="E44" s="6">
        <v>-12014023490</v>
      </c>
      <c r="G44" s="6">
        <v>0</v>
      </c>
      <c r="I44" s="6">
        <v>-12014023490</v>
      </c>
      <c r="K44" s="10">
        <v>-0.79775690265624288</v>
      </c>
      <c r="M44" s="6">
        <v>0</v>
      </c>
      <c r="O44" s="6">
        <v>-8916361774</v>
      </c>
      <c r="Q44" s="6">
        <v>0</v>
      </c>
      <c r="S44" s="6">
        <v>-8916361774</v>
      </c>
      <c r="U44" s="10">
        <v>-3.8421179211416322E-2</v>
      </c>
    </row>
    <row r="45" spans="1:21" ht="21" x14ac:dyDescent="0.55000000000000004">
      <c r="A45" s="5" t="s">
        <v>61</v>
      </c>
      <c r="C45" s="6">
        <v>0</v>
      </c>
      <c r="E45" s="6">
        <v>-65607300</v>
      </c>
      <c r="G45" s="6">
        <v>0</v>
      </c>
      <c r="I45" s="6">
        <v>-65607300</v>
      </c>
      <c r="K45" s="10">
        <v>-4.3564652993398571E-3</v>
      </c>
      <c r="M45" s="6">
        <v>0</v>
      </c>
      <c r="O45" s="6">
        <v>-677942100</v>
      </c>
      <c r="Q45" s="6">
        <v>0</v>
      </c>
      <c r="S45" s="6">
        <v>-677942100</v>
      </c>
      <c r="U45" s="10">
        <v>-2.9212963290719796E-3</v>
      </c>
    </row>
    <row r="46" spans="1:21" ht="42" x14ac:dyDescent="0.55000000000000004">
      <c r="A46" s="5" t="s">
        <v>184</v>
      </c>
      <c r="C46" s="6">
        <v>0</v>
      </c>
      <c r="E46" s="6">
        <v>-1452546775</v>
      </c>
      <c r="G46" s="6">
        <v>0</v>
      </c>
      <c r="I46" s="6">
        <v>-1452546775</v>
      </c>
      <c r="K46" s="10">
        <v>-9.6452218289055008E-2</v>
      </c>
      <c r="M46" s="6">
        <v>0</v>
      </c>
      <c r="O46" s="6">
        <v>2651171845</v>
      </c>
      <c r="Q46" s="6">
        <v>0</v>
      </c>
      <c r="S46" s="6">
        <v>2651171845</v>
      </c>
      <c r="U46" s="10">
        <v>1.1424070844010849E-2</v>
      </c>
    </row>
    <row r="47" spans="1:21" ht="21" x14ac:dyDescent="0.55000000000000004">
      <c r="A47" s="5" t="s">
        <v>63</v>
      </c>
      <c r="C47" s="6">
        <v>0</v>
      </c>
      <c r="E47" s="6">
        <v>-16080758</v>
      </c>
      <c r="G47" s="6">
        <v>0</v>
      </c>
      <c r="I47" s="6">
        <v>-16080758</v>
      </c>
      <c r="K47" s="10">
        <v>-1.0677967880720865E-3</v>
      </c>
      <c r="M47" s="6">
        <v>0</v>
      </c>
      <c r="O47" s="6">
        <v>-16080758</v>
      </c>
      <c r="Q47" s="6">
        <v>0</v>
      </c>
      <c r="S47" s="6">
        <v>-16080758</v>
      </c>
      <c r="U47" s="10">
        <v>-6.929302563462996E-5</v>
      </c>
    </row>
    <row r="48" spans="1:21" ht="21" x14ac:dyDescent="0.55000000000000004">
      <c r="A48" s="5" t="s">
        <v>65</v>
      </c>
      <c r="C48" s="6">
        <v>0</v>
      </c>
      <c r="E48" s="6">
        <v>2780931792</v>
      </c>
      <c r="G48" s="6">
        <v>0</v>
      </c>
      <c r="I48" s="6">
        <v>2780931792</v>
      </c>
      <c r="K48" s="10">
        <v>0.18465982980063203</v>
      </c>
      <c r="M48" s="6">
        <v>0</v>
      </c>
      <c r="O48" s="6">
        <v>1209358112</v>
      </c>
      <c r="Q48" s="6">
        <v>1838065920</v>
      </c>
      <c r="S48" s="6">
        <v>3047424032</v>
      </c>
      <c r="U48" s="10">
        <v>1.3131547130363096E-2</v>
      </c>
    </row>
    <row r="49" spans="1:21" ht="21" x14ac:dyDescent="0.55000000000000004">
      <c r="A49" s="5" t="s">
        <v>67</v>
      </c>
      <c r="C49" s="6">
        <v>0</v>
      </c>
      <c r="E49" s="6">
        <v>756720563</v>
      </c>
      <c r="G49" s="6">
        <v>0</v>
      </c>
      <c r="I49" s="6">
        <v>756720563</v>
      </c>
      <c r="K49" s="10">
        <v>5.0247866838086921E-2</v>
      </c>
      <c r="M49" s="6">
        <v>0</v>
      </c>
      <c r="O49" s="6">
        <v>1394651475</v>
      </c>
      <c r="Q49" s="6">
        <v>933138850</v>
      </c>
      <c r="S49" s="6">
        <v>2327790325</v>
      </c>
      <c r="U49" s="10">
        <v>1.0030598971905964E-2</v>
      </c>
    </row>
    <row r="50" spans="1:21" ht="21" x14ac:dyDescent="0.55000000000000004">
      <c r="A50" s="5" t="s">
        <v>185</v>
      </c>
      <c r="C50" s="6">
        <v>0</v>
      </c>
      <c r="E50" s="6">
        <v>461647757</v>
      </c>
      <c r="G50" s="6">
        <v>-398207148</v>
      </c>
      <c r="I50" s="6">
        <v>63440609</v>
      </c>
      <c r="K50" s="10">
        <v>4.2125923742859081E-3</v>
      </c>
      <c r="M50" s="6">
        <v>0</v>
      </c>
      <c r="O50" s="6">
        <v>-2231447312</v>
      </c>
      <c r="Q50" s="6">
        <v>-1194542001</v>
      </c>
      <c r="S50" s="6">
        <v>-3425989313</v>
      </c>
      <c r="U50" s="10">
        <v>-1.4762809395532057E-2</v>
      </c>
    </row>
    <row r="51" spans="1:21" ht="21" x14ac:dyDescent="0.55000000000000004">
      <c r="A51" s="5" t="s">
        <v>186</v>
      </c>
      <c r="C51" s="6">
        <v>0</v>
      </c>
      <c r="E51" s="6">
        <v>2021375587</v>
      </c>
      <c r="G51" s="6">
        <v>-163703137</v>
      </c>
      <c r="I51" s="6">
        <v>1857672450</v>
      </c>
      <c r="K51" s="10">
        <v>0.12335343118775892</v>
      </c>
      <c r="M51" s="6">
        <v>0</v>
      </c>
      <c r="O51" s="6">
        <v>-5578795684</v>
      </c>
      <c r="Q51" s="6">
        <v>-163703137</v>
      </c>
      <c r="S51" s="6">
        <v>-5742498821</v>
      </c>
      <c r="U51" s="10">
        <v>-2.4744798597826377E-2</v>
      </c>
    </row>
    <row r="52" spans="1:21" ht="21" x14ac:dyDescent="0.55000000000000004">
      <c r="A52" s="5" t="s">
        <v>187</v>
      </c>
      <c r="C52" s="6">
        <v>0</v>
      </c>
      <c r="E52" s="6">
        <v>-6106728070</v>
      </c>
      <c r="G52" s="6">
        <v>0</v>
      </c>
      <c r="I52" s="6">
        <v>-6106728070</v>
      </c>
      <c r="K52" s="10">
        <v>-0.40549982897420955</v>
      </c>
      <c r="M52" s="6">
        <v>0</v>
      </c>
      <c r="O52" s="6">
        <v>14373087650</v>
      </c>
      <c r="Q52" s="6">
        <v>825945230</v>
      </c>
      <c r="S52" s="6">
        <v>15199032880</v>
      </c>
      <c r="U52" s="10">
        <v>6.5493615100446365E-2</v>
      </c>
    </row>
    <row r="53" spans="1:21" ht="21" x14ac:dyDescent="0.55000000000000004">
      <c r="A53" s="5" t="s">
        <v>72</v>
      </c>
      <c r="C53" s="6">
        <v>0</v>
      </c>
      <c r="E53" s="6">
        <v>1411551000</v>
      </c>
      <c r="G53" s="6">
        <v>0</v>
      </c>
      <c r="I53" s="6">
        <v>1411551000</v>
      </c>
      <c r="K53" s="10">
        <v>9.3730010985796933E-2</v>
      </c>
      <c r="M53" s="6">
        <v>0</v>
      </c>
      <c r="O53" s="6">
        <v>727939499</v>
      </c>
      <c r="Q53" s="6">
        <v>-624123600</v>
      </c>
      <c r="S53" s="6">
        <v>103815899</v>
      </c>
      <c r="U53" s="10">
        <v>4.4734941914362214E-4</v>
      </c>
    </row>
    <row r="54" spans="1:21" ht="21" x14ac:dyDescent="0.55000000000000004">
      <c r="A54" s="5" t="s">
        <v>76</v>
      </c>
      <c r="C54" s="6">
        <v>0</v>
      </c>
      <c r="E54" s="6">
        <v>2960537463</v>
      </c>
      <c r="G54" s="6">
        <v>721893970</v>
      </c>
      <c r="I54" s="6">
        <v>3682431433</v>
      </c>
      <c r="K54" s="10">
        <v>0.24452133764173872</v>
      </c>
      <c r="M54" s="6">
        <v>0</v>
      </c>
      <c r="O54" s="6">
        <v>3898298866</v>
      </c>
      <c r="Q54" s="6">
        <v>721893970</v>
      </c>
      <c r="S54" s="6">
        <v>4620192836</v>
      </c>
      <c r="U54" s="10">
        <v>1.9908709565922309E-2</v>
      </c>
    </row>
    <row r="55" spans="1:21" ht="21" x14ac:dyDescent="0.55000000000000004">
      <c r="A55" s="5" t="s">
        <v>188</v>
      </c>
      <c r="C55" s="6">
        <v>0</v>
      </c>
      <c r="E55" s="6">
        <v>7537682340</v>
      </c>
      <c r="G55" s="6">
        <v>0</v>
      </c>
      <c r="I55" s="6">
        <v>7537682340</v>
      </c>
      <c r="K55" s="10">
        <v>0.50051825866415556</v>
      </c>
      <c r="M55" s="6">
        <v>0</v>
      </c>
      <c r="O55" s="6">
        <v>12147291000</v>
      </c>
      <c r="Q55" s="6">
        <v>0</v>
      </c>
      <c r="S55" s="6">
        <v>12147291000</v>
      </c>
      <c r="U55" s="10">
        <v>5.2343462083958341E-2</v>
      </c>
    </row>
    <row r="56" spans="1:21" ht="21" x14ac:dyDescent="0.55000000000000004">
      <c r="A56" s="5" t="s">
        <v>189</v>
      </c>
      <c r="C56" s="6">
        <v>0</v>
      </c>
      <c r="E56" s="6">
        <v>2965748175</v>
      </c>
      <c r="G56" s="6">
        <v>0</v>
      </c>
      <c r="I56" s="6">
        <v>2965748175</v>
      </c>
      <c r="K56" s="10">
        <v>0.19693203364515854</v>
      </c>
      <c r="M56" s="6">
        <v>0</v>
      </c>
      <c r="O56" s="6">
        <v>4691682838</v>
      </c>
      <c r="Q56" s="6">
        <v>0</v>
      </c>
      <c r="S56" s="6">
        <v>4691682838</v>
      </c>
      <c r="U56" s="10">
        <v>2.0216764605442569E-2</v>
      </c>
    </row>
    <row r="57" spans="1:21" ht="21" x14ac:dyDescent="0.55000000000000004">
      <c r="A57" s="5" t="s">
        <v>190</v>
      </c>
      <c r="C57" s="6">
        <v>0</v>
      </c>
      <c r="E57" s="6">
        <v>1863295541</v>
      </c>
      <c r="G57" s="6">
        <v>0</v>
      </c>
      <c r="I57" s="6">
        <v>1863295541</v>
      </c>
      <c r="K57" s="10">
        <v>0.12372681647897697</v>
      </c>
      <c r="M57" s="6">
        <v>0</v>
      </c>
      <c r="O57" s="6">
        <v>4030861148</v>
      </c>
      <c r="Q57" s="6">
        <v>0</v>
      </c>
      <c r="S57" s="6">
        <v>4030861148</v>
      </c>
      <c r="U57" s="10">
        <v>1.736924122967325E-2</v>
      </c>
    </row>
    <row r="58" spans="1:21" ht="21" x14ac:dyDescent="0.55000000000000004">
      <c r="A58" s="5" t="s">
        <v>77</v>
      </c>
      <c r="C58" s="6">
        <v>0</v>
      </c>
      <c r="E58" s="6">
        <v>-2729263680</v>
      </c>
      <c r="G58" s="6">
        <v>0</v>
      </c>
      <c r="I58" s="6">
        <v>-2729263680</v>
      </c>
      <c r="K58" s="10">
        <v>-0.18122895645253806</v>
      </c>
      <c r="M58" s="6">
        <v>0</v>
      </c>
      <c r="O58" s="6">
        <v>2196206292</v>
      </c>
      <c r="Q58" s="6">
        <v>790107480</v>
      </c>
      <c r="S58" s="6">
        <v>2986313772</v>
      </c>
      <c r="U58" s="10">
        <v>1.2868219070036654E-2</v>
      </c>
    </row>
    <row r="59" spans="1:21" ht="21" x14ac:dyDescent="0.55000000000000004">
      <c r="A59" s="5" t="s">
        <v>78</v>
      </c>
      <c r="C59" s="6">
        <v>0</v>
      </c>
      <c r="E59" s="6">
        <v>-516803027</v>
      </c>
      <c r="G59" s="6">
        <v>0</v>
      </c>
      <c r="I59" s="6">
        <v>-516803027</v>
      </c>
      <c r="K59" s="10">
        <v>-3.4316828366954578E-2</v>
      </c>
      <c r="M59" s="6">
        <v>0</v>
      </c>
      <c r="O59" s="6">
        <v>4321737098</v>
      </c>
      <c r="Q59" s="6">
        <v>772060038</v>
      </c>
      <c r="S59" s="6">
        <v>5093797136</v>
      </c>
      <c r="U59" s="10">
        <v>2.194950110700333E-2</v>
      </c>
    </row>
    <row r="60" spans="1:21" ht="21" x14ac:dyDescent="0.55000000000000004">
      <c r="A60" s="5" t="s">
        <v>79</v>
      </c>
      <c r="C60" s="6">
        <v>0</v>
      </c>
      <c r="E60" s="6">
        <v>-2059671600</v>
      </c>
      <c r="G60" s="6">
        <v>0</v>
      </c>
      <c r="I60" s="6">
        <v>-2059671600</v>
      </c>
      <c r="K60" s="10">
        <v>-0.1367666075792755</v>
      </c>
      <c r="M60" s="6">
        <v>0</v>
      </c>
      <c r="O60" s="6">
        <v>231554874</v>
      </c>
      <c r="Q60" s="6">
        <v>0</v>
      </c>
      <c r="S60" s="6">
        <v>231554874</v>
      </c>
      <c r="U60" s="10">
        <v>9.9778491908811208E-4</v>
      </c>
    </row>
    <row r="61" spans="1:21" ht="21" x14ac:dyDescent="0.55000000000000004">
      <c r="A61" s="5" t="s">
        <v>80</v>
      </c>
      <c r="C61" s="6">
        <v>0</v>
      </c>
      <c r="E61" s="6">
        <v>-7971170646</v>
      </c>
      <c r="G61" s="6">
        <v>0</v>
      </c>
      <c r="I61" s="6">
        <v>-7971170646</v>
      </c>
      <c r="K61" s="10">
        <v>-0.52930281103498344</v>
      </c>
      <c r="M61" s="6">
        <v>0</v>
      </c>
      <c r="O61" s="6">
        <v>13471024282</v>
      </c>
      <c r="Q61" s="6">
        <v>0</v>
      </c>
      <c r="S61" s="6">
        <v>13471024282</v>
      </c>
      <c r="U61" s="10">
        <v>5.8047514358300065E-2</v>
      </c>
    </row>
    <row r="62" spans="1:21" ht="21" x14ac:dyDescent="0.55000000000000004">
      <c r="A62" s="5" t="s">
        <v>81</v>
      </c>
      <c r="C62" s="6">
        <v>0</v>
      </c>
      <c r="E62" s="6">
        <v>-2270609010</v>
      </c>
      <c r="G62" s="6">
        <v>0</v>
      </c>
      <c r="I62" s="6">
        <v>-2270609010</v>
      </c>
      <c r="K62" s="10">
        <v>-0.15077330358715305</v>
      </c>
      <c r="M62" s="6">
        <v>0</v>
      </c>
      <c r="O62" s="6">
        <v>2950430013</v>
      </c>
      <c r="Q62" s="6">
        <v>0</v>
      </c>
      <c r="S62" s="6">
        <v>2950430013</v>
      </c>
      <c r="U62" s="10">
        <v>1.2713593633085617E-2</v>
      </c>
    </row>
    <row r="63" spans="1:21" ht="21" x14ac:dyDescent="0.55000000000000004">
      <c r="A63" s="5" t="s">
        <v>191</v>
      </c>
      <c r="C63" s="6">
        <v>0</v>
      </c>
      <c r="E63" s="6">
        <v>-1698394068</v>
      </c>
      <c r="G63" s="6">
        <v>0</v>
      </c>
      <c r="I63" s="6">
        <v>-1698394068</v>
      </c>
      <c r="K63" s="10">
        <v>-0.1127770053309107</v>
      </c>
      <c r="M63" s="6">
        <v>0</v>
      </c>
      <c r="O63" s="6">
        <v>8035701390</v>
      </c>
      <c r="Q63" s="6">
        <v>778763390</v>
      </c>
      <c r="S63" s="6">
        <v>8814464780</v>
      </c>
      <c r="U63" s="10">
        <v>3.798209847795004E-2</v>
      </c>
    </row>
    <row r="64" spans="1:21" ht="21" x14ac:dyDescent="0.55000000000000004">
      <c r="A64" s="5" t="s">
        <v>84</v>
      </c>
      <c r="C64" s="6">
        <v>1865500000</v>
      </c>
      <c r="E64" s="6">
        <v>-173958750</v>
      </c>
      <c r="G64" s="6">
        <v>0</v>
      </c>
      <c r="I64" s="6">
        <v>1691541250</v>
      </c>
      <c r="K64" s="10">
        <v>0.11232196353190828</v>
      </c>
      <c r="M64" s="6">
        <v>1865500000</v>
      </c>
      <c r="O64" s="6">
        <v>255657332</v>
      </c>
      <c r="Q64" s="6">
        <v>649133501</v>
      </c>
      <c r="S64" s="6">
        <v>2770290833</v>
      </c>
      <c r="U64" s="10">
        <v>1.1937362262801877E-2</v>
      </c>
    </row>
    <row r="65" spans="1:21" ht="21" x14ac:dyDescent="0.55000000000000004">
      <c r="A65" s="5" t="s">
        <v>85</v>
      </c>
      <c r="C65" s="6">
        <v>0</v>
      </c>
      <c r="E65" s="6">
        <v>2039790600</v>
      </c>
      <c r="G65" s="6">
        <v>0</v>
      </c>
      <c r="I65" s="6">
        <v>2039790600</v>
      </c>
      <c r="K65" s="10">
        <v>0.13544646657947557</v>
      </c>
      <c r="M65" s="6">
        <v>0</v>
      </c>
      <c r="O65" s="6">
        <v>11594599200</v>
      </c>
      <c r="Q65" s="6">
        <v>0</v>
      </c>
      <c r="S65" s="6">
        <v>11594599200</v>
      </c>
      <c r="U65" s="10">
        <v>4.9961877393395263E-2</v>
      </c>
    </row>
    <row r="66" spans="1:21" ht="21" x14ac:dyDescent="0.55000000000000004">
      <c r="A66" s="5" t="s">
        <v>88</v>
      </c>
      <c r="C66" s="6">
        <v>0</v>
      </c>
      <c r="E66" s="6">
        <v>-976859809</v>
      </c>
      <c r="G66" s="6">
        <v>0</v>
      </c>
      <c r="I66" s="6">
        <v>-976859809</v>
      </c>
      <c r="K66" s="10">
        <v>-6.4865584473500063E-2</v>
      </c>
      <c r="M66" s="6">
        <v>0</v>
      </c>
      <c r="O66" s="6">
        <v>-988136971</v>
      </c>
      <c r="Q66" s="6">
        <v>0</v>
      </c>
      <c r="S66" s="6">
        <v>-988136971</v>
      </c>
      <c r="U66" s="10">
        <v>-4.2579460782898792E-3</v>
      </c>
    </row>
    <row r="67" spans="1:21" ht="42" x14ac:dyDescent="0.55000000000000004">
      <c r="A67" s="5" t="s">
        <v>192</v>
      </c>
      <c r="C67" s="6">
        <v>0</v>
      </c>
      <c r="E67" s="6">
        <v>0</v>
      </c>
      <c r="G67" s="6">
        <v>1118081095</v>
      </c>
      <c r="I67" s="6">
        <v>1118081095</v>
      </c>
      <c r="K67" s="10">
        <v>7.4242980464299099E-2</v>
      </c>
      <c r="M67" s="6">
        <v>0</v>
      </c>
      <c r="O67" s="6">
        <v>0</v>
      </c>
      <c r="Q67" s="6">
        <v>1118081095</v>
      </c>
      <c r="S67" s="6">
        <v>1118081095</v>
      </c>
      <c r="U67" s="10">
        <v>4.8178837078096774E-3</v>
      </c>
    </row>
    <row r="68" spans="1:21" ht="21" x14ac:dyDescent="0.55000000000000004">
      <c r="A68" s="5" t="s">
        <v>193</v>
      </c>
      <c r="C68" s="6">
        <v>0</v>
      </c>
      <c r="E68" s="6">
        <v>1041269163</v>
      </c>
      <c r="G68" s="6">
        <v>535325307</v>
      </c>
      <c r="I68" s="6">
        <v>1576594470</v>
      </c>
      <c r="K68" s="10">
        <v>0.10468925103892575</v>
      </c>
      <c r="M68" s="6">
        <v>0</v>
      </c>
      <c r="O68" s="6">
        <v>2814438680</v>
      </c>
      <c r="Q68" s="6">
        <v>535325307</v>
      </c>
      <c r="S68" s="6">
        <v>3349763987</v>
      </c>
      <c r="U68" s="10">
        <v>1.4434349538818459E-2</v>
      </c>
    </row>
    <row r="69" spans="1:21" ht="42" x14ac:dyDescent="0.55000000000000004">
      <c r="A69" s="5" t="s">
        <v>194</v>
      </c>
      <c r="C69" s="6">
        <v>0</v>
      </c>
      <c r="E69" s="6">
        <v>-678322832</v>
      </c>
      <c r="G69" s="6">
        <v>680325268</v>
      </c>
      <c r="I69" s="6">
        <v>2002436</v>
      </c>
      <c r="K69" s="10">
        <v>1.3296604109830622E-4</v>
      </c>
      <c r="M69" s="6">
        <v>0</v>
      </c>
      <c r="O69" s="6">
        <v>533583926</v>
      </c>
      <c r="Q69" s="6">
        <v>680325268</v>
      </c>
      <c r="S69" s="6">
        <v>1213909194</v>
      </c>
      <c r="U69" s="10">
        <v>5.2308131804455361E-3</v>
      </c>
    </row>
    <row r="70" spans="1:21" ht="42" x14ac:dyDescent="0.55000000000000004">
      <c r="A70" s="5" t="s">
        <v>24</v>
      </c>
      <c r="C70" s="6">
        <v>0</v>
      </c>
      <c r="E70" s="6">
        <v>100861166</v>
      </c>
      <c r="G70" s="6">
        <v>0</v>
      </c>
      <c r="I70" s="6">
        <v>100861166</v>
      </c>
      <c r="K70" s="10">
        <v>6.6973975415838939E-3</v>
      </c>
      <c r="M70" s="6">
        <v>0</v>
      </c>
      <c r="O70" s="6">
        <v>100861166</v>
      </c>
      <c r="Q70" s="6">
        <v>0</v>
      </c>
      <c r="S70" s="6">
        <v>100861166</v>
      </c>
      <c r="U70" s="10">
        <v>4.3461728366142116E-4</v>
      </c>
    </row>
    <row r="71" spans="1:21" ht="42" x14ac:dyDescent="0.55000000000000004">
      <c r="A71" s="5" t="s">
        <v>22</v>
      </c>
      <c r="C71" s="6">
        <v>0</v>
      </c>
      <c r="E71" s="6">
        <v>250932599</v>
      </c>
      <c r="G71" s="6">
        <v>0</v>
      </c>
      <c r="I71" s="6">
        <v>250932599</v>
      </c>
      <c r="K71" s="10">
        <v>1.6662462256740687E-2</v>
      </c>
      <c r="M71" s="6">
        <v>0</v>
      </c>
      <c r="O71" s="6">
        <v>250932599</v>
      </c>
      <c r="Q71" s="6">
        <v>0</v>
      </c>
      <c r="S71" s="6">
        <v>250932599</v>
      </c>
      <c r="U71" s="10">
        <v>1.0812847886319363E-3</v>
      </c>
    </row>
    <row r="72" spans="1:21" ht="42" x14ac:dyDescent="0.55000000000000004">
      <c r="A72" s="5" t="s">
        <v>19</v>
      </c>
      <c r="C72" s="6">
        <v>0</v>
      </c>
      <c r="E72" s="6">
        <v>35448908</v>
      </c>
      <c r="G72" s="6">
        <v>0</v>
      </c>
      <c r="I72" s="6">
        <v>35448908</v>
      </c>
      <c r="K72" s="10">
        <v>2.3538834489681948E-3</v>
      </c>
      <c r="M72" s="6">
        <v>0</v>
      </c>
      <c r="O72" s="6">
        <v>35448908</v>
      </c>
      <c r="Q72" s="6">
        <v>0</v>
      </c>
      <c r="S72" s="6">
        <v>35448908</v>
      </c>
      <c r="U72" s="10">
        <v>1.5275163588455464E-4</v>
      </c>
    </row>
    <row r="73" spans="1:21" ht="42" x14ac:dyDescent="0.55000000000000004">
      <c r="A73" s="5" t="s">
        <v>28</v>
      </c>
      <c r="C73" s="6">
        <v>0</v>
      </c>
      <c r="E73" s="6">
        <v>-128733284</v>
      </c>
      <c r="G73" s="6">
        <v>232798337</v>
      </c>
      <c r="I73" s="6">
        <v>104065053</v>
      </c>
      <c r="K73" s="10">
        <v>6.9101425034784709E-3</v>
      </c>
      <c r="M73" s="6">
        <v>0</v>
      </c>
      <c r="O73" s="6">
        <v>268262077</v>
      </c>
      <c r="Q73" s="6">
        <v>232798337</v>
      </c>
      <c r="S73" s="6">
        <v>501060414</v>
      </c>
      <c r="U73" s="10">
        <v>2.1591017109890156E-3</v>
      </c>
    </row>
    <row r="74" spans="1:21" ht="42" x14ac:dyDescent="0.55000000000000004">
      <c r="A74" s="5" t="s">
        <v>17</v>
      </c>
      <c r="C74" s="6">
        <v>0</v>
      </c>
      <c r="E74" s="6">
        <v>258361015</v>
      </c>
      <c r="G74" s="6">
        <v>0</v>
      </c>
      <c r="I74" s="6">
        <v>258361015</v>
      </c>
      <c r="K74" s="10">
        <v>1.7155724996299564E-2</v>
      </c>
      <c r="M74" s="6">
        <v>0</v>
      </c>
      <c r="O74" s="6">
        <v>258361015</v>
      </c>
      <c r="Q74" s="6">
        <v>0</v>
      </c>
      <c r="S74" s="6">
        <v>258361015</v>
      </c>
      <c r="U74" s="10">
        <v>1.1132943133267733E-3</v>
      </c>
    </row>
    <row r="75" spans="1:21" ht="42" x14ac:dyDescent="0.55000000000000004">
      <c r="A75" s="5" t="s">
        <v>23</v>
      </c>
      <c r="C75" s="6">
        <v>0</v>
      </c>
      <c r="E75" s="6">
        <v>12826602</v>
      </c>
      <c r="G75" s="6">
        <v>0</v>
      </c>
      <c r="I75" s="6">
        <v>12826602</v>
      </c>
      <c r="K75" s="10">
        <v>8.5171385686414792E-4</v>
      </c>
      <c r="M75" s="6">
        <v>0</v>
      </c>
      <c r="O75" s="6">
        <v>12826602</v>
      </c>
      <c r="Q75" s="6">
        <v>0</v>
      </c>
      <c r="S75" s="6">
        <v>12826602</v>
      </c>
      <c r="U75" s="10">
        <v>5.5270657091611968E-5</v>
      </c>
    </row>
    <row r="76" spans="1:21" ht="42" x14ac:dyDescent="0.55000000000000004">
      <c r="A76" s="5" t="s">
        <v>21</v>
      </c>
      <c r="C76" s="6">
        <v>0</v>
      </c>
      <c r="E76" s="6">
        <v>1736676673</v>
      </c>
      <c r="G76" s="6">
        <v>500834670</v>
      </c>
      <c r="I76" s="6">
        <v>2237511343</v>
      </c>
      <c r="K76" s="10">
        <v>0.14857554757868136</v>
      </c>
      <c r="M76" s="6">
        <v>0</v>
      </c>
      <c r="O76" s="6">
        <v>-10332562</v>
      </c>
      <c r="Q76" s="6">
        <v>500834670</v>
      </c>
      <c r="S76" s="6">
        <v>490502108</v>
      </c>
      <c r="U76" s="10">
        <v>2.1136052879773474E-3</v>
      </c>
    </row>
    <row r="77" spans="1:21" ht="42" x14ac:dyDescent="0.55000000000000004">
      <c r="A77" s="5" t="s">
        <v>27</v>
      </c>
      <c r="C77" s="6">
        <v>0</v>
      </c>
      <c r="E77" s="6">
        <v>10827092</v>
      </c>
      <c r="G77" s="6">
        <v>3351200</v>
      </c>
      <c r="I77" s="6">
        <v>14178292</v>
      </c>
      <c r="K77" s="10">
        <v>9.4146896918342773E-4</v>
      </c>
      <c r="M77" s="6">
        <v>0</v>
      </c>
      <c r="O77" s="6">
        <v>10827092</v>
      </c>
      <c r="Q77" s="6">
        <v>3351200</v>
      </c>
      <c r="S77" s="6">
        <v>14178292</v>
      </c>
      <c r="U77" s="10">
        <v>6.1095176670855243E-5</v>
      </c>
    </row>
    <row r="78" spans="1:21" ht="42" x14ac:dyDescent="0.55000000000000004">
      <c r="A78" s="5" t="s">
        <v>26</v>
      </c>
      <c r="C78" s="6">
        <v>0</v>
      </c>
      <c r="E78" s="6">
        <v>33053303</v>
      </c>
      <c r="G78" s="6">
        <v>0</v>
      </c>
      <c r="I78" s="6">
        <v>33053303</v>
      </c>
      <c r="K78" s="10">
        <v>2.1948101438112222E-3</v>
      </c>
      <c r="M78" s="6">
        <v>0</v>
      </c>
      <c r="O78" s="6">
        <v>33053303</v>
      </c>
      <c r="Q78" s="6">
        <v>0</v>
      </c>
      <c r="S78" s="6">
        <v>33053303</v>
      </c>
      <c r="U78" s="10">
        <v>1.4242881909473369E-4</v>
      </c>
    </row>
    <row r="79" spans="1:21" ht="42" x14ac:dyDescent="0.55000000000000004">
      <c r="A79" s="5" t="s">
        <v>25</v>
      </c>
      <c r="C79" s="6">
        <v>0</v>
      </c>
      <c r="E79" s="6">
        <v>660789843</v>
      </c>
      <c r="G79" s="6">
        <v>586818363</v>
      </c>
      <c r="I79" s="6">
        <v>1247608206</v>
      </c>
      <c r="K79" s="10">
        <v>8.2843858177529817E-2</v>
      </c>
      <c r="M79" s="6">
        <v>0</v>
      </c>
      <c r="O79" s="6">
        <v>660789843</v>
      </c>
      <c r="Q79" s="6">
        <v>586818363</v>
      </c>
      <c r="S79" s="6">
        <v>1247608206</v>
      </c>
      <c r="U79" s="10">
        <v>5.3760244013579895E-3</v>
      </c>
    </row>
    <row r="80" spans="1:21" ht="42" x14ac:dyDescent="0.55000000000000004">
      <c r="A80" s="5" t="s">
        <v>20</v>
      </c>
      <c r="C80" s="6">
        <v>0</v>
      </c>
      <c r="E80" s="6">
        <v>390693650</v>
      </c>
      <c r="G80" s="6">
        <v>0</v>
      </c>
      <c r="I80" s="6">
        <v>390693650</v>
      </c>
      <c r="K80" s="10">
        <v>2.5942895514636806E-2</v>
      </c>
      <c r="M80" s="6">
        <v>0</v>
      </c>
      <c r="O80" s="6">
        <v>390693650</v>
      </c>
      <c r="Q80" s="6">
        <v>0</v>
      </c>
      <c r="S80" s="6">
        <v>390693650</v>
      </c>
      <c r="U80" s="10">
        <v>1.6835241911318573E-3</v>
      </c>
    </row>
    <row r="81" spans="1:21" ht="42" x14ac:dyDescent="0.55000000000000004">
      <c r="A81" s="5" t="s">
        <v>18</v>
      </c>
      <c r="C81" s="6">
        <v>0</v>
      </c>
      <c r="E81" s="6">
        <v>899003100</v>
      </c>
      <c r="G81" s="6">
        <v>0</v>
      </c>
      <c r="I81" s="6">
        <v>899003100</v>
      </c>
      <c r="K81" s="10">
        <v>5.9695732169270183E-2</v>
      </c>
      <c r="M81" s="6">
        <v>0</v>
      </c>
      <c r="O81" s="6">
        <v>899003100</v>
      </c>
      <c r="Q81" s="6">
        <v>0</v>
      </c>
      <c r="S81" s="6">
        <v>899003100</v>
      </c>
      <c r="U81" s="10">
        <v>3.8738624668011173E-3</v>
      </c>
    </row>
    <row r="82" spans="1:21" ht="21" x14ac:dyDescent="0.55000000000000004">
      <c r="A82" s="5" t="s">
        <v>154</v>
      </c>
      <c r="L82" s="9"/>
      <c r="M82" s="6">
        <v>0</v>
      </c>
      <c r="O82" s="6">
        <v>0</v>
      </c>
      <c r="Q82" s="6">
        <v>410312059</v>
      </c>
      <c r="S82" s="6">
        <v>410312059</v>
      </c>
      <c r="U82" s="10">
        <v>1.7680611835887835E-3</v>
      </c>
    </row>
    <row r="83" spans="1:21" ht="42" x14ac:dyDescent="0.55000000000000004">
      <c r="A83" s="5" t="s">
        <v>155</v>
      </c>
      <c r="L83" s="9"/>
      <c r="M83" s="6">
        <v>0</v>
      </c>
      <c r="O83" s="6">
        <v>0</v>
      </c>
      <c r="Q83" s="6">
        <v>-136788503</v>
      </c>
      <c r="S83" s="6">
        <v>-136788503</v>
      </c>
      <c r="U83" s="10">
        <v>-5.8943050103121115E-4</v>
      </c>
    </row>
    <row r="84" spans="1:21" ht="21" x14ac:dyDescent="0.55000000000000004">
      <c r="A84" s="5" t="s">
        <v>195</v>
      </c>
      <c r="L84" s="9"/>
      <c r="M84" s="6">
        <v>0</v>
      </c>
      <c r="O84" s="6">
        <v>0</v>
      </c>
      <c r="Q84" s="6">
        <v>-2314315880</v>
      </c>
      <c r="S84" s="6">
        <v>-2314315880</v>
      </c>
      <c r="U84" s="10">
        <v>-9.9725367174526968E-3</v>
      </c>
    </row>
    <row r="85" spans="1:21" ht="42" x14ac:dyDescent="0.55000000000000004">
      <c r="A85" s="5" t="s">
        <v>156</v>
      </c>
      <c r="L85" s="9"/>
      <c r="M85" s="6">
        <v>0</v>
      </c>
      <c r="O85" s="6">
        <v>0</v>
      </c>
      <c r="Q85" s="6">
        <v>6310789540</v>
      </c>
      <c r="S85" s="6">
        <v>6310789540</v>
      </c>
      <c r="U85" s="10">
        <v>2.7193600038628443E-2</v>
      </c>
    </row>
    <row r="86" spans="1:21" ht="21" x14ac:dyDescent="0.55000000000000004">
      <c r="A86" s="5" t="s">
        <v>196</v>
      </c>
      <c r="L86" s="9"/>
      <c r="M86" s="6">
        <v>0</v>
      </c>
      <c r="O86" s="6">
        <v>0</v>
      </c>
      <c r="Q86" s="6">
        <v>-2458047700</v>
      </c>
      <c r="S86" s="6">
        <v>-2458047700</v>
      </c>
      <c r="U86" s="10">
        <v>-1.059188642023238E-2</v>
      </c>
    </row>
    <row r="87" spans="1:21" ht="21" x14ac:dyDescent="0.55000000000000004">
      <c r="A87" s="5" t="s">
        <v>158</v>
      </c>
      <c r="L87" s="9"/>
      <c r="M87" s="6">
        <v>0</v>
      </c>
      <c r="O87" s="6">
        <v>0</v>
      </c>
      <c r="Q87" s="6">
        <v>-436957507</v>
      </c>
      <c r="S87" s="6">
        <v>-436957507</v>
      </c>
      <c r="U87" s="10">
        <v>-1.8828781413037245E-3</v>
      </c>
    </row>
    <row r="88" spans="1:21" ht="21" x14ac:dyDescent="0.55000000000000004">
      <c r="A88" s="5" t="s">
        <v>159</v>
      </c>
      <c r="L88" s="9"/>
      <c r="M88" s="6">
        <v>0</v>
      </c>
      <c r="O88" s="6">
        <v>0</v>
      </c>
      <c r="Q88" s="6">
        <v>1447873382</v>
      </c>
      <c r="S88" s="6">
        <v>1447873382</v>
      </c>
      <c r="U88" s="10">
        <v>6.2389799892905778E-3</v>
      </c>
    </row>
    <row r="89" spans="1:21" ht="42" x14ac:dyDescent="0.55000000000000004">
      <c r="A89" s="5" t="s">
        <v>161</v>
      </c>
      <c r="L89" s="9"/>
      <c r="M89" s="6">
        <v>0</v>
      </c>
      <c r="O89" s="6">
        <v>0</v>
      </c>
      <c r="Q89" s="6">
        <v>157727</v>
      </c>
      <c r="S89" s="6">
        <v>157727</v>
      </c>
      <c r="U89" s="10">
        <v>6.7965583800672081E-7</v>
      </c>
    </row>
    <row r="90" spans="1:21" ht="21" x14ac:dyDescent="0.55000000000000004">
      <c r="A90" s="5" t="s">
        <v>197</v>
      </c>
      <c r="L90" s="9"/>
      <c r="M90" s="6">
        <v>0</v>
      </c>
      <c r="O90" s="6">
        <v>0</v>
      </c>
      <c r="Q90" s="6">
        <v>-364180561</v>
      </c>
      <c r="S90" s="6">
        <v>-364180561</v>
      </c>
      <c r="U90" s="10">
        <v>-1.5692775769032107E-3</v>
      </c>
    </row>
    <row r="91" spans="1:21" ht="21" x14ac:dyDescent="0.55000000000000004">
      <c r="A91" s="5" t="s">
        <v>163</v>
      </c>
      <c r="L91" s="9"/>
      <c r="M91" s="6">
        <v>0</v>
      </c>
      <c r="O91" s="6">
        <v>0</v>
      </c>
      <c r="Q91" s="6">
        <v>2697705400</v>
      </c>
      <c r="S91" s="6">
        <v>2697705400</v>
      </c>
      <c r="U91" s="10">
        <v>1.1624586940297197E-2</v>
      </c>
    </row>
    <row r="92" spans="1:21" ht="21" x14ac:dyDescent="0.55000000000000004">
      <c r="A92" s="7" t="s">
        <v>92</v>
      </c>
      <c r="C92" s="7">
        <f>SUM(C9:$C$91)</f>
        <v>3209500000</v>
      </c>
      <c r="E92" s="7">
        <f>SUM(E9:$E$91)</f>
        <v>9366812849</v>
      </c>
      <c r="G92" s="7">
        <f>SUM(G9:$G$91)</f>
        <v>4158152791</v>
      </c>
      <c r="I92" s="7">
        <f>SUM(I9:$I$91)</f>
        <v>16734465640</v>
      </c>
      <c r="K92" s="11">
        <f>SUM(K9:$K$91)</f>
        <v>1.1112043760931354</v>
      </c>
      <c r="M92" s="7">
        <f>SUM(M9:$M$91)</f>
        <v>15755323160</v>
      </c>
      <c r="O92" s="7">
        <f>SUM(O9:$O$91)</f>
        <v>172965543767</v>
      </c>
      <c r="Q92" s="7">
        <f>SUM(Q9:$Q$91)</f>
        <v>20169962312</v>
      </c>
      <c r="S92" s="7">
        <f>SUM(S9:$S$91)</f>
        <v>208890829239</v>
      </c>
      <c r="U92" s="11">
        <f>SUM(U9:$U$91)</f>
        <v>0.9001240852761504</v>
      </c>
    </row>
    <row r="93" spans="1:21" ht="21" x14ac:dyDescent="0.55000000000000004">
      <c r="C93" s="8"/>
      <c r="E93" s="8"/>
      <c r="G93" s="8"/>
      <c r="I93" s="8"/>
      <c r="K93" s="8"/>
      <c r="M93" s="8"/>
      <c r="O93" s="8"/>
      <c r="Q93" s="8"/>
      <c r="S93" s="8"/>
      <c r="U93" s="8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T12"/>
  <sheetViews>
    <sheetView rightToLeft="1" tabSelected="1" view="pageBreakPreview" zoomScale="85" zoomScaleNormal="100" zoomScaleSheetLayoutView="85" workbookViewId="0">
      <selection activeCell="G88" sqref="G88"/>
    </sheetView>
  </sheetViews>
  <sheetFormatPr defaultRowHeight="19.5" x14ac:dyDescent="0.55000000000000004"/>
  <cols>
    <col min="1" max="1" width="35.85546875" style="1" bestFit="1" customWidth="1"/>
    <col min="2" max="2" width="1.42578125" style="1" customWidth="1"/>
    <col min="3" max="3" width="12.28515625" style="1" bestFit="1" customWidth="1"/>
    <col min="4" max="4" width="1.42578125" style="1" customWidth="1"/>
    <col min="5" max="5" width="8.28515625" style="1" bestFit="1" customWidth="1"/>
    <col min="6" max="6" width="1.42578125" style="1" customWidth="1"/>
    <col min="7" max="7" width="12.28515625" style="1" bestFit="1" customWidth="1"/>
    <col min="8" max="8" width="1.42578125" style="1" customWidth="1"/>
    <col min="9" max="9" width="12.28515625" style="1" bestFit="1" customWidth="1"/>
    <col min="10" max="10" width="1.42578125" style="1" customWidth="1"/>
    <col min="11" max="11" width="12" style="1" bestFit="1" customWidth="1"/>
    <col min="12" max="12" width="1.42578125" style="1" customWidth="1"/>
    <col min="13" max="13" width="12.5703125" style="1" bestFit="1" customWidth="1"/>
    <col min="14" max="14" width="1.42578125" style="1" customWidth="1"/>
    <col min="15" max="15" width="14" style="1" bestFit="1" customWidth="1"/>
    <col min="16" max="16" width="1.42578125" style="1" customWidth="1"/>
    <col min="17" max="17" width="12" style="1" bestFit="1" customWidth="1"/>
    <col min="18" max="18" width="1.42578125" style="1" customWidth="1"/>
    <col min="19" max="19" width="14" style="1" bestFit="1" customWidth="1"/>
    <col min="20" max="16384" width="9.140625" style="1"/>
  </cols>
  <sheetData>
    <row r="1" spans="1:20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0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5" spans="1:20" ht="21" x14ac:dyDescent="0.55000000000000004">
      <c r="A5" s="27" t="s">
        <v>285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7" spans="1:20" ht="21" x14ac:dyDescent="0.55000000000000004">
      <c r="I7" s="21" t="str">
        <f>'4'!I7:M7</f>
        <v>طی اردیبهشت ماه</v>
      </c>
      <c r="J7" s="22"/>
      <c r="K7" s="22"/>
      <c r="L7" s="22"/>
      <c r="M7" s="22"/>
      <c r="O7" s="21" t="str">
        <f>'4'!O7:S7</f>
        <v>از ابتدای سال مالی تا پایان اردیبهشت ماه</v>
      </c>
      <c r="P7" s="22"/>
      <c r="Q7" s="22"/>
      <c r="R7" s="22"/>
      <c r="S7" s="22"/>
    </row>
    <row r="8" spans="1:20" ht="42" x14ac:dyDescent="0.55000000000000004">
      <c r="A8" s="12" t="s">
        <v>118</v>
      </c>
      <c r="C8" s="4" t="s">
        <v>144</v>
      </c>
      <c r="E8" s="4" t="s">
        <v>94</v>
      </c>
      <c r="G8" s="4" t="s">
        <v>100</v>
      </c>
      <c r="I8" s="4" t="s">
        <v>145</v>
      </c>
      <c r="K8" s="4" t="s">
        <v>135</v>
      </c>
      <c r="M8" s="4" t="s">
        <v>146</v>
      </c>
      <c r="O8" s="4" t="s">
        <v>145</v>
      </c>
      <c r="Q8" s="4" t="s">
        <v>135</v>
      </c>
      <c r="S8" s="4" t="s">
        <v>146</v>
      </c>
    </row>
    <row r="9" spans="1:20" ht="21" x14ac:dyDescent="0.55000000000000004">
      <c r="A9" s="14" t="s">
        <v>147</v>
      </c>
      <c r="C9" s="9" t="s">
        <v>148</v>
      </c>
      <c r="E9" s="9" t="s">
        <v>149</v>
      </c>
      <c r="G9" s="9" t="s">
        <v>115</v>
      </c>
      <c r="I9" s="6">
        <v>451907726</v>
      </c>
      <c r="K9" s="6">
        <v>-1532405</v>
      </c>
      <c r="M9" s="6">
        <v>450375321</v>
      </c>
      <c r="O9" s="6">
        <v>4781474622</v>
      </c>
      <c r="Q9" s="6">
        <v>0</v>
      </c>
      <c r="S9" s="6">
        <v>4781474622</v>
      </c>
      <c r="T9" s="17">
        <f>I9+K9-M9</f>
        <v>0</v>
      </c>
    </row>
    <row r="10" spans="1:20" ht="21" x14ac:dyDescent="0.55000000000000004">
      <c r="A10" s="14" t="s">
        <v>150</v>
      </c>
      <c r="C10" s="9" t="s">
        <v>151</v>
      </c>
      <c r="E10" s="9" t="s">
        <v>149</v>
      </c>
      <c r="G10" s="9" t="s">
        <v>108</v>
      </c>
      <c r="I10" s="6">
        <v>3694428</v>
      </c>
      <c r="K10" s="6">
        <v>0</v>
      </c>
      <c r="M10" s="6">
        <v>3694428</v>
      </c>
      <c r="O10" s="6">
        <v>17354902</v>
      </c>
      <c r="Q10" s="6">
        <v>0</v>
      </c>
      <c r="S10" s="6">
        <v>17354902</v>
      </c>
      <c r="T10" s="17">
        <f>I10+K10-M10</f>
        <v>0</v>
      </c>
    </row>
    <row r="11" spans="1:20" ht="21.75" thickBot="1" x14ac:dyDescent="0.6">
      <c r="A11" s="7" t="s">
        <v>92</v>
      </c>
      <c r="I11" s="7">
        <f>SUM(I9:$I$10)</f>
        <v>455602154</v>
      </c>
      <c r="K11" s="7">
        <f>SUM(K9:$K$10)</f>
        <v>-1532405</v>
      </c>
      <c r="M11" s="7">
        <f>SUM(M9:$M$10)</f>
        <v>454069749</v>
      </c>
      <c r="O11" s="7">
        <f>SUM(O9:$O$10)</f>
        <v>4798829524</v>
      </c>
      <c r="Q11" s="7">
        <f>SUM(Q9:$Q$10)</f>
        <v>0</v>
      </c>
      <c r="S11" s="7">
        <f>SUM(S9:$S$10)</f>
        <v>4798829524</v>
      </c>
      <c r="T11" s="17">
        <f>I11+K11-M11</f>
        <v>0</v>
      </c>
    </row>
    <row r="12" spans="1:20" ht="21" x14ac:dyDescent="0.55000000000000004">
      <c r="I12" s="8"/>
      <c r="K12" s="8"/>
      <c r="M12" s="8"/>
      <c r="O12" s="8"/>
      <c r="Q12" s="8"/>
      <c r="S12" s="8"/>
    </row>
  </sheetData>
  <mergeCells count="6">
    <mergeCell ref="A1:S1"/>
    <mergeCell ref="A2:S2"/>
    <mergeCell ref="A3:S3"/>
    <mergeCell ref="A5:S5"/>
    <mergeCell ref="I7:M7"/>
    <mergeCell ref="O7:S7"/>
  </mergeCells>
  <pageMargins left="0.17" right="0.17" top="0.75" bottom="0.75" header="0.3" footer="0.3"/>
  <pageSetup paperSize="9" scale="9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K12"/>
  <sheetViews>
    <sheetView rightToLeft="1" tabSelected="1" view="pageBreakPreview" zoomScaleNormal="100" zoomScaleSheetLayoutView="100" workbookViewId="0">
      <selection activeCell="G88" sqref="G88"/>
    </sheetView>
  </sheetViews>
  <sheetFormatPr defaultRowHeight="19.5" x14ac:dyDescent="0.55000000000000004"/>
  <cols>
    <col min="1" max="1" width="28.42578125" style="1" bestFit="1" customWidth="1"/>
    <col min="2" max="2" width="1.42578125" style="1" customWidth="1"/>
    <col min="3" max="3" width="18.5703125" style="1" bestFit="1" customWidth="1"/>
    <col min="4" max="4" width="1.42578125" style="1" customWidth="1"/>
    <col min="5" max="5" width="17" style="1" customWidth="1"/>
    <col min="6" max="6" width="1.42578125" style="1" customWidth="1"/>
    <col min="7" max="7" width="13.7109375" style="1" bestFit="1" customWidth="1"/>
    <col min="8" max="8" width="1.42578125" style="1" customWidth="1"/>
    <col min="9" max="9" width="21.7109375" style="1" customWidth="1"/>
    <col min="10" max="10" width="1.42578125" style="1" customWidth="1"/>
    <col min="11" max="11" width="13.7109375" style="1" bestFit="1" customWidth="1"/>
    <col min="12" max="16384" width="9.140625" style="1"/>
  </cols>
  <sheetData>
    <row r="1" spans="1:11" ht="26.25" x14ac:dyDescent="0.55000000000000004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6.25" x14ac:dyDescent="0.55000000000000004">
      <c r="A2" s="26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6.25" x14ac:dyDescent="0.55000000000000004">
      <c r="A3" s="26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5" spans="1:11" ht="21" x14ac:dyDescent="0.55000000000000004">
      <c r="A5" s="27" t="s">
        <v>288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7" spans="1:11" ht="21" x14ac:dyDescent="0.55000000000000004">
      <c r="A7" s="21" t="s">
        <v>198</v>
      </c>
      <c r="B7" s="22"/>
      <c r="C7" s="22"/>
      <c r="E7" s="21" t="str">
        <f>'7'!C7</f>
        <v>طی اردیبهشت ماه</v>
      </c>
      <c r="F7" s="22"/>
      <c r="G7" s="22"/>
      <c r="I7" s="21" t="str">
        <f>'7'!K7</f>
        <v>از ابتدای سال مالی تا پایان اردیبهشت ماه</v>
      </c>
      <c r="J7" s="22"/>
      <c r="K7" s="22"/>
    </row>
    <row r="8" spans="1:11" ht="42" x14ac:dyDescent="0.55000000000000004">
      <c r="A8" s="4" t="s">
        <v>199</v>
      </c>
      <c r="C8" s="4" t="s">
        <v>97</v>
      </c>
      <c r="E8" s="4" t="s">
        <v>200</v>
      </c>
      <c r="G8" s="4" t="s">
        <v>282</v>
      </c>
      <c r="I8" s="4" t="s">
        <v>200</v>
      </c>
      <c r="K8" s="4" t="s">
        <v>282</v>
      </c>
    </row>
    <row r="9" spans="1:11" ht="21" x14ac:dyDescent="0.55000000000000004">
      <c r="A9" s="5" t="s">
        <v>201</v>
      </c>
      <c r="C9" s="9" t="s">
        <v>105</v>
      </c>
      <c r="E9" s="6">
        <v>3694428</v>
      </c>
      <c r="G9" s="10">
        <f>E9/E11</f>
        <v>8.1088905475192284E-3</v>
      </c>
      <c r="I9" s="6">
        <v>17354902</v>
      </c>
      <c r="K9" s="10">
        <f>I9/I11</f>
        <v>3.6164864605429982E-3</v>
      </c>
    </row>
    <row r="10" spans="1:11" ht="21" x14ac:dyDescent="0.55000000000000004">
      <c r="A10" s="5" t="s">
        <v>202</v>
      </c>
      <c r="C10" s="9" t="s">
        <v>113</v>
      </c>
      <c r="E10" s="6">
        <v>451907726</v>
      </c>
      <c r="G10" s="10">
        <f>E10/E11</f>
        <v>0.99189110945248082</v>
      </c>
      <c r="I10" s="6">
        <v>4781474622</v>
      </c>
      <c r="K10" s="10">
        <f>I10/I11</f>
        <v>0.99638351353945698</v>
      </c>
    </row>
    <row r="11" spans="1:11" ht="21" x14ac:dyDescent="0.55000000000000004">
      <c r="A11" s="7" t="s">
        <v>92</v>
      </c>
      <c r="E11" s="7">
        <f>SUM(E9:$E$10)</f>
        <v>455602154</v>
      </c>
      <c r="G11" s="11">
        <f>SUM(G9:$G$10)</f>
        <v>1</v>
      </c>
      <c r="I11" s="7">
        <f>SUM(I9:$I$10)</f>
        <v>4798829524</v>
      </c>
      <c r="K11" s="11">
        <f>SUM(K9:$K$10)</f>
        <v>1</v>
      </c>
    </row>
    <row r="12" spans="1:11" ht="21" x14ac:dyDescent="0.55000000000000004">
      <c r="E12" s="8"/>
      <c r="G12" s="8"/>
      <c r="I12" s="8"/>
      <c r="K12" s="8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E11"/>
  <sheetViews>
    <sheetView rightToLeft="1" tabSelected="1" view="pageBreakPreview" zoomScale="85" zoomScaleNormal="100" zoomScaleSheetLayoutView="85" workbookViewId="0">
      <selection activeCell="G88" sqref="G88"/>
    </sheetView>
  </sheetViews>
  <sheetFormatPr defaultRowHeight="19.5" x14ac:dyDescent="0.55000000000000004"/>
  <cols>
    <col min="1" max="1" width="37.28515625" style="1" customWidth="1"/>
    <col min="2" max="2" width="1.42578125" style="1" customWidth="1"/>
    <col min="3" max="3" width="31.7109375" style="1" customWidth="1"/>
    <col min="4" max="4" width="1.42578125" style="1" customWidth="1"/>
    <col min="5" max="5" width="35.28515625" style="1" customWidth="1"/>
    <col min="6" max="16384" width="9.140625" style="1"/>
  </cols>
  <sheetData>
    <row r="1" spans="1:5" ht="26.25" x14ac:dyDescent="0.55000000000000004">
      <c r="A1" s="26" t="s">
        <v>0</v>
      </c>
      <c r="B1" s="20"/>
      <c r="C1" s="20"/>
      <c r="D1" s="20"/>
      <c r="E1" s="20"/>
    </row>
    <row r="2" spans="1:5" ht="26.25" x14ac:dyDescent="0.55000000000000004">
      <c r="A2" s="26" t="s">
        <v>116</v>
      </c>
      <c r="B2" s="20"/>
      <c r="C2" s="20"/>
      <c r="D2" s="20"/>
      <c r="E2" s="20"/>
    </row>
    <row r="3" spans="1:5" ht="26.25" x14ac:dyDescent="0.55000000000000004">
      <c r="A3" s="26" t="s">
        <v>2</v>
      </c>
      <c r="B3" s="20"/>
      <c r="C3" s="20"/>
      <c r="D3" s="20"/>
      <c r="E3" s="20"/>
    </row>
    <row r="5" spans="1:5" ht="21" x14ac:dyDescent="0.55000000000000004">
      <c r="A5" s="27" t="s">
        <v>287</v>
      </c>
      <c r="B5" s="20"/>
      <c r="C5" s="20"/>
      <c r="D5" s="20"/>
      <c r="E5" s="20"/>
    </row>
    <row r="7" spans="1:5" ht="21" x14ac:dyDescent="0.55000000000000004">
      <c r="C7" s="3" t="str">
        <f>'8'!E7</f>
        <v>طی اردیبهشت ماه</v>
      </c>
      <c r="E7" s="3" t="str">
        <f>'8'!I7</f>
        <v>از ابتدای سال مالی تا پایان اردیبهشت ماه</v>
      </c>
    </row>
    <row r="8" spans="1:5" ht="21" x14ac:dyDescent="0.55000000000000004">
      <c r="A8" s="4" t="s">
        <v>127</v>
      </c>
      <c r="C8" s="4" t="s">
        <v>101</v>
      </c>
      <c r="E8" s="4" t="s">
        <v>101</v>
      </c>
    </row>
    <row r="9" spans="1:5" ht="21" x14ac:dyDescent="0.55000000000000004">
      <c r="A9" s="5" t="s">
        <v>283</v>
      </c>
      <c r="C9" s="6">
        <v>29990625</v>
      </c>
      <c r="E9" s="6">
        <v>85074555</v>
      </c>
    </row>
    <row r="10" spans="1:5" ht="21" x14ac:dyDescent="0.55000000000000004">
      <c r="A10" s="7" t="s">
        <v>92</v>
      </c>
      <c r="C10" s="7">
        <f>SUM(C9:$C$9)</f>
        <v>29990625</v>
      </c>
      <c r="E10" s="7">
        <f>SUM(E9:$E$9)</f>
        <v>85074555</v>
      </c>
    </row>
    <row r="11" spans="1:5" ht="21" x14ac:dyDescent="0.55000000000000004">
      <c r="C11" s="8"/>
      <c r="E11" s="8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0</vt:lpstr>
      <vt:lpstr>1</vt:lpstr>
      <vt:lpstr>2</vt:lpstr>
      <vt:lpstr>3</vt:lpstr>
      <vt:lpstr>4</vt:lpstr>
      <vt:lpstr>7</vt:lpstr>
      <vt:lpstr>6</vt:lpstr>
      <vt:lpstr>12</vt:lpstr>
      <vt:lpstr>5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'1'!Print_Titles</vt:lpstr>
      <vt:lpstr>'6'!Print_Titles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2025-05-31T18:18:35Z</cp:lastPrinted>
  <dcterms:created xsi:type="dcterms:W3CDTF">2025-05-31T12:47:24Z</dcterms:created>
  <dcterms:modified xsi:type="dcterms:W3CDTF">2025-05-31T18:22:16Z</dcterms:modified>
</cp:coreProperties>
</file>