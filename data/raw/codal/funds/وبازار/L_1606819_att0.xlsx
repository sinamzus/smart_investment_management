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h.nezakati\Downloads\"/>
    </mc:Choice>
  </mc:AlternateContent>
  <xr:revisionPtr revIDLastSave="0" documentId="13_ncr:1_{ED966834-E2F0-43A8-84F7-79D653BED213}" xr6:coauthVersionLast="47" xr6:coauthVersionMax="47" xr10:uidLastSave="{00000000-0000-0000-0000-000000000000}"/>
  <bookViews>
    <workbookView xWindow="-120" yWindow="-120" windowWidth="29040" windowHeight="15720" tabRatio="897" xr2:uid="{00000000-000D-0000-FFFF-FFFF00000000}"/>
  </bookViews>
  <sheets>
    <sheet name="سربرگ" sheetId="30" r:id="rId1"/>
    <sheet name=" سهام" sheetId="54" r:id="rId2"/>
    <sheet name="اوراق مشتقه" sheetId="55" r:id="rId3"/>
    <sheet name="سپرده" sheetId="56" r:id="rId4"/>
    <sheet name="درآمدها" sheetId="57" r:id="rId5"/>
    <sheet name="درآمد سرمایه گذاری در سهام " sheetId="58" r:id="rId6"/>
    <sheet name="درآمد سپرده بانکی" sheetId="59" r:id="rId7"/>
    <sheet name="درآمد سرمایه گذاری مشتقه " sheetId="60" r:id="rId8"/>
    <sheet name="سایر درآمدها" sheetId="61" r:id="rId9"/>
    <sheet name="درآمد سود سهام" sheetId="62" r:id="rId10"/>
    <sheet name="سود  سپرده بانکی" sheetId="63" r:id="rId11"/>
    <sheet name="درآمد ناشی ازفروش" sheetId="64" r:id="rId12"/>
    <sheet name="درآمد ناشی از تغییر قیمت اوراق " sheetId="65" r:id="rId13"/>
  </sheets>
  <definedNames>
    <definedName name="_xlnm.Print_Area" localSheetId="1">' سهام'!$A$1:$N$58</definedName>
    <definedName name="_xlnm.Print_Area" localSheetId="2">'اوراق مشتقه'!$A$1:$K$11</definedName>
    <definedName name="_xlnm.Print_Area" localSheetId="6">'درآمد سپرده بانکی'!$A$1:$E$12</definedName>
    <definedName name="_xlnm.Print_Area" localSheetId="5">'درآمد سرمایه گذاری در سهام '!$A$1:$K$77</definedName>
    <definedName name="_xlnm.Print_Area" localSheetId="7">'درآمد سرمایه گذاری مشتقه '!$A$1:$I$71</definedName>
    <definedName name="_xlnm.Print_Area" localSheetId="9">'درآمد سود سهام'!$A$1:$J$37</definedName>
    <definedName name="_xlnm.Print_Area" localSheetId="12">'درآمد ناشی از تغییر قیمت اوراق '!$A$1:$I$64</definedName>
    <definedName name="_xlnm.Print_Area" localSheetId="11">'درآمد ناشی ازفروش'!$A$1:$I$114</definedName>
    <definedName name="_xlnm.Print_Area" localSheetId="4">درآمدها!$A$1:$E$14</definedName>
    <definedName name="_xlnm.Print_Area" localSheetId="8">'سایر درآمدها'!$A$1:$C$13</definedName>
    <definedName name="_xlnm.Print_Area" localSheetId="3">سپرده!$A$1:$F$13</definedName>
    <definedName name="_xlnm.Print_Area" localSheetId="0">سربرگ!$A$1:$J$29</definedName>
    <definedName name="_xlnm.Print_Area" localSheetId="10">'سود  سپرده بانکی'!$A$1:$G$11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" i="62" l="1"/>
  <c r="C12" i="57"/>
  <c r="C11" i="57"/>
  <c r="C10" i="57"/>
  <c r="D10" i="57" s="1"/>
  <c r="C9" i="57"/>
  <c r="B12" i="61"/>
  <c r="C12" i="61"/>
  <c r="C63" i="65"/>
  <c r="D63" i="65"/>
  <c r="E63" i="65"/>
  <c r="G63" i="65"/>
  <c r="H63" i="65"/>
  <c r="I63" i="65"/>
  <c r="C113" i="64"/>
  <c r="D113" i="64"/>
  <c r="E113" i="64"/>
  <c r="G113" i="64"/>
  <c r="H113" i="64"/>
  <c r="I113" i="64"/>
  <c r="B10" i="63"/>
  <c r="C10" i="63"/>
  <c r="D10" i="63"/>
  <c r="E10" i="63"/>
  <c r="F10" i="63"/>
  <c r="G10" i="63"/>
  <c r="E36" i="62"/>
  <c r="F36" i="62"/>
  <c r="H36" i="62"/>
  <c r="I36" i="62"/>
  <c r="J36" i="62"/>
  <c r="B70" i="60"/>
  <c r="C70" i="60"/>
  <c r="D70" i="60"/>
  <c r="E70" i="60"/>
  <c r="F70" i="60"/>
  <c r="G70" i="60"/>
  <c r="H70" i="60"/>
  <c r="I70" i="60"/>
  <c r="B11" i="59"/>
  <c r="C9" i="59" s="1"/>
  <c r="D11" i="59"/>
  <c r="E9" i="59" s="1"/>
  <c r="B76" i="58"/>
  <c r="C76" i="58"/>
  <c r="D76" i="58"/>
  <c r="E76" i="58"/>
  <c r="F76" i="58"/>
  <c r="G76" i="58"/>
  <c r="H76" i="58"/>
  <c r="I76" i="58"/>
  <c r="J76" i="58"/>
  <c r="K76" i="58"/>
  <c r="D9" i="57"/>
  <c r="E9" i="57"/>
  <c r="D11" i="57"/>
  <c r="E11" i="57"/>
  <c r="D12" i="57"/>
  <c r="E12" i="57"/>
  <c r="B12" i="56"/>
  <c r="C12" i="56"/>
  <c r="D12" i="56"/>
  <c r="E12" i="56"/>
  <c r="F12" i="56"/>
  <c r="C57" i="54"/>
  <c r="D57" i="54"/>
  <c r="G57" i="54"/>
  <c r="I57" i="54"/>
  <c r="L57" i="54"/>
  <c r="M57" i="54"/>
  <c r="N57" i="54"/>
  <c r="E10" i="57" l="1"/>
  <c r="C13" i="57"/>
  <c r="E13" i="57"/>
  <c r="D13" i="57"/>
  <c r="E10" i="59"/>
  <c r="E11" i="59" s="1"/>
  <c r="C10" i="59"/>
  <c r="C11" i="59" s="1"/>
</calcChain>
</file>

<file path=xl/sharedStrings.xml><?xml version="1.0" encoding="utf-8"?>
<sst xmlns="http://schemas.openxmlformats.org/spreadsheetml/2006/main" count="626" uniqueCount="275">
  <si>
    <t>بهای تمام شده</t>
  </si>
  <si>
    <t>شرکت</t>
  </si>
  <si>
    <t>جمع</t>
  </si>
  <si>
    <t>تعداد</t>
  </si>
  <si>
    <t>مبلغ</t>
  </si>
  <si>
    <t>درآمد تغییر ارزش</t>
  </si>
  <si>
    <t>درآمد فروش</t>
  </si>
  <si>
    <t>سود سپرده بانکی و گواهی سپرده</t>
  </si>
  <si>
    <t>درصد از کل درآمدها</t>
  </si>
  <si>
    <t>خالص ارزش فروش</t>
  </si>
  <si>
    <t>درصد به کل دارایی‌ها</t>
  </si>
  <si>
    <t>2- درآمد حاصل از سرمایه گذاری ها</t>
  </si>
  <si>
    <t>سایر درآمدها</t>
  </si>
  <si>
    <t>افزایش</t>
  </si>
  <si>
    <t>شرح</t>
  </si>
  <si>
    <t>یادداشت</t>
  </si>
  <si>
    <t>هزینه تنزیل</t>
  </si>
  <si>
    <t>خالص درآمد</t>
  </si>
  <si>
    <t>درآمد ناشی از تغییر قیمت اوراق بهادار</t>
  </si>
  <si>
    <t>ارزش دفتری</t>
  </si>
  <si>
    <t>سود و زیان ناشی از تغییر قیمت</t>
  </si>
  <si>
    <t>سود و زیان ناشی از فروش</t>
  </si>
  <si>
    <t>درآمد حاصل از سرمایه گذاری در سپرده بانکی و گواهی سپرده</t>
  </si>
  <si>
    <t>سود(زیان) حاصل از فروش اوراق بهادار</t>
  </si>
  <si>
    <t>مبلغ فروش</t>
  </si>
  <si>
    <t xml:space="preserve">صورت وضعیت پرتفوی </t>
  </si>
  <si>
    <t>2-2</t>
  </si>
  <si>
    <t xml:space="preserve">صورت وضعیت درآمدها </t>
  </si>
  <si>
    <t xml:space="preserve">درآمد سود </t>
  </si>
  <si>
    <t>درصد از کل دارایی ها</t>
  </si>
  <si>
    <t>مدیر صندوق</t>
  </si>
  <si>
    <t>سود سپرده بانکی</t>
  </si>
  <si>
    <t>‫صورت وضعیت پورتفوی</t>
  </si>
  <si>
    <t>کاهش</t>
  </si>
  <si>
    <t>1405/04/31</t>
  </si>
  <si>
    <t>گردشگري</t>
  </si>
  <si>
    <t>پاسارگاد</t>
  </si>
  <si>
    <t>رکن صندوق</t>
  </si>
  <si>
    <t>نماینده</t>
  </si>
  <si>
    <t xml:space="preserve">امضا </t>
  </si>
  <si>
    <t>شرکت سبدگردان آشنا</t>
  </si>
  <si>
    <t>نام بانک</t>
  </si>
  <si>
    <t>درصد سود به کل سود سپرده</t>
  </si>
  <si>
    <t>تعدیل کارمزد کارگزاری</t>
  </si>
  <si>
    <t>2-1</t>
  </si>
  <si>
    <t>2-3</t>
  </si>
  <si>
    <t>صندوق ‫سرمایه گذاری قابل معامله شاخصی بازار آشنا</t>
  </si>
  <si>
    <t>چادرملو</t>
  </si>
  <si>
    <t>پويا زركان آق دره</t>
  </si>
  <si>
    <t>پخش هجرت</t>
  </si>
  <si>
    <t>پتروشیمی تامین</t>
  </si>
  <si>
    <t>پتروشيمی پردیس</t>
  </si>
  <si>
    <t>پتروشيمي پارس</t>
  </si>
  <si>
    <t>پتروشيمي نوري</t>
  </si>
  <si>
    <t>پتروشيمي شيراز</t>
  </si>
  <si>
    <t>پتروشيمي جم</t>
  </si>
  <si>
    <t>نگين طبس</t>
  </si>
  <si>
    <t>نفت و گاز پارسیان</t>
  </si>
  <si>
    <t>نفت تهران</t>
  </si>
  <si>
    <t>نفت تبريز</t>
  </si>
  <si>
    <t>نفت بندر عباس</t>
  </si>
  <si>
    <t>نفت اصفهان</t>
  </si>
  <si>
    <t>ملي مس</t>
  </si>
  <si>
    <t>مس شهيد باهنر</t>
  </si>
  <si>
    <t>مجتمع سيمان غرب آسيا</t>
  </si>
  <si>
    <t>مبين انرژي خليج فارس</t>
  </si>
  <si>
    <t>كشت و صنعت هلال</t>
  </si>
  <si>
    <t>كشت و صنعت شهداب</t>
  </si>
  <si>
    <t>قاسم ايران</t>
  </si>
  <si>
    <t>فولاد مباركه</t>
  </si>
  <si>
    <t>صنايع پتروشيمي خليج فارس</t>
  </si>
  <si>
    <t>سيمان فارس و خوزستان</t>
  </si>
  <si>
    <t>سرمايه گذاري غدير</t>
  </si>
  <si>
    <t>سرمايه گذاري صدرتامين</t>
  </si>
  <si>
    <t>سرمايه گذاري دارويي تامين</t>
  </si>
  <si>
    <t>سرمايه گذاري تامين اجتماعي</t>
  </si>
  <si>
    <t>زرين ذرت شاهرود</t>
  </si>
  <si>
    <t>دكترعبيدي</t>
  </si>
  <si>
    <t>دريايي سينا</t>
  </si>
  <si>
    <t>دارويي و نهاده هاي زاگرس دارو</t>
  </si>
  <si>
    <t>توسعه‌معادن‌وفلزات‌</t>
  </si>
  <si>
    <t>بانك ملت</t>
  </si>
  <si>
    <t>بانك تجارت</t>
  </si>
  <si>
    <t>باما</t>
  </si>
  <si>
    <t>ايران خودرو</t>
  </si>
  <si>
    <t>اقتصاد نوين</t>
  </si>
  <si>
    <t>احيا استيل فولاد بافت</t>
  </si>
  <si>
    <t>آلومينيوم ايران</t>
  </si>
  <si>
    <t xml:space="preserve">افزایش سرمایه </t>
  </si>
  <si>
    <t>درصد به کل  دارایی‌ها</t>
  </si>
  <si>
    <t>قیمت بازار هر سهم</t>
  </si>
  <si>
    <t>1405/05/31</t>
  </si>
  <si>
    <t>1-1-سرمایه‌گذاری در سهام و حق تقدم سهام</t>
  </si>
  <si>
    <t>1- سرمایه گذاری ها</t>
  </si>
  <si>
    <t>سرمایه گذاری قابل معامله شاخصی بازار آشنا</t>
  </si>
  <si>
    <t>تاریخ اعمال</t>
  </si>
  <si>
    <t xml:space="preserve">قیمت اعمال </t>
  </si>
  <si>
    <t>تعداد اوراق</t>
  </si>
  <si>
    <t>نوع موقعیت</t>
  </si>
  <si>
    <t>نام سهام</t>
  </si>
  <si>
    <t>موقعیت فروش</t>
  </si>
  <si>
    <t>اختيار معامله خرید</t>
  </si>
  <si>
    <t>اختيارخ وبملت-1354-1405/05/20</t>
  </si>
  <si>
    <t>1405/06/04</t>
  </si>
  <si>
    <t>اختيارخ خودرو-600-1405/06/04</t>
  </si>
  <si>
    <t>اختيارخ خودرو-550-1405/05/07</t>
  </si>
  <si>
    <t>موقعیت خرید</t>
  </si>
  <si>
    <t>اختيارخ خودرو-500-1405/06/04</t>
  </si>
  <si>
    <t>نوع اختیار</t>
  </si>
  <si>
    <t>اطلاعات آماری مرتبط با موقعیت های اخذ شده در اوراق اختیار معامله توسط صندوق سرمایه گذاری:</t>
  </si>
  <si>
    <t xml:space="preserve"> </t>
  </si>
  <si>
    <t>درآمد حاصل از سرمایه گذاری در اوراق مشتقه</t>
  </si>
  <si>
    <t>درآمد حاصل از سرمایه گذاری در سهام و حق تقدم سهام</t>
  </si>
  <si>
    <t>سرمايه گذاري صندوق بازنشستگي كشوري (هلدينگ)</t>
  </si>
  <si>
    <t>گروه صنعتي درپاد تبريز</t>
  </si>
  <si>
    <t>ذوب آهن اصفهان</t>
  </si>
  <si>
    <t>صنايع غذايي رضوي</t>
  </si>
  <si>
    <t>مجتمع كاشي و سنگ پرسپوليس يزد</t>
  </si>
  <si>
    <t>پتروشيمي اروند</t>
  </si>
  <si>
    <t>كيميا كالاي رازي</t>
  </si>
  <si>
    <t>آلياژ گستر هامون</t>
  </si>
  <si>
    <t>گروه مپنا</t>
  </si>
  <si>
    <t>پست بانك ايران</t>
  </si>
  <si>
    <t>بورس كالاي ايران</t>
  </si>
  <si>
    <t>گروه مالي نماد غدير(سهامي عام)</t>
  </si>
  <si>
    <t>پارس مينو</t>
  </si>
  <si>
    <t>س. و توسعه صنايع لاستيك</t>
  </si>
  <si>
    <t>سيمان شاهرود</t>
  </si>
  <si>
    <t>پتروشيمي پرديس</t>
  </si>
  <si>
    <t>شركت پالايش نفت بندر عباس</t>
  </si>
  <si>
    <t>بانك اقتصاد نوين</t>
  </si>
  <si>
    <t>پالايش نفت تهران</t>
  </si>
  <si>
    <t>لابراتوار دكتر عبيدي</t>
  </si>
  <si>
    <t>س. نفت و گاز و پتروشيمي تامين</t>
  </si>
  <si>
    <t>شركت گسترش نفت و گاز پارسيان</t>
  </si>
  <si>
    <t>توسعه خدمات دريايي وبندري سينا</t>
  </si>
  <si>
    <t>سرمايه گذاري توسعه معادن و فلزات (هلدينگ)</t>
  </si>
  <si>
    <t>سرمايه گذاري غدير (هلدينگ)</t>
  </si>
  <si>
    <t>پالايش نفت اصفهان</t>
  </si>
  <si>
    <t>معدني و صنعتي چادر ملو</t>
  </si>
  <si>
    <t>فولاد مباركه اصفهان</t>
  </si>
  <si>
    <t>ملي صنايع مس ايران</t>
  </si>
  <si>
    <t>پالايش نفت تبريز</t>
  </si>
  <si>
    <t>ذغال سنگ نگين طبس</t>
  </si>
  <si>
    <t>كشت و صنعت شهداب ناب خراسان</t>
  </si>
  <si>
    <t>درصد از کل درآمد ها</t>
  </si>
  <si>
    <t>یادداشت ...</t>
  </si>
  <si>
    <t>درآمد سود سهام</t>
  </si>
  <si>
    <t>سهام</t>
  </si>
  <si>
    <t>اختيارخ وبملت-1336-1405/04/24</t>
  </si>
  <si>
    <t>اختيارخ وبملت-1507-1405/04/24</t>
  </si>
  <si>
    <t>اختيارخ وبملت-1266-1405/04/24</t>
  </si>
  <si>
    <t>اختيارخ وبملت-1607-1405/04/24</t>
  </si>
  <si>
    <t>اختيارخ وبملت-1266-1405/03/20</t>
  </si>
  <si>
    <t>اختيارخ شستا-1710-1404/12/13</t>
  </si>
  <si>
    <t>اختيارخ وبملت-1400-1404/12/19</t>
  </si>
  <si>
    <t>اختيارخ وبملت-1600-1404/12/19</t>
  </si>
  <si>
    <t>اختيارخ فزر-100000-14041210</t>
  </si>
  <si>
    <t>اختيارخ شستا-2010-1404/12/13</t>
  </si>
  <si>
    <t>اختيارخ وبملت-1300-1404/11/21</t>
  </si>
  <si>
    <t>اختيارف شستا-1510-1404/12/13</t>
  </si>
  <si>
    <t>اختيارف وبملت-900-1404/12/19</t>
  </si>
  <si>
    <t>اختيارخ فزر-130000-14041210</t>
  </si>
  <si>
    <t>اختيارخ وبملت-1400-1404/11/21</t>
  </si>
  <si>
    <t>اختيارف وبملت-1100-1404/11/21</t>
  </si>
  <si>
    <t>اختيارف شستا-1210-1404/12/13</t>
  </si>
  <si>
    <t>اختيارخ وبملت-1500-1404/11/21</t>
  </si>
  <si>
    <t>اختيارخ فزر-110000-14041112</t>
  </si>
  <si>
    <t>اختيارخ وبملت-1700-1404/11/21</t>
  </si>
  <si>
    <t>اختيارخ وبملت-1800-1404/11/21</t>
  </si>
  <si>
    <t>اختيارخ شستا-2010-1404/11/08</t>
  </si>
  <si>
    <t>اختيارف اهرم-42000-1404/11/29</t>
  </si>
  <si>
    <t>اختيارخ فزر-120000-14041112</t>
  </si>
  <si>
    <t>اختيارخ خودرو-700-1404/12/06</t>
  </si>
  <si>
    <t>اختيارخ وبملت-1900-1404/11/21</t>
  </si>
  <si>
    <t>اختيارخ شپنا-8000-1404/12/19</t>
  </si>
  <si>
    <t>اختيارخ خودرو-650-1404/11/01</t>
  </si>
  <si>
    <t>اختيارخ وبملت-1600-1404/11/21</t>
  </si>
  <si>
    <t>اختيارخ شستا-1610-1404/11/08</t>
  </si>
  <si>
    <t>اختيارخ فولاد-4000-1404/11/08</t>
  </si>
  <si>
    <t>اختيارخ ذوب-500-1404/11/21</t>
  </si>
  <si>
    <t>اختيارخ ذوب-450-1404/11/21</t>
  </si>
  <si>
    <t>اختيارخ خودرو-600-1404/11/01</t>
  </si>
  <si>
    <t>اختيارف شستا-1710-1404/10/10</t>
  </si>
  <si>
    <t>اختيارف شستا-1610-1404/10/10</t>
  </si>
  <si>
    <t>اختيارخ شستا-1810-1404/10/10</t>
  </si>
  <si>
    <t>اختيارخ خودرو-700-1404/11/01</t>
  </si>
  <si>
    <t>اختيارف خودرو-550-1404/11/01</t>
  </si>
  <si>
    <t>اختيارف خودرو-600-1404/11/01</t>
  </si>
  <si>
    <t>اختيارخ خودرو-750-1404/11/01</t>
  </si>
  <si>
    <t>اختيارخ شستا-1310-1404/10/10</t>
  </si>
  <si>
    <t>اختيارخ وبملت-1100-1404/10/17</t>
  </si>
  <si>
    <t>اختيارخ وبملت-1300-1404/10/17</t>
  </si>
  <si>
    <t>اختيارخ خودرو-600-1404/10/03</t>
  </si>
  <si>
    <t>اختيارخ شستا-2400-1405/05/14</t>
  </si>
  <si>
    <t>اختيارخ خودرو-450-1405/06/04</t>
  </si>
  <si>
    <t>اختيارخ وبملت-1254-1405/05/20</t>
  </si>
  <si>
    <t>اختيارخ وبملت-1400-1405/05/20</t>
  </si>
  <si>
    <t>اختيارخ شستا-2200-1405/04/10</t>
  </si>
  <si>
    <t>اختيارخ وبملت-1055-1405/04/24</t>
  </si>
  <si>
    <t>اختيارخ خودرو-450-1405/04/10</t>
  </si>
  <si>
    <t>اختيارخ وبملت-1500-1405/03/20</t>
  </si>
  <si>
    <t>اختيارخ وبملت-1300-1405/03/20</t>
  </si>
  <si>
    <t>اوراق مشتقه</t>
  </si>
  <si>
    <t>1405/02/31</t>
  </si>
  <si>
    <t>1404/11/28</t>
  </si>
  <si>
    <t>1405/04/24</t>
  </si>
  <si>
    <t>1405/05/18</t>
  </si>
  <si>
    <t>1405/03/27</t>
  </si>
  <si>
    <t>1405/04/21</t>
  </si>
  <si>
    <t>1405/04/29</t>
  </si>
  <si>
    <t>1404/10/23</t>
  </si>
  <si>
    <t>1405/05/06</t>
  </si>
  <si>
    <t>1405/04/22</t>
  </si>
  <si>
    <t>1405/04/30</t>
  </si>
  <si>
    <t>1405/04/27</t>
  </si>
  <si>
    <t>1405/05/11</t>
  </si>
  <si>
    <t>1405/05/28</t>
  </si>
  <si>
    <t>1404/12/10</t>
  </si>
  <si>
    <t>1405/04/20</t>
  </si>
  <si>
    <t>1405/04/13</t>
  </si>
  <si>
    <t>خالص درآمد سود سهام</t>
  </si>
  <si>
    <t>جمع درآمد سود سهام</t>
  </si>
  <si>
    <t>سود متعلق به هر سهم</t>
  </si>
  <si>
    <t>تعداد سهام متعلقه در زمان مجمع</t>
  </si>
  <si>
    <t>تاریخ تشکیل مجمع</t>
  </si>
  <si>
    <t>اطلاعات مجمع</t>
  </si>
  <si>
    <t>اختيارخ وبملت--1125-1405/02/30</t>
  </si>
  <si>
    <t>اختيارخ وبملت-914-1405/03/20</t>
  </si>
  <si>
    <t>اختيارخ فزر-90750-14041210</t>
  </si>
  <si>
    <t>مپنا</t>
  </si>
  <si>
    <t>اختيارخ فزر-120750-14041210</t>
  </si>
  <si>
    <t>اختيارخ وبملت-1055-1405/03/20</t>
  </si>
  <si>
    <t>ذوب آهن  اصفهان</t>
  </si>
  <si>
    <t>اختيارخ وبملت--985-1405/02/30</t>
  </si>
  <si>
    <t>اختيارخ شپنا-6719-1405/02/30</t>
  </si>
  <si>
    <t>صندوق بازنشستگي</t>
  </si>
  <si>
    <t>اختيارف وبملت--633-1405/02/30</t>
  </si>
  <si>
    <t>-</t>
  </si>
  <si>
    <t>صورت وضعیت درآمدها</t>
  </si>
  <si>
    <t>2-4</t>
  </si>
  <si>
    <t>‫برای ماه منتهی به 1405/06/31</t>
  </si>
  <si>
    <t>گروه پتروشيمي تابان فردا</t>
  </si>
  <si>
    <t>گروه توسعه مالي فيروزه</t>
  </si>
  <si>
    <t>مديريت صنعت شوينده ت.ص.بهشهر</t>
  </si>
  <si>
    <t>فنرسازي زر گلپايگان</t>
  </si>
  <si>
    <t>صنعتي معدني سيمان تجارت مهريز</t>
  </si>
  <si>
    <t>شيشه رازي</t>
  </si>
  <si>
    <t>ذوب گران رنگين فلز</t>
  </si>
  <si>
    <t>توليد  نيروي برق سبز منجيل</t>
  </si>
  <si>
    <t>بورس انرژي ايران</t>
  </si>
  <si>
    <t>بانك سينا</t>
  </si>
  <si>
    <t>1405/06/31</t>
  </si>
  <si>
    <t>برای ماه منتهی به 1405/06/31</t>
  </si>
  <si>
    <t>كارخانجات شيشه دارويي رازي</t>
  </si>
  <si>
    <t>اختيارخ وبملت-1654-1405/06/18</t>
  </si>
  <si>
    <t>اختيارخ فزر-220000-14050629</t>
  </si>
  <si>
    <t>اختيارخ شستا-3250-1405/06/11</t>
  </si>
  <si>
    <t>1405/06/05</t>
  </si>
  <si>
    <t>1405/06/25</t>
  </si>
  <si>
    <t>1405/06/21</t>
  </si>
  <si>
    <t>1405/06/17</t>
  </si>
  <si>
    <t>كيميا كالاي رازي(نمادقدیمی حذف شده)</t>
  </si>
  <si>
    <t>تغییرات طی شهریور ماه</t>
  </si>
  <si>
    <t>خرید طی شهریور ماه</t>
  </si>
  <si>
    <t>فروش طی شهریور ماه</t>
  </si>
  <si>
    <t>نام اختیار معامله</t>
  </si>
  <si>
    <t>1-2- سرمایه‌گذاری در  سپرده‌ بانکی</t>
  </si>
  <si>
    <t>طی شهریور ماه</t>
  </si>
  <si>
    <t>از ابتدای سال مالی تا پایان شهریور ماه</t>
  </si>
  <si>
    <t>2-1-درآمد حاصل از سرمایه­گذاری در سهام و حق تقدم سهام:</t>
  </si>
  <si>
    <t>2-2-درآمد حاصل از سرمایه­گذاری در سپرده بانکی و گواهی سپرده:</t>
  </si>
  <si>
    <t>2-3-درآمد حاصل از سرمایه­گذاری در اوراق مشتقه:</t>
  </si>
  <si>
    <t>2-4-سایر درآمدها:</t>
  </si>
  <si>
    <t>علی اسماعیلی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</si>
</sst>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[Red]\(#,##0\);0"/>
    <numFmt numFmtId="165" formatCode="0.00%;[Red]\(0.00%\);0%"/>
    <numFmt numFmtId="166" formatCode="_ * #,##0_-_ ;_ * #,##0\-_ ;_ * &quot;-&quot;??_-_ ;_ @_ "/>
  </numFmts>
  <fonts count="17" x14ac:knownFonts="1">
    <font>
      <sz val="11"/>
      <color theme="1"/>
      <name val="Calibri"/>
      <family val="2"/>
      <charset val="178"/>
      <scheme val="minor"/>
    </font>
    <font>
      <sz val="11"/>
      <color theme="1"/>
      <name val="B Zar"/>
      <charset val="178"/>
    </font>
    <font>
      <b/>
      <sz val="11"/>
      <color theme="1"/>
      <name val="B Zar"/>
      <charset val="178"/>
    </font>
    <font>
      <b/>
      <sz val="12"/>
      <color theme="1"/>
      <name val="B Zar"/>
      <charset val="178"/>
    </font>
    <font>
      <b/>
      <sz val="10"/>
      <color rgb="FF000000"/>
      <name val="B Zar"/>
      <charset val="178"/>
    </font>
    <font>
      <sz val="11"/>
      <color indexed="8"/>
      <name val="Calibri"/>
      <family val="2"/>
      <scheme val="minor"/>
    </font>
    <font>
      <b/>
      <u/>
      <sz val="18"/>
      <name val="B Zar"/>
      <charset val="178"/>
    </font>
    <font>
      <sz val="11"/>
      <color indexed="8"/>
      <name val="B Zar"/>
      <charset val="178"/>
    </font>
    <font>
      <b/>
      <sz val="13"/>
      <color rgb="FFFFFFFF"/>
      <name val="B Zar"/>
      <charset val="178"/>
    </font>
    <font>
      <b/>
      <sz val="13"/>
      <color theme="1"/>
      <name val="B Zar"/>
      <charset val="178"/>
    </font>
    <font>
      <b/>
      <sz val="10"/>
      <color theme="1"/>
      <name val="B Zar"/>
      <charset val="178"/>
    </font>
    <font>
      <b/>
      <sz val="12"/>
      <color rgb="FF0062AC"/>
      <name val="B Zar"/>
      <charset val="178"/>
    </font>
    <font>
      <sz val="10"/>
      <color indexed="8"/>
      <name val="B Zar"/>
      <charset val="178"/>
    </font>
    <font>
      <sz val="10"/>
      <color theme="1"/>
      <name val="B Zar"/>
      <charset val="178"/>
    </font>
    <font>
      <b/>
      <sz val="11"/>
      <color rgb="FF0062AC"/>
      <name val="B Zar"/>
      <charset val="178"/>
    </font>
    <font>
      <sz val="11"/>
      <color theme="1"/>
      <name val="Calibri"/>
      <family val="2"/>
      <charset val="178"/>
      <scheme val="minor"/>
    </font>
    <font>
      <sz val="7"/>
      <color rgb="FF000000"/>
      <name val="Yekan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43" fontId="15" fillId="0" borderId="0" applyFont="0" applyFill="0" applyBorder="0" applyAlignment="0" applyProtection="0"/>
  </cellStyleXfs>
  <cellXfs count="7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7" fillId="0" borderId="0" xfId="2" applyFont="1"/>
    <xf numFmtId="164" fontId="12" fillId="0" borderId="0" xfId="0" applyNumberFormat="1" applyFont="1" applyAlignment="1">
      <alignment vertical="center"/>
    </xf>
    <xf numFmtId="165" fontId="12" fillId="0" borderId="0" xfId="0" applyNumberFormat="1" applyFont="1" applyAlignment="1">
      <alignment horizontal="center" vertical="center"/>
    </xf>
    <xf numFmtId="164" fontId="12" fillId="0" borderId="4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 readingOrder="2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 vertical="center" wrapText="1" readingOrder="2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 wrapText="1" readingOrder="2"/>
    </xf>
    <xf numFmtId="0" fontId="4" fillId="0" borderId="0" xfId="0" applyFont="1" applyBorder="1" applyAlignment="1">
      <alignment horizontal="center" vertical="center" wrapText="1" readingOrder="2"/>
    </xf>
    <xf numFmtId="0" fontId="4" fillId="0" borderId="0" xfId="0" applyFont="1" applyBorder="1" applyAlignment="1">
      <alignment horizontal="right" vertical="center" wrapText="1" readingOrder="2"/>
    </xf>
    <xf numFmtId="0" fontId="11" fillId="0" borderId="0" xfId="0" applyFont="1" applyAlignment="1">
      <alignment vertical="center" readingOrder="2"/>
    </xf>
    <xf numFmtId="0" fontId="2" fillId="0" borderId="0" xfId="0" applyFont="1" applyAlignment="1">
      <alignment horizontal="right" vertical="center" readingOrder="2"/>
    </xf>
    <xf numFmtId="49" fontId="1" fillId="0" borderId="0" xfId="0" applyNumberFormat="1" applyFont="1" applyAlignment="1">
      <alignment horizontal="center" vertical="center" readingOrder="2"/>
    </xf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 readingOrder="2"/>
    </xf>
    <xf numFmtId="0" fontId="13" fillId="0" borderId="1" xfId="0" applyFont="1" applyBorder="1" applyAlignment="1">
      <alignment horizontal="center" vertical="center" readingOrder="2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/>
    </xf>
    <xf numFmtId="0" fontId="13" fillId="0" borderId="1" xfId="0" applyFont="1" applyBorder="1" applyAlignment="1">
      <alignment vertical="center"/>
    </xf>
    <xf numFmtId="3" fontId="16" fillId="0" borderId="0" xfId="0" applyNumberFormat="1" applyFont="1"/>
    <xf numFmtId="3" fontId="13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3" fillId="0" borderId="0" xfId="0" applyFont="1" applyAlignment="1">
      <alignment vertical="center" wrapText="1" readingOrder="2"/>
    </xf>
    <xf numFmtId="166" fontId="1" fillId="0" borderId="0" xfId="3" applyNumberFormat="1" applyFont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 wrapText="1" readingOrder="2"/>
    </xf>
    <xf numFmtId="37" fontId="6" fillId="0" borderId="0" xfId="2" applyNumberFormat="1" applyFont="1" applyAlignment="1">
      <alignment horizontal="center" vertical="center"/>
    </xf>
    <xf numFmtId="0" fontId="7" fillId="0" borderId="0" xfId="2" applyFont="1"/>
    <xf numFmtId="0" fontId="8" fillId="2" borderId="0" xfId="2" applyFont="1" applyFill="1" applyAlignment="1">
      <alignment horizontal="center" vertical="center" wrapText="1" readingOrder="2"/>
    </xf>
    <xf numFmtId="0" fontId="13" fillId="0" borderId="2" xfId="0" applyFont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 readingOrder="2"/>
    </xf>
    <xf numFmtId="0" fontId="10" fillId="0" borderId="1" xfId="0" applyFont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 wrapText="1" readingOrder="2"/>
    </xf>
    <xf numFmtId="0" fontId="13" fillId="0" borderId="0" xfId="0" applyFont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readingOrder="2"/>
    </xf>
    <xf numFmtId="0" fontId="13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 readingOrder="2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readingOrder="2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readingOrder="2"/>
    </xf>
    <xf numFmtId="0" fontId="4" fillId="0" borderId="2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6" fontId="4" fillId="0" borderId="2" xfId="3" applyNumberFormat="1" applyFont="1" applyBorder="1" applyAlignment="1">
      <alignment horizontal="center" vertical="center" wrapText="1" readingOrder="2"/>
    </xf>
    <xf numFmtId="166" fontId="4" fillId="0" borderId="1" xfId="3" applyNumberFormat="1" applyFont="1" applyBorder="1" applyAlignment="1">
      <alignment horizontal="center" vertical="center" wrapText="1" readingOrder="2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2" xr:uid="{66B11788-50ED-4DBA-A665-228D5AC427C9}"/>
    <cellStyle name="Normal 4" xfId="1" xr:uid="{38435D7F-1221-4B5B-9770-59D784138E27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324760</xdr:colOff>
      <xdr:row>6</xdr:row>
      <xdr:rowOff>76200</xdr:rowOff>
    </xdr:from>
    <xdr:ext cx="1993056" cy="1755775"/>
    <xdr:pic>
      <xdr:nvPicPr>
        <xdr:cNvPr id="2" name="Picture 1">
          <a:extLst>
            <a:ext uri="{FF2B5EF4-FFF2-40B4-BE49-F238E27FC236}">
              <a16:creationId xmlns:a16="http://schemas.microsoft.com/office/drawing/2014/main" id="{336C773F-CC17-4004-820D-764607DF9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7032584" y="1493520"/>
          <a:ext cx="1993056" cy="17557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1</xdr:rowOff>
    </xdr:from>
    <xdr:ext cx="1029325" cy="906780"/>
    <xdr:pic>
      <xdr:nvPicPr>
        <xdr:cNvPr id="2" name="Picture 1">
          <a:extLst>
            <a:ext uri="{FF2B5EF4-FFF2-40B4-BE49-F238E27FC236}">
              <a16:creationId xmlns:a16="http://schemas.microsoft.com/office/drawing/2014/main" id="{2AEB99A6-968F-43E2-AAE4-C6F949ECC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8315474" y="1"/>
          <a:ext cx="1029325" cy="90678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29325" cy="906780"/>
    <xdr:pic>
      <xdr:nvPicPr>
        <xdr:cNvPr id="2" name="Picture 1">
          <a:extLst>
            <a:ext uri="{FF2B5EF4-FFF2-40B4-BE49-F238E27FC236}">
              <a16:creationId xmlns:a16="http://schemas.microsoft.com/office/drawing/2014/main" id="{A57754CF-7165-4C32-9C2B-2AA14898D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942095" y="0"/>
          <a:ext cx="1029325" cy="90678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29325" cy="906780"/>
    <xdr:pic>
      <xdr:nvPicPr>
        <xdr:cNvPr id="2" name="Picture 1">
          <a:extLst>
            <a:ext uri="{FF2B5EF4-FFF2-40B4-BE49-F238E27FC236}">
              <a16:creationId xmlns:a16="http://schemas.microsoft.com/office/drawing/2014/main" id="{288C8E7D-B99F-4E67-9859-9C87A3E60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284495" y="0"/>
          <a:ext cx="1029325" cy="90678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29325" cy="906780"/>
    <xdr:pic>
      <xdr:nvPicPr>
        <xdr:cNvPr id="2" name="Picture 1">
          <a:extLst>
            <a:ext uri="{FF2B5EF4-FFF2-40B4-BE49-F238E27FC236}">
              <a16:creationId xmlns:a16="http://schemas.microsoft.com/office/drawing/2014/main" id="{F6EA4952-53A6-4EF4-8BBB-36E85316D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0485395" y="0"/>
          <a:ext cx="1029325" cy="90678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29325" cy="906780"/>
    <xdr:pic>
      <xdr:nvPicPr>
        <xdr:cNvPr id="2" name="Picture 1">
          <a:extLst>
            <a:ext uri="{FF2B5EF4-FFF2-40B4-BE49-F238E27FC236}">
              <a16:creationId xmlns:a16="http://schemas.microsoft.com/office/drawing/2014/main" id="{B3F6BED0-9C40-4CAD-AB36-519DE565D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6738135" y="0"/>
          <a:ext cx="1029325" cy="90678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29325" cy="906780"/>
    <xdr:pic>
      <xdr:nvPicPr>
        <xdr:cNvPr id="2" name="Picture 1">
          <a:extLst>
            <a:ext uri="{FF2B5EF4-FFF2-40B4-BE49-F238E27FC236}">
              <a16:creationId xmlns:a16="http://schemas.microsoft.com/office/drawing/2014/main" id="{6FBB9EB2-508D-4B8F-8A55-7F57F3AD7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994935" y="0"/>
          <a:ext cx="1029325" cy="90678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29325" cy="906780"/>
    <xdr:pic>
      <xdr:nvPicPr>
        <xdr:cNvPr id="2" name="Picture 1">
          <a:extLst>
            <a:ext uri="{FF2B5EF4-FFF2-40B4-BE49-F238E27FC236}">
              <a16:creationId xmlns:a16="http://schemas.microsoft.com/office/drawing/2014/main" id="{E08E4E53-D5F1-495A-B8B2-B7B93A580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2961895" y="0"/>
          <a:ext cx="1029325" cy="90678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29325" cy="906780"/>
    <xdr:pic>
      <xdr:nvPicPr>
        <xdr:cNvPr id="2" name="Picture 1">
          <a:extLst>
            <a:ext uri="{FF2B5EF4-FFF2-40B4-BE49-F238E27FC236}">
              <a16:creationId xmlns:a16="http://schemas.microsoft.com/office/drawing/2014/main" id="{B98820B8-1614-43E0-ABC9-E844FE65B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0988315" y="0"/>
          <a:ext cx="1029325" cy="90678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29325" cy="906780"/>
    <xdr:pic>
      <xdr:nvPicPr>
        <xdr:cNvPr id="2" name="Picture 1">
          <a:extLst>
            <a:ext uri="{FF2B5EF4-FFF2-40B4-BE49-F238E27FC236}">
              <a16:creationId xmlns:a16="http://schemas.microsoft.com/office/drawing/2014/main" id="{39D4680F-E8F0-49E3-BAF7-CE8B23BC5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6494295" y="0"/>
          <a:ext cx="1029325" cy="90678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06780" cy="798824"/>
    <xdr:pic>
      <xdr:nvPicPr>
        <xdr:cNvPr id="2" name="Picture 1">
          <a:extLst>
            <a:ext uri="{FF2B5EF4-FFF2-40B4-BE49-F238E27FC236}">
              <a16:creationId xmlns:a16="http://schemas.microsoft.com/office/drawing/2014/main" id="{81B244BF-5CEF-40BB-81EF-974F51E53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126100" y="0"/>
          <a:ext cx="906780" cy="798824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21080" cy="899516"/>
    <xdr:pic>
      <xdr:nvPicPr>
        <xdr:cNvPr id="2" name="Picture 1">
          <a:extLst>
            <a:ext uri="{FF2B5EF4-FFF2-40B4-BE49-F238E27FC236}">
              <a16:creationId xmlns:a16="http://schemas.microsoft.com/office/drawing/2014/main" id="{A13C7872-05AA-4302-882E-572BA2C3E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3869300" y="0"/>
          <a:ext cx="1021080" cy="89951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21080" cy="899516"/>
    <xdr:pic>
      <xdr:nvPicPr>
        <xdr:cNvPr id="2" name="Picture 1">
          <a:extLst>
            <a:ext uri="{FF2B5EF4-FFF2-40B4-BE49-F238E27FC236}">
              <a16:creationId xmlns:a16="http://schemas.microsoft.com/office/drawing/2014/main" id="{30881C81-1CC0-49B6-95E8-1147EC639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3739760" y="0"/>
          <a:ext cx="1021080" cy="89951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BE77-D715-4669-9B65-F4CD0EEBA377}">
  <sheetPr>
    <pageSetUpPr fitToPage="1"/>
  </sheetPr>
  <dimension ref="A18:J25"/>
  <sheetViews>
    <sheetView rightToLeft="1" tabSelected="1" view="pageBreakPreview" topLeftCell="A10" zoomScaleNormal="100" zoomScaleSheetLayoutView="100" workbookViewId="0">
      <selection activeCell="M27" sqref="M27"/>
    </sheetView>
  </sheetViews>
  <sheetFormatPr defaultColWidth="8.85546875" defaultRowHeight="19.5" x14ac:dyDescent="0.55000000000000004"/>
  <cols>
    <col min="1" max="4" width="8.85546875" style="3"/>
    <col min="5" max="5" width="10" style="3" customWidth="1"/>
    <col min="6" max="16384" width="8.85546875" style="3"/>
  </cols>
  <sheetData>
    <row r="18" spans="1:10" ht="40.15" customHeight="1" x14ac:dyDescent="0.55000000000000004">
      <c r="A18" s="46" t="s">
        <v>46</v>
      </c>
      <c r="B18" s="47"/>
      <c r="C18" s="47"/>
      <c r="D18" s="47"/>
      <c r="E18" s="47"/>
      <c r="F18" s="47"/>
      <c r="G18" s="47"/>
      <c r="H18" s="47"/>
      <c r="I18" s="47"/>
      <c r="J18" s="47"/>
    </row>
    <row r="19" spans="1:10" ht="40.15" customHeight="1" x14ac:dyDescent="0.55000000000000004">
      <c r="A19" s="46" t="s">
        <v>32</v>
      </c>
      <c r="B19" s="47"/>
      <c r="C19" s="47"/>
      <c r="D19" s="47"/>
      <c r="E19" s="47"/>
      <c r="F19" s="47"/>
      <c r="G19" s="47"/>
      <c r="H19" s="47"/>
      <c r="I19" s="47"/>
      <c r="J19" s="47"/>
    </row>
    <row r="20" spans="1:10" ht="40.15" customHeight="1" x14ac:dyDescent="0.55000000000000004">
      <c r="A20" s="46" t="s">
        <v>241</v>
      </c>
      <c r="B20" s="47"/>
      <c r="C20" s="47"/>
      <c r="D20" s="47"/>
      <c r="E20" s="47"/>
      <c r="F20" s="47"/>
      <c r="G20" s="47"/>
      <c r="H20" s="47"/>
      <c r="I20" s="47"/>
      <c r="J20" s="47"/>
    </row>
    <row r="24" spans="1:10" ht="43.5" customHeight="1" x14ac:dyDescent="0.55000000000000004">
      <c r="B24" s="48" t="s">
        <v>37</v>
      </c>
      <c r="C24" s="48"/>
      <c r="D24" s="48" t="s">
        <v>1</v>
      </c>
      <c r="E24" s="48"/>
      <c r="F24" s="48" t="s">
        <v>38</v>
      </c>
      <c r="G24" s="48"/>
      <c r="H24" s="48" t="s">
        <v>39</v>
      </c>
      <c r="I24" s="48"/>
    </row>
    <row r="25" spans="1:10" ht="39.75" customHeight="1" x14ac:dyDescent="0.55000000000000004">
      <c r="B25" s="45" t="s">
        <v>30</v>
      </c>
      <c r="C25" s="45"/>
      <c r="D25" s="45" t="s">
        <v>40</v>
      </c>
      <c r="E25" s="45"/>
      <c r="F25" s="45" t="s">
        <v>274</v>
      </c>
      <c r="G25" s="45"/>
      <c r="H25" s="45"/>
      <c r="I25" s="45"/>
    </row>
  </sheetData>
  <mergeCells count="11">
    <mergeCell ref="B25:C25"/>
    <mergeCell ref="D25:E25"/>
    <mergeCell ref="F25:G25"/>
    <mergeCell ref="H25:I25"/>
    <mergeCell ref="A18:J18"/>
    <mergeCell ref="A19:J19"/>
    <mergeCell ref="A20:J20"/>
    <mergeCell ref="B24:C24"/>
    <mergeCell ref="D24:E24"/>
    <mergeCell ref="F24:G24"/>
    <mergeCell ref="H24:I24"/>
  </mergeCells>
  <pageMargins left="0.7" right="0.7" top="0.75" bottom="0.75" header="0.3" footer="0.3"/>
  <pageSetup paperSize="9" scale="9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844A9-74C4-4282-B2B9-CA2F8DB4905C}">
  <dimension ref="A1:N64"/>
  <sheetViews>
    <sheetView rightToLeft="1" tabSelected="1" view="pageBreakPreview" zoomScale="85" zoomScaleNormal="100" zoomScaleSheetLayoutView="85" workbookViewId="0">
      <selection activeCell="M27" sqref="M27"/>
    </sheetView>
  </sheetViews>
  <sheetFormatPr defaultColWidth="9.140625" defaultRowHeight="17.25" x14ac:dyDescent="0.25"/>
  <cols>
    <col min="1" max="1" width="32.5703125" style="8" customWidth="1"/>
    <col min="2" max="2" width="12.85546875" style="8" customWidth="1"/>
    <col min="3" max="4" width="16.28515625" style="8" customWidth="1"/>
    <col min="5" max="6" width="11.85546875" style="8" customWidth="1"/>
    <col min="7" max="7" width="15" style="8" customWidth="1"/>
    <col min="8" max="8" width="11.85546875" style="8" customWidth="1"/>
    <col min="9" max="9" width="15" style="8" customWidth="1"/>
    <col min="10" max="10" width="12.85546875" style="8" customWidth="1"/>
    <col min="11" max="11" width="12.140625" style="8" customWidth="1"/>
    <col min="12" max="13" width="16.28515625" style="8" customWidth="1"/>
    <col min="14" max="14" width="9.85546875" style="8" customWidth="1"/>
    <col min="15" max="16384" width="9.140625" style="8"/>
  </cols>
  <sheetData>
    <row r="1" spans="1:14" ht="21" x14ac:dyDescent="0.25">
      <c r="A1" s="51" t="s">
        <v>94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4" ht="21" x14ac:dyDescent="0.25">
      <c r="A2" s="51" t="s">
        <v>25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1:14" ht="21" x14ac:dyDescent="0.25">
      <c r="A3" s="51" t="s">
        <v>253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2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21" x14ac:dyDescent="0.25">
      <c r="A5" s="52" t="s">
        <v>93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</row>
    <row r="6" spans="1:14" ht="21" x14ac:dyDescent="0.25">
      <c r="A6" s="52" t="s">
        <v>92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</row>
    <row r="8" spans="1:14" ht="18.75" customHeight="1" thickBot="1" x14ac:dyDescent="0.3">
      <c r="A8" s="10"/>
      <c r="B8" s="53" t="s">
        <v>91</v>
      </c>
      <c r="C8" s="53"/>
      <c r="D8" s="53"/>
      <c r="E8" s="59" t="s">
        <v>263</v>
      </c>
      <c r="F8" s="59"/>
      <c r="G8" s="59"/>
      <c r="H8" s="59"/>
      <c r="I8" s="59"/>
      <c r="J8" s="53" t="s">
        <v>252</v>
      </c>
      <c r="K8" s="53"/>
      <c r="L8" s="53"/>
      <c r="M8" s="53"/>
      <c r="N8" s="53"/>
    </row>
    <row r="9" spans="1:14" ht="17.25" customHeight="1" x14ac:dyDescent="0.25">
      <c r="A9" s="54" t="s">
        <v>1</v>
      </c>
      <c r="B9" s="55" t="s">
        <v>3</v>
      </c>
      <c r="C9" s="55" t="s">
        <v>0</v>
      </c>
      <c r="D9" s="49" t="s">
        <v>9</v>
      </c>
      <c r="E9" s="57" t="s">
        <v>264</v>
      </c>
      <c r="F9" s="57"/>
      <c r="G9" s="57"/>
      <c r="H9" s="57" t="s">
        <v>265</v>
      </c>
      <c r="I9" s="57"/>
      <c r="J9" s="58" t="s">
        <v>3</v>
      </c>
      <c r="K9" s="49" t="s">
        <v>90</v>
      </c>
      <c r="L9" s="58" t="s">
        <v>0</v>
      </c>
      <c r="M9" s="49" t="s">
        <v>9</v>
      </c>
      <c r="N9" s="49" t="s">
        <v>89</v>
      </c>
    </row>
    <row r="10" spans="1:14" ht="20.25" customHeight="1" thickBot="1" x14ac:dyDescent="0.3">
      <c r="A10" s="50"/>
      <c r="B10" s="56"/>
      <c r="C10" s="56"/>
      <c r="D10" s="50"/>
      <c r="E10" s="30" t="s">
        <v>88</v>
      </c>
      <c r="F10" s="32" t="s">
        <v>3</v>
      </c>
      <c r="G10" s="32" t="s">
        <v>0</v>
      </c>
      <c r="H10" s="32" t="s">
        <v>3</v>
      </c>
      <c r="I10" s="32" t="s">
        <v>24</v>
      </c>
      <c r="J10" s="56"/>
      <c r="K10" s="50"/>
      <c r="L10" s="56"/>
      <c r="M10" s="50"/>
      <c r="N10" s="50"/>
    </row>
    <row r="11" spans="1:14" x14ac:dyDescent="0.25">
      <c r="A11" s="4" t="s">
        <v>87</v>
      </c>
      <c r="B11" s="9">
        <v>3100000</v>
      </c>
      <c r="C11" s="9">
        <v>27885098277</v>
      </c>
      <c r="D11" s="9">
        <v>45186983530</v>
      </c>
      <c r="E11" s="9">
        <v>0</v>
      </c>
      <c r="F11" s="9">
        <v>1900000</v>
      </c>
      <c r="G11" s="9">
        <v>27776399613</v>
      </c>
      <c r="H11" s="9">
        <v>0</v>
      </c>
      <c r="I11" s="9">
        <v>0</v>
      </c>
      <c r="J11" s="9">
        <v>5000000</v>
      </c>
      <c r="K11" s="9">
        <v>14500</v>
      </c>
      <c r="L11" s="9">
        <v>55661497771</v>
      </c>
      <c r="M11" s="9">
        <v>68218562500</v>
      </c>
      <c r="N11" s="5">
        <v>2.4176689316184802E-2</v>
      </c>
    </row>
    <row r="12" spans="1:14" x14ac:dyDescent="0.25">
      <c r="A12" s="4" t="s">
        <v>86</v>
      </c>
      <c r="B12" s="9">
        <v>10666000</v>
      </c>
      <c r="C12" s="9">
        <v>36681109090</v>
      </c>
      <c r="D12" s="9">
        <v>44133411089</v>
      </c>
      <c r="E12" s="9">
        <v>0</v>
      </c>
      <c r="F12" s="9">
        <v>0</v>
      </c>
      <c r="G12" s="9">
        <v>0</v>
      </c>
      <c r="H12" s="9">
        <v>5333000</v>
      </c>
      <c r="I12" s="9">
        <v>23869953444</v>
      </c>
      <c r="J12" s="9">
        <v>5333000</v>
      </c>
      <c r="K12" s="9">
        <v>4700</v>
      </c>
      <c r="L12" s="9">
        <v>18340554545</v>
      </c>
      <c r="M12" s="9">
        <v>24871346777</v>
      </c>
      <c r="N12" s="5">
        <v>8.8144165146051452E-3</v>
      </c>
    </row>
    <row r="13" spans="1:14" x14ac:dyDescent="0.25">
      <c r="A13" s="4" t="s">
        <v>85</v>
      </c>
      <c r="B13" s="9">
        <v>12122188</v>
      </c>
      <c r="C13" s="9">
        <v>14099676972</v>
      </c>
      <c r="D13" s="9">
        <v>40776559020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12122188</v>
      </c>
      <c r="K13" s="9">
        <v>3680</v>
      </c>
      <c r="L13" s="9">
        <v>14099676972</v>
      </c>
      <c r="M13" s="9">
        <v>44264819231</v>
      </c>
      <c r="N13" s="5">
        <v>1.5687471898648837E-2</v>
      </c>
    </row>
    <row r="14" spans="1:14" x14ac:dyDescent="0.25">
      <c r="A14" s="4" t="s">
        <v>84</v>
      </c>
      <c r="B14" s="9">
        <v>33164000</v>
      </c>
      <c r="C14" s="9">
        <v>11025512921</v>
      </c>
      <c r="D14" s="9">
        <v>21291244555</v>
      </c>
      <c r="E14" s="9">
        <v>0</v>
      </c>
      <c r="F14" s="9">
        <v>14299000</v>
      </c>
      <c r="G14" s="9">
        <v>7153074750</v>
      </c>
      <c r="H14" s="9">
        <v>14978000</v>
      </c>
      <c r="I14" s="9">
        <v>9036227400</v>
      </c>
      <c r="J14" s="9">
        <v>32485000</v>
      </c>
      <c r="K14" s="9">
        <v>666</v>
      </c>
      <c r="L14" s="9">
        <v>12441932042</v>
      </c>
      <c r="M14" s="9">
        <v>21467771373</v>
      </c>
      <c r="N14" s="5">
        <v>7.6081878564343399E-3</v>
      </c>
    </row>
    <row r="15" spans="1:14" x14ac:dyDescent="0.25">
      <c r="A15" s="4" t="s">
        <v>83</v>
      </c>
      <c r="B15" s="9">
        <v>14000000</v>
      </c>
      <c r="C15" s="9">
        <v>43772900967</v>
      </c>
      <c r="D15" s="9">
        <v>65985955000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14000000</v>
      </c>
      <c r="K15" s="9">
        <v>5060</v>
      </c>
      <c r="L15" s="9">
        <v>43772900967</v>
      </c>
      <c r="M15" s="9">
        <v>70292406800</v>
      </c>
      <c r="N15" s="5">
        <v>2.4911660671396819E-2</v>
      </c>
    </row>
    <row r="16" spans="1:14" x14ac:dyDescent="0.25">
      <c r="A16" s="4" t="s">
        <v>251</v>
      </c>
      <c r="B16" s="9">
        <v>0</v>
      </c>
      <c r="C16" s="9">
        <v>0</v>
      </c>
      <c r="D16" s="9">
        <v>0</v>
      </c>
      <c r="E16" s="9">
        <v>0</v>
      </c>
      <c r="F16" s="9">
        <v>8000000</v>
      </c>
      <c r="G16" s="9">
        <v>27466877241</v>
      </c>
      <c r="H16" s="9">
        <v>0</v>
      </c>
      <c r="I16" s="9">
        <v>0</v>
      </c>
      <c r="J16" s="9">
        <v>8000000</v>
      </c>
      <c r="K16" s="9">
        <v>3210</v>
      </c>
      <c r="L16" s="9">
        <v>27466877241</v>
      </c>
      <c r="M16" s="9">
        <v>25481493600</v>
      </c>
      <c r="N16" s="5">
        <v>9.0306528238491019E-3</v>
      </c>
    </row>
    <row r="17" spans="1:14" x14ac:dyDescent="0.25">
      <c r="A17" s="4" t="s">
        <v>81</v>
      </c>
      <c r="B17" s="9">
        <v>128971560</v>
      </c>
      <c r="C17" s="9">
        <v>127179548237</v>
      </c>
      <c r="D17" s="9">
        <v>175197240873</v>
      </c>
      <c r="E17" s="9">
        <v>0</v>
      </c>
      <c r="F17" s="9">
        <v>20000000</v>
      </c>
      <c r="G17" s="9">
        <v>30380719091</v>
      </c>
      <c r="H17" s="9">
        <v>7000</v>
      </c>
      <c r="I17" s="9">
        <v>11641679</v>
      </c>
      <c r="J17" s="9">
        <v>148964560</v>
      </c>
      <c r="K17" s="9">
        <v>1439</v>
      </c>
      <c r="L17" s="9">
        <v>157552863755</v>
      </c>
      <c r="M17" s="9">
        <v>212702999026</v>
      </c>
      <c r="N17" s="5">
        <v>7.5382038782660671E-2</v>
      </c>
    </row>
    <row r="18" spans="1:14" x14ac:dyDescent="0.25">
      <c r="A18" s="4" t="s">
        <v>250</v>
      </c>
      <c r="B18" s="9">
        <v>0</v>
      </c>
      <c r="C18" s="9">
        <v>0</v>
      </c>
      <c r="D18" s="9">
        <v>0</v>
      </c>
      <c r="E18" s="9">
        <v>0</v>
      </c>
      <c r="F18" s="9">
        <v>5000000</v>
      </c>
      <c r="G18" s="9">
        <v>126295986132</v>
      </c>
      <c r="H18" s="9">
        <v>0</v>
      </c>
      <c r="I18" s="9">
        <v>0</v>
      </c>
      <c r="J18" s="9">
        <v>5000000</v>
      </c>
      <c r="K18" s="9">
        <v>22540</v>
      </c>
      <c r="L18" s="9">
        <v>126295986132</v>
      </c>
      <c r="M18" s="9">
        <v>111828829000</v>
      </c>
      <c r="N18" s="5">
        <v>3.963218743176767E-2</v>
      </c>
    </row>
    <row r="19" spans="1:14" x14ac:dyDescent="0.25">
      <c r="A19" s="4" t="s">
        <v>80</v>
      </c>
      <c r="B19" s="9">
        <v>1643258</v>
      </c>
      <c r="C19" s="9">
        <v>3000042877</v>
      </c>
      <c r="D19" s="9">
        <v>4643822393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1643258</v>
      </c>
      <c r="K19" s="9">
        <v>3250</v>
      </c>
      <c r="L19" s="9">
        <v>3000042877</v>
      </c>
      <c r="M19" s="9">
        <v>5299305751</v>
      </c>
      <c r="N19" s="5">
        <v>1.8780763481112399E-3</v>
      </c>
    </row>
    <row r="20" spans="1:14" x14ac:dyDescent="0.25">
      <c r="A20" s="4" t="s">
        <v>249</v>
      </c>
      <c r="B20" s="9">
        <v>0</v>
      </c>
      <c r="C20" s="9">
        <v>0</v>
      </c>
      <c r="D20" s="9">
        <v>0</v>
      </c>
      <c r="E20" s="9">
        <v>0</v>
      </c>
      <c r="F20" s="9">
        <v>1125000</v>
      </c>
      <c r="G20" s="9">
        <v>20608094115</v>
      </c>
      <c r="H20" s="9">
        <v>562500</v>
      </c>
      <c r="I20" s="9">
        <v>15092426846</v>
      </c>
      <c r="J20" s="9">
        <v>562500</v>
      </c>
      <c r="K20" s="9">
        <v>28680</v>
      </c>
      <c r="L20" s="9">
        <v>10303815269</v>
      </c>
      <c r="M20" s="9">
        <v>16007795775</v>
      </c>
      <c r="N20" s="5">
        <v>5.6731700420851105E-3</v>
      </c>
    </row>
    <row r="21" spans="1:14" x14ac:dyDescent="0.25">
      <c r="A21" s="4" t="s">
        <v>79</v>
      </c>
      <c r="B21" s="9">
        <v>1400000</v>
      </c>
      <c r="C21" s="9">
        <v>26486336290</v>
      </c>
      <c r="D21" s="9">
        <v>36382571820</v>
      </c>
      <c r="E21" s="9">
        <v>0</v>
      </c>
      <c r="F21" s="9">
        <v>1900000</v>
      </c>
      <c r="G21" s="9">
        <v>47084671862</v>
      </c>
      <c r="H21" s="9">
        <v>0</v>
      </c>
      <c r="I21" s="9">
        <v>0</v>
      </c>
      <c r="J21" s="9">
        <v>3300000</v>
      </c>
      <c r="K21" s="9">
        <v>23380</v>
      </c>
      <c r="L21" s="9">
        <v>73571008152</v>
      </c>
      <c r="M21" s="9">
        <v>76557599580</v>
      </c>
      <c r="N21" s="5">
        <v>2.7132047818195233E-2</v>
      </c>
    </row>
    <row r="22" spans="1:14" x14ac:dyDescent="0.25">
      <c r="A22" s="4" t="s">
        <v>77</v>
      </c>
      <c r="B22" s="9">
        <v>2000000</v>
      </c>
      <c r="C22" s="9">
        <v>38548312855</v>
      </c>
      <c r="D22" s="9">
        <v>40742606200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2000000</v>
      </c>
      <c r="K22" s="9">
        <v>24460</v>
      </c>
      <c r="L22" s="9">
        <v>38548312855</v>
      </c>
      <c r="M22" s="9">
        <v>48541848400</v>
      </c>
      <c r="N22" s="5">
        <v>1.7203252965058334E-2</v>
      </c>
    </row>
    <row r="23" spans="1:14" x14ac:dyDescent="0.25">
      <c r="A23" s="4" t="s">
        <v>248</v>
      </c>
      <c r="B23" s="9">
        <v>0</v>
      </c>
      <c r="C23" s="9">
        <v>0</v>
      </c>
      <c r="D23" s="9">
        <v>0</v>
      </c>
      <c r="E23" s="9">
        <v>0</v>
      </c>
      <c r="F23" s="9">
        <v>1875000</v>
      </c>
      <c r="G23" s="9">
        <v>28857347620</v>
      </c>
      <c r="H23" s="9">
        <v>0</v>
      </c>
      <c r="I23" s="9">
        <v>0</v>
      </c>
      <c r="J23" s="9">
        <v>1875000</v>
      </c>
      <c r="K23" s="9">
        <v>15300</v>
      </c>
      <c r="L23" s="9">
        <v>28857347619</v>
      </c>
      <c r="M23" s="9">
        <v>28465745625</v>
      </c>
      <c r="N23" s="5">
        <v>1.008827308738984E-2</v>
      </c>
    </row>
    <row r="24" spans="1:14" x14ac:dyDescent="0.25">
      <c r="A24" s="4" t="s">
        <v>76</v>
      </c>
      <c r="B24" s="9">
        <v>435000</v>
      </c>
      <c r="C24" s="9">
        <v>7632716416</v>
      </c>
      <c r="D24" s="9">
        <v>11395228680</v>
      </c>
      <c r="E24" s="9">
        <v>1014999</v>
      </c>
      <c r="F24" s="9">
        <v>0</v>
      </c>
      <c r="G24" s="9">
        <v>0</v>
      </c>
      <c r="H24" s="9">
        <v>0</v>
      </c>
      <c r="I24" s="9">
        <v>0</v>
      </c>
      <c r="J24" s="9">
        <v>1449999</v>
      </c>
      <c r="K24" s="9">
        <v>9630</v>
      </c>
      <c r="L24" s="9">
        <v>7632716416</v>
      </c>
      <c r="M24" s="9">
        <v>13855552589</v>
      </c>
      <c r="N24" s="5">
        <v>4.910414086317239E-3</v>
      </c>
    </row>
    <row r="25" spans="1:14" x14ac:dyDescent="0.25">
      <c r="A25" s="4" t="s">
        <v>75</v>
      </c>
      <c r="B25" s="9">
        <v>21022000</v>
      </c>
      <c r="C25" s="9">
        <v>51736088132</v>
      </c>
      <c r="D25" s="9">
        <v>60137938327</v>
      </c>
      <c r="E25" s="9">
        <v>0</v>
      </c>
      <c r="F25" s="9">
        <v>2000000</v>
      </c>
      <c r="G25" s="9">
        <v>6152346289</v>
      </c>
      <c r="H25" s="9">
        <v>0</v>
      </c>
      <c r="I25" s="9">
        <v>0</v>
      </c>
      <c r="J25" s="9">
        <v>23022000</v>
      </c>
      <c r="K25" s="9">
        <v>3540</v>
      </c>
      <c r="L25" s="9">
        <v>57888434421</v>
      </c>
      <c r="M25" s="9">
        <v>80867901388</v>
      </c>
      <c r="N25" s="5">
        <v>2.8659620722872103E-2</v>
      </c>
    </row>
    <row r="26" spans="1:14" x14ac:dyDescent="0.25">
      <c r="A26" s="4" t="s">
        <v>74</v>
      </c>
      <c r="B26" s="9">
        <v>1018181</v>
      </c>
      <c r="C26" s="9">
        <v>8636181592</v>
      </c>
      <c r="D26" s="9">
        <v>30066839315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1018181</v>
      </c>
      <c r="K26" s="9">
        <v>26010</v>
      </c>
      <c r="L26" s="9">
        <v>8636181592</v>
      </c>
      <c r="M26" s="9">
        <v>26278175087</v>
      </c>
      <c r="N26" s="5">
        <v>9.3129971021407333E-3</v>
      </c>
    </row>
    <row r="27" spans="1:14" x14ac:dyDescent="0.25">
      <c r="A27" s="4" t="s">
        <v>73</v>
      </c>
      <c r="B27" s="9">
        <v>4943333</v>
      </c>
      <c r="C27" s="9">
        <v>51774719601</v>
      </c>
      <c r="D27" s="9">
        <v>102517029651</v>
      </c>
      <c r="E27" s="9">
        <v>0</v>
      </c>
      <c r="F27" s="9">
        <v>100000</v>
      </c>
      <c r="G27" s="9">
        <v>2582862459</v>
      </c>
      <c r="H27" s="9">
        <v>0</v>
      </c>
      <c r="I27" s="9">
        <v>0</v>
      </c>
      <c r="J27" s="9">
        <v>5043333</v>
      </c>
      <c r="K27" s="9">
        <v>29940</v>
      </c>
      <c r="L27" s="9">
        <v>54357582060</v>
      </c>
      <c r="M27" s="9">
        <v>149830180195</v>
      </c>
      <c r="N27" s="5">
        <v>5.3099883433669545E-2</v>
      </c>
    </row>
    <row r="28" spans="1:14" x14ac:dyDescent="0.25">
      <c r="A28" s="4" t="s">
        <v>72</v>
      </c>
      <c r="B28" s="9">
        <v>6048800</v>
      </c>
      <c r="C28" s="9">
        <v>80566518887</v>
      </c>
      <c r="D28" s="9">
        <v>113858751461</v>
      </c>
      <c r="E28" s="9">
        <v>0</v>
      </c>
      <c r="F28" s="9">
        <v>1000000</v>
      </c>
      <c r="G28" s="9">
        <v>20265716469</v>
      </c>
      <c r="H28" s="9">
        <v>0</v>
      </c>
      <c r="I28" s="9">
        <v>0</v>
      </c>
      <c r="J28" s="9">
        <v>7048800</v>
      </c>
      <c r="K28" s="9">
        <v>20420</v>
      </c>
      <c r="L28" s="9">
        <v>100832235356</v>
      </c>
      <c r="M28" s="9">
        <v>142823866886</v>
      </c>
      <c r="N28" s="5">
        <v>5.0616842837152377E-2</v>
      </c>
    </row>
    <row r="29" spans="1:14" x14ac:dyDescent="0.25">
      <c r="A29" s="4" t="s">
        <v>71</v>
      </c>
      <c r="B29" s="9">
        <v>1600000</v>
      </c>
      <c r="C29" s="9">
        <v>35925663566</v>
      </c>
      <c r="D29" s="9">
        <v>45596791040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1600000</v>
      </c>
      <c r="K29" s="9">
        <v>26200</v>
      </c>
      <c r="L29" s="9">
        <v>35925663566</v>
      </c>
      <c r="M29" s="9">
        <v>41548329440</v>
      </c>
      <c r="N29" s="5">
        <v>1.4724746691596947E-2</v>
      </c>
    </row>
    <row r="30" spans="1:14" x14ac:dyDescent="0.25">
      <c r="A30" s="4" t="s">
        <v>247</v>
      </c>
      <c r="B30" s="9">
        <v>0</v>
      </c>
      <c r="C30" s="9">
        <v>0</v>
      </c>
      <c r="D30" s="9">
        <v>0</v>
      </c>
      <c r="E30" s="9">
        <v>0</v>
      </c>
      <c r="F30" s="9">
        <v>20000000</v>
      </c>
      <c r="G30" s="9">
        <v>37718466486</v>
      </c>
      <c r="H30" s="9">
        <v>0</v>
      </c>
      <c r="I30" s="9">
        <v>0</v>
      </c>
      <c r="J30" s="9">
        <v>20000000</v>
      </c>
      <c r="K30" s="9">
        <v>1745</v>
      </c>
      <c r="L30" s="9">
        <v>37718466486</v>
      </c>
      <c r="M30" s="9">
        <v>34253160400</v>
      </c>
      <c r="N30" s="5">
        <v>1.2139335493741082E-2</v>
      </c>
    </row>
    <row r="31" spans="1:14" x14ac:dyDescent="0.25">
      <c r="A31" s="4" t="s">
        <v>70</v>
      </c>
      <c r="B31" s="9">
        <v>11500000</v>
      </c>
      <c r="C31" s="9">
        <v>49378139966</v>
      </c>
      <c r="D31" s="9">
        <v>109432496950</v>
      </c>
      <c r="E31" s="9">
        <v>0</v>
      </c>
      <c r="F31" s="9">
        <v>100000</v>
      </c>
      <c r="G31" s="9">
        <v>1234279376</v>
      </c>
      <c r="H31" s="9">
        <v>2600000</v>
      </c>
      <c r="I31" s="9">
        <v>29063330681</v>
      </c>
      <c r="J31" s="9">
        <v>9000000</v>
      </c>
      <c r="K31" s="9">
        <v>12440</v>
      </c>
      <c r="L31" s="9">
        <v>39448665958</v>
      </c>
      <c r="M31" s="9">
        <v>111094549200</v>
      </c>
      <c r="N31" s="5">
        <v>3.9371958339491642E-2</v>
      </c>
    </row>
    <row r="32" spans="1:14" x14ac:dyDescent="0.25">
      <c r="A32" s="4" t="s">
        <v>246</v>
      </c>
      <c r="B32" s="9">
        <v>0</v>
      </c>
      <c r="C32" s="9">
        <v>0</v>
      </c>
      <c r="D32" s="9">
        <v>0</v>
      </c>
      <c r="E32" s="9">
        <v>0</v>
      </c>
      <c r="F32" s="9">
        <v>937500</v>
      </c>
      <c r="G32" s="9">
        <v>19927549500</v>
      </c>
      <c r="H32" s="9">
        <v>0</v>
      </c>
      <c r="I32" s="9">
        <v>0</v>
      </c>
      <c r="J32" s="9">
        <v>937500</v>
      </c>
      <c r="K32" s="9">
        <v>26350</v>
      </c>
      <c r="L32" s="9">
        <v>19927549500</v>
      </c>
      <c r="M32" s="9">
        <v>24512169844</v>
      </c>
      <c r="N32" s="5">
        <v>8.6871240475631852E-3</v>
      </c>
    </row>
    <row r="33" spans="1:14" x14ac:dyDescent="0.25">
      <c r="A33" s="4" t="s">
        <v>245</v>
      </c>
      <c r="B33" s="9">
        <v>0</v>
      </c>
      <c r="C33" s="9">
        <v>0</v>
      </c>
      <c r="D33" s="9">
        <v>0</v>
      </c>
      <c r="E33" s="9">
        <v>0</v>
      </c>
      <c r="F33" s="9">
        <v>900000</v>
      </c>
      <c r="G33" s="9">
        <v>3392947296</v>
      </c>
      <c r="H33" s="9">
        <v>0</v>
      </c>
      <c r="I33" s="9">
        <v>0</v>
      </c>
      <c r="J33" s="9">
        <v>900000</v>
      </c>
      <c r="K33" s="9">
        <v>5530</v>
      </c>
      <c r="L33" s="9">
        <v>3392947296</v>
      </c>
      <c r="M33" s="9">
        <v>4938527790</v>
      </c>
      <c r="N33" s="5">
        <v>1.7502164760240255E-3</v>
      </c>
    </row>
    <row r="34" spans="1:14" x14ac:dyDescent="0.25">
      <c r="A34" s="4" t="s">
        <v>68</v>
      </c>
      <c r="B34" s="9">
        <v>11516638</v>
      </c>
      <c r="C34" s="9">
        <v>21241520107</v>
      </c>
      <c r="D34" s="9">
        <v>24946482210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11516638</v>
      </c>
      <c r="K34" s="9">
        <v>2067</v>
      </c>
      <c r="L34" s="9">
        <v>21241520107</v>
      </c>
      <c r="M34" s="9">
        <v>23620878941</v>
      </c>
      <c r="N34" s="5">
        <v>8.3712501495728422E-3</v>
      </c>
    </row>
    <row r="35" spans="1:14" x14ac:dyDescent="0.25">
      <c r="A35" s="4" t="s">
        <v>67</v>
      </c>
      <c r="B35" s="9">
        <v>8000000</v>
      </c>
      <c r="C35" s="9">
        <v>17974403921</v>
      </c>
      <c r="D35" s="9">
        <v>17662406000</v>
      </c>
      <c r="E35" s="9">
        <v>0</v>
      </c>
      <c r="F35" s="9">
        <v>4000000</v>
      </c>
      <c r="G35" s="9">
        <v>9204271855</v>
      </c>
      <c r="H35" s="9">
        <v>10335980</v>
      </c>
      <c r="I35" s="9">
        <v>27301692718</v>
      </c>
      <c r="J35" s="9">
        <v>1664020</v>
      </c>
      <c r="K35" s="9">
        <v>2376</v>
      </c>
      <c r="L35" s="9">
        <v>3768821672</v>
      </c>
      <c r="M35" s="9">
        <v>3923149330</v>
      </c>
      <c r="N35" s="5">
        <v>1.3903658918700986E-3</v>
      </c>
    </row>
    <row r="36" spans="1:14" x14ac:dyDescent="0.25">
      <c r="A36" s="4" t="s">
        <v>66</v>
      </c>
      <c r="B36" s="9">
        <v>125000</v>
      </c>
      <c r="C36" s="9">
        <v>4461676792</v>
      </c>
      <c r="D36" s="9">
        <v>6057808350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125000</v>
      </c>
      <c r="K36" s="9">
        <v>51660</v>
      </c>
      <c r="L36" s="9">
        <v>4461676792</v>
      </c>
      <c r="M36" s="9">
        <v>6407583525</v>
      </c>
      <c r="N36" s="5">
        <v>2.2708504910438306E-3</v>
      </c>
    </row>
    <row r="37" spans="1:14" x14ac:dyDescent="0.25">
      <c r="A37" s="4" t="s">
        <v>65</v>
      </c>
      <c r="B37" s="9">
        <v>800000</v>
      </c>
      <c r="C37" s="9">
        <v>11513575776</v>
      </c>
      <c r="D37" s="9">
        <v>10526000160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800000</v>
      </c>
      <c r="K37" s="9">
        <v>12080</v>
      </c>
      <c r="L37" s="9">
        <v>11513575776</v>
      </c>
      <c r="M37" s="9">
        <v>9636926240</v>
      </c>
      <c r="N37" s="5">
        <v>3.4153310056550808E-3</v>
      </c>
    </row>
    <row r="38" spans="1:14" x14ac:dyDescent="0.25">
      <c r="A38" s="4" t="s">
        <v>64</v>
      </c>
      <c r="B38" s="9">
        <v>5000000</v>
      </c>
      <c r="C38" s="9">
        <v>38902587200</v>
      </c>
      <c r="D38" s="9">
        <v>40435002500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5000000</v>
      </c>
      <c r="K38" s="9">
        <v>10000</v>
      </c>
      <c r="L38" s="9">
        <v>38902587200</v>
      </c>
      <c r="M38" s="9">
        <v>49613500000</v>
      </c>
      <c r="N38" s="5">
        <v>1.7583046775407129E-2</v>
      </c>
    </row>
    <row r="39" spans="1:14" x14ac:dyDescent="0.25">
      <c r="A39" s="4" t="s">
        <v>244</v>
      </c>
      <c r="B39" s="9">
        <v>0</v>
      </c>
      <c r="C39" s="9">
        <v>0</v>
      </c>
      <c r="D39" s="9">
        <v>0</v>
      </c>
      <c r="E39" s="9">
        <v>0</v>
      </c>
      <c r="F39" s="9">
        <v>150000</v>
      </c>
      <c r="G39" s="9">
        <v>6206991457</v>
      </c>
      <c r="H39" s="9">
        <v>0</v>
      </c>
      <c r="I39" s="9">
        <v>0</v>
      </c>
      <c r="J39" s="9">
        <v>150000</v>
      </c>
      <c r="K39" s="9">
        <v>41470</v>
      </c>
      <c r="L39" s="9">
        <v>6206991273</v>
      </c>
      <c r="M39" s="9">
        <v>6172415535</v>
      </c>
      <c r="N39" s="5">
        <v>2.1875068493284011E-3</v>
      </c>
    </row>
    <row r="40" spans="1:14" x14ac:dyDescent="0.25">
      <c r="A40" s="4" t="s">
        <v>63</v>
      </c>
      <c r="B40" s="9">
        <v>8200000</v>
      </c>
      <c r="C40" s="9">
        <v>78561588853</v>
      </c>
      <c r="D40" s="9">
        <v>84702151740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8200000</v>
      </c>
      <c r="K40" s="9">
        <v>11790</v>
      </c>
      <c r="L40" s="9">
        <v>78561588853</v>
      </c>
      <c r="M40" s="9">
        <v>95930679060</v>
      </c>
      <c r="N40" s="5">
        <v>3.3997875923056205E-2</v>
      </c>
    </row>
    <row r="41" spans="1:14" x14ac:dyDescent="0.25">
      <c r="A41" s="4" t="s">
        <v>62</v>
      </c>
      <c r="B41" s="9">
        <v>12528571</v>
      </c>
      <c r="C41" s="9">
        <v>49856052423</v>
      </c>
      <c r="D41" s="9">
        <v>239310709064</v>
      </c>
      <c r="E41" s="9">
        <v>0</v>
      </c>
      <c r="F41" s="9">
        <v>100000</v>
      </c>
      <c r="G41" s="9">
        <v>2395364291</v>
      </c>
      <c r="H41" s="9">
        <v>2400000</v>
      </c>
      <c r="I41" s="9">
        <v>50800511416</v>
      </c>
      <c r="J41" s="9">
        <v>10228571</v>
      </c>
      <c r="K41" s="9">
        <v>24160</v>
      </c>
      <c r="L41" s="9">
        <v>42700884110</v>
      </c>
      <c r="M41" s="9">
        <v>245415010254</v>
      </c>
      <c r="N41" s="5">
        <v>8.6975190314795406E-2</v>
      </c>
    </row>
    <row r="42" spans="1:14" x14ac:dyDescent="0.25">
      <c r="A42" s="4" t="s">
        <v>61</v>
      </c>
      <c r="B42" s="9">
        <v>14070541</v>
      </c>
      <c r="C42" s="9">
        <v>48241046737</v>
      </c>
      <c r="D42" s="9">
        <v>157768065614</v>
      </c>
      <c r="E42" s="9">
        <v>0</v>
      </c>
      <c r="F42" s="9">
        <v>2400000</v>
      </c>
      <c r="G42" s="9">
        <v>32190840166</v>
      </c>
      <c r="H42" s="9">
        <v>0</v>
      </c>
      <c r="I42" s="9">
        <v>0</v>
      </c>
      <c r="J42" s="9">
        <v>16470541</v>
      </c>
      <c r="K42" s="9">
        <v>12380</v>
      </c>
      <c r="L42" s="9">
        <v>80431886873</v>
      </c>
      <c r="M42" s="9">
        <v>202329109630</v>
      </c>
      <c r="N42" s="5">
        <v>7.170552770215298E-2</v>
      </c>
    </row>
    <row r="43" spans="1:14" x14ac:dyDescent="0.25">
      <c r="A43" s="4" t="s">
        <v>60</v>
      </c>
      <c r="B43" s="9">
        <v>1425000</v>
      </c>
      <c r="C43" s="9">
        <v>5818352042</v>
      </c>
      <c r="D43" s="9">
        <v>17038516237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1425000</v>
      </c>
      <c r="K43" s="9">
        <v>14690</v>
      </c>
      <c r="L43" s="9">
        <v>5818352042</v>
      </c>
      <c r="M43" s="9">
        <v>20771435977</v>
      </c>
      <c r="N43" s="5">
        <v>7.3614062780486249E-3</v>
      </c>
    </row>
    <row r="44" spans="1:14" x14ac:dyDescent="0.25">
      <c r="A44" s="4" t="s">
        <v>59</v>
      </c>
      <c r="B44" s="9">
        <v>394019</v>
      </c>
      <c r="C44" s="9">
        <v>14017290693</v>
      </c>
      <c r="D44" s="9">
        <v>18004317386</v>
      </c>
      <c r="E44" s="9">
        <v>0</v>
      </c>
      <c r="F44" s="9">
        <v>900000</v>
      </c>
      <c r="G44" s="9">
        <v>51249325183</v>
      </c>
      <c r="H44" s="9">
        <v>0</v>
      </c>
      <c r="I44" s="9">
        <v>0</v>
      </c>
      <c r="J44" s="9">
        <v>1294019</v>
      </c>
      <c r="K44" s="9">
        <v>56530</v>
      </c>
      <c r="L44" s="9">
        <v>65266615876</v>
      </c>
      <c r="M44" s="9">
        <v>72585437659</v>
      </c>
      <c r="N44" s="5">
        <v>2.5724311841970333E-2</v>
      </c>
    </row>
    <row r="45" spans="1:14" x14ac:dyDescent="0.25">
      <c r="A45" s="4" t="s">
        <v>58</v>
      </c>
      <c r="B45" s="9">
        <v>1184429</v>
      </c>
      <c r="C45" s="9">
        <v>1955426865</v>
      </c>
      <c r="D45" s="9">
        <v>6428745300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1184429</v>
      </c>
      <c r="K45" s="9">
        <v>6370</v>
      </c>
      <c r="L45" s="9">
        <v>1955426865</v>
      </c>
      <c r="M45" s="9">
        <v>7486491328</v>
      </c>
      <c r="N45" s="5">
        <v>2.6532159030083309E-3</v>
      </c>
    </row>
    <row r="46" spans="1:14" x14ac:dyDescent="0.25">
      <c r="A46" s="4" t="s">
        <v>57</v>
      </c>
      <c r="B46" s="9">
        <v>1723326</v>
      </c>
      <c r="C46" s="9">
        <v>39162885678</v>
      </c>
      <c r="D46" s="9">
        <v>50393838215</v>
      </c>
      <c r="E46" s="9">
        <v>0</v>
      </c>
      <c r="F46" s="9">
        <v>450000</v>
      </c>
      <c r="G46" s="9">
        <v>15710742115</v>
      </c>
      <c r="H46" s="9">
        <v>0</v>
      </c>
      <c r="I46" s="9">
        <v>0</v>
      </c>
      <c r="J46" s="9">
        <v>2173326</v>
      </c>
      <c r="K46" s="9">
        <v>34050</v>
      </c>
      <c r="L46" s="9">
        <v>54873627793</v>
      </c>
      <c r="M46" s="9">
        <v>73429716770</v>
      </c>
      <c r="N46" s="5">
        <v>2.6023524739673825E-2</v>
      </c>
    </row>
    <row r="47" spans="1:14" x14ac:dyDescent="0.25">
      <c r="A47" s="4" t="s">
        <v>56</v>
      </c>
      <c r="B47" s="9">
        <v>3000000</v>
      </c>
      <c r="C47" s="9">
        <v>28866696331</v>
      </c>
      <c r="D47" s="9">
        <v>43312585500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3000000</v>
      </c>
      <c r="K47" s="9">
        <v>18270</v>
      </c>
      <c r="L47" s="9">
        <v>28866696331</v>
      </c>
      <c r="M47" s="9">
        <v>54386318700</v>
      </c>
      <c r="N47" s="5">
        <v>1.9274535875201296E-2</v>
      </c>
    </row>
    <row r="48" spans="1:14" x14ac:dyDescent="0.25">
      <c r="A48" s="4" t="s">
        <v>54</v>
      </c>
      <c r="B48" s="9">
        <v>750000</v>
      </c>
      <c r="C48" s="9">
        <v>28756148835</v>
      </c>
      <c r="D48" s="9">
        <v>45597287175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750000</v>
      </c>
      <c r="K48" s="9">
        <v>70020</v>
      </c>
      <c r="L48" s="9">
        <v>28756148835</v>
      </c>
      <c r="M48" s="9">
        <v>52109059050</v>
      </c>
      <c r="N48" s="5">
        <v>1.8467474028210109E-2</v>
      </c>
    </row>
    <row r="49" spans="1:14" x14ac:dyDescent="0.25">
      <c r="A49" s="4" t="s">
        <v>53</v>
      </c>
      <c r="B49" s="9">
        <v>360000</v>
      </c>
      <c r="C49" s="9">
        <v>5885541254</v>
      </c>
      <c r="D49" s="9">
        <v>12284699508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360000</v>
      </c>
      <c r="K49" s="9">
        <v>51160</v>
      </c>
      <c r="L49" s="9">
        <v>5885541254</v>
      </c>
      <c r="M49" s="9">
        <v>18368108424</v>
      </c>
      <c r="N49" s="5">
        <v>6.5096659093783291E-3</v>
      </c>
    </row>
    <row r="50" spans="1:14" x14ac:dyDescent="0.25">
      <c r="A50" s="4" t="s">
        <v>52</v>
      </c>
      <c r="B50" s="9">
        <v>1795173</v>
      </c>
      <c r="C50" s="9">
        <v>4326012855</v>
      </c>
      <c r="D50" s="9">
        <v>4130826149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1795173</v>
      </c>
      <c r="K50" s="9">
        <v>2758</v>
      </c>
      <c r="L50" s="9">
        <v>4326012855</v>
      </c>
      <c r="M50" s="9">
        <v>4912815230</v>
      </c>
      <c r="N50" s="5">
        <v>1.7411039331638068E-3</v>
      </c>
    </row>
    <row r="51" spans="1:14" x14ac:dyDescent="0.25">
      <c r="A51" s="4" t="s">
        <v>51</v>
      </c>
      <c r="B51" s="9">
        <v>4671455</v>
      </c>
      <c r="C51" s="9">
        <v>18239142954</v>
      </c>
      <c r="D51" s="9">
        <v>48624765408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4671455</v>
      </c>
      <c r="K51" s="9">
        <v>13430</v>
      </c>
      <c r="L51" s="9">
        <v>18239142954</v>
      </c>
      <c r="M51" s="9">
        <v>62252678688</v>
      </c>
      <c r="N51" s="5">
        <v>2.2062377402632238E-2</v>
      </c>
    </row>
    <row r="52" spans="1:14" x14ac:dyDescent="0.25">
      <c r="A52" s="4" t="s">
        <v>49</v>
      </c>
      <c r="B52" s="9">
        <v>10000000</v>
      </c>
      <c r="C52" s="9">
        <v>64470841963</v>
      </c>
      <c r="D52" s="9">
        <v>76305563000</v>
      </c>
      <c r="E52" s="9">
        <v>0</v>
      </c>
      <c r="F52" s="9">
        <v>0</v>
      </c>
      <c r="G52" s="9">
        <v>0</v>
      </c>
      <c r="H52" s="9">
        <v>4500000</v>
      </c>
      <c r="I52" s="9">
        <v>37468180814</v>
      </c>
      <c r="J52" s="9">
        <v>5500000</v>
      </c>
      <c r="K52" s="9">
        <v>7870</v>
      </c>
      <c r="L52" s="9">
        <v>35458963080</v>
      </c>
      <c r="M52" s="9">
        <v>42950406950</v>
      </c>
      <c r="N52" s="5">
        <v>1.5221643593469952E-2</v>
      </c>
    </row>
    <row r="53" spans="1:14" x14ac:dyDescent="0.25">
      <c r="A53" s="4" t="s">
        <v>48</v>
      </c>
      <c r="B53" s="9">
        <v>500000</v>
      </c>
      <c r="C53" s="9">
        <v>44260069110</v>
      </c>
      <c r="D53" s="9">
        <v>98830092000</v>
      </c>
      <c r="E53" s="9">
        <v>0</v>
      </c>
      <c r="F53" s="9">
        <v>0</v>
      </c>
      <c r="G53" s="9">
        <v>0</v>
      </c>
      <c r="H53" s="9">
        <v>207000</v>
      </c>
      <c r="I53" s="9">
        <v>48079312000</v>
      </c>
      <c r="J53" s="9">
        <v>293000</v>
      </c>
      <c r="K53" s="9">
        <v>302900</v>
      </c>
      <c r="L53" s="9">
        <v>25936400498</v>
      </c>
      <c r="M53" s="9">
        <v>88063664819</v>
      </c>
      <c r="N53" s="5">
        <v>3.1209802528067002E-2</v>
      </c>
    </row>
    <row r="54" spans="1:14" x14ac:dyDescent="0.25">
      <c r="A54" s="4" t="s">
        <v>47</v>
      </c>
      <c r="B54" s="9">
        <v>695370</v>
      </c>
      <c r="C54" s="9">
        <v>1769138188</v>
      </c>
      <c r="D54" s="9">
        <v>1716017042</v>
      </c>
      <c r="E54" s="9">
        <v>0</v>
      </c>
      <c r="F54" s="9">
        <v>20000000</v>
      </c>
      <c r="G54" s="9">
        <v>59314907683</v>
      </c>
      <c r="H54" s="9">
        <v>0</v>
      </c>
      <c r="I54" s="9">
        <v>0</v>
      </c>
      <c r="J54" s="9">
        <v>20695370</v>
      </c>
      <c r="K54" s="9">
        <v>2790</v>
      </c>
      <c r="L54" s="9">
        <v>61084046871</v>
      </c>
      <c r="M54" s="9">
        <v>57293751464</v>
      </c>
      <c r="N54" s="5">
        <v>2.0304931357998584E-2</v>
      </c>
    </row>
    <row r="55" spans="1:14" x14ac:dyDescent="0.25">
      <c r="A55" s="4" t="s">
        <v>243</v>
      </c>
      <c r="B55" s="9">
        <v>0</v>
      </c>
      <c r="C55" s="9">
        <v>0</v>
      </c>
      <c r="D55" s="9">
        <v>0</v>
      </c>
      <c r="E55" s="9">
        <v>0</v>
      </c>
      <c r="F55" s="9">
        <v>3000000</v>
      </c>
      <c r="G55" s="9">
        <v>16092755943</v>
      </c>
      <c r="H55" s="9">
        <v>0</v>
      </c>
      <c r="I55" s="9">
        <v>0</v>
      </c>
      <c r="J55" s="9">
        <v>3000000</v>
      </c>
      <c r="K55" s="9">
        <v>5070</v>
      </c>
      <c r="L55" s="9">
        <v>16092755943</v>
      </c>
      <c r="M55" s="9">
        <v>15122194800</v>
      </c>
      <c r="N55" s="5">
        <v>5.3593126571440932E-3</v>
      </c>
    </row>
    <row r="56" spans="1:14" x14ac:dyDescent="0.25">
      <c r="A56" s="4" t="s">
        <v>242</v>
      </c>
      <c r="B56" s="9">
        <v>0</v>
      </c>
      <c r="C56" s="9">
        <v>0</v>
      </c>
      <c r="D56" s="9">
        <v>0</v>
      </c>
      <c r="E56" s="9">
        <v>0</v>
      </c>
      <c r="F56" s="9">
        <v>3696</v>
      </c>
      <c r="G56" s="9">
        <v>47434829</v>
      </c>
      <c r="H56" s="9">
        <v>0</v>
      </c>
      <c r="I56" s="9">
        <v>0</v>
      </c>
      <c r="J56" s="9">
        <v>3696</v>
      </c>
      <c r="K56" s="9">
        <v>19270</v>
      </c>
      <c r="L56" s="9">
        <v>47434765</v>
      </c>
      <c r="M56" s="9">
        <v>70671375</v>
      </c>
      <c r="N56" s="5">
        <v>2.5045967172389328E-5</v>
      </c>
    </row>
    <row r="57" spans="1:14" ht="18" thickBot="1" x14ac:dyDescent="0.3">
      <c r="A57" s="4" t="s">
        <v>2</v>
      </c>
      <c r="B57" s="9"/>
      <c r="C57" s="6">
        <f>SUM(C11:C56)</f>
        <v>1142608565223</v>
      </c>
      <c r="D57" s="6">
        <f>SUM(D11:D56)</f>
        <v>1951421348462</v>
      </c>
      <c r="E57" s="9"/>
      <c r="F57" s="9"/>
      <c r="G57" s="6">
        <f>SUM(G11:G56)</f>
        <v>599309971821</v>
      </c>
      <c r="H57" s="9"/>
      <c r="I57" s="6">
        <f>SUM(I11:I56)</f>
        <v>240723276998</v>
      </c>
      <c r="J57" s="9"/>
      <c r="K57" s="31"/>
      <c r="L57" s="6">
        <f>SUM(L11:L56)</f>
        <v>1616069957466</v>
      </c>
      <c r="M57" s="6">
        <f>SUM(M11:M56)</f>
        <v>2596854940006</v>
      </c>
      <c r="N57" s="7">
        <f>SUM(N11:N56)</f>
        <v>0.92032656190497719</v>
      </c>
    </row>
    <row r="58" spans="1:14" ht="18" thickTop="1" x14ac:dyDescent="0.25"/>
    <row r="60" spans="1:14" x14ac:dyDescent="0.15">
      <c r="D60" s="36"/>
    </row>
    <row r="61" spans="1:14" x14ac:dyDescent="0.15">
      <c r="D61" s="36"/>
    </row>
    <row r="62" spans="1:14" x14ac:dyDescent="0.25">
      <c r="D62" s="37"/>
    </row>
    <row r="63" spans="1:14" x14ac:dyDescent="0.15">
      <c r="D63" s="36"/>
    </row>
    <row r="64" spans="1:14" x14ac:dyDescent="0.25">
      <c r="D64" s="37"/>
    </row>
  </sheetData>
  <mergeCells count="19">
    <mergeCell ref="K9:K10"/>
    <mergeCell ref="L9:L10"/>
    <mergeCell ref="E9:G9"/>
    <mergeCell ref="D9:D10"/>
    <mergeCell ref="A1:N1"/>
    <mergeCell ref="A2:N2"/>
    <mergeCell ref="A3:N3"/>
    <mergeCell ref="A5:N5"/>
    <mergeCell ref="A6:N6"/>
    <mergeCell ref="B8:D8"/>
    <mergeCell ref="J8:N8"/>
    <mergeCell ref="A9:A10"/>
    <mergeCell ref="B9:B10"/>
    <mergeCell ref="C9:C10"/>
    <mergeCell ref="M9:M10"/>
    <mergeCell ref="N9:N10"/>
    <mergeCell ref="H9:I9"/>
    <mergeCell ref="J9:J10"/>
    <mergeCell ref="E8:I8"/>
  </mergeCells>
  <pageMargins left="0.7" right="0.7" top="0.75" bottom="0.75" header="0.3" footer="0.3"/>
  <pageSetup scale="4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9698-883B-4B0E-84C1-5B4CF0DCD2EE}">
  <dimension ref="A1:K27"/>
  <sheetViews>
    <sheetView rightToLeft="1" tabSelected="1" view="pageBreakPreview" zoomScale="85" zoomScaleNormal="100" zoomScaleSheetLayoutView="85" workbookViewId="0">
      <selection activeCell="M27" sqref="M27"/>
    </sheetView>
  </sheetViews>
  <sheetFormatPr defaultColWidth="9.140625" defaultRowHeight="17.25" x14ac:dyDescent="0.25"/>
  <cols>
    <col min="1" max="1" width="37.42578125" style="8" customWidth="1"/>
    <col min="2" max="2" width="16.140625" style="8" customWidth="1"/>
    <col min="3" max="6" width="12.85546875" style="8" customWidth="1"/>
    <col min="7" max="7" width="16.140625" style="8" customWidth="1"/>
    <col min="8" max="11" width="12.85546875" style="8" customWidth="1"/>
    <col min="12" max="16384" width="9.140625" style="8"/>
  </cols>
  <sheetData>
    <row r="1" spans="1:11" ht="21" x14ac:dyDescent="0.25">
      <c r="A1" s="51" t="s">
        <v>94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21" x14ac:dyDescent="0.25">
      <c r="A2" s="51" t="s">
        <v>25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ht="21" x14ac:dyDescent="0.25">
      <c r="A3" s="51" t="s">
        <v>253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 ht="21" x14ac:dyDescent="0.25">
      <c r="A4" s="28"/>
      <c r="B4" s="28"/>
      <c r="C4" s="28"/>
      <c r="D4" s="28"/>
      <c r="E4" s="28"/>
      <c r="F4" s="28"/>
      <c r="G4" s="28"/>
      <c r="H4" s="28"/>
    </row>
    <row r="5" spans="1:11" ht="21" x14ac:dyDescent="0.25">
      <c r="A5" s="18" t="s">
        <v>109</v>
      </c>
      <c r="B5" s="18"/>
      <c r="C5" s="18"/>
      <c r="D5" s="18"/>
      <c r="E5" s="18"/>
      <c r="F5" s="18"/>
      <c r="G5" s="18"/>
      <c r="H5" s="18"/>
    </row>
    <row r="6" spans="1:11" x14ac:dyDescent="0.25">
      <c r="A6" s="38"/>
      <c r="B6" s="39"/>
      <c r="C6" s="39"/>
      <c r="D6" s="39"/>
      <c r="E6" s="39"/>
      <c r="F6" s="39"/>
      <c r="G6" s="39"/>
      <c r="H6" s="11"/>
      <c r="I6" s="11"/>
      <c r="J6" s="11"/>
      <c r="K6" s="11"/>
    </row>
    <row r="7" spans="1:11" ht="18.600000000000001" customHeight="1" thickBot="1" x14ac:dyDescent="0.3">
      <c r="A7" s="38"/>
      <c r="B7" s="60" t="s">
        <v>91</v>
      </c>
      <c r="C7" s="60"/>
      <c r="D7" s="60"/>
      <c r="E7" s="60"/>
      <c r="F7" s="60"/>
      <c r="G7" s="60" t="s">
        <v>252</v>
      </c>
      <c r="H7" s="60"/>
      <c r="I7" s="60"/>
      <c r="J7" s="60"/>
      <c r="K7" s="60"/>
    </row>
    <row r="8" spans="1:11" ht="18" thickBot="1" x14ac:dyDescent="0.3">
      <c r="A8" s="40" t="s">
        <v>266</v>
      </c>
      <c r="B8" s="40" t="s">
        <v>108</v>
      </c>
      <c r="C8" s="40" t="s">
        <v>98</v>
      </c>
      <c r="D8" s="40" t="s">
        <v>97</v>
      </c>
      <c r="E8" s="40" t="s">
        <v>96</v>
      </c>
      <c r="F8" s="40" t="s">
        <v>95</v>
      </c>
      <c r="G8" s="40" t="s">
        <v>108</v>
      </c>
      <c r="H8" s="40" t="s">
        <v>98</v>
      </c>
      <c r="I8" s="40" t="s">
        <v>97</v>
      </c>
      <c r="J8" s="40" t="s">
        <v>96</v>
      </c>
      <c r="K8" s="40" t="s">
        <v>95</v>
      </c>
    </row>
    <row r="9" spans="1:11" x14ac:dyDescent="0.25">
      <c r="A9" s="9" t="s">
        <v>107</v>
      </c>
      <c r="B9" s="9" t="s">
        <v>101</v>
      </c>
      <c r="C9" s="9" t="s">
        <v>106</v>
      </c>
      <c r="D9" s="9">
        <v>15000000</v>
      </c>
      <c r="E9" s="9">
        <v>500</v>
      </c>
      <c r="F9" s="9" t="s">
        <v>103</v>
      </c>
      <c r="G9" s="9" t="s">
        <v>238</v>
      </c>
      <c r="H9" s="9" t="s">
        <v>238</v>
      </c>
      <c r="I9" s="9">
        <v>0</v>
      </c>
      <c r="J9" s="9">
        <v>0</v>
      </c>
      <c r="K9" s="9" t="s">
        <v>238</v>
      </c>
    </row>
    <row r="10" spans="1:11" x14ac:dyDescent="0.25">
      <c r="A10" s="9" t="s">
        <v>104</v>
      </c>
      <c r="B10" s="9" t="s">
        <v>101</v>
      </c>
      <c r="C10" s="9" t="s">
        <v>100</v>
      </c>
      <c r="D10" s="9">
        <v>15000000</v>
      </c>
      <c r="E10" s="9">
        <v>600</v>
      </c>
      <c r="F10" s="9" t="s">
        <v>103</v>
      </c>
      <c r="G10" s="9" t="s">
        <v>238</v>
      </c>
      <c r="H10" s="9" t="s">
        <v>238</v>
      </c>
      <c r="I10" s="9">
        <v>0</v>
      </c>
      <c r="J10" s="9">
        <v>0</v>
      </c>
      <c r="K10" s="9" t="s">
        <v>238</v>
      </c>
    </row>
    <row r="12" spans="1:11" x14ac:dyDescent="0.25">
      <c r="A12" s="41"/>
      <c r="B12" s="41"/>
      <c r="C12" s="41"/>
      <c r="D12" s="41"/>
      <c r="E12" s="41"/>
      <c r="F12" s="41"/>
      <c r="G12" s="41"/>
      <c r="H12" s="41"/>
    </row>
    <row r="13" spans="1:11" x14ac:dyDescent="0.25">
      <c r="A13" s="41"/>
      <c r="B13" s="41"/>
      <c r="C13" s="41"/>
      <c r="D13" s="41"/>
      <c r="E13" s="41"/>
      <c r="F13" s="41"/>
      <c r="G13" s="41"/>
      <c r="H13" s="41"/>
    </row>
    <row r="14" spans="1:11" x14ac:dyDescent="0.25">
      <c r="A14" s="41"/>
      <c r="B14" s="41"/>
      <c r="C14" s="41"/>
      <c r="D14" s="41"/>
      <c r="E14" s="41"/>
      <c r="F14" s="41"/>
      <c r="G14" s="41"/>
      <c r="H14" s="41"/>
    </row>
    <row r="15" spans="1:11" x14ac:dyDescent="0.25">
      <c r="A15" s="41"/>
      <c r="B15" s="41"/>
      <c r="C15" s="41"/>
      <c r="D15" s="41"/>
      <c r="E15" s="41"/>
      <c r="F15" s="41"/>
      <c r="G15" s="41"/>
      <c r="H15" s="41"/>
    </row>
    <row r="16" spans="1:11" x14ac:dyDescent="0.25">
      <c r="A16" s="41"/>
      <c r="B16" s="41"/>
      <c r="C16" s="41"/>
      <c r="D16" s="41"/>
      <c r="E16" s="41"/>
      <c r="F16" s="41"/>
      <c r="G16" s="41"/>
      <c r="H16" s="41"/>
    </row>
    <row r="17" spans="1:8" x14ac:dyDescent="0.25">
      <c r="A17" s="41"/>
      <c r="B17" s="41"/>
      <c r="C17" s="41"/>
      <c r="D17" s="41"/>
      <c r="E17" s="41"/>
      <c r="F17" s="41"/>
      <c r="G17" s="41"/>
      <c r="H17" s="41"/>
    </row>
    <row r="18" spans="1:8" x14ac:dyDescent="0.25">
      <c r="A18" s="41"/>
      <c r="B18" s="41"/>
      <c r="C18" s="41"/>
      <c r="D18" s="41"/>
      <c r="E18" s="41"/>
      <c r="F18" s="41"/>
      <c r="G18" s="41"/>
      <c r="H18" s="41"/>
    </row>
    <row r="19" spans="1:8" x14ac:dyDescent="0.25">
      <c r="A19" s="41"/>
      <c r="B19" s="41"/>
      <c r="C19" s="41"/>
      <c r="D19" s="41"/>
      <c r="E19" s="41"/>
      <c r="F19" s="41"/>
      <c r="G19" s="41"/>
      <c r="H19" s="41"/>
    </row>
    <row r="20" spans="1:8" x14ac:dyDescent="0.25">
      <c r="A20" s="41"/>
      <c r="B20" s="41"/>
      <c r="C20" s="41"/>
      <c r="D20" s="41"/>
      <c r="E20" s="41"/>
      <c r="F20" s="41"/>
      <c r="G20" s="41"/>
      <c r="H20" s="41"/>
    </row>
    <row r="21" spans="1:8" x14ac:dyDescent="0.25">
      <c r="A21" s="41"/>
      <c r="B21" s="41"/>
      <c r="C21" s="41"/>
      <c r="D21" s="41"/>
      <c r="E21" s="41"/>
      <c r="F21" s="41"/>
      <c r="G21" s="41"/>
      <c r="H21" s="41"/>
    </row>
    <row r="22" spans="1:8" x14ac:dyDescent="0.25">
      <c r="A22" s="41"/>
      <c r="B22" s="41"/>
      <c r="C22" s="41"/>
      <c r="D22" s="41"/>
      <c r="E22" s="41"/>
      <c r="F22" s="41"/>
      <c r="G22" s="41"/>
      <c r="H22" s="41"/>
    </row>
    <row r="23" spans="1:8" x14ac:dyDescent="0.25">
      <c r="A23" s="41"/>
      <c r="B23" s="41"/>
      <c r="C23" s="41"/>
      <c r="D23" s="41"/>
      <c r="E23" s="41"/>
      <c r="F23" s="41"/>
      <c r="G23" s="41"/>
      <c r="H23" s="41"/>
    </row>
    <row r="24" spans="1:8" x14ac:dyDescent="0.25">
      <c r="A24" s="41"/>
      <c r="B24" s="41"/>
      <c r="C24" s="41"/>
      <c r="D24" s="41"/>
      <c r="E24" s="41"/>
      <c r="F24" s="41"/>
      <c r="G24" s="41"/>
      <c r="H24" s="41"/>
    </row>
    <row r="25" spans="1:8" x14ac:dyDescent="0.25">
      <c r="A25" s="41"/>
      <c r="B25" s="41"/>
      <c r="C25" s="41"/>
      <c r="D25" s="41"/>
      <c r="E25" s="41"/>
      <c r="F25" s="41"/>
      <c r="G25" s="41"/>
      <c r="H25" s="41"/>
    </row>
    <row r="26" spans="1:8" x14ac:dyDescent="0.25">
      <c r="A26" s="41"/>
      <c r="B26" s="41"/>
      <c r="C26" s="41"/>
      <c r="D26" s="41"/>
      <c r="E26" s="41"/>
      <c r="F26" s="41"/>
      <c r="G26" s="41"/>
      <c r="H26" s="41"/>
    </row>
    <row r="27" spans="1:8" x14ac:dyDescent="0.25">
      <c r="A27" s="41"/>
      <c r="B27" s="41"/>
      <c r="C27" s="41"/>
      <c r="D27" s="41"/>
      <c r="E27" s="41"/>
      <c r="F27" s="41"/>
      <c r="G27" s="41"/>
      <c r="H27" s="41"/>
    </row>
  </sheetData>
  <mergeCells count="5">
    <mergeCell ref="B7:F7"/>
    <mergeCell ref="G7:K7"/>
    <mergeCell ref="A1:K1"/>
    <mergeCell ref="A2:K2"/>
    <mergeCell ref="A3:K3"/>
  </mergeCells>
  <pageMargins left="0.7" right="0.7" top="0.75" bottom="0.75" header="0.3" footer="0.3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C252-6B70-422B-AEF1-60BF730FAFCE}">
  <dimension ref="A1:G13"/>
  <sheetViews>
    <sheetView rightToLeft="1" tabSelected="1" view="pageBreakPreview" zoomScale="90" zoomScaleNormal="100" zoomScaleSheetLayoutView="90" workbookViewId="0">
      <selection activeCell="M27" sqref="M27"/>
    </sheetView>
  </sheetViews>
  <sheetFormatPr defaultColWidth="9.140625" defaultRowHeight="17.25" x14ac:dyDescent="0.25"/>
  <cols>
    <col min="1" max="1" width="26.5703125" style="8" customWidth="1"/>
    <col min="2" max="5" width="18.85546875" style="8" customWidth="1"/>
    <col min="6" max="6" width="9.42578125" style="8" customWidth="1"/>
    <col min="7" max="16384" width="9.140625" style="8"/>
  </cols>
  <sheetData>
    <row r="1" spans="1:7" ht="21" x14ac:dyDescent="0.25">
      <c r="A1" s="51" t="s">
        <v>94</v>
      </c>
      <c r="B1" s="51"/>
      <c r="C1" s="51"/>
      <c r="D1" s="51"/>
      <c r="E1" s="51"/>
      <c r="F1" s="51"/>
    </row>
    <row r="2" spans="1:7" ht="21" x14ac:dyDescent="0.25">
      <c r="A2" s="51" t="s">
        <v>25</v>
      </c>
      <c r="B2" s="51"/>
      <c r="C2" s="51"/>
      <c r="D2" s="51"/>
      <c r="E2" s="51"/>
      <c r="F2" s="51"/>
    </row>
    <row r="3" spans="1:7" ht="21" x14ac:dyDescent="0.25">
      <c r="A3" s="51" t="s">
        <v>253</v>
      </c>
      <c r="B3" s="51"/>
      <c r="C3" s="51"/>
      <c r="D3" s="51"/>
      <c r="E3" s="51"/>
      <c r="F3" s="51"/>
    </row>
    <row r="4" spans="1:7" ht="21" x14ac:dyDescent="0.25">
      <c r="A4" s="28"/>
      <c r="B4" s="28"/>
      <c r="C4" s="28"/>
      <c r="D4" s="28"/>
      <c r="E4" s="28"/>
      <c r="F4" s="28"/>
    </row>
    <row r="5" spans="1:7" ht="21" x14ac:dyDescent="0.25">
      <c r="A5" s="52" t="s">
        <v>267</v>
      </c>
      <c r="B5" s="52"/>
      <c r="C5" s="52"/>
      <c r="D5" s="52"/>
      <c r="E5" s="52"/>
      <c r="F5" s="52"/>
    </row>
    <row r="6" spans="1:7" x14ac:dyDescent="0.25">
      <c r="B6" s="11"/>
      <c r="C6" s="11"/>
      <c r="D6" s="11"/>
      <c r="E6" s="11"/>
      <c r="F6" s="11"/>
    </row>
    <row r="7" spans="1:7" ht="18.75" customHeight="1" thickBot="1" x14ac:dyDescent="0.3">
      <c r="A7" s="10"/>
      <c r="B7" s="27" t="s">
        <v>91</v>
      </c>
      <c r="C7" s="59" t="s">
        <v>263</v>
      </c>
      <c r="D7" s="59"/>
      <c r="E7" s="53" t="s">
        <v>252</v>
      </c>
      <c r="F7" s="53"/>
    </row>
    <row r="8" spans="1:7" ht="24" customHeight="1" x14ac:dyDescent="0.25">
      <c r="A8" s="54" t="s">
        <v>41</v>
      </c>
      <c r="B8" s="55" t="s">
        <v>4</v>
      </c>
      <c r="C8" s="61" t="s">
        <v>13</v>
      </c>
      <c r="D8" s="61" t="s">
        <v>33</v>
      </c>
      <c r="E8" s="58" t="s">
        <v>4</v>
      </c>
      <c r="F8" s="49" t="s">
        <v>10</v>
      </c>
    </row>
    <row r="9" spans="1:7" ht="18" thickBot="1" x14ac:dyDescent="0.3">
      <c r="A9" s="50"/>
      <c r="B9" s="56"/>
      <c r="C9" s="62"/>
      <c r="D9" s="62"/>
      <c r="E9" s="56"/>
      <c r="F9" s="50"/>
    </row>
    <row r="10" spans="1:7" x14ac:dyDescent="0.25">
      <c r="A10" s="4" t="s">
        <v>36</v>
      </c>
      <c r="B10" s="9">
        <v>996102676</v>
      </c>
      <c r="C10" s="9">
        <v>23138006786</v>
      </c>
      <c r="D10" s="9">
        <v>23201877012</v>
      </c>
      <c r="E10" s="9">
        <v>932232450</v>
      </c>
      <c r="F10" s="5">
        <v>3.3038360071154801E-4</v>
      </c>
      <c r="G10" s="31"/>
    </row>
    <row r="11" spans="1:7" x14ac:dyDescent="0.25">
      <c r="A11" s="4" t="s">
        <v>35</v>
      </c>
      <c r="B11" s="9">
        <v>116387517912</v>
      </c>
      <c r="C11" s="9">
        <v>555202213120</v>
      </c>
      <c r="D11" s="9">
        <v>486136865734</v>
      </c>
      <c r="E11" s="9">
        <v>185452865298</v>
      </c>
      <c r="F11" s="5">
        <v>6.57245790998017E-2</v>
      </c>
      <c r="G11" s="31"/>
    </row>
    <row r="12" spans="1:7" ht="18" thickBot="1" x14ac:dyDescent="0.3">
      <c r="A12" s="4" t="s">
        <v>2</v>
      </c>
      <c r="B12" s="6">
        <f>SUM(B10:B11)</f>
        <v>117383620588</v>
      </c>
      <c r="C12" s="6">
        <f>SUM(C10:C11)</f>
        <v>578340219906</v>
      </c>
      <c r="D12" s="6">
        <f>SUM(D10:D11)</f>
        <v>509338742746</v>
      </c>
      <c r="E12" s="6">
        <f>SUM(E10:E11)</f>
        <v>186385097748</v>
      </c>
      <c r="F12" s="7">
        <f>SUM(F10:F11)</f>
        <v>6.6054962700513253E-2</v>
      </c>
      <c r="G12" s="31"/>
    </row>
    <row r="13" spans="1:7" ht="18" thickTop="1" x14ac:dyDescent="0.25">
      <c r="C13" s="8" t="s">
        <v>110</v>
      </c>
    </row>
  </sheetData>
  <mergeCells count="12">
    <mergeCell ref="C8:C9"/>
    <mergeCell ref="D8:D9"/>
    <mergeCell ref="A1:F1"/>
    <mergeCell ref="A2:F2"/>
    <mergeCell ref="A3:F3"/>
    <mergeCell ref="F8:F9"/>
    <mergeCell ref="A5:F5"/>
    <mergeCell ref="E7:F7"/>
    <mergeCell ref="E8:E9"/>
    <mergeCell ref="A8:A9"/>
    <mergeCell ref="B8:B9"/>
    <mergeCell ref="C7:D7"/>
  </mergeCells>
  <pageMargins left="0.7" right="0.7" top="0.75" bottom="0.75" header="0.3" footer="0.3"/>
  <pageSetup scale="8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553DD-F467-42B1-ADBD-20A3C10DA6C2}">
  <dimension ref="A1:S14"/>
  <sheetViews>
    <sheetView rightToLeft="1" tabSelected="1" view="pageBreakPreview" zoomScaleNormal="100" zoomScaleSheetLayoutView="100" workbookViewId="0">
      <selection activeCell="M27" sqref="M27"/>
    </sheetView>
  </sheetViews>
  <sheetFormatPr defaultColWidth="8.85546875" defaultRowHeight="19.5" x14ac:dyDescent="0.25"/>
  <cols>
    <col min="1" max="1" width="50.5703125" style="21" customWidth="1"/>
    <col min="2" max="2" width="8.85546875" style="14"/>
    <col min="3" max="3" width="24.5703125" style="14" customWidth="1"/>
    <col min="4" max="4" width="13.140625" style="14" customWidth="1"/>
    <col min="5" max="5" width="13.28515625" style="14" customWidth="1"/>
    <col min="6" max="16384" width="8.85546875" style="14"/>
  </cols>
  <sheetData>
    <row r="1" spans="1:19" ht="21" x14ac:dyDescent="0.25">
      <c r="A1" s="51" t="s">
        <v>94</v>
      </c>
      <c r="B1" s="51"/>
      <c r="C1" s="51"/>
      <c r="D1" s="51"/>
      <c r="E1" s="51"/>
    </row>
    <row r="2" spans="1:19" ht="21" x14ac:dyDescent="0.25">
      <c r="A2" s="51" t="s">
        <v>27</v>
      </c>
      <c r="B2" s="51"/>
      <c r="C2" s="51"/>
      <c r="D2" s="51"/>
      <c r="E2" s="51"/>
    </row>
    <row r="3" spans="1:19" ht="21" x14ac:dyDescent="0.25">
      <c r="A3" s="51" t="s">
        <v>253</v>
      </c>
      <c r="B3" s="51"/>
      <c r="C3" s="51"/>
      <c r="D3" s="51"/>
      <c r="E3" s="51"/>
    </row>
    <row r="4" spans="1:19" ht="21" x14ac:dyDescent="0.25">
      <c r="A4" s="28"/>
      <c r="B4" s="28"/>
      <c r="C4" s="28"/>
      <c r="D4" s="28"/>
      <c r="E4" s="28"/>
    </row>
    <row r="5" spans="1:19" ht="21" x14ac:dyDescent="0.25">
      <c r="A5" s="52" t="s">
        <v>11</v>
      </c>
      <c r="B5" s="52"/>
      <c r="C5" s="52"/>
      <c r="D5" s="52"/>
      <c r="E5" s="52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</row>
    <row r="6" spans="1:19" ht="21" x14ac:dyDescent="0.25">
      <c r="A6" s="29"/>
      <c r="B6" s="29"/>
      <c r="C6" s="29"/>
      <c r="D6" s="29"/>
      <c r="E6" s="29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9" ht="21.75" thickBot="1" x14ac:dyDescent="0.3">
      <c r="A7" s="29"/>
      <c r="B7" s="29"/>
      <c r="C7" s="63" t="s">
        <v>269</v>
      </c>
      <c r="D7" s="63"/>
      <c r="E7" s="63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</row>
    <row r="8" spans="1:19" ht="41.45" customHeight="1" thickBot="1" x14ac:dyDescent="0.3">
      <c r="A8" s="22" t="s">
        <v>14</v>
      </c>
      <c r="B8" s="22" t="s">
        <v>15</v>
      </c>
      <c r="C8" s="22" t="s">
        <v>4</v>
      </c>
      <c r="D8" s="23" t="s">
        <v>8</v>
      </c>
      <c r="E8" s="23" t="s">
        <v>29</v>
      </c>
    </row>
    <row r="9" spans="1:19" ht="21" x14ac:dyDescent="0.25">
      <c r="A9" s="19" t="s">
        <v>112</v>
      </c>
      <c r="B9" s="20" t="s">
        <v>44</v>
      </c>
      <c r="C9" s="9">
        <f>'درآمد سرمایه گذاری در سهام '!$J$76</f>
        <v>1011651364456</v>
      </c>
      <c r="D9" s="5">
        <f>C9/1048726151911</f>
        <v>0.96464778971379528</v>
      </c>
      <c r="E9" s="5">
        <f>C9/2821666838161</f>
        <v>0.35852969981223443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</row>
    <row r="10" spans="1:19" ht="21" x14ac:dyDescent="0.25">
      <c r="A10" s="19" t="s">
        <v>22</v>
      </c>
      <c r="B10" s="20" t="s">
        <v>26</v>
      </c>
      <c r="C10" s="9">
        <f>'درآمد سپرده بانکی'!$D$11</f>
        <v>17844174535</v>
      </c>
      <c r="D10" s="5">
        <f>C10/1048726151911</f>
        <v>1.7015094457675298E-2</v>
      </c>
      <c r="E10" s="5">
        <f>C10/2821666838161</f>
        <v>6.3239835028255165E-3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spans="1:19" ht="21" x14ac:dyDescent="0.25">
      <c r="A11" s="19" t="s">
        <v>111</v>
      </c>
      <c r="B11" s="20" t="s">
        <v>45</v>
      </c>
      <c r="C11" s="9">
        <f>'درآمد سرمایه گذاری مشتقه '!$H$70</f>
        <v>16930562261</v>
      </c>
      <c r="D11" s="5">
        <f>C11/1048726151911</f>
        <v>1.6143930643999816E-2</v>
      </c>
      <c r="E11" s="5">
        <f>C11/2821666838161</f>
        <v>6.0001989008859622E-3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 spans="1:19" ht="21" x14ac:dyDescent="0.25">
      <c r="A12" s="19" t="s">
        <v>12</v>
      </c>
      <c r="B12" s="20" t="s">
        <v>240</v>
      </c>
      <c r="C12" s="9">
        <f>'سایر درآمدها'!C12</f>
        <v>2300050659</v>
      </c>
      <c r="D12" s="5">
        <f>C12/1048726151911</f>
        <v>2.1931851845296535E-3</v>
      </c>
      <c r="E12" s="5">
        <f>C12/2821666838161</f>
        <v>8.1513899085940307E-4</v>
      </c>
      <c r="F12" s="18"/>
      <c r="G12" s="18"/>
    </row>
    <row r="13" spans="1:19" ht="20.25" thickBot="1" x14ac:dyDescent="0.3">
      <c r="A13" s="19" t="s">
        <v>2</v>
      </c>
      <c r="C13" s="6">
        <f>SUM(C9:C12)</f>
        <v>1048726151911</v>
      </c>
      <c r="D13" s="7">
        <f>SUM(D9:D12)</f>
        <v>1</v>
      </c>
      <c r="E13" s="7">
        <f>SUM(E9:E12)</f>
        <v>0.37166902120680534</v>
      </c>
    </row>
    <row r="14" spans="1:19" ht="20.25" thickTop="1" x14ac:dyDescent="0.25"/>
  </sheetData>
  <mergeCells count="5">
    <mergeCell ref="A5:E5"/>
    <mergeCell ref="A3:E3"/>
    <mergeCell ref="A2:E2"/>
    <mergeCell ref="A1:E1"/>
    <mergeCell ref="C7:E7"/>
  </mergeCells>
  <pageMargins left="0.7" right="0.7" top="0.75" bottom="0.75" header="0.3" footer="0.3"/>
  <pageSetup orientation="landscape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B8C7-4F37-4BE2-B4BD-7416AD4FD320}">
  <dimension ref="A1:K77"/>
  <sheetViews>
    <sheetView rightToLeft="1" tabSelected="1" view="pageBreakPreview" zoomScale="85" zoomScaleNormal="100" zoomScaleSheetLayoutView="85" workbookViewId="0">
      <selection activeCell="M27" sqref="M27"/>
    </sheetView>
  </sheetViews>
  <sheetFormatPr defaultColWidth="9.140625" defaultRowHeight="17.25" x14ac:dyDescent="0.25"/>
  <cols>
    <col min="1" max="1" width="39.28515625" style="8" customWidth="1"/>
    <col min="2" max="4" width="17.140625" style="8" customWidth="1"/>
    <col min="5" max="5" width="19.28515625" style="8" customWidth="1"/>
    <col min="6" max="6" width="11.140625" style="8" customWidth="1"/>
    <col min="7" max="9" width="17.140625" style="8" customWidth="1"/>
    <col min="10" max="10" width="19.28515625" style="8" customWidth="1"/>
    <col min="11" max="11" width="11.140625" style="8" customWidth="1"/>
    <col min="12" max="16384" width="9.140625" style="8"/>
  </cols>
  <sheetData>
    <row r="1" spans="1:11" ht="21" x14ac:dyDescent="0.25">
      <c r="A1" s="51" t="s">
        <v>94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21" x14ac:dyDescent="0.25">
      <c r="A2" s="51" t="s">
        <v>27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ht="21" x14ac:dyDescent="0.25">
      <c r="A3" s="51" t="s">
        <v>253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5" spans="1:11" ht="21" x14ac:dyDescent="0.25">
      <c r="A5" s="52" t="s">
        <v>270</v>
      </c>
      <c r="B5" s="52"/>
      <c r="C5" s="52"/>
      <c r="D5" s="52"/>
      <c r="E5" s="52"/>
      <c r="F5" s="52"/>
      <c r="G5" s="52"/>
      <c r="H5" s="52"/>
      <c r="I5" s="52"/>
      <c r="J5" s="52"/>
      <c r="K5" s="52"/>
    </row>
    <row r="7" spans="1:11" ht="19.5" customHeight="1" thickBot="1" x14ac:dyDescent="0.3">
      <c r="A7" s="35"/>
      <c r="B7" s="65" t="s">
        <v>268</v>
      </c>
      <c r="C7" s="65"/>
      <c r="D7" s="65"/>
      <c r="E7" s="65"/>
      <c r="F7" s="65"/>
      <c r="G7" s="65" t="s">
        <v>269</v>
      </c>
      <c r="H7" s="65"/>
      <c r="I7" s="65"/>
      <c r="J7" s="65"/>
      <c r="K7" s="65"/>
    </row>
    <row r="8" spans="1:11" ht="19.5" customHeight="1" thickBot="1" x14ac:dyDescent="0.3">
      <c r="A8" s="66" t="s">
        <v>148</v>
      </c>
      <c r="B8" s="64" t="s">
        <v>147</v>
      </c>
      <c r="C8" s="64" t="s">
        <v>5</v>
      </c>
      <c r="D8" s="64" t="s">
        <v>6</v>
      </c>
      <c r="E8" s="64" t="s">
        <v>2</v>
      </c>
      <c r="F8" s="64"/>
      <c r="G8" s="64" t="s">
        <v>147</v>
      </c>
      <c r="H8" s="64" t="s">
        <v>5</v>
      </c>
      <c r="I8" s="64" t="s">
        <v>6</v>
      </c>
      <c r="J8" s="64" t="s">
        <v>2</v>
      </c>
      <c r="K8" s="64"/>
    </row>
    <row r="9" spans="1:11" ht="35.25" thickBot="1" x14ac:dyDescent="0.3">
      <c r="A9" s="67"/>
      <c r="B9" s="65"/>
      <c r="C9" s="65" t="s">
        <v>146</v>
      </c>
      <c r="D9" s="65" t="s">
        <v>146</v>
      </c>
      <c r="E9" s="13" t="s">
        <v>4</v>
      </c>
      <c r="F9" s="13" t="s">
        <v>145</v>
      </c>
      <c r="G9" s="65"/>
      <c r="H9" s="65" t="s">
        <v>146</v>
      </c>
      <c r="I9" s="65" t="s">
        <v>146</v>
      </c>
      <c r="J9" s="13" t="s">
        <v>4</v>
      </c>
      <c r="K9" s="13" t="s">
        <v>145</v>
      </c>
    </row>
    <row r="10" spans="1:11" x14ac:dyDescent="0.25">
      <c r="A10" s="4" t="s">
        <v>64</v>
      </c>
      <c r="B10" s="9">
        <v>0</v>
      </c>
      <c r="C10" s="9">
        <v>9178497500</v>
      </c>
      <c r="D10" s="9">
        <v>0</v>
      </c>
      <c r="E10" s="9">
        <v>9178497500</v>
      </c>
      <c r="F10" s="5">
        <v>3.0591953225944872E-2</v>
      </c>
      <c r="G10" s="9">
        <v>0</v>
      </c>
      <c r="H10" s="9">
        <v>10710912800</v>
      </c>
      <c r="I10" s="9">
        <v>0</v>
      </c>
      <c r="J10" s="9">
        <v>10710912800</v>
      </c>
      <c r="K10" s="5">
        <v>1.0213259944440653E-2</v>
      </c>
    </row>
    <row r="11" spans="1:11" x14ac:dyDescent="0.25">
      <c r="A11" s="4" t="s">
        <v>144</v>
      </c>
      <c r="B11" s="9">
        <v>240000000</v>
      </c>
      <c r="C11" s="9">
        <v>466325579</v>
      </c>
      <c r="D11" s="9">
        <v>4104524656</v>
      </c>
      <c r="E11" s="9">
        <v>4810850235</v>
      </c>
      <c r="F11" s="5">
        <v>1.6034574870902988E-2</v>
      </c>
      <c r="G11" s="9">
        <v>240000000</v>
      </c>
      <c r="H11" s="9">
        <v>154327658</v>
      </c>
      <c r="I11" s="9">
        <v>4104524656</v>
      </c>
      <c r="J11" s="9">
        <v>4498852314</v>
      </c>
      <c r="K11" s="5">
        <v>4.2898256192068288E-3</v>
      </c>
    </row>
    <row r="12" spans="1:11" x14ac:dyDescent="0.25">
      <c r="A12" s="4" t="s">
        <v>83</v>
      </c>
      <c r="B12" s="9">
        <v>0</v>
      </c>
      <c r="C12" s="9">
        <v>4306451800</v>
      </c>
      <c r="D12" s="9">
        <v>0</v>
      </c>
      <c r="E12" s="9">
        <v>4306451800</v>
      </c>
      <c r="F12" s="5">
        <v>1.4353413729794675E-2</v>
      </c>
      <c r="G12" s="9">
        <v>1064000000</v>
      </c>
      <c r="H12" s="9">
        <v>26519505833</v>
      </c>
      <c r="I12" s="9">
        <v>0</v>
      </c>
      <c r="J12" s="9">
        <v>27583505833</v>
      </c>
      <c r="K12" s="5">
        <v>2.6301914739836556E-2</v>
      </c>
    </row>
    <row r="13" spans="1:11" x14ac:dyDescent="0.25">
      <c r="A13" s="4" t="s">
        <v>84</v>
      </c>
      <c r="B13" s="9">
        <v>0</v>
      </c>
      <c r="C13" s="9">
        <v>1740068125</v>
      </c>
      <c r="D13" s="9">
        <v>270183943</v>
      </c>
      <c r="E13" s="9">
        <v>2010252068</v>
      </c>
      <c r="F13" s="5">
        <v>6.7001747548130781E-3</v>
      </c>
      <c r="G13" s="9">
        <v>0</v>
      </c>
      <c r="H13" s="9">
        <v>2562759181</v>
      </c>
      <c r="I13" s="9">
        <v>-270146048</v>
      </c>
      <c r="J13" s="9">
        <v>2292613133</v>
      </c>
      <c r="K13" s="5">
        <v>2.1860932225465876E-3</v>
      </c>
    </row>
    <row r="14" spans="1:11" x14ac:dyDescent="0.25">
      <c r="A14" s="4" t="s">
        <v>74</v>
      </c>
      <c r="B14" s="9">
        <v>1949816615</v>
      </c>
      <c r="C14" s="9">
        <v>-3788664228</v>
      </c>
      <c r="D14" s="9">
        <v>0</v>
      </c>
      <c r="E14" s="9">
        <v>-1838847613</v>
      </c>
      <c r="F14" s="5">
        <v>-6.1288833130407651E-3</v>
      </c>
      <c r="G14" s="9">
        <v>1949816615</v>
      </c>
      <c r="H14" s="9">
        <v>12893445057</v>
      </c>
      <c r="I14" s="9">
        <v>0</v>
      </c>
      <c r="J14" s="9">
        <v>14843261672</v>
      </c>
      <c r="K14" s="5">
        <v>1.4153610687549318E-2</v>
      </c>
    </row>
    <row r="15" spans="1:11" x14ac:dyDescent="0.25">
      <c r="A15" s="4" t="s">
        <v>86</v>
      </c>
      <c r="B15" s="9">
        <v>0</v>
      </c>
      <c r="C15" s="9">
        <v>-921509767</v>
      </c>
      <c r="D15" s="9">
        <v>5715350175</v>
      </c>
      <c r="E15" s="9">
        <v>4793840408</v>
      </c>
      <c r="F15" s="5">
        <v>1.5977881078485939E-2</v>
      </c>
      <c r="G15" s="9">
        <v>0</v>
      </c>
      <c r="H15" s="9">
        <v>6530792232</v>
      </c>
      <c r="I15" s="9">
        <v>5715350175</v>
      </c>
      <c r="J15" s="9">
        <v>12246142407</v>
      </c>
      <c r="K15" s="5">
        <v>1.1677159365850606E-2</v>
      </c>
    </row>
    <row r="16" spans="1:11" x14ac:dyDescent="0.25">
      <c r="A16" s="4" t="s">
        <v>143</v>
      </c>
      <c r="B16" s="9">
        <v>0</v>
      </c>
      <c r="C16" s="9">
        <v>11073733200</v>
      </c>
      <c r="D16" s="9">
        <v>0</v>
      </c>
      <c r="E16" s="9">
        <v>11073733200</v>
      </c>
      <c r="F16" s="5">
        <v>3.6908778162329167E-2</v>
      </c>
      <c r="G16" s="9">
        <v>2400000000</v>
      </c>
      <c r="H16" s="9">
        <v>25519622369</v>
      </c>
      <c r="I16" s="9">
        <v>0</v>
      </c>
      <c r="J16" s="9">
        <v>27919622369</v>
      </c>
      <c r="K16" s="5">
        <v>2.6622414553241155E-2</v>
      </c>
    </row>
    <row r="17" spans="1:11" x14ac:dyDescent="0.25">
      <c r="A17" s="4" t="s">
        <v>249</v>
      </c>
      <c r="B17" s="9">
        <v>0</v>
      </c>
      <c r="C17" s="9">
        <v>5703980506</v>
      </c>
      <c r="D17" s="9">
        <v>4906184731</v>
      </c>
      <c r="E17" s="9">
        <v>10610165237</v>
      </c>
      <c r="F17" s="5">
        <v>3.5363705078075174E-2</v>
      </c>
      <c r="G17" s="9">
        <v>0</v>
      </c>
      <c r="H17" s="9">
        <v>5703980506</v>
      </c>
      <c r="I17" s="9">
        <v>4906184731</v>
      </c>
      <c r="J17" s="9">
        <v>10610165237</v>
      </c>
      <c r="K17" s="5">
        <v>1.0117193337522902E-2</v>
      </c>
    </row>
    <row r="18" spans="1:11" x14ac:dyDescent="0.25">
      <c r="A18" s="4" t="s">
        <v>254</v>
      </c>
      <c r="B18" s="9">
        <v>0</v>
      </c>
      <c r="C18" s="9">
        <v>-3465306086</v>
      </c>
      <c r="D18" s="9">
        <v>0</v>
      </c>
      <c r="E18" s="9">
        <v>-3465306086</v>
      </c>
      <c r="F18" s="5">
        <v>-1.1549873135172081E-2</v>
      </c>
      <c r="G18" s="9">
        <v>0</v>
      </c>
      <c r="H18" s="9">
        <v>-3465306086</v>
      </c>
      <c r="I18" s="9">
        <v>0</v>
      </c>
      <c r="J18" s="9">
        <v>-3465306086</v>
      </c>
      <c r="K18" s="5">
        <v>-3.3043002500562058E-3</v>
      </c>
    </row>
    <row r="19" spans="1:11" x14ac:dyDescent="0.25">
      <c r="A19" s="4" t="s">
        <v>141</v>
      </c>
      <c r="B19" s="9">
        <v>0</v>
      </c>
      <c r="C19" s="9">
        <v>25007359151</v>
      </c>
      <c r="D19" s="9">
        <v>29897835828</v>
      </c>
      <c r="E19" s="9">
        <v>54905194979</v>
      </c>
      <c r="F19" s="5">
        <v>0.18299914083530025</v>
      </c>
      <c r="G19" s="9">
        <v>4275000000</v>
      </c>
      <c r="H19" s="9">
        <v>153135236808</v>
      </c>
      <c r="I19" s="9">
        <v>47679300694</v>
      </c>
      <c r="J19" s="9">
        <v>205089537502</v>
      </c>
      <c r="K19" s="5">
        <v>0.19556062097649005</v>
      </c>
    </row>
    <row r="20" spans="1:11" x14ac:dyDescent="0.25">
      <c r="A20" s="4" t="s">
        <v>142</v>
      </c>
      <c r="B20" s="9">
        <v>0</v>
      </c>
      <c r="C20" s="9">
        <v>3331795090</v>
      </c>
      <c r="D20" s="9">
        <v>0</v>
      </c>
      <c r="E20" s="9">
        <v>3331795090</v>
      </c>
      <c r="F20" s="5">
        <v>1.110488067918663E-2</v>
      </c>
      <c r="G20" s="9">
        <v>3836000000</v>
      </c>
      <c r="H20" s="9">
        <v>6377838620</v>
      </c>
      <c r="I20" s="9">
        <v>710617759</v>
      </c>
      <c r="J20" s="9">
        <v>10924456379</v>
      </c>
      <c r="K20" s="5">
        <v>1.0416881813324994E-2</v>
      </c>
    </row>
    <row r="21" spans="1:11" x14ac:dyDescent="0.25">
      <c r="A21" s="4" t="s">
        <v>71</v>
      </c>
      <c r="B21" s="9">
        <v>0</v>
      </c>
      <c r="C21" s="9">
        <v>-4048461600</v>
      </c>
      <c r="D21" s="9">
        <v>0</v>
      </c>
      <c r="E21" s="9">
        <v>-4048461600</v>
      </c>
      <c r="F21" s="5">
        <v>-1.3493531801281631E-2</v>
      </c>
      <c r="G21" s="9">
        <v>5632000000</v>
      </c>
      <c r="H21" s="9">
        <v>4361947101</v>
      </c>
      <c r="I21" s="9">
        <v>1929918869</v>
      </c>
      <c r="J21" s="9">
        <v>11923865970</v>
      </c>
      <c r="K21" s="5">
        <v>1.1369856609632748E-2</v>
      </c>
    </row>
    <row r="22" spans="1:11" x14ac:dyDescent="0.25">
      <c r="A22" s="4" t="s">
        <v>139</v>
      </c>
      <c r="B22" s="9">
        <v>12321</v>
      </c>
      <c r="C22" s="9">
        <v>-3737174261</v>
      </c>
      <c r="D22" s="9">
        <v>0</v>
      </c>
      <c r="E22" s="9">
        <v>-3737161940</v>
      </c>
      <c r="F22" s="5">
        <v>-1.2455969320279425E-2</v>
      </c>
      <c r="G22" s="9">
        <v>1267678921</v>
      </c>
      <c r="H22" s="9">
        <v>-3844365411</v>
      </c>
      <c r="I22" s="9">
        <v>-2477556698</v>
      </c>
      <c r="J22" s="9">
        <v>-5054243188</v>
      </c>
      <c r="K22" s="5">
        <v>-4.819411796673616E-3</v>
      </c>
    </row>
    <row r="23" spans="1:11" x14ac:dyDescent="0.25">
      <c r="A23" s="4" t="s">
        <v>138</v>
      </c>
      <c r="B23" s="9">
        <v>0</v>
      </c>
      <c r="C23" s="9">
        <v>12370203880</v>
      </c>
      <c r="D23" s="9">
        <v>0</v>
      </c>
      <c r="E23" s="9">
        <v>12370203880</v>
      </c>
      <c r="F23" s="5">
        <v>4.1229917913292648E-2</v>
      </c>
      <c r="G23" s="9">
        <v>10412200340</v>
      </c>
      <c r="H23" s="9">
        <v>92073593795</v>
      </c>
      <c r="I23" s="9">
        <v>0</v>
      </c>
      <c r="J23" s="9">
        <v>102485794135</v>
      </c>
      <c r="K23" s="5">
        <v>9.7724075964206E-2</v>
      </c>
    </row>
    <row r="24" spans="1:11" x14ac:dyDescent="0.25">
      <c r="A24" s="4" t="s">
        <v>243</v>
      </c>
      <c r="B24" s="9">
        <v>0</v>
      </c>
      <c r="C24" s="9">
        <v>-970561143</v>
      </c>
      <c r="D24" s="9">
        <v>0</v>
      </c>
      <c r="E24" s="9">
        <v>-970561143</v>
      </c>
      <c r="F24" s="5">
        <v>-3.2348825164004885E-3</v>
      </c>
      <c r="G24" s="9">
        <v>0</v>
      </c>
      <c r="H24" s="9">
        <v>-970561143</v>
      </c>
      <c r="I24" s="9">
        <v>0</v>
      </c>
      <c r="J24" s="9">
        <v>-970561143</v>
      </c>
      <c r="K24" s="5">
        <v>-9.2546671143027483E-4</v>
      </c>
    </row>
    <row r="25" spans="1:11" x14ac:dyDescent="0.25">
      <c r="A25" s="4" t="s">
        <v>54</v>
      </c>
      <c r="B25" s="9">
        <v>0</v>
      </c>
      <c r="C25" s="9">
        <v>6511771875</v>
      </c>
      <c r="D25" s="9">
        <v>0</v>
      </c>
      <c r="E25" s="9">
        <v>6511771875</v>
      </c>
      <c r="F25" s="5">
        <v>2.1703750599487915E-2</v>
      </c>
      <c r="G25" s="9">
        <v>5196000000</v>
      </c>
      <c r="H25" s="9">
        <v>16863557839</v>
      </c>
      <c r="I25" s="9">
        <v>1021799919</v>
      </c>
      <c r="J25" s="9">
        <v>23081357758</v>
      </c>
      <c r="K25" s="5">
        <v>2.2008946488023498E-2</v>
      </c>
    </row>
    <row r="26" spans="1:11" x14ac:dyDescent="0.25">
      <c r="A26" s="4" t="s">
        <v>137</v>
      </c>
      <c r="B26" s="9">
        <v>0</v>
      </c>
      <c r="C26" s="9">
        <v>8699398956</v>
      </c>
      <c r="D26" s="9">
        <v>0</v>
      </c>
      <c r="E26" s="9">
        <v>8699398956</v>
      </c>
      <c r="F26" s="5">
        <v>2.8995116679585702E-2</v>
      </c>
      <c r="G26" s="9">
        <v>4948500000</v>
      </c>
      <c r="H26" s="9">
        <v>29616516401</v>
      </c>
      <c r="I26" s="9">
        <v>-1643604354</v>
      </c>
      <c r="J26" s="9">
        <v>32921412047</v>
      </c>
      <c r="K26" s="5">
        <v>3.1391809946772334E-2</v>
      </c>
    </row>
    <row r="27" spans="1:11" x14ac:dyDescent="0.25">
      <c r="A27" s="4" t="s">
        <v>81</v>
      </c>
      <c r="B27" s="9">
        <v>0</v>
      </c>
      <c r="C27" s="9">
        <v>7133247383</v>
      </c>
      <c r="D27" s="9">
        <v>3369679</v>
      </c>
      <c r="E27" s="9">
        <v>7136617062</v>
      </c>
      <c r="F27" s="5">
        <v>2.3786361041356074E-2</v>
      </c>
      <c r="G27" s="9">
        <v>5932691760</v>
      </c>
      <c r="H27" s="9">
        <v>38024566075</v>
      </c>
      <c r="I27" s="9">
        <v>123923963</v>
      </c>
      <c r="J27" s="9">
        <v>44081181798</v>
      </c>
      <c r="K27" s="5">
        <v>4.2033071948930426E-2</v>
      </c>
    </row>
    <row r="28" spans="1:11" x14ac:dyDescent="0.25">
      <c r="A28" s="4" t="s">
        <v>68</v>
      </c>
      <c r="B28" s="9">
        <v>0</v>
      </c>
      <c r="C28" s="9">
        <v>-1325603269</v>
      </c>
      <c r="D28" s="9">
        <v>0</v>
      </c>
      <c r="E28" s="9">
        <v>-1325603269</v>
      </c>
      <c r="F28" s="5">
        <v>-4.4182387369400729E-3</v>
      </c>
      <c r="G28" s="9">
        <v>0</v>
      </c>
      <c r="H28" s="9">
        <v>2379358834</v>
      </c>
      <c r="I28" s="9">
        <v>3168479892</v>
      </c>
      <c r="J28" s="9">
        <v>5547838726</v>
      </c>
      <c r="K28" s="5">
        <v>5.2900737870326484E-3</v>
      </c>
    </row>
    <row r="29" spans="1:11" x14ac:dyDescent="0.25">
      <c r="A29" s="4" t="s">
        <v>244</v>
      </c>
      <c r="B29" s="9">
        <v>0</v>
      </c>
      <c r="C29" s="9">
        <v>-34575738</v>
      </c>
      <c r="D29" s="9">
        <v>0</v>
      </c>
      <c r="E29" s="9">
        <v>-34575738</v>
      </c>
      <c r="F29" s="5">
        <v>-1.1524101408193713E-4</v>
      </c>
      <c r="G29" s="9">
        <v>0</v>
      </c>
      <c r="H29" s="9">
        <v>-34575738</v>
      </c>
      <c r="I29" s="9">
        <v>0</v>
      </c>
      <c r="J29" s="9">
        <v>-34575738</v>
      </c>
      <c r="K29" s="5">
        <v>-3.2969272232789963E-5</v>
      </c>
    </row>
    <row r="30" spans="1:11" x14ac:dyDescent="0.25">
      <c r="A30" s="4" t="s">
        <v>134</v>
      </c>
      <c r="B30" s="9">
        <v>0</v>
      </c>
      <c r="C30" s="9">
        <v>7325136440</v>
      </c>
      <c r="D30" s="9">
        <v>0</v>
      </c>
      <c r="E30" s="9">
        <v>7325136440</v>
      </c>
      <c r="F30" s="5">
        <v>2.441469656075456E-2</v>
      </c>
      <c r="G30" s="9">
        <v>4785000000</v>
      </c>
      <c r="H30" s="9">
        <v>8321215083</v>
      </c>
      <c r="I30" s="9">
        <v>-746919044</v>
      </c>
      <c r="J30" s="9">
        <v>12359296039</v>
      </c>
      <c r="K30" s="5">
        <v>1.1785055628181636E-2</v>
      </c>
    </row>
    <row r="31" spans="1:11" x14ac:dyDescent="0.25">
      <c r="A31" s="4" t="s">
        <v>79</v>
      </c>
      <c r="B31" s="9">
        <v>0</v>
      </c>
      <c r="C31" s="9">
        <v>-6909644102</v>
      </c>
      <c r="D31" s="9">
        <v>0</v>
      </c>
      <c r="E31" s="9">
        <v>-6909644102</v>
      </c>
      <c r="F31" s="5">
        <v>-2.3029859644926619E-2</v>
      </c>
      <c r="G31" s="9">
        <v>0</v>
      </c>
      <c r="H31" s="9">
        <v>2986591428</v>
      </c>
      <c r="I31" s="9">
        <v>0</v>
      </c>
      <c r="J31" s="9">
        <v>2986591428</v>
      </c>
      <c r="K31" s="5">
        <v>2.8478277408814506E-3</v>
      </c>
    </row>
    <row r="32" spans="1:11" x14ac:dyDescent="0.25">
      <c r="A32" s="4" t="s">
        <v>136</v>
      </c>
      <c r="B32" s="9">
        <v>0</v>
      </c>
      <c r="C32" s="9">
        <v>655483358</v>
      </c>
      <c r="D32" s="9">
        <v>0</v>
      </c>
      <c r="E32" s="9">
        <v>655483358</v>
      </c>
      <c r="F32" s="5">
        <v>2.184727536105041E-3</v>
      </c>
      <c r="G32" s="9">
        <v>702000000</v>
      </c>
      <c r="H32" s="9">
        <v>1811088440</v>
      </c>
      <c r="I32" s="9">
        <v>-1135016366</v>
      </c>
      <c r="J32" s="9">
        <v>1378072074</v>
      </c>
      <c r="K32" s="5">
        <v>1.3140437772900602E-3</v>
      </c>
    </row>
    <row r="33" spans="1:11" x14ac:dyDescent="0.25">
      <c r="A33" s="4" t="s">
        <v>76</v>
      </c>
      <c r="B33" s="9">
        <v>0</v>
      </c>
      <c r="C33" s="9">
        <v>2460323909</v>
      </c>
      <c r="D33" s="9">
        <v>0</v>
      </c>
      <c r="E33" s="9">
        <v>2460323909</v>
      </c>
      <c r="F33" s="5">
        <v>8.2002652334765957E-3</v>
      </c>
      <c r="G33" s="9">
        <v>0</v>
      </c>
      <c r="H33" s="9">
        <v>6222836173</v>
      </c>
      <c r="I33" s="9">
        <v>2372623224</v>
      </c>
      <c r="J33" s="9">
        <v>8595459397</v>
      </c>
      <c r="K33" s="5">
        <v>8.1960952164082702E-3</v>
      </c>
    </row>
    <row r="34" spans="1:11" x14ac:dyDescent="0.25">
      <c r="A34" s="4" t="s">
        <v>132</v>
      </c>
      <c r="B34" s="9">
        <v>0</v>
      </c>
      <c r="C34" s="9">
        <v>7799242200</v>
      </c>
      <c r="D34" s="9">
        <v>0</v>
      </c>
      <c r="E34" s="9">
        <v>7799242200</v>
      </c>
      <c r="F34" s="5">
        <v>2.5994892146586668E-2</v>
      </c>
      <c r="G34" s="9">
        <v>0</v>
      </c>
      <c r="H34" s="9">
        <v>9993535545</v>
      </c>
      <c r="I34" s="9">
        <v>0</v>
      </c>
      <c r="J34" s="9">
        <v>9993535545</v>
      </c>
      <c r="K34" s="5">
        <v>9.5292136338830432E-3</v>
      </c>
    </row>
    <row r="35" spans="1:11" x14ac:dyDescent="0.25">
      <c r="A35" s="4" t="s">
        <v>66</v>
      </c>
      <c r="B35" s="9">
        <v>0</v>
      </c>
      <c r="C35" s="9">
        <v>349775175</v>
      </c>
      <c r="D35" s="9">
        <v>0</v>
      </c>
      <c r="E35" s="9">
        <v>349775175</v>
      </c>
      <c r="F35" s="5">
        <v>1.1658014607724939E-3</v>
      </c>
      <c r="G35" s="9">
        <v>512500000</v>
      </c>
      <c r="H35" s="9">
        <v>1945906733</v>
      </c>
      <c r="I35" s="9">
        <v>974614607</v>
      </c>
      <c r="J35" s="9">
        <v>3433021340</v>
      </c>
      <c r="K35" s="5">
        <v>3.2735155252344109E-3</v>
      </c>
    </row>
    <row r="36" spans="1:11" x14ac:dyDescent="0.25">
      <c r="A36" s="4" t="s">
        <v>246</v>
      </c>
      <c r="B36" s="9">
        <v>0</v>
      </c>
      <c r="C36" s="9">
        <v>4584620344</v>
      </c>
      <c r="D36" s="9">
        <v>0</v>
      </c>
      <c r="E36" s="9">
        <v>4584620344</v>
      </c>
      <c r="F36" s="5">
        <v>1.5280550125155374E-2</v>
      </c>
      <c r="G36" s="9">
        <v>0</v>
      </c>
      <c r="H36" s="9">
        <v>4584620344</v>
      </c>
      <c r="I36" s="9">
        <v>0</v>
      </c>
      <c r="J36" s="9">
        <v>4584620344</v>
      </c>
      <c r="K36" s="5">
        <v>4.371608675578325E-3</v>
      </c>
    </row>
    <row r="37" spans="1:11" x14ac:dyDescent="0.25">
      <c r="A37" s="4" t="s">
        <v>245</v>
      </c>
      <c r="B37" s="9">
        <v>0</v>
      </c>
      <c r="C37" s="9">
        <v>1545580494</v>
      </c>
      <c r="D37" s="9">
        <v>0</v>
      </c>
      <c r="E37" s="9">
        <v>1545580494</v>
      </c>
      <c r="F37" s="5">
        <v>5.1514233325640462E-3</v>
      </c>
      <c r="G37" s="9">
        <v>0</v>
      </c>
      <c r="H37" s="9">
        <v>1545580494</v>
      </c>
      <c r="I37" s="9">
        <v>0</v>
      </c>
      <c r="J37" s="9">
        <v>1545580494</v>
      </c>
      <c r="K37" s="5">
        <v>1.4737693831546269E-3</v>
      </c>
    </row>
    <row r="38" spans="1:11" x14ac:dyDescent="0.25">
      <c r="A38" s="4" t="s">
        <v>130</v>
      </c>
      <c r="B38" s="9">
        <v>0</v>
      </c>
      <c r="C38" s="9">
        <v>3488260211</v>
      </c>
      <c r="D38" s="9">
        <v>0</v>
      </c>
      <c r="E38" s="9">
        <v>3488260211</v>
      </c>
      <c r="F38" s="5">
        <v>1.1626379286461274E-2</v>
      </c>
      <c r="G38" s="9">
        <v>1246176666</v>
      </c>
      <c r="H38" s="9">
        <v>23681368805</v>
      </c>
      <c r="I38" s="9">
        <v>0</v>
      </c>
      <c r="J38" s="9">
        <v>24927545471</v>
      </c>
      <c r="K38" s="5">
        <v>2.3769356209508805E-2</v>
      </c>
    </row>
    <row r="39" spans="1:11" x14ac:dyDescent="0.25">
      <c r="A39" s="4" t="s">
        <v>131</v>
      </c>
      <c r="B39" s="9">
        <v>0</v>
      </c>
      <c r="C39" s="9">
        <v>1057746028</v>
      </c>
      <c r="D39" s="9">
        <v>0</v>
      </c>
      <c r="E39" s="9">
        <v>1057746028</v>
      </c>
      <c r="F39" s="5">
        <v>3.5254699381358414E-3</v>
      </c>
      <c r="G39" s="9">
        <v>568525920</v>
      </c>
      <c r="H39" s="9">
        <v>3939642382</v>
      </c>
      <c r="I39" s="9">
        <v>8398679107</v>
      </c>
      <c r="J39" s="9">
        <v>12906847409</v>
      </c>
      <c r="K39" s="5">
        <v>1.2307166542458205E-2</v>
      </c>
    </row>
    <row r="40" spans="1:11" x14ac:dyDescent="0.25">
      <c r="A40" s="4" t="s">
        <v>52</v>
      </c>
      <c r="B40" s="9">
        <v>0</v>
      </c>
      <c r="C40" s="9">
        <v>781989081</v>
      </c>
      <c r="D40" s="9">
        <v>0</v>
      </c>
      <c r="E40" s="9">
        <v>781989081</v>
      </c>
      <c r="F40" s="5">
        <v>2.6063714011091265E-3</v>
      </c>
      <c r="G40" s="9">
        <v>1514097200</v>
      </c>
      <c r="H40" s="9">
        <v>-70588363</v>
      </c>
      <c r="I40" s="9">
        <v>-1212359761</v>
      </c>
      <c r="J40" s="9">
        <v>231149076</v>
      </c>
      <c r="K40" s="5">
        <v>2.2040937529668511E-4</v>
      </c>
    </row>
    <row r="41" spans="1:11" x14ac:dyDescent="0.25">
      <c r="A41" s="4" t="s">
        <v>75</v>
      </c>
      <c r="B41" s="9">
        <v>0</v>
      </c>
      <c r="C41" s="9">
        <v>14577616772</v>
      </c>
      <c r="D41" s="9">
        <v>0</v>
      </c>
      <c r="E41" s="9">
        <v>14577616772</v>
      </c>
      <c r="F41" s="5">
        <v>4.8587230146848487E-2</v>
      </c>
      <c r="G41" s="9">
        <v>0</v>
      </c>
      <c r="H41" s="9">
        <v>22979466967</v>
      </c>
      <c r="I41" s="9">
        <v>30634248241</v>
      </c>
      <c r="J41" s="9">
        <v>53613715208</v>
      </c>
      <c r="K41" s="5">
        <v>5.1122702633384809E-2</v>
      </c>
    </row>
    <row r="42" spans="1:11" x14ac:dyDescent="0.25">
      <c r="A42" s="4" t="s">
        <v>70</v>
      </c>
      <c r="B42" s="9">
        <v>5400000000</v>
      </c>
      <c r="C42" s="9">
        <v>21954475162</v>
      </c>
      <c r="D42" s="9">
        <v>7763037872</v>
      </c>
      <c r="E42" s="9">
        <v>35117513034</v>
      </c>
      <c r="F42" s="5">
        <v>0.11704675151326646</v>
      </c>
      <c r="G42" s="9">
        <v>5400000000</v>
      </c>
      <c r="H42" s="9">
        <v>36172711992</v>
      </c>
      <c r="I42" s="9">
        <v>8395287432</v>
      </c>
      <c r="J42" s="9">
        <v>49967999424</v>
      </c>
      <c r="K42" s="5">
        <v>4.7646374921563442E-2</v>
      </c>
    </row>
    <row r="43" spans="1:11" x14ac:dyDescent="0.25">
      <c r="A43" s="4" t="s">
        <v>49</v>
      </c>
      <c r="B43" s="9">
        <v>0</v>
      </c>
      <c r="C43" s="9">
        <v>-4343277167</v>
      </c>
      <c r="D43" s="9">
        <v>8748187117</v>
      </c>
      <c r="E43" s="9">
        <v>4404909950</v>
      </c>
      <c r="F43" s="5">
        <v>1.4681574969639549E-2</v>
      </c>
      <c r="G43" s="9">
        <v>0</v>
      </c>
      <c r="H43" s="9">
        <v>7491443870</v>
      </c>
      <c r="I43" s="9">
        <v>8748187117</v>
      </c>
      <c r="J43" s="9">
        <v>16239630987</v>
      </c>
      <c r="K43" s="5">
        <v>1.5485101575285379E-2</v>
      </c>
    </row>
    <row r="44" spans="1:11" x14ac:dyDescent="0.25">
      <c r="A44" s="4" t="s">
        <v>48</v>
      </c>
      <c r="B44" s="9">
        <v>0</v>
      </c>
      <c r="C44" s="9">
        <v>12249917384</v>
      </c>
      <c r="D44" s="9">
        <v>25123655435</v>
      </c>
      <c r="E44" s="9">
        <v>37373572819</v>
      </c>
      <c r="F44" s="5">
        <v>0.12456620395280302</v>
      </c>
      <c r="G44" s="9">
        <v>3237500000</v>
      </c>
      <c r="H44" s="9">
        <v>55484974202</v>
      </c>
      <c r="I44" s="9">
        <v>46482634324</v>
      </c>
      <c r="J44" s="9">
        <v>105205108526</v>
      </c>
      <c r="K44" s="5">
        <v>0.10031704495429443</v>
      </c>
    </row>
    <row r="45" spans="1:11" x14ac:dyDescent="0.25">
      <c r="A45" s="4" t="s">
        <v>87</v>
      </c>
      <c r="B45" s="9">
        <v>0</v>
      </c>
      <c r="C45" s="9">
        <v>-4744820524</v>
      </c>
      <c r="D45" s="9">
        <v>0</v>
      </c>
      <c r="E45" s="9">
        <v>-4744820524</v>
      </c>
      <c r="F45" s="5">
        <v>-1.5814497692646454E-2</v>
      </c>
      <c r="G45" s="9">
        <v>2080000000</v>
      </c>
      <c r="H45" s="9">
        <v>12557064729</v>
      </c>
      <c r="I45" s="9">
        <v>0</v>
      </c>
      <c r="J45" s="9">
        <v>14637064729</v>
      </c>
      <c r="K45" s="5">
        <v>1.3956994113599804E-2</v>
      </c>
    </row>
    <row r="46" spans="1:11" x14ac:dyDescent="0.25">
      <c r="A46" s="4" t="s">
        <v>242</v>
      </c>
      <c r="B46" s="9">
        <v>0</v>
      </c>
      <c r="C46" s="9">
        <v>23236610</v>
      </c>
      <c r="D46" s="9">
        <v>0</v>
      </c>
      <c r="E46" s="9">
        <v>23236610</v>
      </c>
      <c r="F46" s="5">
        <v>7.7447674442306371E-5</v>
      </c>
      <c r="G46" s="9">
        <v>0</v>
      </c>
      <c r="H46" s="9">
        <v>23236610</v>
      </c>
      <c r="I46" s="9">
        <v>0</v>
      </c>
      <c r="J46" s="9">
        <v>23236610</v>
      </c>
      <c r="K46" s="5">
        <v>2.2156985365205208E-5</v>
      </c>
    </row>
    <row r="47" spans="1:11" x14ac:dyDescent="0.25">
      <c r="A47" s="4" t="s">
        <v>65</v>
      </c>
      <c r="B47" s="9">
        <v>0</v>
      </c>
      <c r="C47" s="9">
        <v>-889073920</v>
      </c>
      <c r="D47" s="9">
        <v>0</v>
      </c>
      <c r="E47" s="9">
        <v>-889073920</v>
      </c>
      <c r="F47" s="5">
        <v>-2.9632854151834167E-3</v>
      </c>
      <c r="G47" s="9">
        <v>1280000000</v>
      </c>
      <c r="H47" s="9">
        <v>-3043414426</v>
      </c>
      <c r="I47" s="9">
        <v>189445153</v>
      </c>
      <c r="J47" s="9">
        <v>-1573969273</v>
      </c>
      <c r="K47" s="5">
        <v>-1.5008391562772573E-3</v>
      </c>
    </row>
    <row r="48" spans="1:11" x14ac:dyDescent="0.25">
      <c r="A48" s="4" t="s">
        <v>248</v>
      </c>
      <c r="B48" s="9">
        <v>0</v>
      </c>
      <c r="C48" s="9">
        <v>-391601994</v>
      </c>
      <c r="D48" s="9">
        <v>0</v>
      </c>
      <c r="E48" s="9">
        <v>-391601994</v>
      </c>
      <c r="F48" s="5">
        <v>-1.3052103444637583E-3</v>
      </c>
      <c r="G48" s="9">
        <v>0</v>
      </c>
      <c r="H48" s="9">
        <v>-391601994</v>
      </c>
      <c r="I48" s="9">
        <v>0</v>
      </c>
      <c r="J48" s="9">
        <v>-391601994</v>
      </c>
      <c r="K48" s="5">
        <v>-3.73407293492604E-4</v>
      </c>
    </row>
    <row r="49" spans="1:11" x14ac:dyDescent="0.25">
      <c r="A49" s="4" t="s">
        <v>53</v>
      </c>
      <c r="B49" s="9">
        <v>0</v>
      </c>
      <c r="C49" s="9">
        <v>6083408916</v>
      </c>
      <c r="D49" s="9">
        <v>0</v>
      </c>
      <c r="E49" s="9">
        <v>6083408916</v>
      </c>
      <c r="F49" s="5">
        <v>2.0276015874337604E-2</v>
      </c>
      <c r="G49" s="9">
        <v>866250000</v>
      </c>
      <c r="H49" s="9">
        <v>6905901520</v>
      </c>
      <c r="I49" s="9">
        <v>-528735396</v>
      </c>
      <c r="J49" s="9">
        <v>7243416124</v>
      </c>
      <c r="K49" s="5">
        <v>6.9068708840729961E-3</v>
      </c>
    </row>
    <row r="50" spans="1:11" x14ac:dyDescent="0.25">
      <c r="A50" s="4" t="s">
        <v>63</v>
      </c>
      <c r="B50" s="9">
        <v>0</v>
      </c>
      <c r="C50" s="9">
        <v>11228527320</v>
      </c>
      <c r="D50" s="9">
        <v>0</v>
      </c>
      <c r="E50" s="9">
        <v>11228527320</v>
      </c>
      <c r="F50" s="5">
        <v>3.7424707319436992E-2</v>
      </c>
      <c r="G50" s="9">
        <v>5904000000</v>
      </c>
      <c r="H50" s="9">
        <v>17369090207</v>
      </c>
      <c r="I50" s="9">
        <v>10229398</v>
      </c>
      <c r="J50" s="9">
        <v>23283319605</v>
      </c>
      <c r="K50" s="5">
        <v>2.2201524737962226E-2</v>
      </c>
    </row>
    <row r="51" spans="1:11" x14ac:dyDescent="0.25">
      <c r="A51" s="4" t="s">
        <v>73</v>
      </c>
      <c r="B51" s="9">
        <v>1972800000</v>
      </c>
      <c r="C51" s="9">
        <v>44730288085</v>
      </c>
      <c r="D51" s="9">
        <v>0</v>
      </c>
      <c r="E51" s="9">
        <v>46703088085</v>
      </c>
      <c r="F51" s="5">
        <v>0.15566149973930954</v>
      </c>
      <c r="G51" s="9">
        <v>1972800000</v>
      </c>
      <c r="H51" s="9">
        <v>89545002114</v>
      </c>
      <c r="I51" s="9">
        <v>4472772424</v>
      </c>
      <c r="J51" s="9">
        <v>95990574538</v>
      </c>
      <c r="K51" s="5">
        <v>9.1530638730697195E-2</v>
      </c>
    </row>
    <row r="52" spans="1:11" x14ac:dyDescent="0.25">
      <c r="A52" s="4" t="s">
        <v>129</v>
      </c>
      <c r="B52" s="9">
        <v>0</v>
      </c>
      <c r="C52" s="9">
        <v>3732919740</v>
      </c>
      <c r="D52" s="9">
        <v>0</v>
      </c>
      <c r="E52" s="9">
        <v>3732919740</v>
      </c>
      <c r="F52" s="5">
        <v>1.2441830057946444E-2</v>
      </c>
      <c r="G52" s="9">
        <v>1694325000</v>
      </c>
      <c r="H52" s="9">
        <v>11352601207</v>
      </c>
      <c r="I52" s="9">
        <v>18046288206</v>
      </c>
      <c r="J52" s="9">
        <v>31093214413</v>
      </c>
      <c r="K52" s="5">
        <v>2.9648554445163414E-2</v>
      </c>
    </row>
    <row r="53" spans="1:11" x14ac:dyDescent="0.25">
      <c r="A53" s="4" t="s">
        <v>128</v>
      </c>
      <c r="B53" s="9">
        <v>0</v>
      </c>
      <c r="C53" s="9">
        <v>13627913280</v>
      </c>
      <c r="D53" s="9">
        <v>0</v>
      </c>
      <c r="E53" s="9">
        <v>13627913280</v>
      </c>
      <c r="F53" s="5">
        <v>4.54218662290852E-2</v>
      </c>
      <c r="G53" s="9">
        <v>0</v>
      </c>
      <c r="H53" s="9">
        <v>15210745620</v>
      </c>
      <c r="I53" s="9">
        <v>0</v>
      </c>
      <c r="J53" s="9">
        <v>15210745620</v>
      </c>
      <c r="K53" s="5">
        <v>1.4504020513155715E-2</v>
      </c>
    </row>
    <row r="54" spans="1:11" x14ac:dyDescent="0.25">
      <c r="A54" s="4" t="s">
        <v>250</v>
      </c>
      <c r="B54" s="9">
        <v>0</v>
      </c>
      <c r="C54" s="9">
        <v>-14467157132</v>
      </c>
      <c r="D54" s="9">
        <v>0</v>
      </c>
      <c r="E54" s="9">
        <v>-14467157132</v>
      </c>
      <c r="F54" s="5">
        <v>-4.8219067913298309E-2</v>
      </c>
      <c r="G54" s="9">
        <v>0</v>
      </c>
      <c r="H54" s="9">
        <v>-14467157132</v>
      </c>
      <c r="I54" s="9">
        <v>0</v>
      </c>
      <c r="J54" s="9">
        <v>-14467157132</v>
      </c>
      <c r="K54" s="5">
        <v>-1.3794980801840205E-2</v>
      </c>
    </row>
    <row r="55" spans="1:11" x14ac:dyDescent="0.25">
      <c r="A55" s="4" t="s">
        <v>251</v>
      </c>
      <c r="B55" s="9">
        <v>0</v>
      </c>
      <c r="C55" s="9">
        <v>-1985383641</v>
      </c>
      <c r="D55" s="9">
        <v>0</v>
      </c>
      <c r="E55" s="9">
        <v>-1985383641</v>
      </c>
      <c r="F55" s="5">
        <v>-6.6172882305658553E-3</v>
      </c>
      <c r="G55" s="9">
        <v>0</v>
      </c>
      <c r="H55" s="9">
        <v>-1985383641</v>
      </c>
      <c r="I55" s="9">
        <v>0</v>
      </c>
      <c r="J55" s="9">
        <v>-1985383641</v>
      </c>
      <c r="K55" s="5">
        <v>-1.893138296763376E-3</v>
      </c>
    </row>
    <row r="56" spans="1:11" x14ac:dyDescent="0.25">
      <c r="A56" s="4" t="s">
        <v>127</v>
      </c>
      <c r="B56" s="9">
        <v>0</v>
      </c>
      <c r="C56" s="9">
        <v>0</v>
      </c>
      <c r="D56" s="9">
        <v>0</v>
      </c>
      <c r="E56" s="9">
        <v>0</v>
      </c>
      <c r="F56" s="5">
        <v>0</v>
      </c>
      <c r="G56" s="9">
        <v>0</v>
      </c>
      <c r="H56" s="9">
        <v>0</v>
      </c>
      <c r="I56" s="9">
        <v>-1420212200</v>
      </c>
      <c r="J56" s="9">
        <v>-1420212200</v>
      </c>
      <c r="K56" s="5">
        <v>-1.3542259792149497E-3</v>
      </c>
    </row>
    <row r="57" spans="1:11" x14ac:dyDescent="0.25">
      <c r="A57" s="4" t="s">
        <v>126</v>
      </c>
      <c r="B57" s="9">
        <v>0</v>
      </c>
      <c r="C57" s="9">
        <v>0</v>
      </c>
      <c r="D57" s="9">
        <v>0</v>
      </c>
      <c r="E57" s="9">
        <v>0</v>
      </c>
      <c r="F57" s="5">
        <v>0</v>
      </c>
      <c r="G57" s="9">
        <v>0</v>
      </c>
      <c r="H57" s="9">
        <v>0</v>
      </c>
      <c r="I57" s="9">
        <v>-553054609</v>
      </c>
      <c r="J57" s="9">
        <v>-553054609</v>
      </c>
      <c r="K57" s="5">
        <v>-5.2735846054016862E-4</v>
      </c>
    </row>
    <row r="58" spans="1:11" x14ac:dyDescent="0.25">
      <c r="A58" s="4" t="s">
        <v>125</v>
      </c>
      <c r="B58" s="9">
        <v>0</v>
      </c>
      <c r="C58" s="9">
        <v>0</v>
      </c>
      <c r="D58" s="9">
        <v>0</v>
      </c>
      <c r="E58" s="9">
        <v>0</v>
      </c>
      <c r="F58" s="5">
        <v>0</v>
      </c>
      <c r="G58" s="9">
        <v>0</v>
      </c>
      <c r="H58" s="9">
        <v>0</v>
      </c>
      <c r="I58" s="9">
        <v>642006420</v>
      </c>
      <c r="J58" s="9">
        <v>642006420</v>
      </c>
      <c r="K58" s="5">
        <v>6.1217737235800694E-4</v>
      </c>
    </row>
    <row r="59" spans="1:11" x14ac:dyDescent="0.25">
      <c r="A59" s="4" t="s">
        <v>140</v>
      </c>
      <c r="B59" s="9">
        <v>0</v>
      </c>
      <c r="C59" s="9">
        <v>0</v>
      </c>
      <c r="D59" s="9">
        <v>0</v>
      </c>
      <c r="E59" s="9">
        <v>0</v>
      </c>
      <c r="F59" s="5">
        <v>0</v>
      </c>
      <c r="G59" s="9">
        <v>1255105500</v>
      </c>
      <c r="H59" s="9">
        <v>0</v>
      </c>
      <c r="I59" s="9">
        <v>-17820922254</v>
      </c>
      <c r="J59" s="9">
        <v>-16565816754</v>
      </c>
      <c r="K59" s="5">
        <v>-1.5796132025327671E-2</v>
      </c>
    </row>
    <row r="60" spans="1:11" x14ac:dyDescent="0.25">
      <c r="A60" s="4" t="s">
        <v>55</v>
      </c>
      <c r="B60" s="9">
        <v>0</v>
      </c>
      <c r="C60" s="9">
        <v>0</v>
      </c>
      <c r="D60" s="9">
        <v>0</v>
      </c>
      <c r="E60" s="9">
        <v>0</v>
      </c>
      <c r="F60" s="5">
        <v>0</v>
      </c>
      <c r="G60" s="9">
        <v>833200000</v>
      </c>
      <c r="H60" s="9">
        <v>0</v>
      </c>
      <c r="I60" s="9">
        <v>-4501771300</v>
      </c>
      <c r="J60" s="9">
        <v>-3668571300</v>
      </c>
      <c r="K60" s="5">
        <v>-3.4981213096622892E-3</v>
      </c>
    </row>
    <row r="61" spans="1:11" x14ac:dyDescent="0.25">
      <c r="A61" s="4" t="s">
        <v>82</v>
      </c>
      <c r="B61" s="9">
        <v>0</v>
      </c>
      <c r="C61" s="9">
        <v>0</v>
      </c>
      <c r="D61" s="9">
        <v>0</v>
      </c>
      <c r="E61" s="9">
        <v>0</v>
      </c>
      <c r="F61" s="5">
        <v>0</v>
      </c>
      <c r="G61" s="9">
        <v>0</v>
      </c>
      <c r="H61" s="9">
        <v>0</v>
      </c>
      <c r="I61" s="9">
        <v>31021005</v>
      </c>
      <c r="J61" s="9">
        <v>31021005</v>
      </c>
      <c r="K61" s="5">
        <v>2.9579700042259071E-5</v>
      </c>
    </row>
    <row r="62" spans="1:11" x14ac:dyDescent="0.25">
      <c r="A62" s="4" t="s">
        <v>124</v>
      </c>
      <c r="B62" s="9">
        <v>0</v>
      </c>
      <c r="C62" s="9">
        <v>0</v>
      </c>
      <c r="D62" s="9">
        <v>0</v>
      </c>
      <c r="E62" s="9">
        <v>0</v>
      </c>
      <c r="F62" s="5">
        <v>0</v>
      </c>
      <c r="G62" s="9">
        <v>0</v>
      </c>
      <c r="H62" s="9">
        <v>0</v>
      </c>
      <c r="I62" s="9">
        <v>179495223</v>
      </c>
      <c r="J62" s="9">
        <v>179495223</v>
      </c>
      <c r="K62" s="5">
        <v>1.71155475309662E-4</v>
      </c>
    </row>
    <row r="63" spans="1:11" x14ac:dyDescent="0.25">
      <c r="A63" s="4" t="s">
        <v>123</v>
      </c>
      <c r="B63" s="9">
        <v>0</v>
      </c>
      <c r="C63" s="9">
        <v>0</v>
      </c>
      <c r="D63" s="9">
        <v>0</v>
      </c>
      <c r="E63" s="9">
        <v>0</v>
      </c>
      <c r="F63" s="5">
        <v>0</v>
      </c>
      <c r="G63" s="9">
        <v>0</v>
      </c>
      <c r="H63" s="9">
        <v>0</v>
      </c>
      <c r="I63" s="9">
        <v>1059081042</v>
      </c>
      <c r="J63" s="9">
        <v>1059081042</v>
      </c>
      <c r="K63" s="5">
        <v>1.0098737788412459E-3</v>
      </c>
    </row>
    <row r="64" spans="1:11" x14ac:dyDescent="0.25">
      <c r="A64" s="4" t="s">
        <v>122</v>
      </c>
      <c r="B64" s="9">
        <v>0</v>
      </c>
      <c r="C64" s="9">
        <v>0</v>
      </c>
      <c r="D64" s="9">
        <v>0</v>
      </c>
      <c r="E64" s="9">
        <v>0</v>
      </c>
      <c r="F64" s="5">
        <v>0</v>
      </c>
      <c r="G64" s="9">
        <v>0</v>
      </c>
      <c r="H64" s="9">
        <v>0</v>
      </c>
      <c r="I64" s="9">
        <v>-1579799394</v>
      </c>
      <c r="J64" s="9">
        <v>-1579799394</v>
      </c>
      <c r="K64" s="5">
        <v>-1.5063983968753641E-3</v>
      </c>
    </row>
    <row r="65" spans="1:11" x14ac:dyDescent="0.25">
      <c r="A65" s="4" t="s">
        <v>121</v>
      </c>
      <c r="B65" s="9">
        <v>0</v>
      </c>
      <c r="C65" s="9">
        <v>0</v>
      </c>
      <c r="D65" s="9">
        <v>0</v>
      </c>
      <c r="E65" s="9">
        <v>0</v>
      </c>
      <c r="F65" s="5">
        <v>0</v>
      </c>
      <c r="G65" s="9">
        <v>0</v>
      </c>
      <c r="H65" s="9">
        <v>0</v>
      </c>
      <c r="I65" s="9">
        <v>-277571830</v>
      </c>
      <c r="J65" s="9">
        <v>-277571830</v>
      </c>
      <c r="K65" s="5">
        <v>-2.6467522478981347E-4</v>
      </c>
    </row>
    <row r="66" spans="1:11" x14ac:dyDescent="0.25">
      <c r="A66" s="4" t="s">
        <v>120</v>
      </c>
      <c r="B66" s="9">
        <v>0</v>
      </c>
      <c r="C66" s="9">
        <v>0</v>
      </c>
      <c r="D66" s="9">
        <v>0</v>
      </c>
      <c r="E66" s="9">
        <v>0</v>
      </c>
      <c r="F66" s="5">
        <v>0</v>
      </c>
      <c r="G66" s="9">
        <v>0</v>
      </c>
      <c r="H66" s="9">
        <v>0</v>
      </c>
      <c r="I66" s="9">
        <v>1163025722</v>
      </c>
      <c r="J66" s="9">
        <v>1163025722</v>
      </c>
      <c r="K66" s="5">
        <v>1.1089889575850874E-3</v>
      </c>
    </row>
    <row r="67" spans="1:11" x14ac:dyDescent="0.25">
      <c r="A67" s="4" t="s">
        <v>133</v>
      </c>
      <c r="B67" s="9">
        <v>0</v>
      </c>
      <c r="C67" s="9">
        <v>0</v>
      </c>
      <c r="D67" s="9">
        <v>0</v>
      </c>
      <c r="E67" s="9">
        <v>0</v>
      </c>
      <c r="F67" s="5">
        <v>0</v>
      </c>
      <c r="G67" s="9">
        <v>0</v>
      </c>
      <c r="H67" s="9">
        <v>0</v>
      </c>
      <c r="I67" s="9">
        <v>5908337489</v>
      </c>
      <c r="J67" s="9">
        <v>5908337489</v>
      </c>
      <c r="K67" s="5">
        <v>5.6338229748860219E-3</v>
      </c>
    </row>
    <row r="68" spans="1:11" x14ac:dyDescent="0.25">
      <c r="A68" s="4" t="s">
        <v>119</v>
      </c>
      <c r="B68" s="9">
        <v>0</v>
      </c>
      <c r="C68" s="9">
        <v>0</v>
      </c>
      <c r="D68" s="9">
        <v>0</v>
      </c>
      <c r="E68" s="9">
        <v>0</v>
      </c>
      <c r="F68" s="5">
        <v>0</v>
      </c>
      <c r="G68" s="9">
        <v>0</v>
      </c>
      <c r="H68" s="9">
        <v>0</v>
      </c>
      <c r="I68" s="9">
        <v>3238188008</v>
      </c>
      <c r="J68" s="9">
        <v>3238188008</v>
      </c>
      <c r="K68" s="5">
        <v>3.0877345836177912E-3</v>
      </c>
    </row>
    <row r="69" spans="1:11" x14ac:dyDescent="0.25">
      <c r="A69" s="4" t="s">
        <v>118</v>
      </c>
      <c r="B69" s="9">
        <v>0</v>
      </c>
      <c r="C69" s="9">
        <v>0</v>
      </c>
      <c r="D69" s="9">
        <v>0</v>
      </c>
      <c r="E69" s="9">
        <v>0</v>
      </c>
      <c r="F69" s="5">
        <v>0</v>
      </c>
      <c r="G69" s="9">
        <v>0</v>
      </c>
      <c r="H69" s="9">
        <v>0</v>
      </c>
      <c r="I69" s="9">
        <v>2022315298</v>
      </c>
      <c r="J69" s="9">
        <v>2022315298</v>
      </c>
      <c r="K69" s="5">
        <v>1.9283540267541869E-3</v>
      </c>
    </row>
    <row r="70" spans="1:11" x14ac:dyDescent="0.25">
      <c r="A70" s="4" t="s">
        <v>117</v>
      </c>
      <c r="B70" s="9">
        <v>0</v>
      </c>
      <c r="C70" s="9">
        <v>0</v>
      </c>
      <c r="D70" s="9">
        <v>0</v>
      </c>
      <c r="E70" s="9">
        <v>0</v>
      </c>
      <c r="F70" s="5">
        <v>0</v>
      </c>
      <c r="G70" s="9">
        <v>0</v>
      </c>
      <c r="H70" s="9">
        <v>0</v>
      </c>
      <c r="I70" s="9">
        <v>2298485501</v>
      </c>
      <c r="J70" s="9">
        <v>2298485501</v>
      </c>
      <c r="K70" s="5">
        <v>2.1916927472550151E-3</v>
      </c>
    </row>
    <row r="71" spans="1:11" x14ac:dyDescent="0.25">
      <c r="A71" s="4" t="s">
        <v>135</v>
      </c>
      <c r="B71" s="9">
        <v>0</v>
      </c>
      <c r="C71" s="9">
        <v>0</v>
      </c>
      <c r="D71" s="9">
        <v>0</v>
      </c>
      <c r="E71" s="9">
        <v>0</v>
      </c>
      <c r="F71" s="5">
        <v>0</v>
      </c>
      <c r="G71" s="9">
        <v>0</v>
      </c>
      <c r="H71" s="9">
        <v>0</v>
      </c>
      <c r="I71" s="9">
        <v>-227267771</v>
      </c>
      <c r="J71" s="9">
        <v>-227267771</v>
      </c>
      <c r="K71" s="5">
        <v>-2.1670840436835702E-4</v>
      </c>
    </row>
    <row r="72" spans="1:11" x14ac:dyDescent="0.25">
      <c r="A72" s="4" t="s">
        <v>116</v>
      </c>
      <c r="B72" s="9">
        <v>0</v>
      </c>
      <c r="C72" s="9">
        <v>0</v>
      </c>
      <c r="D72" s="9">
        <v>0</v>
      </c>
      <c r="E72" s="9">
        <v>0</v>
      </c>
      <c r="F72" s="5">
        <v>0</v>
      </c>
      <c r="G72" s="9">
        <v>0</v>
      </c>
      <c r="H72" s="9">
        <v>0</v>
      </c>
      <c r="I72" s="9">
        <v>-1025979107</v>
      </c>
      <c r="J72" s="9">
        <v>-1025979107</v>
      </c>
      <c r="K72" s="5">
        <v>-9.7830983343978779E-4</v>
      </c>
    </row>
    <row r="73" spans="1:11" x14ac:dyDescent="0.25">
      <c r="A73" s="4" t="s">
        <v>115</v>
      </c>
      <c r="B73" s="9">
        <v>0</v>
      </c>
      <c r="C73" s="9">
        <v>0</v>
      </c>
      <c r="D73" s="9">
        <v>0</v>
      </c>
      <c r="E73" s="9">
        <v>0</v>
      </c>
      <c r="F73" s="5">
        <v>0</v>
      </c>
      <c r="G73" s="9">
        <v>0</v>
      </c>
      <c r="H73" s="9">
        <v>0</v>
      </c>
      <c r="I73" s="9">
        <v>-343528390</v>
      </c>
      <c r="J73" s="9">
        <v>-343528390</v>
      </c>
      <c r="K73" s="5">
        <v>-3.2756729616594275E-4</v>
      </c>
    </row>
    <row r="74" spans="1:11" x14ac:dyDescent="0.25">
      <c r="A74" s="4" t="s">
        <v>114</v>
      </c>
      <c r="B74" s="9">
        <v>0</v>
      </c>
      <c r="C74" s="9">
        <v>0</v>
      </c>
      <c r="D74" s="9">
        <v>0</v>
      </c>
      <c r="E74" s="9">
        <v>0</v>
      </c>
      <c r="F74" s="5">
        <v>0</v>
      </c>
      <c r="G74" s="9">
        <v>0</v>
      </c>
      <c r="H74" s="9">
        <v>0</v>
      </c>
      <c r="I74" s="9">
        <v>2957489400</v>
      </c>
      <c r="J74" s="9">
        <v>2957489400</v>
      </c>
      <c r="K74" s="5">
        <v>2.820077857895344E-3</v>
      </c>
    </row>
    <row r="75" spans="1:11" x14ac:dyDescent="0.25">
      <c r="A75" s="4" t="s">
        <v>113</v>
      </c>
      <c r="B75" s="9">
        <v>0</v>
      </c>
      <c r="C75" s="9">
        <v>0</v>
      </c>
      <c r="D75" s="9">
        <v>0</v>
      </c>
      <c r="E75" s="9">
        <v>0</v>
      </c>
      <c r="F75" s="5">
        <v>0</v>
      </c>
      <c r="G75" s="9">
        <v>0</v>
      </c>
      <c r="H75" s="9">
        <v>0</v>
      </c>
      <c r="I75" s="9">
        <v>3546254417</v>
      </c>
      <c r="J75" s="9">
        <v>3546254417</v>
      </c>
      <c r="K75" s="5">
        <v>3.3814875413738631E-3</v>
      </c>
    </row>
    <row r="76" spans="1:11" ht="18" thickBot="1" x14ac:dyDescent="0.3">
      <c r="A76" s="4" t="s">
        <v>2</v>
      </c>
      <c r="B76" s="6">
        <f t="shared" ref="B76:K76" si="0">SUM(B10:B75)</f>
        <v>9562628936</v>
      </c>
      <c r="C76" s="6">
        <f t="shared" si="0"/>
        <v>201756478982</v>
      </c>
      <c r="D76" s="6">
        <f t="shared" si="0"/>
        <v>86532329436</v>
      </c>
      <c r="E76" s="6">
        <f t="shared" si="0"/>
        <v>297851437354</v>
      </c>
      <c r="F76" s="7">
        <f t="shared" si="0"/>
        <v>0.99273952406851118</v>
      </c>
      <c r="G76" s="6">
        <f t="shared" si="0"/>
        <v>81005367922</v>
      </c>
      <c r="H76" s="6">
        <f t="shared" si="0"/>
        <v>745279631640</v>
      </c>
      <c r="I76" s="6">
        <f t="shared" si="0"/>
        <v>185366364894</v>
      </c>
      <c r="J76" s="6">
        <f t="shared" si="0"/>
        <v>1011651364456</v>
      </c>
      <c r="K76" s="7">
        <f t="shared" si="0"/>
        <v>0.96464778971379495</v>
      </c>
    </row>
    <row r="77" spans="1:11" ht="18" thickTop="1" x14ac:dyDescent="0.25"/>
  </sheetData>
  <mergeCells count="15">
    <mergeCell ref="A1:K1"/>
    <mergeCell ref="A2:K2"/>
    <mergeCell ref="A3:K3"/>
    <mergeCell ref="I8:I9"/>
    <mergeCell ref="E8:F8"/>
    <mergeCell ref="J8:K8"/>
    <mergeCell ref="A5:K5"/>
    <mergeCell ref="B8:B9"/>
    <mergeCell ref="C8:C9"/>
    <mergeCell ref="D8:D9"/>
    <mergeCell ref="G8:G9"/>
    <mergeCell ref="H8:H9"/>
    <mergeCell ref="G7:K7"/>
    <mergeCell ref="B7:F7"/>
    <mergeCell ref="A8:A9"/>
  </mergeCells>
  <pageMargins left="0.7" right="0.7" top="0.75" bottom="0.75" header="0.3" footer="0.3"/>
  <pageSetup scale="49" orientation="landscape" horizontalDpi="4294967295" verticalDpi="4294967295" r:id="rId1"/>
  <rowBreaks count="1" manualBreakCount="1">
    <brk id="37" max="10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33EF6-50AE-4E64-A9A1-86B500CAFDB1}">
  <dimension ref="A1:F12"/>
  <sheetViews>
    <sheetView rightToLeft="1" tabSelected="1" view="pageBreakPreview" zoomScaleNormal="100" zoomScaleSheetLayoutView="100" workbookViewId="0">
      <selection activeCell="M27" sqref="M27"/>
    </sheetView>
  </sheetViews>
  <sheetFormatPr defaultColWidth="9.140625" defaultRowHeight="17.25" x14ac:dyDescent="0.25"/>
  <cols>
    <col min="1" max="1" width="23.7109375" style="8" customWidth="1"/>
    <col min="2" max="2" width="24.140625" style="8" customWidth="1"/>
    <col min="3" max="3" width="13" style="8" customWidth="1"/>
    <col min="4" max="4" width="24.140625" style="8" customWidth="1"/>
    <col min="5" max="5" width="13" style="8" customWidth="1"/>
    <col min="6" max="16384" width="9.140625" style="8"/>
  </cols>
  <sheetData>
    <row r="1" spans="1:6" ht="21" x14ac:dyDescent="0.25">
      <c r="A1" s="51" t="s">
        <v>94</v>
      </c>
      <c r="B1" s="51"/>
      <c r="C1" s="51"/>
      <c r="D1" s="51"/>
      <c r="E1" s="51"/>
    </row>
    <row r="2" spans="1:6" ht="21" x14ac:dyDescent="0.25">
      <c r="A2" s="51" t="s">
        <v>27</v>
      </c>
      <c r="B2" s="51"/>
      <c r="C2" s="51"/>
      <c r="D2" s="51"/>
      <c r="E2" s="51"/>
    </row>
    <row r="3" spans="1:6" ht="21" x14ac:dyDescent="0.25">
      <c r="A3" s="51" t="s">
        <v>253</v>
      </c>
      <c r="B3" s="51"/>
      <c r="C3" s="51"/>
      <c r="D3" s="51"/>
      <c r="E3" s="51"/>
    </row>
    <row r="4" spans="1:6" ht="21" x14ac:dyDescent="0.25">
      <c r="A4" s="28"/>
      <c r="B4" s="28"/>
      <c r="C4" s="28"/>
      <c r="D4" s="28"/>
      <c r="E4" s="28"/>
    </row>
    <row r="5" spans="1:6" ht="21" x14ac:dyDescent="0.25">
      <c r="A5" s="52" t="s">
        <v>271</v>
      </c>
      <c r="B5" s="52"/>
      <c r="C5" s="52"/>
      <c r="D5" s="52"/>
      <c r="E5" s="52"/>
    </row>
    <row r="6" spans="1:6" x14ac:dyDescent="0.25">
      <c r="A6" s="11"/>
      <c r="B6" s="11"/>
      <c r="C6" s="11"/>
      <c r="D6" s="11"/>
      <c r="E6" s="11"/>
    </row>
    <row r="7" spans="1:6" ht="18" thickBot="1" x14ac:dyDescent="0.3">
      <c r="A7" s="16"/>
      <c r="B7" s="67" t="s">
        <v>268</v>
      </c>
      <c r="C7" s="67"/>
      <c r="D7" s="65" t="s">
        <v>269</v>
      </c>
      <c r="E7" s="65"/>
      <c r="F7" s="15"/>
    </row>
    <row r="8" spans="1:6" ht="35.25" thickBot="1" x14ac:dyDescent="0.3">
      <c r="A8" s="33" t="s">
        <v>41</v>
      </c>
      <c r="B8" s="33" t="s">
        <v>7</v>
      </c>
      <c r="C8" s="33" t="s">
        <v>42</v>
      </c>
      <c r="D8" s="33" t="s">
        <v>7</v>
      </c>
      <c r="E8" s="33" t="s">
        <v>42</v>
      </c>
      <c r="F8" s="12"/>
    </row>
    <row r="9" spans="1:6" x14ac:dyDescent="0.25">
      <c r="A9" s="4" t="s">
        <v>36</v>
      </c>
      <c r="B9" s="9">
        <v>1799671</v>
      </c>
      <c r="C9" s="5">
        <f>B9/B11</f>
        <v>9.0735319707312275E-4</v>
      </c>
      <c r="D9" s="9">
        <v>84651319</v>
      </c>
      <c r="E9" s="5">
        <f>D9/D11</f>
        <v>4.743919021525083E-3</v>
      </c>
    </row>
    <row r="10" spans="1:6" x14ac:dyDescent="0.25">
      <c r="A10" s="4" t="s">
        <v>35</v>
      </c>
      <c r="B10" s="9">
        <v>1981629721</v>
      </c>
      <c r="C10" s="5">
        <f>B10/B11</f>
        <v>0.99909264680292686</v>
      </c>
      <c r="D10" s="9">
        <v>17759523216</v>
      </c>
      <c r="E10" s="5">
        <f>D10/D11</f>
        <v>0.99525608097847496</v>
      </c>
    </row>
    <row r="11" spans="1:6" ht="18" thickBot="1" x14ac:dyDescent="0.3">
      <c r="A11" s="4" t="s">
        <v>2</v>
      </c>
      <c r="B11" s="6">
        <f>SUM(B9:B10)</f>
        <v>1983429392</v>
      </c>
      <c r="C11" s="7">
        <f>SUM(C9:C10)</f>
        <v>1</v>
      </c>
      <c r="D11" s="6">
        <f>SUM(D9:D10)</f>
        <v>17844174535</v>
      </c>
      <c r="E11" s="7">
        <f>SUM(E9:E10)</f>
        <v>1</v>
      </c>
    </row>
    <row r="12" spans="1:6" ht="18" thickTop="1" x14ac:dyDescent="0.25"/>
  </sheetData>
  <mergeCells count="6">
    <mergeCell ref="B7:C7"/>
    <mergeCell ref="A5:E5"/>
    <mergeCell ref="D7:E7"/>
    <mergeCell ref="A1:E1"/>
    <mergeCell ref="A2:E2"/>
    <mergeCell ref="A3:E3"/>
  </mergeCells>
  <pageMargins left="0.7" right="0.7" top="0.75" bottom="0.75" header="0.3" footer="0.3"/>
  <pageSetup scale="8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B068D-3A4C-43FA-98C1-AD1D6A395E6E}">
  <dimension ref="A1:J72"/>
  <sheetViews>
    <sheetView rightToLeft="1" tabSelected="1" view="pageBreakPreview" topLeftCell="A55" zoomScaleNormal="100" zoomScaleSheetLayoutView="100" workbookViewId="0">
      <selection activeCell="M27" sqref="M27"/>
    </sheetView>
  </sheetViews>
  <sheetFormatPr defaultColWidth="8.85546875" defaultRowHeight="19.5" x14ac:dyDescent="0.25"/>
  <cols>
    <col min="1" max="1" width="38.42578125" style="14" customWidth="1"/>
    <col min="2" max="3" width="20" style="14" customWidth="1"/>
    <col min="4" max="4" width="19" style="14" customWidth="1"/>
    <col min="5" max="5" width="10.85546875" style="14" customWidth="1"/>
    <col min="6" max="7" width="20" style="14" customWidth="1"/>
    <col min="8" max="8" width="19" style="14" customWidth="1"/>
    <col min="9" max="9" width="10.85546875" style="14" customWidth="1"/>
    <col min="10" max="16384" width="8.85546875" style="14"/>
  </cols>
  <sheetData>
    <row r="1" spans="1:10" ht="21" x14ac:dyDescent="0.25">
      <c r="A1" s="51" t="s">
        <v>94</v>
      </c>
      <c r="B1" s="51"/>
      <c r="C1" s="51"/>
      <c r="D1" s="51"/>
      <c r="E1" s="51"/>
      <c r="F1" s="51"/>
      <c r="G1" s="51"/>
      <c r="H1" s="51"/>
      <c r="I1" s="51"/>
    </row>
    <row r="2" spans="1:10" ht="21" x14ac:dyDescent="0.25">
      <c r="A2" s="51" t="s">
        <v>239</v>
      </c>
      <c r="B2" s="51"/>
      <c r="C2" s="51"/>
      <c r="D2" s="51"/>
      <c r="E2" s="51"/>
      <c r="F2" s="51"/>
      <c r="G2" s="51"/>
      <c r="H2" s="51"/>
      <c r="I2" s="51"/>
    </row>
    <row r="3" spans="1:10" ht="21" x14ac:dyDescent="0.25">
      <c r="A3" s="51" t="s">
        <v>253</v>
      </c>
      <c r="B3" s="51"/>
      <c r="C3" s="51"/>
      <c r="D3" s="51"/>
      <c r="E3" s="51"/>
      <c r="F3" s="51"/>
      <c r="G3" s="51"/>
      <c r="H3" s="51"/>
      <c r="I3" s="51"/>
    </row>
    <row r="4" spans="1:10" ht="21" x14ac:dyDescent="0.25">
      <c r="A4" s="28"/>
      <c r="B4" s="28"/>
      <c r="C4" s="28"/>
      <c r="D4" s="28"/>
      <c r="E4" s="28"/>
      <c r="F4" s="28"/>
      <c r="G4" s="28"/>
    </row>
    <row r="5" spans="1:10" ht="21" x14ac:dyDescent="0.25">
      <c r="A5" s="52" t="s">
        <v>272</v>
      </c>
      <c r="B5" s="52"/>
      <c r="C5" s="52"/>
      <c r="D5" s="52"/>
      <c r="E5" s="52"/>
      <c r="F5" s="52"/>
      <c r="G5" s="52"/>
    </row>
    <row r="6" spans="1:10" x14ac:dyDescent="0.25">
      <c r="B6" s="42"/>
      <c r="C6" s="42"/>
      <c r="D6" s="42"/>
    </row>
    <row r="7" spans="1:10" ht="20.25" thickBot="1" x14ac:dyDescent="0.3">
      <c r="A7" s="35"/>
      <c r="B7" s="65" t="s">
        <v>268</v>
      </c>
      <c r="C7" s="65"/>
      <c r="D7" s="65"/>
      <c r="E7" s="65"/>
      <c r="F7" s="65" t="s">
        <v>269</v>
      </c>
      <c r="G7" s="65"/>
      <c r="H7" s="65"/>
      <c r="I7" s="65"/>
    </row>
    <row r="8" spans="1:10" ht="15" customHeight="1" thickBot="1" x14ac:dyDescent="0.3">
      <c r="A8" s="70" t="s">
        <v>203</v>
      </c>
      <c r="B8" s="68" t="s">
        <v>5</v>
      </c>
      <c r="C8" s="68" t="s">
        <v>6</v>
      </c>
      <c r="D8" s="64" t="s">
        <v>2</v>
      </c>
      <c r="E8" s="64"/>
      <c r="F8" s="68" t="s">
        <v>5</v>
      </c>
      <c r="G8" s="68" t="s">
        <v>6</v>
      </c>
      <c r="H8" s="64" t="s">
        <v>2</v>
      </c>
      <c r="I8" s="64"/>
    </row>
    <row r="9" spans="1:10" ht="35.25" thickBot="1" x14ac:dyDescent="0.3">
      <c r="A9" s="67"/>
      <c r="B9" s="69"/>
      <c r="C9" s="69" t="s">
        <v>146</v>
      </c>
      <c r="D9" s="13" t="s">
        <v>4</v>
      </c>
      <c r="E9" s="13" t="s">
        <v>145</v>
      </c>
      <c r="F9" s="69"/>
      <c r="G9" s="69" t="s">
        <v>146</v>
      </c>
      <c r="H9" s="13" t="s">
        <v>4</v>
      </c>
      <c r="I9" s="13" t="s">
        <v>145</v>
      </c>
    </row>
    <row r="10" spans="1:10" x14ac:dyDescent="0.25">
      <c r="A10" s="4" t="s">
        <v>197</v>
      </c>
      <c r="B10" s="9">
        <v>-8324689</v>
      </c>
      <c r="C10" s="9">
        <v>0</v>
      </c>
      <c r="D10" s="9">
        <v>-8324689</v>
      </c>
      <c r="E10" s="5">
        <v>-2.7746207536531748E-5</v>
      </c>
      <c r="F10" s="9">
        <v>0</v>
      </c>
      <c r="G10" s="9">
        <v>299954704</v>
      </c>
      <c r="H10" s="9">
        <v>299954704</v>
      </c>
      <c r="I10" s="5">
        <v>2.8601814063034409E-4</v>
      </c>
      <c r="J10" s="25"/>
    </row>
    <row r="11" spans="1:10" x14ac:dyDescent="0.25">
      <c r="A11" s="4" t="s">
        <v>104</v>
      </c>
      <c r="B11" s="9">
        <v>854215988</v>
      </c>
      <c r="C11" s="9">
        <v>180000000</v>
      </c>
      <c r="D11" s="9">
        <v>1034215988</v>
      </c>
      <c r="E11" s="5">
        <v>3.4470442608303116E-3</v>
      </c>
      <c r="F11" s="9">
        <v>0</v>
      </c>
      <c r="G11" s="9">
        <v>180000000</v>
      </c>
      <c r="H11" s="9">
        <v>180000000</v>
      </c>
      <c r="I11" s="5">
        <v>1.7163679924640199E-4</v>
      </c>
      <c r="J11" s="25"/>
    </row>
    <row r="12" spans="1:10" x14ac:dyDescent="0.25">
      <c r="A12" s="4" t="s">
        <v>196</v>
      </c>
      <c r="B12" s="9">
        <v>-715457630</v>
      </c>
      <c r="C12" s="9">
        <v>0</v>
      </c>
      <c r="D12" s="9">
        <v>-715457630</v>
      </c>
      <c r="E12" s="5">
        <v>-2.3846219222814378E-3</v>
      </c>
      <c r="F12" s="9">
        <v>0</v>
      </c>
      <c r="G12" s="9">
        <v>-2400302667</v>
      </c>
      <c r="H12" s="9">
        <v>-2400302667</v>
      </c>
      <c r="I12" s="5">
        <v>-2.288779261036013E-3</v>
      </c>
      <c r="J12" s="25"/>
    </row>
    <row r="13" spans="1:10" x14ac:dyDescent="0.25">
      <c r="A13" s="4" t="s">
        <v>195</v>
      </c>
      <c r="B13" s="9">
        <v>-84935613</v>
      </c>
      <c r="C13" s="9">
        <v>0</v>
      </c>
      <c r="D13" s="9">
        <v>-84935613</v>
      </c>
      <c r="E13" s="5">
        <v>-2.8309059299879476E-4</v>
      </c>
      <c r="F13" s="9">
        <v>0</v>
      </c>
      <c r="G13" s="9">
        <v>164594743</v>
      </c>
      <c r="H13" s="9">
        <v>164594743</v>
      </c>
      <c r="I13" s="5">
        <v>1.5694730478502296E-4</v>
      </c>
      <c r="J13" s="25"/>
    </row>
    <row r="14" spans="1:10" x14ac:dyDescent="0.25">
      <c r="A14" s="4" t="s">
        <v>194</v>
      </c>
      <c r="B14" s="9">
        <v>-2098409250</v>
      </c>
      <c r="C14" s="9">
        <v>0</v>
      </c>
      <c r="D14" s="9">
        <v>-2098409250</v>
      </c>
      <c r="E14" s="5">
        <v>-6.9940028446801956E-3</v>
      </c>
      <c r="F14" s="9">
        <v>0</v>
      </c>
      <c r="G14" s="9">
        <v>250714024</v>
      </c>
      <c r="H14" s="9">
        <v>250714024</v>
      </c>
      <c r="I14" s="5">
        <v>2.3906529225303119E-4</v>
      </c>
      <c r="J14" s="25"/>
    </row>
    <row r="15" spans="1:10" x14ac:dyDescent="0.25">
      <c r="A15" s="4" t="s">
        <v>107</v>
      </c>
      <c r="B15" s="9">
        <v>-417244111</v>
      </c>
      <c r="C15" s="9">
        <v>-1900329176</v>
      </c>
      <c r="D15" s="9">
        <v>-2317573287</v>
      </c>
      <c r="E15" s="5">
        <v>-7.7244770828344524E-3</v>
      </c>
      <c r="F15" s="9">
        <v>0</v>
      </c>
      <c r="G15" s="9">
        <v>-1900329176</v>
      </c>
      <c r="H15" s="9">
        <v>-1900329176</v>
      </c>
      <c r="I15" s="5">
        <v>-1.8120356515732919E-3</v>
      </c>
      <c r="J15" s="25"/>
    </row>
    <row r="16" spans="1:10" x14ac:dyDescent="0.25">
      <c r="A16" s="4" t="s">
        <v>257</v>
      </c>
      <c r="B16" s="9">
        <v>0</v>
      </c>
      <c r="C16" s="9">
        <v>64000000</v>
      </c>
      <c r="D16" s="9">
        <v>64000000</v>
      </c>
      <c r="E16" s="5">
        <v>2.1331214683672047E-4</v>
      </c>
      <c r="F16" s="9">
        <v>0</v>
      </c>
      <c r="G16" s="9">
        <v>64000000</v>
      </c>
      <c r="H16" s="9">
        <v>64000000</v>
      </c>
      <c r="I16" s="5">
        <v>6.1026417509831823E-5</v>
      </c>
      <c r="J16" s="25"/>
    </row>
    <row r="17" spans="1:10" x14ac:dyDescent="0.25">
      <c r="A17" s="4" t="s">
        <v>256</v>
      </c>
      <c r="B17" s="9">
        <v>-980506703</v>
      </c>
      <c r="C17" s="9">
        <v>4138415438</v>
      </c>
      <c r="D17" s="9">
        <v>3157908735</v>
      </c>
      <c r="E17" s="5">
        <v>1.0525317059020035E-2</v>
      </c>
      <c r="F17" s="9">
        <v>-980506703</v>
      </c>
      <c r="G17" s="9">
        <v>4138415438</v>
      </c>
      <c r="H17" s="9">
        <v>3157908735</v>
      </c>
      <c r="I17" s="5">
        <v>3.0111852643758571E-3</v>
      </c>
      <c r="J17" s="25"/>
    </row>
    <row r="18" spans="1:10" x14ac:dyDescent="0.25">
      <c r="A18" s="4" t="s">
        <v>255</v>
      </c>
      <c r="B18" s="9">
        <v>0</v>
      </c>
      <c r="C18" s="9">
        <v>593146000</v>
      </c>
      <c r="D18" s="9">
        <v>593146000</v>
      </c>
      <c r="E18" s="5">
        <v>1.9769569788689596E-3</v>
      </c>
      <c r="F18" s="9">
        <v>0</v>
      </c>
      <c r="G18" s="9">
        <v>593146000</v>
      </c>
      <c r="H18" s="9">
        <v>593146000</v>
      </c>
      <c r="I18" s="5">
        <v>5.6558711625447977E-4</v>
      </c>
      <c r="J18" s="25"/>
    </row>
    <row r="19" spans="1:10" x14ac:dyDescent="0.25">
      <c r="A19" s="4" t="s">
        <v>193</v>
      </c>
      <c r="B19" s="9">
        <v>0</v>
      </c>
      <c r="C19" s="9">
        <v>0</v>
      </c>
      <c r="D19" s="9">
        <v>0</v>
      </c>
      <c r="E19" s="5">
        <v>0</v>
      </c>
      <c r="F19" s="9">
        <v>-2498107</v>
      </c>
      <c r="G19" s="9">
        <v>0</v>
      </c>
      <c r="H19" s="9">
        <v>-2498107</v>
      </c>
      <c r="I19" s="5">
        <v>-2.3820393869723978E-6</v>
      </c>
      <c r="J19" s="25"/>
    </row>
    <row r="20" spans="1:10" x14ac:dyDescent="0.25">
      <c r="A20" s="4" t="s">
        <v>192</v>
      </c>
      <c r="B20" s="9">
        <v>0</v>
      </c>
      <c r="C20" s="9">
        <v>0</v>
      </c>
      <c r="D20" s="9">
        <v>0</v>
      </c>
      <c r="E20" s="5">
        <v>0</v>
      </c>
      <c r="F20" s="9">
        <v>0</v>
      </c>
      <c r="G20" s="9">
        <v>2675971415</v>
      </c>
      <c r="H20" s="9">
        <v>2675971415</v>
      </c>
      <c r="I20" s="5">
        <v>2.5516398252525851E-3</v>
      </c>
      <c r="J20" s="25"/>
    </row>
    <row r="21" spans="1:10" x14ac:dyDescent="0.25">
      <c r="A21" s="4" t="s">
        <v>191</v>
      </c>
      <c r="B21" s="9">
        <v>0</v>
      </c>
      <c r="C21" s="9">
        <v>0</v>
      </c>
      <c r="D21" s="9">
        <v>0</v>
      </c>
      <c r="E21" s="5">
        <v>0</v>
      </c>
      <c r="F21" s="9">
        <v>0</v>
      </c>
      <c r="G21" s="9">
        <v>-11252302</v>
      </c>
      <c r="H21" s="9">
        <v>-11252302</v>
      </c>
      <c r="I21" s="5">
        <v>-1.0729494996854932E-5</v>
      </c>
      <c r="J21" s="25"/>
    </row>
    <row r="22" spans="1:10" x14ac:dyDescent="0.25">
      <c r="A22" s="4" t="s">
        <v>190</v>
      </c>
      <c r="B22" s="9">
        <v>0</v>
      </c>
      <c r="C22" s="9">
        <v>0</v>
      </c>
      <c r="D22" s="9">
        <v>0</v>
      </c>
      <c r="E22" s="5">
        <v>0</v>
      </c>
      <c r="F22" s="9">
        <v>-16531468</v>
      </c>
      <c r="G22" s="9">
        <v>0</v>
      </c>
      <c r="H22" s="9">
        <v>-16531468</v>
      </c>
      <c r="I22" s="5">
        <v>-1.5763379190912883E-5</v>
      </c>
      <c r="J22" s="25"/>
    </row>
    <row r="23" spans="1:10" x14ac:dyDescent="0.25">
      <c r="A23" s="4" t="s">
        <v>189</v>
      </c>
      <c r="B23" s="9">
        <v>0</v>
      </c>
      <c r="C23" s="9">
        <v>0</v>
      </c>
      <c r="D23" s="9">
        <v>0</v>
      </c>
      <c r="E23" s="5">
        <v>0</v>
      </c>
      <c r="F23" s="9">
        <v>0</v>
      </c>
      <c r="G23" s="9">
        <v>80866755</v>
      </c>
      <c r="H23" s="9">
        <v>80866755</v>
      </c>
      <c r="I23" s="5">
        <v>7.7109505520238757E-5</v>
      </c>
      <c r="J23" s="25"/>
    </row>
    <row r="24" spans="1:10" x14ac:dyDescent="0.25">
      <c r="A24" s="4" t="s">
        <v>188</v>
      </c>
      <c r="B24" s="9">
        <v>0</v>
      </c>
      <c r="C24" s="9">
        <v>0</v>
      </c>
      <c r="D24" s="9">
        <v>0</v>
      </c>
      <c r="E24" s="5">
        <v>0</v>
      </c>
      <c r="F24" s="9">
        <v>0</v>
      </c>
      <c r="G24" s="9">
        <v>-116224949</v>
      </c>
      <c r="H24" s="9">
        <v>-116224949</v>
      </c>
      <c r="I24" s="5">
        <v>-1.1082487910520173E-4</v>
      </c>
      <c r="J24" s="25"/>
    </row>
    <row r="25" spans="1:10" x14ac:dyDescent="0.25">
      <c r="A25" s="4" t="s">
        <v>187</v>
      </c>
      <c r="B25" s="9">
        <v>0</v>
      </c>
      <c r="C25" s="9">
        <v>0</v>
      </c>
      <c r="D25" s="9">
        <v>0</v>
      </c>
      <c r="E25" s="5">
        <v>0</v>
      </c>
      <c r="F25" s="9">
        <v>0</v>
      </c>
      <c r="G25" s="9">
        <v>-27066616</v>
      </c>
      <c r="H25" s="9">
        <v>-27066616</v>
      </c>
      <c r="I25" s="5">
        <v>-2.5809040759285846E-5</v>
      </c>
      <c r="J25" s="25"/>
    </row>
    <row r="26" spans="1:10" x14ac:dyDescent="0.25">
      <c r="A26" s="4" t="s">
        <v>186</v>
      </c>
      <c r="B26" s="9">
        <v>0</v>
      </c>
      <c r="C26" s="9">
        <v>0</v>
      </c>
      <c r="D26" s="9">
        <v>0</v>
      </c>
      <c r="E26" s="5">
        <v>0</v>
      </c>
      <c r="F26" s="9">
        <v>0</v>
      </c>
      <c r="G26" s="9">
        <v>299927440</v>
      </c>
      <c r="H26" s="9">
        <v>299927440</v>
      </c>
      <c r="I26" s="5">
        <v>2.8599214337648489E-4</v>
      </c>
      <c r="J26" s="25"/>
    </row>
    <row r="27" spans="1:10" x14ac:dyDescent="0.25">
      <c r="A27" s="4" t="s">
        <v>185</v>
      </c>
      <c r="B27" s="9">
        <v>0</v>
      </c>
      <c r="C27" s="9">
        <v>0</v>
      </c>
      <c r="D27" s="9">
        <v>0</v>
      </c>
      <c r="E27" s="5">
        <v>0</v>
      </c>
      <c r="F27" s="9">
        <v>0</v>
      </c>
      <c r="G27" s="9">
        <v>-23113573</v>
      </c>
      <c r="H27" s="9">
        <v>-23113573</v>
      </c>
      <c r="I27" s="5">
        <v>-2.2039664938155878E-5</v>
      </c>
      <c r="J27" s="25"/>
    </row>
    <row r="28" spans="1:10" x14ac:dyDescent="0.25">
      <c r="A28" s="4" t="s">
        <v>184</v>
      </c>
      <c r="B28" s="9">
        <v>0</v>
      </c>
      <c r="C28" s="9">
        <v>0</v>
      </c>
      <c r="D28" s="9">
        <v>0</v>
      </c>
      <c r="E28" s="5">
        <v>0</v>
      </c>
      <c r="F28" s="9">
        <v>0</v>
      </c>
      <c r="G28" s="9">
        <v>49988663</v>
      </c>
      <c r="H28" s="9">
        <v>49988663</v>
      </c>
      <c r="I28" s="5">
        <v>4.7666078421816913E-5</v>
      </c>
      <c r="J28" s="25"/>
    </row>
    <row r="29" spans="1:10" x14ac:dyDescent="0.25">
      <c r="A29" s="4" t="s">
        <v>183</v>
      </c>
      <c r="B29" s="9">
        <v>0</v>
      </c>
      <c r="C29" s="9">
        <v>0</v>
      </c>
      <c r="D29" s="9">
        <v>0</v>
      </c>
      <c r="E29" s="5">
        <v>0</v>
      </c>
      <c r="F29" s="9">
        <v>0</v>
      </c>
      <c r="G29" s="9">
        <v>-137249186</v>
      </c>
      <c r="H29" s="9">
        <v>-137249186</v>
      </c>
      <c r="I29" s="5">
        <v>-1.3087228324563382E-4</v>
      </c>
      <c r="J29" s="25"/>
    </row>
    <row r="30" spans="1:10" x14ac:dyDescent="0.25">
      <c r="A30" s="4" t="s">
        <v>182</v>
      </c>
      <c r="B30" s="9">
        <v>0</v>
      </c>
      <c r="C30" s="9">
        <v>0</v>
      </c>
      <c r="D30" s="9">
        <v>0</v>
      </c>
      <c r="E30" s="5">
        <v>0</v>
      </c>
      <c r="F30" s="9">
        <v>0</v>
      </c>
      <c r="G30" s="9">
        <v>-31062868</v>
      </c>
      <c r="H30" s="9">
        <v>-31062868</v>
      </c>
      <c r="I30" s="5">
        <v>-2.9619617994074916E-5</v>
      </c>
      <c r="J30" s="25"/>
    </row>
    <row r="31" spans="1:10" x14ac:dyDescent="0.25">
      <c r="A31" s="4" t="s">
        <v>181</v>
      </c>
      <c r="B31" s="9">
        <v>0</v>
      </c>
      <c r="C31" s="9">
        <v>0</v>
      </c>
      <c r="D31" s="9">
        <v>0</v>
      </c>
      <c r="E31" s="5">
        <v>0</v>
      </c>
      <c r="F31" s="9">
        <v>0</v>
      </c>
      <c r="G31" s="9">
        <v>76038490</v>
      </c>
      <c r="H31" s="9">
        <v>76038490</v>
      </c>
      <c r="I31" s="5">
        <v>7.2505572461830812E-5</v>
      </c>
      <c r="J31" s="25"/>
    </row>
    <row r="32" spans="1:10" x14ac:dyDescent="0.25">
      <c r="A32" s="4" t="s">
        <v>180</v>
      </c>
      <c r="B32" s="9">
        <v>0</v>
      </c>
      <c r="C32" s="9">
        <v>0</v>
      </c>
      <c r="D32" s="9">
        <v>0</v>
      </c>
      <c r="E32" s="5">
        <v>0</v>
      </c>
      <c r="F32" s="9">
        <v>0</v>
      </c>
      <c r="G32" s="9">
        <v>328984960</v>
      </c>
      <c r="H32" s="9">
        <v>328984960</v>
      </c>
      <c r="I32" s="5">
        <v>3.1369958630336439E-4</v>
      </c>
      <c r="J32" s="25"/>
    </row>
    <row r="33" spans="1:10" x14ac:dyDescent="0.25">
      <c r="A33" s="4" t="s">
        <v>179</v>
      </c>
      <c r="B33" s="9">
        <v>0</v>
      </c>
      <c r="C33" s="9">
        <v>0</v>
      </c>
      <c r="D33" s="9">
        <v>0</v>
      </c>
      <c r="E33" s="5">
        <v>0</v>
      </c>
      <c r="F33" s="9">
        <v>0</v>
      </c>
      <c r="G33" s="9">
        <v>2066660694</v>
      </c>
      <c r="H33" s="9">
        <v>2066660694</v>
      </c>
      <c r="I33" s="5">
        <v>1.9706390369250435E-3</v>
      </c>
      <c r="J33" s="25"/>
    </row>
    <row r="34" spans="1:10" x14ac:dyDescent="0.25">
      <c r="A34" s="4" t="s">
        <v>178</v>
      </c>
      <c r="B34" s="9">
        <v>0</v>
      </c>
      <c r="C34" s="9">
        <v>0</v>
      </c>
      <c r="D34" s="9">
        <v>0</v>
      </c>
      <c r="E34" s="5">
        <v>0</v>
      </c>
      <c r="F34" s="9">
        <v>0</v>
      </c>
      <c r="G34" s="9">
        <v>86002390</v>
      </c>
      <c r="H34" s="9">
        <v>86002390</v>
      </c>
      <c r="I34" s="5">
        <v>8.2006527484115402E-5</v>
      </c>
      <c r="J34" s="25"/>
    </row>
    <row r="35" spans="1:10" x14ac:dyDescent="0.25">
      <c r="A35" s="4" t="s">
        <v>177</v>
      </c>
      <c r="B35" s="9">
        <v>0</v>
      </c>
      <c r="C35" s="9">
        <v>0</v>
      </c>
      <c r="D35" s="9">
        <v>0</v>
      </c>
      <c r="E35" s="5">
        <v>0</v>
      </c>
      <c r="F35" s="9">
        <v>0</v>
      </c>
      <c r="G35" s="9">
        <v>2443270643</v>
      </c>
      <c r="H35" s="9">
        <v>2443270643</v>
      </c>
      <c r="I35" s="5">
        <v>2.3297508492067698E-3</v>
      </c>
      <c r="J35" s="25"/>
    </row>
    <row r="36" spans="1:10" x14ac:dyDescent="0.25">
      <c r="A36" s="4" t="s">
        <v>176</v>
      </c>
      <c r="B36" s="9">
        <v>0</v>
      </c>
      <c r="C36" s="9">
        <v>0</v>
      </c>
      <c r="D36" s="9">
        <v>0</v>
      </c>
      <c r="E36" s="5">
        <v>0</v>
      </c>
      <c r="F36" s="9">
        <v>0</v>
      </c>
      <c r="G36" s="9">
        <v>262945640</v>
      </c>
      <c r="H36" s="9">
        <v>262945640</v>
      </c>
      <c r="I36" s="5">
        <v>2.5072860014109272E-4</v>
      </c>
      <c r="J36" s="25"/>
    </row>
    <row r="37" spans="1:10" x14ac:dyDescent="0.25">
      <c r="A37" s="4" t="s">
        <v>175</v>
      </c>
      <c r="B37" s="9">
        <v>0</v>
      </c>
      <c r="C37" s="9">
        <v>0</v>
      </c>
      <c r="D37" s="9">
        <v>0</v>
      </c>
      <c r="E37" s="5">
        <v>0</v>
      </c>
      <c r="F37" s="9">
        <v>0</v>
      </c>
      <c r="G37" s="9">
        <v>2950920590</v>
      </c>
      <c r="H37" s="9">
        <v>2950920590</v>
      </c>
      <c r="I37" s="5">
        <v>2.8138142494328008E-3</v>
      </c>
      <c r="J37" s="25"/>
    </row>
    <row r="38" spans="1:10" x14ac:dyDescent="0.25">
      <c r="A38" s="4" t="s">
        <v>174</v>
      </c>
      <c r="B38" s="9">
        <v>0</v>
      </c>
      <c r="C38" s="9">
        <v>0</v>
      </c>
      <c r="D38" s="9">
        <v>0</v>
      </c>
      <c r="E38" s="5">
        <v>0</v>
      </c>
      <c r="F38" s="9">
        <v>0</v>
      </c>
      <c r="G38" s="9">
        <v>193957616</v>
      </c>
      <c r="H38" s="9">
        <v>193957616</v>
      </c>
      <c r="I38" s="5">
        <v>1.8494591333168182E-4</v>
      </c>
      <c r="J38" s="25"/>
    </row>
    <row r="39" spans="1:10" x14ac:dyDescent="0.25">
      <c r="A39" s="4" t="s">
        <v>173</v>
      </c>
      <c r="B39" s="9">
        <v>0</v>
      </c>
      <c r="C39" s="9">
        <v>0</v>
      </c>
      <c r="D39" s="9">
        <v>0</v>
      </c>
      <c r="E39" s="5">
        <v>0</v>
      </c>
      <c r="F39" s="9">
        <v>0</v>
      </c>
      <c r="G39" s="9">
        <v>283718110</v>
      </c>
      <c r="H39" s="9">
        <v>283718110</v>
      </c>
      <c r="I39" s="5">
        <v>2.7053593493688114E-4</v>
      </c>
      <c r="J39" s="25"/>
    </row>
    <row r="40" spans="1:10" x14ac:dyDescent="0.25">
      <c r="A40" s="4" t="s">
        <v>172</v>
      </c>
      <c r="B40" s="9">
        <v>0</v>
      </c>
      <c r="C40" s="9">
        <v>0</v>
      </c>
      <c r="D40" s="9">
        <v>0</v>
      </c>
      <c r="E40" s="5">
        <v>0</v>
      </c>
      <c r="F40" s="9">
        <v>0</v>
      </c>
      <c r="G40" s="9">
        <v>26915685</v>
      </c>
      <c r="H40" s="9">
        <v>26915685</v>
      </c>
      <c r="I40" s="5">
        <v>2.5665122349579967E-5</v>
      </c>
      <c r="J40" s="25"/>
    </row>
    <row r="41" spans="1:10" x14ac:dyDescent="0.25">
      <c r="A41" s="4" t="s">
        <v>171</v>
      </c>
      <c r="B41" s="9">
        <v>0</v>
      </c>
      <c r="C41" s="9">
        <v>0</v>
      </c>
      <c r="D41" s="9">
        <v>0</v>
      </c>
      <c r="E41" s="5">
        <v>0</v>
      </c>
      <c r="F41" s="9">
        <v>0</v>
      </c>
      <c r="G41" s="9">
        <v>-46032636</v>
      </c>
      <c r="H41" s="9">
        <v>-46032636</v>
      </c>
      <c r="I41" s="5">
        <v>-4.3893857243970546E-5</v>
      </c>
      <c r="J41" s="25"/>
    </row>
    <row r="42" spans="1:10" x14ac:dyDescent="0.25">
      <c r="A42" s="4" t="s">
        <v>170</v>
      </c>
      <c r="B42" s="9">
        <v>0</v>
      </c>
      <c r="C42" s="9">
        <v>0</v>
      </c>
      <c r="D42" s="9">
        <v>0</v>
      </c>
      <c r="E42" s="5">
        <v>0</v>
      </c>
      <c r="F42" s="9">
        <v>0</v>
      </c>
      <c r="G42" s="9">
        <v>105988655</v>
      </c>
      <c r="H42" s="9">
        <v>105988655</v>
      </c>
      <c r="I42" s="5">
        <v>1.0106418611461757E-4</v>
      </c>
      <c r="J42" s="25"/>
    </row>
    <row r="43" spans="1:10" x14ac:dyDescent="0.25">
      <c r="A43" s="4" t="s">
        <v>169</v>
      </c>
      <c r="B43" s="9">
        <v>0</v>
      </c>
      <c r="C43" s="9">
        <v>0</v>
      </c>
      <c r="D43" s="9">
        <v>0</v>
      </c>
      <c r="E43" s="5">
        <v>0</v>
      </c>
      <c r="F43" s="9">
        <v>0</v>
      </c>
      <c r="G43" s="9">
        <v>224975799</v>
      </c>
      <c r="H43" s="9">
        <v>224975799</v>
      </c>
      <c r="I43" s="5">
        <v>2.1452292249034383E-4</v>
      </c>
      <c r="J43" s="25"/>
    </row>
    <row r="44" spans="1:10" x14ac:dyDescent="0.25">
      <c r="A44" s="4" t="s">
        <v>168</v>
      </c>
      <c r="B44" s="9">
        <v>0</v>
      </c>
      <c r="C44" s="9">
        <v>0</v>
      </c>
      <c r="D44" s="9">
        <v>0</v>
      </c>
      <c r="E44" s="5">
        <v>0</v>
      </c>
      <c r="F44" s="9">
        <v>0</v>
      </c>
      <c r="G44" s="9">
        <v>295223511</v>
      </c>
      <c r="H44" s="9">
        <v>295223511</v>
      </c>
      <c r="I44" s="5">
        <v>2.8150676939069417E-4</v>
      </c>
      <c r="J44" s="25"/>
    </row>
    <row r="45" spans="1:10" x14ac:dyDescent="0.25">
      <c r="A45" s="4" t="s">
        <v>167</v>
      </c>
      <c r="B45" s="9">
        <v>0</v>
      </c>
      <c r="C45" s="9">
        <v>0</v>
      </c>
      <c r="D45" s="9">
        <v>0</v>
      </c>
      <c r="E45" s="5">
        <v>0</v>
      </c>
      <c r="F45" s="9">
        <v>0</v>
      </c>
      <c r="G45" s="9">
        <v>569299070</v>
      </c>
      <c r="H45" s="9">
        <v>569299070</v>
      </c>
      <c r="I45" s="5">
        <v>5.4284816771529648E-4</v>
      </c>
      <c r="J45" s="25"/>
    </row>
    <row r="46" spans="1:10" x14ac:dyDescent="0.25">
      <c r="A46" s="4" t="s">
        <v>166</v>
      </c>
      <c r="B46" s="9">
        <v>0</v>
      </c>
      <c r="C46" s="9">
        <v>0</v>
      </c>
      <c r="D46" s="9">
        <v>0</v>
      </c>
      <c r="E46" s="5">
        <v>0</v>
      </c>
      <c r="F46" s="9">
        <v>0</v>
      </c>
      <c r="G46" s="9">
        <v>380000000</v>
      </c>
      <c r="H46" s="9">
        <v>380000000</v>
      </c>
      <c r="I46" s="5">
        <v>3.6234435396462645E-4</v>
      </c>
      <c r="J46" s="25"/>
    </row>
    <row r="47" spans="1:10" x14ac:dyDescent="0.25">
      <c r="A47" s="4" t="s">
        <v>165</v>
      </c>
      <c r="B47" s="9">
        <v>0</v>
      </c>
      <c r="C47" s="9">
        <v>0</v>
      </c>
      <c r="D47" s="9">
        <v>0</v>
      </c>
      <c r="E47" s="5">
        <v>0</v>
      </c>
      <c r="F47" s="9">
        <v>0</v>
      </c>
      <c r="G47" s="9">
        <v>85054895</v>
      </c>
      <c r="H47" s="9">
        <v>85054895</v>
      </c>
      <c r="I47" s="5">
        <v>8.110305521132668E-5</v>
      </c>
      <c r="J47" s="25"/>
    </row>
    <row r="48" spans="1:10" x14ac:dyDescent="0.25">
      <c r="A48" s="4" t="s">
        <v>164</v>
      </c>
      <c r="B48" s="9">
        <v>0</v>
      </c>
      <c r="C48" s="9">
        <v>0</v>
      </c>
      <c r="D48" s="9">
        <v>0</v>
      </c>
      <c r="E48" s="5">
        <v>0</v>
      </c>
      <c r="F48" s="9">
        <v>0</v>
      </c>
      <c r="G48" s="9">
        <v>69977280</v>
      </c>
      <c r="H48" s="9">
        <v>69977280</v>
      </c>
      <c r="I48" s="5">
        <v>6.6725979773162567E-5</v>
      </c>
      <c r="J48" s="25"/>
    </row>
    <row r="49" spans="1:10" x14ac:dyDescent="0.25">
      <c r="A49" s="4" t="s">
        <v>163</v>
      </c>
      <c r="B49" s="9">
        <v>0</v>
      </c>
      <c r="C49" s="9">
        <v>0</v>
      </c>
      <c r="D49" s="9">
        <v>0</v>
      </c>
      <c r="E49" s="5">
        <v>0</v>
      </c>
      <c r="F49" s="9">
        <v>0</v>
      </c>
      <c r="G49" s="9">
        <v>44950810</v>
      </c>
      <c r="H49" s="9">
        <v>44950810</v>
      </c>
      <c r="I49" s="5">
        <v>4.2862295288517553E-5</v>
      </c>
      <c r="J49" s="25"/>
    </row>
    <row r="50" spans="1:10" x14ac:dyDescent="0.25">
      <c r="A50" s="4" t="s">
        <v>162</v>
      </c>
      <c r="B50" s="9">
        <v>0</v>
      </c>
      <c r="C50" s="9">
        <v>0</v>
      </c>
      <c r="D50" s="9">
        <v>0</v>
      </c>
      <c r="E50" s="5">
        <v>0</v>
      </c>
      <c r="F50" s="9">
        <v>0</v>
      </c>
      <c r="G50" s="9">
        <v>145498868</v>
      </c>
      <c r="H50" s="9">
        <v>145498868</v>
      </c>
      <c r="I50" s="5">
        <v>1.3873866665274859E-4</v>
      </c>
      <c r="J50" s="25"/>
    </row>
    <row r="51" spans="1:10" x14ac:dyDescent="0.25">
      <c r="A51" s="4" t="s">
        <v>161</v>
      </c>
      <c r="B51" s="9">
        <v>0</v>
      </c>
      <c r="C51" s="9">
        <v>0</v>
      </c>
      <c r="D51" s="9">
        <v>0</v>
      </c>
      <c r="E51" s="5">
        <v>0</v>
      </c>
      <c r="F51" s="9">
        <v>0</v>
      </c>
      <c r="G51" s="9">
        <v>139852</v>
      </c>
      <c r="H51" s="9">
        <v>139852</v>
      </c>
      <c r="I51" s="5">
        <v>1.3335416471226564E-7</v>
      </c>
      <c r="J51" s="25"/>
    </row>
    <row r="52" spans="1:10" x14ac:dyDescent="0.25">
      <c r="A52" s="4" t="s">
        <v>160</v>
      </c>
      <c r="B52" s="9">
        <v>0</v>
      </c>
      <c r="C52" s="9">
        <v>0</v>
      </c>
      <c r="D52" s="9">
        <v>0</v>
      </c>
      <c r="E52" s="5">
        <v>0</v>
      </c>
      <c r="F52" s="9">
        <v>0</v>
      </c>
      <c r="G52" s="9">
        <v>-117556737</v>
      </c>
      <c r="H52" s="9">
        <v>-117556737</v>
      </c>
      <c r="I52" s="5">
        <v>-1.120947892696171E-4</v>
      </c>
      <c r="J52" s="25"/>
    </row>
    <row r="53" spans="1:10" x14ac:dyDescent="0.25">
      <c r="A53" s="4" t="s">
        <v>159</v>
      </c>
      <c r="B53" s="9">
        <v>0</v>
      </c>
      <c r="C53" s="9">
        <v>0</v>
      </c>
      <c r="D53" s="9">
        <v>0</v>
      </c>
      <c r="E53" s="5">
        <v>0</v>
      </c>
      <c r="F53" s="9">
        <v>0</v>
      </c>
      <c r="G53" s="9">
        <v>34924266</v>
      </c>
      <c r="H53" s="9">
        <v>34924266</v>
      </c>
      <c r="I53" s="5">
        <v>3.3301606845944127E-5</v>
      </c>
      <c r="J53" s="25"/>
    </row>
    <row r="54" spans="1:10" x14ac:dyDescent="0.25">
      <c r="A54" s="4" t="s">
        <v>158</v>
      </c>
      <c r="B54" s="9">
        <v>0</v>
      </c>
      <c r="C54" s="9">
        <v>0</v>
      </c>
      <c r="D54" s="9">
        <v>0</v>
      </c>
      <c r="E54" s="5">
        <v>0</v>
      </c>
      <c r="F54" s="9">
        <v>0</v>
      </c>
      <c r="G54" s="9">
        <v>59977300</v>
      </c>
      <c r="H54" s="9">
        <v>59977300</v>
      </c>
      <c r="I54" s="5">
        <v>5.7190621108006816E-5</v>
      </c>
      <c r="J54" s="25"/>
    </row>
    <row r="55" spans="1:10" x14ac:dyDescent="0.25">
      <c r="A55" s="4" t="s">
        <v>157</v>
      </c>
      <c r="B55" s="9">
        <v>0</v>
      </c>
      <c r="C55" s="9">
        <v>0</v>
      </c>
      <c r="D55" s="9">
        <v>0</v>
      </c>
      <c r="E55" s="5">
        <v>0</v>
      </c>
      <c r="F55" s="9">
        <v>0</v>
      </c>
      <c r="G55" s="9">
        <v>-659747733</v>
      </c>
      <c r="H55" s="9">
        <v>-659747733</v>
      </c>
      <c r="I55" s="5">
        <v>-6.2909438445661017E-4</v>
      </c>
      <c r="J55" s="25"/>
    </row>
    <row r="56" spans="1:10" x14ac:dyDescent="0.25">
      <c r="A56" s="4" t="s">
        <v>156</v>
      </c>
      <c r="B56" s="9">
        <v>0</v>
      </c>
      <c r="C56" s="9">
        <v>0</v>
      </c>
      <c r="D56" s="9">
        <v>0</v>
      </c>
      <c r="E56" s="5">
        <v>0</v>
      </c>
      <c r="F56" s="9">
        <v>0</v>
      </c>
      <c r="G56" s="9">
        <v>104975841</v>
      </c>
      <c r="H56" s="9">
        <v>104975841</v>
      </c>
      <c r="I56" s="5">
        <v>1.0009842970799564E-4</v>
      </c>
      <c r="J56" s="25"/>
    </row>
    <row r="57" spans="1:10" x14ac:dyDescent="0.25">
      <c r="A57" s="4" t="s">
        <v>155</v>
      </c>
      <c r="B57" s="9">
        <v>0</v>
      </c>
      <c r="C57" s="9">
        <v>0</v>
      </c>
      <c r="D57" s="9">
        <v>0</v>
      </c>
      <c r="E57" s="5">
        <v>0</v>
      </c>
      <c r="F57" s="9">
        <v>0</v>
      </c>
      <c r="G57" s="9">
        <v>40000000</v>
      </c>
      <c r="H57" s="9">
        <v>40000000</v>
      </c>
      <c r="I57" s="5">
        <v>3.814151094364489E-5</v>
      </c>
      <c r="J57" s="25"/>
    </row>
    <row r="58" spans="1:10" x14ac:dyDescent="0.25">
      <c r="A58" s="4" t="s">
        <v>154</v>
      </c>
      <c r="B58" s="9">
        <v>0</v>
      </c>
      <c r="C58" s="9">
        <v>0</v>
      </c>
      <c r="D58" s="9">
        <v>0</v>
      </c>
      <c r="E58" s="5">
        <v>0</v>
      </c>
      <c r="F58" s="9">
        <v>0</v>
      </c>
      <c r="G58" s="9">
        <v>40000000</v>
      </c>
      <c r="H58" s="9">
        <v>40000000</v>
      </c>
      <c r="I58" s="5">
        <v>3.814151094364489E-5</v>
      </c>
      <c r="J58" s="25"/>
    </row>
    <row r="59" spans="1:10" x14ac:dyDescent="0.25">
      <c r="A59" s="4" t="s">
        <v>202</v>
      </c>
      <c r="B59" s="9">
        <v>0</v>
      </c>
      <c r="C59" s="9">
        <v>0</v>
      </c>
      <c r="D59" s="9">
        <v>0</v>
      </c>
      <c r="E59" s="5">
        <v>0</v>
      </c>
      <c r="F59" s="9">
        <v>0</v>
      </c>
      <c r="G59" s="9">
        <v>386692992</v>
      </c>
      <c r="H59" s="9">
        <v>386692992</v>
      </c>
      <c r="I59" s="5">
        <v>3.6872637465496964E-4</v>
      </c>
      <c r="J59" s="25"/>
    </row>
    <row r="60" spans="1:10" x14ac:dyDescent="0.25">
      <c r="A60" s="4" t="s">
        <v>201</v>
      </c>
      <c r="B60" s="9">
        <v>0</v>
      </c>
      <c r="C60" s="9">
        <v>0</v>
      </c>
      <c r="D60" s="9">
        <v>0</v>
      </c>
      <c r="E60" s="5">
        <v>0</v>
      </c>
      <c r="F60" s="9">
        <v>0</v>
      </c>
      <c r="G60" s="9">
        <v>463458240</v>
      </c>
      <c r="H60" s="9">
        <v>463458240</v>
      </c>
      <c r="I60" s="5">
        <v>4.4192493832205998E-4</v>
      </c>
      <c r="J60" s="25"/>
    </row>
    <row r="61" spans="1:10" x14ac:dyDescent="0.25">
      <c r="A61" s="4" t="s">
        <v>200</v>
      </c>
      <c r="B61" s="9">
        <v>0</v>
      </c>
      <c r="C61" s="9">
        <v>0</v>
      </c>
      <c r="D61" s="9">
        <v>0</v>
      </c>
      <c r="E61" s="5">
        <v>0</v>
      </c>
      <c r="F61" s="9">
        <v>0</v>
      </c>
      <c r="G61" s="9">
        <v>-349640781</v>
      </c>
      <c r="H61" s="9">
        <v>-349640781</v>
      </c>
      <c r="I61" s="5">
        <v>-3.3339569187140116E-4</v>
      </c>
      <c r="J61" s="25"/>
    </row>
    <row r="62" spans="1:10" x14ac:dyDescent="0.25">
      <c r="A62" s="4" t="s">
        <v>199</v>
      </c>
      <c r="B62" s="9">
        <v>0</v>
      </c>
      <c r="C62" s="9">
        <v>0</v>
      </c>
      <c r="D62" s="9">
        <v>0</v>
      </c>
      <c r="E62" s="5">
        <v>0</v>
      </c>
      <c r="F62" s="9">
        <v>0</v>
      </c>
      <c r="G62" s="9">
        <v>-1939844204</v>
      </c>
      <c r="H62" s="9">
        <v>-1939844204</v>
      </c>
      <c r="I62" s="5">
        <v>-1.8497147233958028E-3</v>
      </c>
      <c r="J62" s="25"/>
    </row>
    <row r="63" spans="1:10" x14ac:dyDescent="0.25">
      <c r="A63" s="4" t="s">
        <v>153</v>
      </c>
      <c r="B63" s="9">
        <v>0</v>
      </c>
      <c r="C63" s="9">
        <v>0</v>
      </c>
      <c r="D63" s="9">
        <v>0</v>
      </c>
      <c r="E63" s="5">
        <v>0</v>
      </c>
      <c r="F63" s="9">
        <v>0</v>
      </c>
      <c r="G63" s="9">
        <v>213284965</v>
      </c>
      <c r="H63" s="9">
        <v>213284965</v>
      </c>
      <c r="I63" s="5">
        <v>2.0337527066656042E-4</v>
      </c>
      <c r="J63" s="25"/>
    </row>
    <row r="64" spans="1:10" x14ac:dyDescent="0.25">
      <c r="A64" s="4" t="s">
        <v>198</v>
      </c>
      <c r="B64" s="9">
        <v>0</v>
      </c>
      <c r="C64" s="9">
        <v>0</v>
      </c>
      <c r="D64" s="9">
        <v>0</v>
      </c>
      <c r="E64" s="5">
        <v>0</v>
      </c>
      <c r="F64" s="9">
        <v>0</v>
      </c>
      <c r="G64" s="9">
        <v>357138000</v>
      </c>
      <c r="H64" s="9">
        <v>357138000</v>
      </c>
      <c r="I64" s="5">
        <v>3.4054457338478624E-4</v>
      </c>
      <c r="J64" s="25"/>
    </row>
    <row r="65" spans="1:10" x14ac:dyDescent="0.25">
      <c r="A65" s="4" t="s">
        <v>152</v>
      </c>
      <c r="B65" s="9">
        <v>0</v>
      </c>
      <c r="C65" s="9">
        <v>0</v>
      </c>
      <c r="D65" s="9">
        <v>0</v>
      </c>
      <c r="E65" s="5">
        <v>0</v>
      </c>
      <c r="F65" s="9">
        <v>0</v>
      </c>
      <c r="G65" s="9">
        <v>159218851</v>
      </c>
      <c r="H65" s="9">
        <v>159218851</v>
      </c>
      <c r="I65" s="5">
        <v>1.5182118869627663E-4</v>
      </c>
      <c r="J65" s="25"/>
    </row>
    <row r="66" spans="1:10" x14ac:dyDescent="0.25">
      <c r="A66" s="4" t="s">
        <v>151</v>
      </c>
      <c r="B66" s="9">
        <v>0</v>
      </c>
      <c r="C66" s="9">
        <v>0</v>
      </c>
      <c r="D66" s="9">
        <v>0</v>
      </c>
      <c r="E66" s="5">
        <v>0</v>
      </c>
      <c r="F66" s="9">
        <v>0</v>
      </c>
      <c r="G66" s="9">
        <v>3806588772</v>
      </c>
      <c r="H66" s="9">
        <v>3806588772</v>
      </c>
      <c r="I66" s="5">
        <v>3.6297261826298442E-3</v>
      </c>
      <c r="J66" s="25"/>
    </row>
    <row r="67" spans="1:10" x14ac:dyDescent="0.25">
      <c r="A67" s="4" t="s">
        <v>150</v>
      </c>
      <c r="B67" s="9">
        <v>0</v>
      </c>
      <c r="C67" s="9">
        <v>0</v>
      </c>
      <c r="D67" s="9">
        <v>0</v>
      </c>
      <c r="E67" s="5">
        <v>0</v>
      </c>
      <c r="F67" s="9">
        <v>0</v>
      </c>
      <c r="G67" s="9">
        <v>113760000</v>
      </c>
      <c r="H67" s="9">
        <v>113760000</v>
      </c>
      <c r="I67" s="5">
        <v>1.0847445712372607E-4</v>
      </c>
      <c r="J67" s="25"/>
    </row>
    <row r="68" spans="1:10" x14ac:dyDescent="0.25">
      <c r="A68" s="4" t="s">
        <v>149</v>
      </c>
      <c r="B68" s="9">
        <v>0</v>
      </c>
      <c r="C68" s="9">
        <v>0</v>
      </c>
      <c r="D68" s="9">
        <v>0</v>
      </c>
      <c r="E68" s="5">
        <v>0</v>
      </c>
      <c r="F68" s="9">
        <v>0</v>
      </c>
      <c r="G68" s="9">
        <v>284400000</v>
      </c>
      <c r="H68" s="9">
        <v>284400000</v>
      </c>
      <c r="I68" s="5">
        <v>2.7118614280931518E-4</v>
      </c>
      <c r="J68" s="25"/>
    </row>
    <row r="69" spans="1:10" x14ac:dyDescent="0.25">
      <c r="A69" s="4" t="s">
        <v>105</v>
      </c>
      <c r="B69" s="9">
        <v>0</v>
      </c>
      <c r="C69" s="9">
        <v>0</v>
      </c>
      <c r="D69" s="9">
        <v>0</v>
      </c>
      <c r="E69" s="5">
        <v>0</v>
      </c>
      <c r="F69" s="9">
        <v>0</v>
      </c>
      <c r="G69" s="9">
        <v>187000000</v>
      </c>
      <c r="H69" s="9">
        <v>187000000</v>
      </c>
      <c r="I69" s="5">
        <v>1.7831156366153987E-4</v>
      </c>
      <c r="J69" s="25"/>
    </row>
    <row r="70" spans="1:10" ht="20.25" thickBot="1" x14ac:dyDescent="0.3">
      <c r="A70" s="4" t="s">
        <v>2</v>
      </c>
      <c r="B70" s="6">
        <f t="shared" ref="B70:I70" si="0">SUM(B10:B69)</f>
        <v>-3450662008</v>
      </c>
      <c r="C70" s="6">
        <f t="shared" si="0"/>
        <v>3075232262</v>
      </c>
      <c r="D70" s="6">
        <f t="shared" si="0"/>
        <v>-375429746</v>
      </c>
      <c r="E70" s="7">
        <f t="shared" si="0"/>
        <v>-1.2513082047753876E-3</v>
      </c>
      <c r="F70" s="6">
        <f t="shared" si="0"/>
        <v>-999536278</v>
      </c>
      <c r="G70" s="6">
        <f t="shared" si="0"/>
        <v>17930098539</v>
      </c>
      <c r="H70" s="6">
        <f t="shared" si="0"/>
        <v>16930562261</v>
      </c>
      <c r="I70" s="7">
        <f t="shared" si="0"/>
        <v>1.6143930643999823E-2</v>
      </c>
      <c r="J70" s="25"/>
    </row>
    <row r="71" spans="1:10" ht="20.25" thickTop="1" x14ac:dyDescent="0.25">
      <c r="B71" s="25"/>
      <c r="C71" s="25"/>
      <c r="D71" s="25"/>
      <c r="E71" s="25"/>
      <c r="F71" s="25"/>
      <c r="G71" s="25"/>
      <c r="H71" s="25"/>
      <c r="I71" s="25"/>
      <c r="J71" s="25"/>
    </row>
    <row r="72" spans="1:10" x14ac:dyDescent="0.25">
      <c r="B72" s="25"/>
      <c r="C72" s="25"/>
      <c r="D72" s="25"/>
      <c r="E72" s="25"/>
      <c r="F72" s="25"/>
      <c r="G72" s="25"/>
      <c r="H72" s="25"/>
      <c r="I72" s="25"/>
      <c r="J72" s="25"/>
    </row>
  </sheetData>
  <mergeCells count="13">
    <mergeCell ref="C8:C9"/>
    <mergeCell ref="F8:F9"/>
    <mergeCell ref="G8:G9"/>
    <mergeCell ref="A1:I1"/>
    <mergeCell ref="A2:I2"/>
    <mergeCell ref="A3:I3"/>
    <mergeCell ref="H8:I8"/>
    <mergeCell ref="A8:A9"/>
    <mergeCell ref="D8:E8"/>
    <mergeCell ref="B8:B9"/>
    <mergeCell ref="B7:E7"/>
    <mergeCell ref="F7:I7"/>
    <mergeCell ref="A5:G5"/>
  </mergeCells>
  <conditionalFormatting sqref="F4:F6">
    <cfRule type="duplicateValues" dxfId="2" priority="2"/>
    <cfRule type="duplicateValues" dxfId="1" priority="3"/>
  </conditionalFormatting>
  <conditionalFormatting sqref="F4:G6 A7:B7 G10:G12">
    <cfRule type="cellIs" dxfId="0" priority="1" operator="equal">
      <formula>-3000000000000</formula>
    </cfRule>
  </conditionalFormatting>
  <pageMargins left="0.7" right="0.7" top="0.75" bottom="0.75" header="0.3" footer="0.3"/>
  <pageSetup scale="46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90B1-D8B7-4BA9-BA9A-386A88AE9857}">
  <dimension ref="A1:C13"/>
  <sheetViews>
    <sheetView rightToLeft="1" tabSelected="1" view="pageBreakPreview" zoomScaleNormal="100" zoomScaleSheetLayoutView="100" workbookViewId="0">
      <selection activeCell="M27" sqref="M27"/>
    </sheetView>
  </sheetViews>
  <sheetFormatPr defaultColWidth="8.85546875" defaultRowHeight="19.5" x14ac:dyDescent="0.25"/>
  <cols>
    <col min="1" max="1" width="30.42578125" style="14" customWidth="1"/>
    <col min="2" max="3" width="34.42578125" style="14" customWidth="1"/>
    <col min="4" max="16384" width="8.85546875" style="14"/>
  </cols>
  <sheetData>
    <row r="1" spans="1:3" ht="21" x14ac:dyDescent="0.25">
      <c r="A1" s="51" t="s">
        <v>94</v>
      </c>
      <c r="B1" s="51"/>
      <c r="C1" s="51"/>
    </row>
    <row r="2" spans="1:3" ht="21" x14ac:dyDescent="0.25">
      <c r="A2" s="51" t="s">
        <v>27</v>
      </c>
      <c r="B2" s="51"/>
      <c r="C2" s="51"/>
    </row>
    <row r="3" spans="1:3" ht="21" x14ac:dyDescent="0.25">
      <c r="A3" s="51" t="s">
        <v>253</v>
      </c>
      <c r="B3" s="51"/>
      <c r="C3" s="51"/>
    </row>
    <row r="4" spans="1:3" ht="21" x14ac:dyDescent="0.25">
      <c r="A4" s="28"/>
      <c r="B4" s="28"/>
      <c r="C4" s="28"/>
    </row>
    <row r="5" spans="1:3" ht="21" x14ac:dyDescent="0.25">
      <c r="A5" s="52" t="s">
        <v>273</v>
      </c>
      <c r="B5" s="52"/>
      <c r="C5" s="52"/>
    </row>
    <row r="6" spans="1:3" ht="21" x14ac:dyDescent="0.25">
      <c r="A6" s="29"/>
      <c r="B6" s="29"/>
      <c r="C6" s="29"/>
    </row>
    <row r="7" spans="1:3" ht="20.25" thickBot="1" x14ac:dyDescent="0.3">
      <c r="A7" s="17"/>
      <c r="B7" s="33" t="s">
        <v>268</v>
      </c>
      <c r="C7" s="33" t="s">
        <v>269</v>
      </c>
    </row>
    <row r="8" spans="1:3" ht="16.5" customHeight="1" x14ac:dyDescent="0.25">
      <c r="A8" s="71" t="s">
        <v>12</v>
      </c>
      <c r="B8" s="64" t="s">
        <v>4</v>
      </c>
      <c r="C8" s="64" t="s">
        <v>4</v>
      </c>
    </row>
    <row r="9" spans="1:3" ht="20.25" thickBot="1" x14ac:dyDescent="0.3">
      <c r="A9" s="67"/>
      <c r="B9" s="65"/>
      <c r="C9" s="65"/>
    </row>
    <row r="10" spans="1:3" x14ac:dyDescent="0.25">
      <c r="A10" s="4" t="s">
        <v>43</v>
      </c>
      <c r="B10" s="9">
        <v>653433034</v>
      </c>
      <c r="C10" s="9">
        <v>1982370285</v>
      </c>
    </row>
    <row r="11" spans="1:3" x14ac:dyDescent="0.25">
      <c r="A11" s="4" t="s">
        <v>12</v>
      </c>
      <c r="B11" s="9">
        <v>281275</v>
      </c>
      <c r="C11" s="9">
        <v>317680374</v>
      </c>
    </row>
    <row r="12" spans="1:3" ht="20.25" thickBot="1" x14ac:dyDescent="0.3">
      <c r="A12" s="4" t="s">
        <v>2</v>
      </c>
      <c r="B12" s="6">
        <f>SUM(B10:B11)</f>
        <v>653714309</v>
      </c>
      <c r="C12" s="6">
        <f>SUM(C10:C11)</f>
        <v>2300050659</v>
      </c>
    </row>
    <row r="13" spans="1:3" ht="20.25" thickTop="1" x14ac:dyDescent="0.25"/>
  </sheetData>
  <mergeCells count="7">
    <mergeCell ref="A1:C1"/>
    <mergeCell ref="A2:C2"/>
    <mergeCell ref="A3:C3"/>
    <mergeCell ref="C8:C9"/>
    <mergeCell ref="B8:B9"/>
    <mergeCell ref="A5:C5"/>
    <mergeCell ref="A8:A9"/>
  </mergeCells>
  <pageMargins left="0.7" right="0.7" top="0.75" bottom="0.75" header="0.3" footer="0.3"/>
  <pageSetup scale="86" orientation="portrait" horizontalDpi="4294967295" verticalDpi="4294967295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F6F4B-7EA6-4B2D-8088-3CC84BA57D43}">
  <dimension ref="A1:M37"/>
  <sheetViews>
    <sheetView rightToLeft="1" tabSelected="1" view="pageBreakPreview" zoomScale="98" zoomScaleNormal="100" zoomScaleSheetLayoutView="98" workbookViewId="0">
      <selection activeCell="M27" sqref="M27"/>
    </sheetView>
  </sheetViews>
  <sheetFormatPr defaultColWidth="9.140625" defaultRowHeight="17.25" x14ac:dyDescent="0.25"/>
  <cols>
    <col min="1" max="1" width="27.42578125" style="8" customWidth="1"/>
    <col min="2" max="2" width="14.28515625" style="8" customWidth="1"/>
    <col min="3" max="3" width="12.85546875" style="8" customWidth="1"/>
    <col min="4" max="4" width="13.42578125" style="8" customWidth="1"/>
    <col min="5" max="10" width="18.140625" style="8" customWidth="1"/>
    <col min="11" max="16384" width="9.140625" style="8"/>
  </cols>
  <sheetData>
    <row r="1" spans="1:13" ht="21" x14ac:dyDescent="0.25">
      <c r="A1" s="51" t="s">
        <v>94</v>
      </c>
      <c r="B1" s="51"/>
      <c r="C1" s="51"/>
      <c r="D1" s="51"/>
      <c r="E1" s="51"/>
      <c r="F1" s="51"/>
      <c r="G1" s="51"/>
      <c r="H1" s="51"/>
      <c r="I1" s="51"/>
      <c r="J1" s="51"/>
    </row>
    <row r="2" spans="1:13" ht="21" x14ac:dyDescent="0.25">
      <c r="A2" s="51" t="s">
        <v>27</v>
      </c>
      <c r="B2" s="51"/>
      <c r="C2" s="51"/>
      <c r="D2" s="51"/>
      <c r="E2" s="51"/>
      <c r="F2" s="51"/>
      <c r="G2" s="51"/>
      <c r="H2" s="51"/>
      <c r="I2" s="51"/>
      <c r="J2" s="51"/>
    </row>
    <row r="3" spans="1:13" ht="21" x14ac:dyDescent="0.25">
      <c r="A3" s="51" t="s">
        <v>253</v>
      </c>
      <c r="B3" s="51"/>
      <c r="C3" s="51"/>
      <c r="D3" s="51"/>
      <c r="E3" s="51"/>
      <c r="F3" s="51"/>
      <c r="G3" s="51"/>
      <c r="H3" s="51"/>
      <c r="I3" s="51"/>
      <c r="J3" s="51"/>
    </row>
    <row r="4" spans="1:13" ht="2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3" ht="21" x14ac:dyDescent="0.25">
      <c r="A5" s="52" t="s">
        <v>147</v>
      </c>
      <c r="B5" s="52"/>
      <c r="C5" s="52"/>
      <c r="D5" s="52"/>
      <c r="E5" s="52"/>
      <c r="F5" s="52"/>
      <c r="G5" s="52"/>
      <c r="H5" s="52"/>
      <c r="I5" s="52"/>
      <c r="J5" s="52"/>
      <c r="K5" s="18"/>
      <c r="L5" s="18"/>
      <c r="M5" s="18"/>
    </row>
    <row r="6" spans="1:13" ht="18" thickBot="1" x14ac:dyDescent="0.3">
      <c r="B6" s="59" t="s">
        <v>226</v>
      </c>
      <c r="C6" s="59"/>
      <c r="D6" s="59"/>
      <c r="E6" s="65" t="s">
        <v>268</v>
      </c>
      <c r="F6" s="65"/>
      <c r="G6" s="65"/>
      <c r="H6" s="65" t="s">
        <v>269</v>
      </c>
      <c r="I6" s="65"/>
      <c r="J6" s="65"/>
      <c r="K6" s="15"/>
      <c r="L6" s="15"/>
      <c r="M6" s="15"/>
    </row>
    <row r="7" spans="1:13" ht="35.25" thickBot="1" x14ac:dyDescent="0.3">
      <c r="A7" s="44" t="s">
        <v>99</v>
      </c>
      <c r="B7" s="43" t="s">
        <v>225</v>
      </c>
      <c r="C7" s="43" t="s">
        <v>224</v>
      </c>
      <c r="D7" s="43" t="s">
        <v>223</v>
      </c>
      <c r="E7" s="43" t="s">
        <v>222</v>
      </c>
      <c r="F7" s="43" t="s">
        <v>16</v>
      </c>
      <c r="G7" s="43" t="s">
        <v>221</v>
      </c>
      <c r="H7" s="43" t="s">
        <v>222</v>
      </c>
      <c r="I7" s="43" t="s">
        <v>16</v>
      </c>
      <c r="J7" s="43" t="s">
        <v>221</v>
      </c>
    </row>
    <row r="8" spans="1:13" x14ac:dyDescent="0.25">
      <c r="A8" s="4" t="s">
        <v>87</v>
      </c>
      <c r="B8" s="9" t="s">
        <v>214</v>
      </c>
      <c r="C8" s="9">
        <v>2600000</v>
      </c>
      <c r="D8" s="9">
        <v>800</v>
      </c>
      <c r="E8" s="31">
        <v>0</v>
      </c>
      <c r="F8" s="31">
        <v>0</v>
      </c>
      <c r="G8" s="31">
        <v>0</v>
      </c>
      <c r="H8" s="9">
        <v>2080000000</v>
      </c>
      <c r="I8" s="9">
        <v>-1423682</v>
      </c>
      <c r="J8" s="9">
        <v>2078576318</v>
      </c>
    </row>
    <row r="9" spans="1:13" x14ac:dyDescent="0.25">
      <c r="A9" s="4" t="s">
        <v>85</v>
      </c>
      <c r="B9" s="9" t="s">
        <v>214</v>
      </c>
      <c r="C9" s="9">
        <v>9890291</v>
      </c>
      <c r="D9" s="9">
        <v>126</v>
      </c>
      <c r="E9" s="31">
        <v>0</v>
      </c>
      <c r="F9" s="31">
        <v>0</v>
      </c>
      <c r="G9" s="31">
        <v>0</v>
      </c>
      <c r="H9" s="9">
        <v>1246176666</v>
      </c>
      <c r="I9" s="9">
        <v>0</v>
      </c>
      <c r="J9" s="9">
        <v>1246176666</v>
      </c>
    </row>
    <row r="10" spans="1:13" x14ac:dyDescent="0.25">
      <c r="A10" s="4" t="s">
        <v>83</v>
      </c>
      <c r="B10" s="9" t="s">
        <v>220</v>
      </c>
      <c r="C10" s="9">
        <v>14000000</v>
      </c>
      <c r="D10" s="9">
        <v>76</v>
      </c>
      <c r="E10" s="31">
        <v>0</v>
      </c>
      <c r="F10" s="31">
        <v>0</v>
      </c>
      <c r="G10" s="31">
        <v>0</v>
      </c>
      <c r="H10" s="9">
        <v>1064000000</v>
      </c>
      <c r="I10" s="9">
        <v>-30440452</v>
      </c>
      <c r="J10" s="9">
        <v>1033559548</v>
      </c>
    </row>
    <row r="11" spans="1:13" x14ac:dyDescent="0.25">
      <c r="A11" s="4" t="s">
        <v>81</v>
      </c>
      <c r="B11" s="9" t="s">
        <v>34</v>
      </c>
      <c r="C11" s="9">
        <v>128971560</v>
      </c>
      <c r="D11" s="9">
        <v>46</v>
      </c>
      <c r="E11" s="31">
        <v>0</v>
      </c>
      <c r="F11" s="31">
        <v>0</v>
      </c>
      <c r="G11" s="31">
        <v>0</v>
      </c>
      <c r="H11" s="9">
        <v>5932691760</v>
      </c>
      <c r="I11" s="9">
        <v>0</v>
      </c>
      <c r="J11" s="9">
        <v>5932691760</v>
      </c>
    </row>
    <row r="12" spans="1:13" x14ac:dyDescent="0.25">
      <c r="A12" s="4" t="s">
        <v>80</v>
      </c>
      <c r="B12" s="9" t="s">
        <v>219</v>
      </c>
      <c r="C12" s="9">
        <v>5850000</v>
      </c>
      <c r="D12" s="9">
        <v>120</v>
      </c>
      <c r="E12" s="31">
        <v>0</v>
      </c>
      <c r="F12" s="31">
        <v>0</v>
      </c>
      <c r="G12" s="31">
        <v>0</v>
      </c>
      <c r="H12" s="9">
        <v>702000000</v>
      </c>
      <c r="I12" s="9">
        <v>-9486486</v>
      </c>
      <c r="J12" s="9">
        <v>692513514</v>
      </c>
    </row>
    <row r="13" spans="1:13" x14ac:dyDescent="0.25">
      <c r="A13" s="4" t="s">
        <v>74</v>
      </c>
      <c r="B13" s="9" t="s">
        <v>261</v>
      </c>
      <c r="C13" s="9">
        <v>1018181</v>
      </c>
      <c r="D13" s="9">
        <v>1915</v>
      </c>
      <c r="E13" s="9">
        <v>1949816615</v>
      </c>
      <c r="F13" s="9">
        <v>-274282620</v>
      </c>
      <c r="G13" s="31">
        <v>1675533995</v>
      </c>
      <c r="H13" s="9">
        <v>1949816615</v>
      </c>
      <c r="I13" s="9">
        <v>-128343748</v>
      </c>
      <c r="J13" s="9">
        <v>1821472867</v>
      </c>
    </row>
    <row r="14" spans="1:13" x14ac:dyDescent="0.25">
      <c r="A14" s="4" t="s">
        <v>73</v>
      </c>
      <c r="B14" s="9" t="s">
        <v>260</v>
      </c>
      <c r="C14" s="9">
        <v>4110000</v>
      </c>
      <c r="D14" s="9">
        <v>480</v>
      </c>
      <c r="E14" s="9">
        <v>1972800000</v>
      </c>
      <c r="F14" s="9">
        <v>-277515715</v>
      </c>
      <c r="G14" s="31">
        <v>1695284285</v>
      </c>
      <c r="H14" s="9">
        <v>1972800000</v>
      </c>
      <c r="I14" s="9">
        <v>-119765195</v>
      </c>
      <c r="J14" s="9">
        <v>1853034805</v>
      </c>
    </row>
    <row r="15" spans="1:13" x14ac:dyDescent="0.25">
      <c r="A15" s="4" t="s">
        <v>72</v>
      </c>
      <c r="B15" s="9" t="s">
        <v>218</v>
      </c>
      <c r="C15" s="9">
        <v>3299000</v>
      </c>
      <c r="D15" s="9">
        <v>1500</v>
      </c>
      <c r="E15" s="31">
        <v>0</v>
      </c>
      <c r="F15" s="31">
        <v>0</v>
      </c>
      <c r="G15" s="31">
        <v>0</v>
      </c>
      <c r="H15" s="9">
        <v>4948500000</v>
      </c>
      <c r="I15" s="9">
        <v>0</v>
      </c>
      <c r="J15" s="9">
        <v>4948500000</v>
      </c>
    </row>
    <row r="16" spans="1:13" x14ac:dyDescent="0.25">
      <c r="A16" s="4" t="s">
        <v>71</v>
      </c>
      <c r="B16" s="9" t="s">
        <v>217</v>
      </c>
      <c r="C16" s="9">
        <v>1600000</v>
      </c>
      <c r="D16" s="9">
        <v>3520</v>
      </c>
      <c r="E16" s="31">
        <v>0</v>
      </c>
      <c r="F16" s="31">
        <v>0</v>
      </c>
      <c r="G16" s="31">
        <v>0</v>
      </c>
      <c r="H16" s="9">
        <v>5632000000</v>
      </c>
      <c r="I16" s="9">
        <v>0</v>
      </c>
      <c r="J16" s="9">
        <v>5632000000</v>
      </c>
    </row>
    <row r="17" spans="1:10" x14ac:dyDescent="0.25">
      <c r="A17" s="4" t="s">
        <v>70</v>
      </c>
      <c r="B17" s="9" t="s">
        <v>259</v>
      </c>
      <c r="C17" s="9">
        <v>9000000</v>
      </c>
      <c r="D17" s="9">
        <v>600</v>
      </c>
      <c r="E17" s="9">
        <v>5400000000</v>
      </c>
      <c r="F17" s="9">
        <v>-754154390</v>
      </c>
      <c r="G17" s="31">
        <v>4645845610</v>
      </c>
      <c r="H17" s="9">
        <v>5400000000</v>
      </c>
      <c r="I17" s="9">
        <v>-54915254</v>
      </c>
      <c r="J17" s="9">
        <v>5345084746</v>
      </c>
    </row>
    <row r="18" spans="1:10" x14ac:dyDescent="0.25">
      <c r="A18" s="4" t="s">
        <v>69</v>
      </c>
      <c r="B18" s="9" t="s">
        <v>216</v>
      </c>
      <c r="C18" s="9">
        <v>22820100</v>
      </c>
      <c r="D18" s="9">
        <v>55</v>
      </c>
      <c r="E18" s="31">
        <v>0</v>
      </c>
      <c r="F18" s="31">
        <v>0</v>
      </c>
      <c r="G18" s="31">
        <v>0</v>
      </c>
      <c r="H18" s="9">
        <v>1255105500</v>
      </c>
      <c r="I18" s="9">
        <v>0</v>
      </c>
      <c r="J18" s="9">
        <v>1255105500</v>
      </c>
    </row>
    <row r="19" spans="1:10" x14ac:dyDescent="0.25">
      <c r="A19" s="4" t="s">
        <v>67</v>
      </c>
      <c r="B19" s="9" t="s">
        <v>258</v>
      </c>
      <c r="C19" s="9">
        <v>8000000</v>
      </c>
      <c r="D19" s="9">
        <v>30</v>
      </c>
      <c r="E19" s="9">
        <v>240000000</v>
      </c>
      <c r="F19" s="9">
        <v>-33152302</v>
      </c>
      <c r="G19" s="31">
        <v>206847698</v>
      </c>
      <c r="H19" s="9">
        <v>240000000</v>
      </c>
      <c r="I19" s="9">
        <v>-9473684</v>
      </c>
      <c r="J19" s="9">
        <v>230526316</v>
      </c>
    </row>
    <row r="20" spans="1:10" x14ac:dyDescent="0.25">
      <c r="A20" s="4" t="s">
        <v>66</v>
      </c>
      <c r="B20" s="9" t="s">
        <v>209</v>
      </c>
      <c r="C20" s="9">
        <v>250000</v>
      </c>
      <c r="D20" s="9">
        <v>2050</v>
      </c>
      <c r="E20" s="31">
        <v>0</v>
      </c>
      <c r="F20" s="31">
        <v>0</v>
      </c>
      <c r="G20" s="31">
        <v>0</v>
      </c>
      <c r="H20" s="9">
        <v>512500000</v>
      </c>
      <c r="I20" s="9">
        <v>-16970199</v>
      </c>
      <c r="J20" s="9">
        <v>495529801</v>
      </c>
    </row>
    <row r="21" spans="1:10" x14ac:dyDescent="0.25">
      <c r="A21" s="4" t="s">
        <v>65</v>
      </c>
      <c r="B21" s="9" t="s">
        <v>215</v>
      </c>
      <c r="C21" s="9">
        <v>800000</v>
      </c>
      <c r="D21" s="9">
        <v>1600</v>
      </c>
      <c r="E21" s="31">
        <v>0</v>
      </c>
      <c r="F21" s="31">
        <v>0</v>
      </c>
      <c r="G21" s="31">
        <v>0</v>
      </c>
      <c r="H21" s="9">
        <v>1280000000</v>
      </c>
      <c r="I21" s="9">
        <v>-42384106</v>
      </c>
      <c r="J21" s="9">
        <v>1237615894</v>
      </c>
    </row>
    <row r="22" spans="1:10" x14ac:dyDescent="0.25">
      <c r="A22" s="4" t="s">
        <v>63</v>
      </c>
      <c r="B22" s="9" t="s">
        <v>210</v>
      </c>
      <c r="C22" s="9">
        <v>8200000</v>
      </c>
      <c r="D22" s="9">
        <v>720</v>
      </c>
      <c r="E22" s="31">
        <v>0</v>
      </c>
      <c r="F22" s="31">
        <v>0</v>
      </c>
      <c r="G22" s="31">
        <v>0</v>
      </c>
      <c r="H22" s="9">
        <v>5904000000</v>
      </c>
      <c r="I22" s="9">
        <v>-225581028</v>
      </c>
      <c r="J22" s="9">
        <v>5678418972</v>
      </c>
    </row>
    <row r="23" spans="1:10" x14ac:dyDescent="0.25">
      <c r="A23" s="4" t="s">
        <v>62</v>
      </c>
      <c r="B23" s="9" t="s">
        <v>34</v>
      </c>
      <c r="C23" s="9">
        <v>9500000</v>
      </c>
      <c r="D23" s="9">
        <v>450</v>
      </c>
      <c r="E23" s="31">
        <v>0</v>
      </c>
      <c r="F23" s="31">
        <v>0</v>
      </c>
      <c r="G23" s="31">
        <v>0</v>
      </c>
      <c r="H23" s="9">
        <v>4275000000</v>
      </c>
      <c r="I23" s="9">
        <v>0</v>
      </c>
      <c r="J23" s="9">
        <v>4275000000</v>
      </c>
    </row>
    <row r="24" spans="1:10" x14ac:dyDescent="0.25">
      <c r="A24" s="4" t="s">
        <v>61</v>
      </c>
      <c r="B24" s="9" t="s">
        <v>214</v>
      </c>
      <c r="C24" s="9">
        <v>14070541</v>
      </c>
      <c r="D24" s="9">
        <v>740</v>
      </c>
      <c r="E24" s="31">
        <v>0</v>
      </c>
      <c r="F24" s="31">
        <v>0</v>
      </c>
      <c r="G24" s="31">
        <v>0</v>
      </c>
      <c r="H24" s="9">
        <v>10412200340</v>
      </c>
      <c r="I24" s="9">
        <v>0</v>
      </c>
      <c r="J24" s="9">
        <v>10412200340</v>
      </c>
    </row>
    <row r="25" spans="1:10" x14ac:dyDescent="0.25">
      <c r="A25" s="4" t="s">
        <v>60</v>
      </c>
      <c r="B25" s="9" t="s">
        <v>207</v>
      </c>
      <c r="C25" s="9">
        <v>1425000</v>
      </c>
      <c r="D25" s="9">
        <v>1189</v>
      </c>
      <c r="E25" s="31">
        <v>0</v>
      </c>
      <c r="F25" s="31">
        <v>0</v>
      </c>
      <c r="G25" s="31">
        <v>0</v>
      </c>
      <c r="H25" s="9">
        <v>1694325000</v>
      </c>
      <c r="I25" s="9">
        <v>-64737055</v>
      </c>
      <c r="J25" s="9">
        <v>1629587945</v>
      </c>
    </row>
    <row r="26" spans="1:10" x14ac:dyDescent="0.25">
      <c r="A26" s="4" t="s">
        <v>59</v>
      </c>
      <c r="B26" s="9" t="s">
        <v>213</v>
      </c>
      <c r="C26" s="9">
        <v>800000</v>
      </c>
      <c r="D26" s="9">
        <v>4795</v>
      </c>
      <c r="E26" s="31">
        <v>0</v>
      </c>
      <c r="F26" s="31">
        <v>0</v>
      </c>
      <c r="G26" s="31">
        <v>0</v>
      </c>
      <c r="H26" s="9">
        <v>3836000000</v>
      </c>
      <c r="I26" s="9">
        <v>-97308411</v>
      </c>
      <c r="J26" s="9">
        <v>3738691589</v>
      </c>
    </row>
    <row r="27" spans="1:10" x14ac:dyDescent="0.25">
      <c r="A27" s="4" t="s">
        <v>58</v>
      </c>
      <c r="B27" s="9" t="s">
        <v>212</v>
      </c>
      <c r="C27" s="9">
        <v>1184429</v>
      </c>
      <c r="D27" s="9">
        <v>480</v>
      </c>
      <c r="E27" s="31">
        <v>0</v>
      </c>
      <c r="F27" s="31">
        <v>0</v>
      </c>
      <c r="G27" s="31">
        <v>0</v>
      </c>
      <c r="H27" s="9">
        <v>568525920</v>
      </c>
      <c r="I27" s="9">
        <v>-12938341</v>
      </c>
      <c r="J27" s="9">
        <v>555587579</v>
      </c>
    </row>
    <row r="28" spans="1:10" x14ac:dyDescent="0.25">
      <c r="A28" s="4" t="s">
        <v>57</v>
      </c>
      <c r="B28" s="9" t="s">
        <v>211</v>
      </c>
      <c r="C28" s="9">
        <v>550000</v>
      </c>
      <c r="D28" s="9">
        <v>8700</v>
      </c>
      <c r="E28" s="31">
        <v>0</v>
      </c>
      <c r="F28" s="31">
        <v>0</v>
      </c>
      <c r="G28" s="31">
        <v>0</v>
      </c>
      <c r="H28" s="9">
        <v>4785000000</v>
      </c>
      <c r="I28" s="9">
        <v>0</v>
      </c>
      <c r="J28" s="9">
        <v>4785000000</v>
      </c>
    </row>
    <row r="29" spans="1:10" x14ac:dyDescent="0.25">
      <c r="A29" s="4" t="s">
        <v>56</v>
      </c>
      <c r="B29" s="9" t="s">
        <v>210</v>
      </c>
      <c r="C29" s="9">
        <v>3000000</v>
      </c>
      <c r="D29" s="9">
        <v>800</v>
      </c>
      <c r="E29" s="31">
        <v>0</v>
      </c>
      <c r="F29" s="31">
        <v>0</v>
      </c>
      <c r="G29" s="31">
        <v>0</v>
      </c>
      <c r="H29" s="9">
        <v>2400000000</v>
      </c>
      <c r="I29" s="9">
        <v>-88654354</v>
      </c>
      <c r="J29" s="9">
        <v>2311345646</v>
      </c>
    </row>
    <row r="30" spans="1:10" x14ac:dyDescent="0.25">
      <c r="A30" s="4" t="s">
        <v>55</v>
      </c>
      <c r="B30" s="9" t="s">
        <v>209</v>
      </c>
      <c r="C30" s="9">
        <v>200000</v>
      </c>
      <c r="D30" s="9">
        <v>4166</v>
      </c>
      <c r="E30" s="31">
        <v>0</v>
      </c>
      <c r="F30" s="31">
        <v>0</v>
      </c>
      <c r="G30" s="31">
        <v>0</v>
      </c>
      <c r="H30" s="9">
        <v>833200000</v>
      </c>
      <c r="I30" s="9">
        <v>0</v>
      </c>
      <c r="J30" s="9">
        <v>833200000</v>
      </c>
    </row>
    <row r="31" spans="1:10" x14ac:dyDescent="0.25">
      <c r="A31" s="4" t="s">
        <v>54</v>
      </c>
      <c r="B31" s="9" t="s">
        <v>208</v>
      </c>
      <c r="C31" s="9">
        <v>750000</v>
      </c>
      <c r="D31" s="9">
        <v>6928</v>
      </c>
      <c r="E31" s="31">
        <v>0</v>
      </c>
      <c r="F31" s="31">
        <v>0</v>
      </c>
      <c r="G31" s="31">
        <v>0</v>
      </c>
      <c r="H31" s="9">
        <v>5196000000</v>
      </c>
      <c r="I31" s="9">
        <v>-42358696</v>
      </c>
      <c r="J31" s="9">
        <v>5153641304</v>
      </c>
    </row>
    <row r="32" spans="1:10" x14ac:dyDescent="0.25">
      <c r="A32" s="4" t="s">
        <v>53</v>
      </c>
      <c r="B32" s="9" t="s">
        <v>207</v>
      </c>
      <c r="C32" s="9">
        <v>225000</v>
      </c>
      <c r="D32" s="9">
        <v>3850</v>
      </c>
      <c r="E32" s="31">
        <v>0</v>
      </c>
      <c r="F32" s="31">
        <v>0</v>
      </c>
      <c r="G32" s="31">
        <v>0</v>
      </c>
      <c r="H32" s="9">
        <v>866250000</v>
      </c>
      <c r="I32" s="9">
        <v>0</v>
      </c>
      <c r="J32" s="9">
        <v>866250000</v>
      </c>
    </row>
    <row r="33" spans="1:10" x14ac:dyDescent="0.25">
      <c r="A33" s="4" t="s">
        <v>52</v>
      </c>
      <c r="B33" s="9" t="s">
        <v>206</v>
      </c>
      <c r="C33" s="9">
        <v>3441130</v>
      </c>
      <c r="D33" s="9">
        <v>440</v>
      </c>
      <c r="E33" s="31">
        <v>0</v>
      </c>
      <c r="F33" s="31">
        <v>0</v>
      </c>
      <c r="G33" s="31">
        <v>0</v>
      </c>
      <c r="H33" s="9">
        <v>1514097200</v>
      </c>
      <c r="I33" s="9">
        <v>0</v>
      </c>
      <c r="J33" s="9">
        <v>1514097200</v>
      </c>
    </row>
    <row r="34" spans="1:10" x14ac:dyDescent="0.25">
      <c r="A34" s="4" t="s">
        <v>48</v>
      </c>
      <c r="B34" s="9" t="s">
        <v>205</v>
      </c>
      <c r="C34" s="9">
        <v>350000</v>
      </c>
      <c r="D34" s="9">
        <v>9250</v>
      </c>
      <c r="E34" s="31">
        <v>0</v>
      </c>
      <c r="F34" s="31">
        <v>0</v>
      </c>
      <c r="G34" s="31">
        <v>0</v>
      </c>
      <c r="H34" s="9">
        <v>3237500000</v>
      </c>
      <c r="I34" s="9">
        <v>0</v>
      </c>
      <c r="J34" s="9">
        <v>3237500000</v>
      </c>
    </row>
    <row r="35" spans="1:10" x14ac:dyDescent="0.25">
      <c r="A35" s="4" t="s">
        <v>47</v>
      </c>
      <c r="B35" s="9" t="s">
        <v>204</v>
      </c>
      <c r="C35" s="9">
        <v>6338333</v>
      </c>
      <c r="D35" s="9">
        <v>200</v>
      </c>
      <c r="E35" s="31">
        <v>0</v>
      </c>
      <c r="F35" s="31">
        <v>0</v>
      </c>
      <c r="G35" s="31">
        <v>0</v>
      </c>
      <c r="H35" s="9">
        <v>1267678921</v>
      </c>
      <c r="I35" s="9">
        <v>0</v>
      </c>
      <c r="J35" s="9">
        <v>1267678921</v>
      </c>
    </row>
    <row r="36" spans="1:10" ht="18" thickBot="1" x14ac:dyDescent="0.3">
      <c r="A36" s="4" t="s">
        <v>2</v>
      </c>
      <c r="B36" s="9"/>
      <c r="C36" s="9"/>
      <c r="D36" s="9"/>
      <c r="E36" s="6">
        <f t="shared" ref="E36:J36" si="0">SUM(E8:E35)</f>
        <v>9562616615</v>
      </c>
      <c r="F36" s="6">
        <f t="shared" si="0"/>
        <v>-1339105027</v>
      </c>
      <c r="G36" s="6">
        <f t="shared" si="0"/>
        <v>8223511588</v>
      </c>
      <c r="H36" s="6">
        <f t="shared" si="0"/>
        <v>81005367922</v>
      </c>
      <c r="I36" s="6">
        <f t="shared" si="0"/>
        <v>-944780691</v>
      </c>
      <c r="J36" s="6">
        <f t="shared" si="0"/>
        <v>80060587231</v>
      </c>
    </row>
    <row r="37" spans="1:10" ht="18" thickTop="1" x14ac:dyDescent="0.25"/>
  </sheetData>
  <mergeCells count="7">
    <mergeCell ref="B6:D6"/>
    <mergeCell ref="E6:G6"/>
    <mergeCell ref="H6:J6"/>
    <mergeCell ref="A1:J1"/>
    <mergeCell ref="A2:J2"/>
    <mergeCell ref="A3:J3"/>
    <mergeCell ref="A5:J5"/>
  </mergeCells>
  <pageMargins left="0.7" right="0.7" top="0.75" bottom="0.75" header="0.3" footer="0.3"/>
  <pageSetup scale="59" orientation="landscape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868D2-285A-49CD-8B1B-75F1F1181BA9}">
  <dimension ref="A1:G11"/>
  <sheetViews>
    <sheetView rightToLeft="1" tabSelected="1" view="pageBreakPreview" zoomScale="115" zoomScaleNormal="100" zoomScaleSheetLayoutView="115" workbookViewId="0">
      <selection activeCell="M27" sqref="M27"/>
    </sheetView>
  </sheetViews>
  <sheetFormatPr defaultColWidth="8.85546875" defaultRowHeight="19.5" x14ac:dyDescent="0.25"/>
  <cols>
    <col min="1" max="1" width="25" style="14" customWidth="1"/>
    <col min="2" max="7" width="18.28515625" style="14" customWidth="1"/>
    <col min="8" max="16384" width="8.85546875" style="14"/>
  </cols>
  <sheetData>
    <row r="1" spans="1:7" x14ac:dyDescent="0.25">
      <c r="A1" s="72" t="s">
        <v>94</v>
      </c>
      <c r="B1" s="72"/>
      <c r="C1" s="72"/>
      <c r="D1" s="72"/>
      <c r="E1" s="72"/>
      <c r="F1" s="72"/>
      <c r="G1" s="72"/>
    </row>
    <row r="2" spans="1:7" x14ac:dyDescent="0.25">
      <c r="A2" s="72" t="s">
        <v>27</v>
      </c>
      <c r="B2" s="72"/>
      <c r="C2" s="72"/>
      <c r="D2" s="72"/>
      <c r="E2" s="72"/>
      <c r="F2" s="72"/>
      <c r="G2" s="72"/>
    </row>
    <row r="3" spans="1:7" x14ac:dyDescent="0.25">
      <c r="A3" s="72" t="s">
        <v>253</v>
      </c>
      <c r="B3" s="72"/>
      <c r="C3" s="72"/>
      <c r="D3" s="72"/>
      <c r="E3" s="72"/>
      <c r="F3" s="72"/>
      <c r="G3" s="72"/>
    </row>
    <row r="4" spans="1:7" x14ac:dyDescent="0.25">
      <c r="A4" s="34"/>
      <c r="B4" s="34"/>
      <c r="C4" s="34"/>
      <c r="D4" s="34"/>
      <c r="E4" s="34"/>
      <c r="F4" s="34"/>
      <c r="G4" s="34"/>
    </row>
    <row r="5" spans="1:7" ht="21" x14ac:dyDescent="0.25">
      <c r="A5" s="52" t="s">
        <v>31</v>
      </c>
      <c r="B5" s="52"/>
      <c r="C5" s="52"/>
      <c r="D5" s="52"/>
      <c r="E5" s="52"/>
      <c r="F5" s="52"/>
      <c r="G5" s="52"/>
    </row>
    <row r="6" spans="1:7" ht="20.25" thickBot="1" x14ac:dyDescent="0.3">
      <c r="A6" s="25"/>
      <c r="B6" s="65" t="s">
        <v>268</v>
      </c>
      <c r="C6" s="65"/>
      <c r="D6" s="65"/>
      <c r="E6" s="65" t="s">
        <v>269</v>
      </c>
      <c r="F6" s="65"/>
      <c r="G6" s="65"/>
    </row>
    <row r="7" spans="1:7" ht="20.25" thickBot="1" x14ac:dyDescent="0.3">
      <c r="A7" s="2" t="s">
        <v>41</v>
      </c>
      <c r="B7" s="24" t="s">
        <v>28</v>
      </c>
      <c r="C7" s="24" t="s">
        <v>16</v>
      </c>
      <c r="D7" s="24" t="s">
        <v>17</v>
      </c>
      <c r="E7" s="24" t="s">
        <v>28</v>
      </c>
      <c r="F7" s="24" t="s">
        <v>16</v>
      </c>
      <c r="G7" s="24" t="s">
        <v>17</v>
      </c>
    </row>
    <row r="8" spans="1:7" x14ac:dyDescent="0.25">
      <c r="A8" s="4" t="s">
        <v>36</v>
      </c>
      <c r="B8" s="9">
        <v>1799671</v>
      </c>
      <c r="C8" s="9">
        <v>0</v>
      </c>
      <c r="D8" s="9">
        <v>1799671</v>
      </c>
      <c r="E8" s="9">
        <v>84651319</v>
      </c>
      <c r="F8" s="9">
        <v>0</v>
      </c>
      <c r="G8" s="9">
        <v>84651319</v>
      </c>
    </row>
    <row r="9" spans="1:7" x14ac:dyDescent="0.25">
      <c r="A9" s="4" t="s">
        <v>35</v>
      </c>
      <c r="B9" s="9">
        <v>1981629721</v>
      </c>
      <c r="C9" s="9">
        <v>-23182709</v>
      </c>
      <c r="D9" s="9">
        <v>1958447012</v>
      </c>
      <c r="E9" s="9">
        <v>17759523216</v>
      </c>
      <c r="F9" s="9">
        <v>-1648234</v>
      </c>
      <c r="G9" s="9">
        <v>17757874982</v>
      </c>
    </row>
    <row r="10" spans="1:7" ht="20.25" thickBot="1" x14ac:dyDescent="0.3">
      <c r="A10" s="4" t="s">
        <v>2</v>
      </c>
      <c r="B10" s="6">
        <f t="shared" ref="B10:G10" si="0">SUM(B8:B9)</f>
        <v>1983429392</v>
      </c>
      <c r="C10" s="6">
        <f t="shared" si="0"/>
        <v>-23182709</v>
      </c>
      <c r="D10" s="6">
        <f t="shared" si="0"/>
        <v>1960246683</v>
      </c>
      <c r="E10" s="6">
        <f t="shared" si="0"/>
        <v>17844174535</v>
      </c>
      <c r="F10" s="6">
        <f t="shared" si="0"/>
        <v>-1648234</v>
      </c>
      <c r="G10" s="6">
        <f t="shared" si="0"/>
        <v>17842526301</v>
      </c>
    </row>
    <row r="11" spans="1:7" ht="20.25" thickTop="1" x14ac:dyDescent="0.25"/>
  </sheetData>
  <mergeCells count="6">
    <mergeCell ref="A1:G1"/>
    <mergeCell ref="A2:G2"/>
    <mergeCell ref="A3:G3"/>
    <mergeCell ref="A5:G5"/>
    <mergeCell ref="B6:D6"/>
    <mergeCell ref="E6:G6"/>
  </mergeCells>
  <pageMargins left="0.7" right="0.7" top="0.75" bottom="0.75" header="0.3" footer="0.3"/>
  <pageSetup scale="85" orientation="landscape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26EA0-C4EF-4117-B42F-5FDEF4A893BD}">
  <dimension ref="A1:I114"/>
  <sheetViews>
    <sheetView rightToLeft="1" tabSelected="1" view="pageBreakPreview" zoomScale="85" zoomScaleNormal="100" zoomScaleSheetLayoutView="85" workbookViewId="0">
      <selection activeCell="M27" sqref="M27"/>
    </sheetView>
  </sheetViews>
  <sheetFormatPr defaultColWidth="8.85546875" defaultRowHeight="19.5" x14ac:dyDescent="0.25"/>
  <cols>
    <col min="1" max="1" width="34.7109375" style="14" customWidth="1"/>
    <col min="2" max="2" width="14.5703125" style="14" customWidth="1"/>
    <col min="3" max="4" width="20.85546875" style="14" customWidth="1"/>
    <col min="5" max="5" width="21.42578125" style="14" customWidth="1"/>
    <col min="6" max="6" width="14.5703125" style="14" customWidth="1"/>
    <col min="7" max="8" width="20.85546875" style="14" customWidth="1"/>
    <col min="9" max="9" width="21.42578125" style="14" customWidth="1"/>
    <col min="10" max="16384" width="8.85546875" style="14"/>
  </cols>
  <sheetData>
    <row r="1" spans="1:9" ht="21" x14ac:dyDescent="0.25">
      <c r="A1" s="51" t="s">
        <v>94</v>
      </c>
      <c r="B1" s="51"/>
      <c r="C1" s="51"/>
      <c r="D1" s="51"/>
      <c r="E1" s="51"/>
      <c r="F1" s="51"/>
      <c r="G1" s="51"/>
      <c r="H1" s="51"/>
      <c r="I1" s="51"/>
    </row>
    <row r="2" spans="1:9" ht="21" x14ac:dyDescent="0.25">
      <c r="A2" s="51" t="s">
        <v>27</v>
      </c>
      <c r="B2" s="51"/>
      <c r="C2" s="51"/>
      <c r="D2" s="51"/>
      <c r="E2" s="51"/>
      <c r="F2" s="51"/>
      <c r="G2" s="51"/>
      <c r="H2" s="51"/>
      <c r="I2" s="51"/>
    </row>
    <row r="3" spans="1:9" ht="21" x14ac:dyDescent="0.25">
      <c r="A3" s="51" t="s">
        <v>253</v>
      </c>
      <c r="B3" s="51"/>
      <c r="C3" s="51"/>
      <c r="D3" s="51"/>
      <c r="E3" s="51"/>
      <c r="F3" s="51"/>
      <c r="G3" s="51"/>
      <c r="H3" s="51"/>
      <c r="I3" s="51"/>
    </row>
    <row r="4" spans="1:9" ht="21" x14ac:dyDescent="0.25">
      <c r="A4" s="28"/>
      <c r="B4" s="28"/>
      <c r="C4" s="28"/>
      <c r="D4" s="28"/>
      <c r="E4" s="28"/>
      <c r="F4" s="28"/>
      <c r="G4" s="28"/>
      <c r="H4" s="28"/>
      <c r="I4" s="28"/>
    </row>
    <row r="5" spans="1:9" ht="21" x14ac:dyDescent="0.25">
      <c r="A5" s="52" t="s">
        <v>23</v>
      </c>
      <c r="B5" s="52"/>
      <c r="C5" s="52"/>
      <c r="D5" s="52"/>
      <c r="E5" s="52"/>
      <c r="F5" s="52"/>
      <c r="G5" s="52"/>
      <c r="H5" s="52"/>
      <c r="I5" s="52"/>
    </row>
    <row r="6" spans="1:9" ht="20.25" thickBot="1" x14ac:dyDescent="0.3">
      <c r="B6" s="65" t="s">
        <v>268</v>
      </c>
      <c r="C6" s="65"/>
      <c r="D6" s="65"/>
      <c r="E6" s="65"/>
      <c r="F6" s="65" t="s">
        <v>269</v>
      </c>
      <c r="G6" s="65"/>
      <c r="H6" s="65"/>
      <c r="I6" s="65"/>
    </row>
    <row r="7" spans="1:9" ht="20.25" thickBot="1" x14ac:dyDescent="0.3">
      <c r="A7" s="2" t="s">
        <v>14</v>
      </c>
      <c r="B7" s="26" t="s">
        <v>3</v>
      </c>
      <c r="C7" s="1" t="s">
        <v>9</v>
      </c>
      <c r="D7" s="26" t="s">
        <v>19</v>
      </c>
      <c r="E7" s="1" t="s">
        <v>21</v>
      </c>
      <c r="F7" s="26" t="s">
        <v>3</v>
      </c>
      <c r="G7" s="1" t="s">
        <v>9</v>
      </c>
      <c r="H7" s="26" t="s">
        <v>19</v>
      </c>
      <c r="I7" s="1" t="s">
        <v>21</v>
      </c>
    </row>
    <row r="8" spans="1:9" x14ac:dyDescent="0.25">
      <c r="A8" s="4" t="s">
        <v>154</v>
      </c>
      <c r="B8" s="9">
        <v>0</v>
      </c>
      <c r="C8" s="9">
        <v>0</v>
      </c>
      <c r="D8" s="9">
        <v>0</v>
      </c>
      <c r="E8" s="9">
        <v>0</v>
      </c>
      <c r="F8" s="9">
        <v>5000000</v>
      </c>
      <c r="G8" s="9">
        <v>39969725</v>
      </c>
      <c r="H8" s="9">
        <v>-30275</v>
      </c>
      <c r="I8" s="9">
        <v>40000000</v>
      </c>
    </row>
    <row r="9" spans="1:9" x14ac:dyDescent="0.25">
      <c r="A9" s="4" t="s">
        <v>257</v>
      </c>
      <c r="B9" s="9">
        <v>4000000</v>
      </c>
      <c r="C9" s="9">
        <v>63951530</v>
      </c>
      <c r="D9" s="9">
        <v>-48470</v>
      </c>
      <c r="E9" s="9">
        <v>64000000</v>
      </c>
      <c r="F9" s="9">
        <v>4000000</v>
      </c>
      <c r="G9" s="9">
        <v>63951530</v>
      </c>
      <c r="H9" s="9">
        <v>-48470</v>
      </c>
      <c r="I9" s="9">
        <v>64000000</v>
      </c>
    </row>
    <row r="10" spans="1:9" x14ac:dyDescent="0.25">
      <c r="A10" s="4" t="s">
        <v>188</v>
      </c>
      <c r="B10" s="9">
        <v>0</v>
      </c>
      <c r="C10" s="9">
        <v>0</v>
      </c>
      <c r="D10" s="9">
        <v>0</v>
      </c>
      <c r="E10" s="9">
        <v>0</v>
      </c>
      <c r="F10" s="9">
        <v>5000000</v>
      </c>
      <c r="G10" s="9">
        <v>76941700</v>
      </c>
      <c r="H10" s="9">
        <v>193166649</v>
      </c>
      <c r="I10" s="9">
        <v>-116224949</v>
      </c>
    </row>
    <row r="11" spans="1:9" x14ac:dyDescent="0.25">
      <c r="A11" s="4" t="s">
        <v>54</v>
      </c>
      <c r="B11" s="9">
        <v>0</v>
      </c>
      <c r="C11" s="9">
        <v>0</v>
      </c>
      <c r="D11" s="9">
        <v>0</v>
      </c>
      <c r="E11" s="9">
        <v>0</v>
      </c>
      <c r="F11" s="9">
        <v>50000</v>
      </c>
      <c r="G11" s="9">
        <v>3345438305</v>
      </c>
      <c r="H11" s="9">
        <v>2323638386</v>
      </c>
      <c r="I11" s="9">
        <v>1021799919</v>
      </c>
    </row>
    <row r="12" spans="1:9" x14ac:dyDescent="0.25">
      <c r="A12" s="4" t="s">
        <v>58</v>
      </c>
      <c r="B12" s="9">
        <v>0</v>
      </c>
      <c r="C12" s="9">
        <v>0</v>
      </c>
      <c r="D12" s="9">
        <v>0</v>
      </c>
      <c r="E12" s="9">
        <v>0</v>
      </c>
      <c r="F12" s="9">
        <v>5300001</v>
      </c>
      <c r="G12" s="9">
        <v>24580165729</v>
      </c>
      <c r="H12" s="9">
        <v>16181486622</v>
      </c>
      <c r="I12" s="9">
        <v>8398679107</v>
      </c>
    </row>
    <row r="13" spans="1:9" x14ac:dyDescent="0.25">
      <c r="A13" s="4" t="s">
        <v>70</v>
      </c>
      <c r="B13" s="9">
        <v>2600000</v>
      </c>
      <c r="C13" s="9">
        <v>29063330681</v>
      </c>
      <c r="D13" s="9">
        <v>21300292809</v>
      </c>
      <c r="E13" s="9">
        <v>7763037872</v>
      </c>
      <c r="F13" s="9">
        <v>3000000</v>
      </c>
      <c r="G13" s="9">
        <v>33798443148</v>
      </c>
      <c r="H13" s="9">
        <v>25403155716</v>
      </c>
      <c r="I13" s="9">
        <v>8395287432</v>
      </c>
    </row>
    <row r="14" spans="1:9" x14ac:dyDescent="0.25">
      <c r="A14" s="4" t="s">
        <v>150</v>
      </c>
      <c r="B14" s="9">
        <v>0</v>
      </c>
      <c r="C14" s="9">
        <v>0</v>
      </c>
      <c r="D14" s="9">
        <v>0</v>
      </c>
      <c r="E14" s="9">
        <v>0</v>
      </c>
      <c r="F14" s="9">
        <v>14220000</v>
      </c>
      <c r="G14" s="9">
        <v>113673861</v>
      </c>
      <c r="H14" s="9">
        <v>-86139</v>
      </c>
      <c r="I14" s="9">
        <v>113760000</v>
      </c>
    </row>
    <row r="15" spans="1:9" x14ac:dyDescent="0.25">
      <c r="A15" s="4" t="s">
        <v>127</v>
      </c>
      <c r="B15" s="9">
        <v>0</v>
      </c>
      <c r="C15" s="9">
        <v>0</v>
      </c>
      <c r="D15" s="9">
        <v>0</v>
      </c>
      <c r="E15" s="9">
        <v>0</v>
      </c>
      <c r="F15" s="9">
        <v>2300000</v>
      </c>
      <c r="G15" s="9">
        <v>17160317626</v>
      </c>
      <c r="H15" s="9">
        <v>18580529826</v>
      </c>
      <c r="I15" s="9">
        <v>-1420212200</v>
      </c>
    </row>
    <row r="16" spans="1:9" x14ac:dyDescent="0.25">
      <c r="A16" s="4" t="s">
        <v>237</v>
      </c>
      <c r="B16" s="9">
        <v>0</v>
      </c>
      <c r="C16" s="9">
        <v>0</v>
      </c>
      <c r="D16" s="9">
        <v>0</v>
      </c>
      <c r="E16" s="9">
        <v>0</v>
      </c>
      <c r="F16" s="9">
        <v>20000</v>
      </c>
      <c r="G16" s="9">
        <v>339744</v>
      </c>
      <c r="H16" s="9">
        <v>199892</v>
      </c>
      <c r="I16" s="9">
        <v>139852</v>
      </c>
    </row>
    <row r="17" spans="1:9" x14ac:dyDescent="0.25">
      <c r="A17" s="4" t="s">
        <v>82</v>
      </c>
      <c r="B17" s="9">
        <v>0</v>
      </c>
      <c r="C17" s="9">
        <v>0</v>
      </c>
      <c r="D17" s="9">
        <v>0</v>
      </c>
      <c r="E17" s="9">
        <v>0</v>
      </c>
      <c r="F17" s="9">
        <v>13800000</v>
      </c>
      <c r="G17" s="9">
        <v>8334274354</v>
      </c>
      <c r="H17" s="9">
        <v>8303253349</v>
      </c>
      <c r="I17" s="9">
        <v>31021005</v>
      </c>
    </row>
    <row r="18" spans="1:9" x14ac:dyDescent="0.25">
      <c r="A18" s="4" t="s">
        <v>55</v>
      </c>
      <c r="B18" s="9">
        <v>0</v>
      </c>
      <c r="C18" s="9">
        <v>0</v>
      </c>
      <c r="D18" s="9">
        <v>0</v>
      </c>
      <c r="E18" s="9">
        <v>0</v>
      </c>
      <c r="F18" s="9">
        <v>200000</v>
      </c>
      <c r="G18" s="9">
        <v>7535298423</v>
      </c>
      <c r="H18" s="9">
        <v>12037069723</v>
      </c>
      <c r="I18" s="9">
        <v>-4501771300</v>
      </c>
    </row>
    <row r="19" spans="1:9" x14ac:dyDescent="0.25">
      <c r="A19" s="4" t="s">
        <v>149</v>
      </c>
      <c r="B19" s="9">
        <v>0</v>
      </c>
      <c r="C19" s="9">
        <v>0</v>
      </c>
      <c r="D19" s="9">
        <v>0</v>
      </c>
      <c r="E19" s="9">
        <v>0</v>
      </c>
      <c r="F19" s="9">
        <v>35550000</v>
      </c>
      <c r="G19" s="9">
        <v>284184689</v>
      </c>
      <c r="H19" s="9">
        <v>-215311</v>
      </c>
      <c r="I19" s="9">
        <v>284400000</v>
      </c>
    </row>
    <row r="20" spans="1:9" x14ac:dyDescent="0.25">
      <c r="A20" s="4" t="s">
        <v>158</v>
      </c>
      <c r="B20" s="9">
        <v>0</v>
      </c>
      <c r="C20" s="9">
        <v>0</v>
      </c>
      <c r="D20" s="9">
        <v>0</v>
      </c>
      <c r="E20" s="9">
        <v>0</v>
      </c>
      <c r="F20" s="9">
        <v>5000000</v>
      </c>
      <c r="G20" s="9">
        <v>89931841</v>
      </c>
      <c r="H20" s="9">
        <v>29954541</v>
      </c>
      <c r="I20" s="9">
        <v>59977300</v>
      </c>
    </row>
    <row r="21" spans="1:9" x14ac:dyDescent="0.25">
      <c r="A21" s="4" t="s">
        <v>114</v>
      </c>
      <c r="B21" s="9">
        <v>0</v>
      </c>
      <c r="C21" s="9">
        <v>0</v>
      </c>
      <c r="D21" s="9">
        <v>0</v>
      </c>
      <c r="E21" s="9">
        <v>0</v>
      </c>
      <c r="F21" s="9">
        <v>750000</v>
      </c>
      <c r="G21" s="9">
        <v>9053223432</v>
      </c>
      <c r="H21" s="9">
        <v>6095734032</v>
      </c>
      <c r="I21" s="9">
        <v>2957489400</v>
      </c>
    </row>
    <row r="22" spans="1:9" x14ac:dyDescent="0.25">
      <c r="A22" s="4" t="s">
        <v>166</v>
      </c>
      <c r="B22" s="9">
        <v>0</v>
      </c>
      <c r="C22" s="9">
        <v>0</v>
      </c>
      <c r="D22" s="9">
        <v>0</v>
      </c>
      <c r="E22" s="9">
        <v>0</v>
      </c>
      <c r="F22" s="9">
        <v>77000000</v>
      </c>
      <c r="G22" s="9">
        <v>379712256</v>
      </c>
      <c r="H22" s="9">
        <v>-287744</v>
      </c>
      <c r="I22" s="9">
        <v>380000000</v>
      </c>
    </row>
    <row r="23" spans="1:9" x14ac:dyDescent="0.25">
      <c r="A23" s="4" t="s">
        <v>151</v>
      </c>
      <c r="B23" s="9">
        <v>0</v>
      </c>
      <c r="C23" s="9">
        <v>0</v>
      </c>
      <c r="D23" s="9">
        <v>0</v>
      </c>
      <c r="E23" s="9">
        <v>0</v>
      </c>
      <c r="F23" s="9">
        <v>39375180</v>
      </c>
      <c r="G23" s="9">
        <v>3803705479</v>
      </c>
      <c r="H23" s="9">
        <v>-2883293</v>
      </c>
      <c r="I23" s="9">
        <v>3806588772</v>
      </c>
    </row>
    <row r="24" spans="1:9" x14ac:dyDescent="0.25">
      <c r="A24" s="4" t="s">
        <v>86</v>
      </c>
      <c r="B24" s="9">
        <v>5333000</v>
      </c>
      <c r="C24" s="9">
        <v>23869953444</v>
      </c>
      <c r="D24" s="9">
        <v>18154603269</v>
      </c>
      <c r="E24" s="9">
        <v>5715350175</v>
      </c>
      <c r="F24" s="9">
        <v>5333000</v>
      </c>
      <c r="G24" s="9">
        <v>23869953444</v>
      </c>
      <c r="H24" s="9">
        <v>18154603269</v>
      </c>
      <c r="I24" s="9">
        <v>5715350175</v>
      </c>
    </row>
    <row r="25" spans="1:9" x14ac:dyDescent="0.25">
      <c r="A25" s="4" t="s">
        <v>169</v>
      </c>
      <c r="B25" s="9">
        <v>0</v>
      </c>
      <c r="C25" s="9">
        <v>0</v>
      </c>
      <c r="D25" s="9">
        <v>0</v>
      </c>
      <c r="E25" s="9">
        <v>0</v>
      </c>
      <c r="F25" s="9">
        <v>8000000</v>
      </c>
      <c r="G25" s="9">
        <v>256805344</v>
      </c>
      <c r="H25" s="9">
        <v>31829545</v>
      </c>
      <c r="I25" s="9">
        <v>224975799</v>
      </c>
    </row>
    <row r="26" spans="1:9" x14ac:dyDescent="0.25">
      <c r="A26" s="4" t="s">
        <v>118</v>
      </c>
      <c r="B26" s="9">
        <v>0</v>
      </c>
      <c r="C26" s="9">
        <v>0</v>
      </c>
      <c r="D26" s="9">
        <v>0</v>
      </c>
      <c r="E26" s="9">
        <v>0</v>
      </c>
      <c r="F26" s="9">
        <v>100454</v>
      </c>
      <c r="G26" s="9">
        <v>6345525499</v>
      </c>
      <c r="H26" s="9">
        <v>4323210201</v>
      </c>
      <c r="I26" s="9">
        <v>2022315298</v>
      </c>
    </row>
    <row r="27" spans="1:9" x14ac:dyDescent="0.25">
      <c r="A27" s="4" t="s">
        <v>236</v>
      </c>
      <c r="B27" s="9">
        <v>0</v>
      </c>
      <c r="C27" s="9">
        <v>0</v>
      </c>
      <c r="D27" s="9">
        <v>0</v>
      </c>
      <c r="E27" s="9">
        <v>0</v>
      </c>
      <c r="F27" s="9">
        <v>2100000</v>
      </c>
      <c r="G27" s="9">
        <v>38895776245</v>
      </c>
      <c r="H27" s="9">
        <v>35349521828</v>
      </c>
      <c r="I27" s="9">
        <v>3546254417</v>
      </c>
    </row>
    <row r="28" spans="1:9" x14ac:dyDescent="0.25">
      <c r="A28" s="4" t="s">
        <v>262</v>
      </c>
      <c r="B28" s="9">
        <v>0</v>
      </c>
      <c r="C28" s="9">
        <v>0</v>
      </c>
      <c r="D28" s="9">
        <v>0</v>
      </c>
      <c r="E28" s="9">
        <v>0</v>
      </c>
      <c r="F28" s="9">
        <v>535000</v>
      </c>
      <c r="G28" s="9">
        <v>11035555824</v>
      </c>
      <c r="H28" s="9">
        <v>7797367816</v>
      </c>
      <c r="I28" s="9">
        <v>3238188008</v>
      </c>
    </row>
    <row r="29" spans="1:9" x14ac:dyDescent="0.25">
      <c r="A29" s="4" t="s">
        <v>235</v>
      </c>
      <c r="B29" s="9">
        <v>0</v>
      </c>
      <c r="C29" s="9">
        <v>0</v>
      </c>
      <c r="D29" s="9">
        <v>0</v>
      </c>
      <c r="E29" s="9">
        <v>0</v>
      </c>
      <c r="F29" s="9">
        <v>3500000</v>
      </c>
      <c r="G29" s="9">
        <v>3004685259</v>
      </c>
      <c r="H29" s="9">
        <v>53764669</v>
      </c>
      <c r="I29" s="9">
        <v>2950920590</v>
      </c>
    </row>
    <row r="30" spans="1:9" x14ac:dyDescent="0.25">
      <c r="A30" s="4" t="s">
        <v>234</v>
      </c>
      <c r="B30" s="9">
        <v>0</v>
      </c>
      <c r="C30" s="9">
        <v>0</v>
      </c>
      <c r="D30" s="9">
        <v>0</v>
      </c>
      <c r="E30" s="9">
        <v>0</v>
      </c>
      <c r="F30" s="9">
        <v>5000000</v>
      </c>
      <c r="G30" s="9">
        <v>39969728</v>
      </c>
      <c r="H30" s="9">
        <v>-30272</v>
      </c>
      <c r="I30" s="9">
        <v>40000000</v>
      </c>
    </row>
    <row r="31" spans="1:9" x14ac:dyDescent="0.25">
      <c r="A31" s="4" t="s">
        <v>62</v>
      </c>
      <c r="B31" s="9">
        <v>2400000</v>
      </c>
      <c r="C31" s="9">
        <v>50800511416</v>
      </c>
      <c r="D31" s="9">
        <v>20902675588</v>
      </c>
      <c r="E31" s="9">
        <v>29897835828</v>
      </c>
      <c r="F31" s="9">
        <v>5500000</v>
      </c>
      <c r="G31" s="9">
        <v>103531104668</v>
      </c>
      <c r="H31" s="9">
        <v>55851803974</v>
      </c>
      <c r="I31" s="9">
        <v>47679300694</v>
      </c>
    </row>
    <row r="32" spans="1:9" x14ac:dyDescent="0.25">
      <c r="A32" s="4" t="s">
        <v>233</v>
      </c>
      <c r="B32" s="9">
        <v>0</v>
      </c>
      <c r="C32" s="9">
        <v>0</v>
      </c>
      <c r="D32" s="9">
        <v>0</v>
      </c>
      <c r="E32" s="9">
        <v>0</v>
      </c>
      <c r="F32" s="9">
        <v>6000000</v>
      </c>
      <c r="G32" s="9">
        <v>2470752400</v>
      </c>
      <c r="H32" s="9">
        <v>2814280790</v>
      </c>
      <c r="I32" s="9">
        <v>-343528390</v>
      </c>
    </row>
    <row r="33" spans="1:9" x14ac:dyDescent="0.25">
      <c r="A33" s="4" t="s">
        <v>232</v>
      </c>
      <c r="B33" s="9">
        <v>0</v>
      </c>
      <c r="C33" s="9">
        <v>0</v>
      </c>
      <c r="D33" s="9">
        <v>0</v>
      </c>
      <c r="E33" s="9">
        <v>0</v>
      </c>
      <c r="F33" s="9">
        <v>13238820</v>
      </c>
      <c r="G33" s="9">
        <v>463107221</v>
      </c>
      <c r="H33" s="9">
        <v>-351019</v>
      </c>
      <c r="I33" s="9">
        <v>463458240</v>
      </c>
    </row>
    <row r="34" spans="1:9" x14ac:dyDescent="0.25">
      <c r="A34" s="4" t="s">
        <v>195</v>
      </c>
      <c r="B34" s="9">
        <v>0</v>
      </c>
      <c r="C34" s="9">
        <v>0</v>
      </c>
      <c r="D34" s="9">
        <v>0</v>
      </c>
      <c r="E34" s="9">
        <v>0</v>
      </c>
      <c r="F34" s="9">
        <v>5000000</v>
      </c>
      <c r="G34" s="9">
        <v>699469750</v>
      </c>
      <c r="H34" s="9">
        <v>534875007</v>
      </c>
      <c r="I34" s="9">
        <v>164594743</v>
      </c>
    </row>
    <row r="35" spans="1:9" x14ac:dyDescent="0.25">
      <c r="A35" s="4" t="s">
        <v>167</v>
      </c>
      <c r="B35" s="9">
        <v>0</v>
      </c>
      <c r="C35" s="9">
        <v>0</v>
      </c>
      <c r="D35" s="9">
        <v>0</v>
      </c>
      <c r="E35" s="9">
        <v>0</v>
      </c>
      <c r="F35" s="9">
        <v>100000</v>
      </c>
      <c r="G35" s="9">
        <v>1139636072</v>
      </c>
      <c r="H35" s="9">
        <v>570337002</v>
      </c>
      <c r="I35" s="9">
        <v>569299070</v>
      </c>
    </row>
    <row r="36" spans="1:9" x14ac:dyDescent="0.25">
      <c r="A36" s="4" t="s">
        <v>73</v>
      </c>
      <c r="B36" s="9">
        <v>0</v>
      </c>
      <c r="C36" s="9">
        <v>0</v>
      </c>
      <c r="D36" s="9">
        <v>0</v>
      </c>
      <c r="E36" s="9">
        <v>0</v>
      </c>
      <c r="F36" s="9">
        <v>990000</v>
      </c>
      <c r="G36" s="9">
        <v>15904897432</v>
      </c>
      <c r="H36" s="9">
        <v>11432125008</v>
      </c>
      <c r="I36" s="9">
        <v>4472772424</v>
      </c>
    </row>
    <row r="37" spans="1:9" x14ac:dyDescent="0.25">
      <c r="A37" s="4" t="s">
        <v>199</v>
      </c>
      <c r="B37" s="9">
        <v>0</v>
      </c>
      <c r="C37" s="9">
        <v>0</v>
      </c>
      <c r="D37" s="9">
        <v>0</v>
      </c>
      <c r="E37" s="9">
        <v>0</v>
      </c>
      <c r="F37" s="9">
        <v>39816000</v>
      </c>
      <c r="G37" s="9">
        <v>8266696294</v>
      </c>
      <c r="H37" s="9">
        <v>10206540498</v>
      </c>
      <c r="I37" s="9">
        <v>-1939844204</v>
      </c>
    </row>
    <row r="38" spans="1:9" x14ac:dyDescent="0.25">
      <c r="A38" s="4" t="s">
        <v>182</v>
      </c>
      <c r="B38" s="9">
        <v>0</v>
      </c>
      <c r="C38" s="9">
        <v>0</v>
      </c>
      <c r="D38" s="9">
        <v>0</v>
      </c>
      <c r="E38" s="9">
        <v>0</v>
      </c>
      <c r="F38" s="9">
        <v>1000000</v>
      </c>
      <c r="G38" s="9">
        <v>51960615</v>
      </c>
      <c r="H38" s="9">
        <v>83023483</v>
      </c>
      <c r="I38" s="9">
        <v>-31062868</v>
      </c>
    </row>
    <row r="39" spans="1:9" x14ac:dyDescent="0.25">
      <c r="A39" s="4" t="s">
        <v>153</v>
      </c>
      <c r="B39" s="9">
        <v>0</v>
      </c>
      <c r="C39" s="9">
        <v>0</v>
      </c>
      <c r="D39" s="9">
        <v>0</v>
      </c>
      <c r="E39" s="9">
        <v>0</v>
      </c>
      <c r="F39" s="9">
        <v>19908000</v>
      </c>
      <c r="G39" s="9">
        <v>233031408</v>
      </c>
      <c r="H39" s="9">
        <v>19746443</v>
      </c>
      <c r="I39" s="9">
        <v>213284965</v>
      </c>
    </row>
    <row r="40" spans="1:9" x14ac:dyDescent="0.25">
      <c r="A40" s="4" t="s">
        <v>152</v>
      </c>
      <c r="B40" s="9">
        <v>0</v>
      </c>
      <c r="C40" s="9">
        <v>0</v>
      </c>
      <c r="D40" s="9">
        <v>0</v>
      </c>
      <c r="E40" s="9">
        <v>0</v>
      </c>
      <c r="F40" s="9">
        <v>19908000</v>
      </c>
      <c r="G40" s="9">
        <v>218822204</v>
      </c>
      <c r="H40" s="9">
        <v>59603353</v>
      </c>
      <c r="I40" s="9">
        <v>159218851</v>
      </c>
    </row>
    <row r="41" spans="1:9" x14ac:dyDescent="0.25">
      <c r="A41" s="4" t="s">
        <v>164</v>
      </c>
      <c r="B41" s="9">
        <v>0</v>
      </c>
      <c r="C41" s="9">
        <v>0</v>
      </c>
      <c r="D41" s="9">
        <v>0</v>
      </c>
      <c r="E41" s="9">
        <v>0</v>
      </c>
      <c r="F41" s="9">
        <v>10000000</v>
      </c>
      <c r="G41" s="9">
        <v>99924294</v>
      </c>
      <c r="H41" s="9">
        <v>29947014</v>
      </c>
      <c r="I41" s="9">
        <v>69977280</v>
      </c>
    </row>
    <row r="42" spans="1:9" x14ac:dyDescent="0.25">
      <c r="A42" s="4" t="s">
        <v>256</v>
      </c>
      <c r="B42" s="9">
        <v>250000</v>
      </c>
      <c r="C42" s="9">
        <v>7014182729</v>
      </c>
      <c r="D42" s="9">
        <v>2875767291</v>
      </c>
      <c r="E42" s="9">
        <v>4138415438</v>
      </c>
      <c r="F42" s="9">
        <v>250000</v>
      </c>
      <c r="G42" s="9">
        <v>7014182729</v>
      </c>
      <c r="H42" s="9">
        <v>2875767291</v>
      </c>
      <c r="I42" s="9">
        <v>4138415438</v>
      </c>
    </row>
    <row r="43" spans="1:9" x14ac:dyDescent="0.25">
      <c r="A43" s="4" t="s">
        <v>191</v>
      </c>
      <c r="B43" s="9">
        <v>0</v>
      </c>
      <c r="C43" s="9">
        <v>0</v>
      </c>
      <c r="D43" s="9">
        <v>0</v>
      </c>
      <c r="E43" s="9">
        <v>0</v>
      </c>
      <c r="F43" s="9">
        <v>1000000</v>
      </c>
      <c r="G43" s="9">
        <v>381161053</v>
      </c>
      <c r="H43" s="9">
        <v>392413355</v>
      </c>
      <c r="I43" s="9">
        <v>-11252302</v>
      </c>
    </row>
    <row r="44" spans="1:9" x14ac:dyDescent="0.25">
      <c r="A44" s="4" t="s">
        <v>198</v>
      </c>
      <c r="B44" s="9">
        <v>0</v>
      </c>
      <c r="C44" s="9">
        <v>0</v>
      </c>
      <c r="D44" s="9">
        <v>0</v>
      </c>
      <c r="E44" s="9">
        <v>0</v>
      </c>
      <c r="F44" s="9">
        <v>20000000</v>
      </c>
      <c r="G44" s="9">
        <v>356867546</v>
      </c>
      <c r="H44" s="9">
        <v>-270454</v>
      </c>
      <c r="I44" s="9">
        <v>357138000</v>
      </c>
    </row>
    <row r="45" spans="1:9" x14ac:dyDescent="0.25">
      <c r="A45" s="4" t="s">
        <v>231</v>
      </c>
      <c r="B45" s="9">
        <v>0</v>
      </c>
      <c r="C45" s="9">
        <v>0</v>
      </c>
      <c r="D45" s="9">
        <v>0</v>
      </c>
      <c r="E45" s="9">
        <v>0</v>
      </c>
      <c r="F45" s="9">
        <v>100000</v>
      </c>
      <c r="G45" s="9">
        <v>146888649</v>
      </c>
      <c r="H45" s="9">
        <v>1389781</v>
      </c>
      <c r="I45" s="9">
        <v>145498868</v>
      </c>
    </row>
    <row r="46" spans="1:9" x14ac:dyDescent="0.25">
      <c r="A46" s="4" t="s">
        <v>57</v>
      </c>
      <c r="B46" s="9">
        <v>0</v>
      </c>
      <c r="C46" s="9">
        <v>0</v>
      </c>
      <c r="D46" s="9">
        <v>0</v>
      </c>
      <c r="E46" s="9">
        <v>0</v>
      </c>
      <c r="F46" s="9">
        <v>1287823</v>
      </c>
      <c r="G46" s="9">
        <v>35711185600</v>
      </c>
      <c r="H46" s="9">
        <v>36458104644</v>
      </c>
      <c r="I46" s="9">
        <v>-746919044</v>
      </c>
    </row>
    <row r="47" spans="1:9" x14ac:dyDescent="0.25">
      <c r="A47" s="4" t="s">
        <v>80</v>
      </c>
      <c r="B47" s="9">
        <v>0</v>
      </c>
      <c r="C47" s="9">
        <v>0</v>
      </c>
      <c r="D47" s="9">
        <v>0</v>
      </c>
      <c r="E47" s="9">
        <v>0</v>
      </c>
      <c r="F47" s="9">
        <v>5850000</v>
      </c>
      <c r="G47" s="9">
        <v>11195822656</v>
      </c>
      <c r="H47" s="9">
        <v>12330839022</v>
      </c>
      <c r="I47" s="9">
        <v>-1135016366</v>
      </c>
    </row>
    <row r="48" spans="1:9" x14ac:dyDescent="0.25">
      <c r="A48" s="4" t="s">
        <v>48</v>
      </c>
      <c r="B48" s="9">
        <v>207000</v>
      </c>
      <c r="C48" s="9">
        <v>47820372000</v>
      </c>
      <c r="D48" s="9">
        <v>22696716565</v>
      </c>
      <c r="E48" s="9">
        <v>25123655435</v>
      </c>
      <c r="F48" s="9">
        <v>507000</v>
      </c>
      <c r="G48" s="9">
        <v>102113417773</v>
      </c>
      <c r="H48" s="9">
        <v>55630783449</v>
      </c>
      <c r="I48" s="9">
        <v>46482634324</v>
      </c>
    </row>
    <row r="49" spans="1:9" x14ac:dyDescent="0.25">
      <c r="A49" s="4" t="s">
        <v>102</v>
      </c>
      <c r="B49" s="9">
        <v>0</v>
      </c>
      <c r="C49" s="9">
        <v>0</v>
      </c>
      <c r="D49" s="9">
        <v>0</v>
      </c>
      <c r="E49" s="9">
        <v>0</v>
      </c>
      <c r="F49" s="9">
        <v>30000000</v>
      </c>
      <c r="G49" s="9">
        <v>359727477</v>
      </c>
      <c r="H49" s="9">
        <v>59772773</v>
      </c>
      <c r="I49" s="9">
        <v>299954704</v>
      </c>
    </row>
    <row r="50" spans="1:9" x14ac:dyDescent="0.25">
      <c r="A50" s="4" t="s">
        <v>126</v>
      </c>
      <c r="B50" s="9">
        <v>0</v>
      </c>
      <c r="C50" s="9">
        <v>0</v>
      </c>
      <c r="D50" s="9">
        <v>0</v>
      </c>
      <c r="E50" s="9">
        <v>0</v>
      </c>
      <c r="F50" s="9">
        <v>562500</v>
      </c>
      <c r="G50" s="9">
        <v>4950825640</v>
      </c>
      <c r="H50" s="9">
        <v>5503880249</v>
      </c>
      <c r="I50" s="9">
        <v>-553054609</v>
      </c>
    </row>
    <row r="51" spans="1:9" x14ac:dyDescent="0.25">
      <c r="A51" s="4" t="s">
        <v>184</v>
      </c>
      <c r="B51" s="9">
        <v>0</v>
      </c>
      <c r="C51" s="9">
        <v>0</v>
      </c>
      <c r="D51" s="9">
        <v>0</v>
      </c>
      <c r="E51" s="9">
        <v>0</v>
      </c>
      <c r="F51" s="9">
        <v>5000000</v>
      </c>
      <c r="G51" s="9">
        <v>64950770</v>
      </c>
      <c r="H51" s="9">
        <v>14962107</v>
      </c>
      <c r="I51" s="9">
        <v>49988663</v>
      </c>
    </row>
    <row r="52" spans="1:9" x14ac:dyDescent="0.25">
      <c r="A52" s="4" t="s">
        <v>124</v>
      </c>
      <c r="B52" s="9">
        <v>0</v>
      </c>
      <c r="C52" s="9">
        <v>0</v>
      </c>
      <c r="D52" s="9">
        <v>0</v>
      </c>
      <c r="E52" s="9">
        <v>0</v>
      </c>
      <c r="F52" s="9">
        <v>1200000</v>
      </c>
      <c r="G52" s="9">
        <v>3952012977</v>
      </c>
      <c r="H52" s="9">
        <v>3772517754</v>
      </c>
      <c r="I52" s="9">
        <v>179495223</v>
      </c>
    </row>
    <row r="53" spans="1:9" x14ac:dyDescent="0.25">
      <c r="A53" s="4" t="s">
        <v>122</v>
      </c>
      <c r="B53" s="9">
        <v>0</v>
      </c>
      <c r="C53" s="9">
        <v>0</v>
      </c>
      <c r="D53" s="9">
        <v>0</v>
      </c>
      <c r="E53" s="9">
        <v>0</v>
      </c>
      <c r="F53" s="9">
        <v>2900000</v>
      </c>
      <c r="G53" s="9">
        <v>21814981638</v>
      </c>
      <c r="H53" s="9">
        <v>23394781032</v>
      </c>
      <c r="I53" s="9">
        <v>-1579799394</v>
      </c>
    </row>
    <row r="54" spans="1:9" x14ac:dyDescent="0.25">
      <c r="A54" s="4" t="s">
        <v>69</v>
      </c>
      <c r="B54" s="9">
        <v>0</v>
      </c>
      <c r="C54" s="9">
        <v>0</v>
      </c>
      <c r="D54" s="9">
        <v>0</v>
      </c>
      <c r="E54" s="9">
        <v>0</v>
      </c>
      <c r="F54" s="9">
        <v>26020100</v>
      </c>
      <c r="G54" s="9">
        <v>63307550976</v>
      </c>
      <c r="H54" s="9">
        <v>81128473230</v>
      </c>
      <c r="I54" s="9">
        <v>-17820922254</v>
      </c>
    </row>
    <row r="55" spans="1:9" x14ac:dyDescent="0.25">
      <c r="A55" s="4" t="s">
        <v>168</v>
      </c>
      <c r="B55" s="9">
        <v>0</v>
      </c>
      <c r="C55" s="9">
        <v>0</v>
      </c>
      <c r="D55" s="9">
        <v>0</v>
      </c>
      <c r="E55" s="9">
        <v>0</v>
      </c>
      <c r="F55" s="9">
        <v>8096000</v>
      </c>
      <c r="G55" s="9">
        <v>327383857</v>
      </c>
      <c r="H55" s="9">
        <v>32160346</v>
      </c>
      <c r="I55" s="9">
        <v>295223511</v>
      </c>
    </row>
    <row r="56" spans="1:9" x14ac:dyDescent="0.25">
      <c r="A56" s="4" t="s">
        <v>230</v>
      </c>
      <c r="B56" s="9">
        <v>0</v>
      </c>
      <c r="C56" s="9">
        <v>0</v>
      </c>
      <c r="D56" s="9">
        <v>0</v>
      </c>
      <c r="E56" s="9">
        <v>0</v>
      </c>
      <c r="F56" s="9">
        <v>700000</v>
      </c>
      <c r="G56" s="9">
        <v>10200715278</v>
      </c>
      <c r="H56" s="9">
        <v>10478287108</v>
      </c>
      <c r="I56" s="9">
        <v>-277571830</v>
      </c>
    </row>
    <row r="57" spans="1:9" x14ac:dyDescent="0.25">
      <c r="A57" s="4" t="s">
        <v>249</v>
      </c>
      <c r="B57" s="9">
        <v>562500</v>
      </c>
      <c r="C57" s="9">
        <v>15092426846</v>
      </c>
      <c r="D57" s="9">
        <v>10186242115</v>
      </c>
      <c r="E57" s="9">
        <v>4906184731</v>
      </c>
      <c r="F57" s="9">
        <v>562500</v>
      </c>
      <c r="G57" s="9">
        <v>15092426846</v>
      </c>
      <c r="H57" s="9">
        <v>10186242115</v>
      </c>
      <c r="I57" s="9">
        <v>4906184731</v>
      </c>
    </row>
    <row r="58" spans="1:9" x14ac:dyDescent="0.25">
      <c r="A58" s="4" t="s">
        <v>189</v>
      </c>
      <c r="B58" s="9">
        <v>0</v>
      </c>
      <c r="C58" s="9">
        <v>0</v>
      </c>
      <c r="D58" s="9">
        <v>0</v>
      </c>
      <c r="E58" s="9">
        <v>0</v>
      </c>
      <c r="F58" s="9">
        <v>11000000</v>
      </c>
      <c r="G58" s="9">
        <v>144890222</v>
      </c>
      <c r="H58" s="9">
        <v>64023467</v>
      </c>
      <c r="I58" s="9">
        <v>80866755</v>
      </c>
    </row>
    <row r="59" spans="1:9" x14ac:dyDescent="0.25">
      <c r="A59" s="4" t="s">
        <v>104</v>
      </c>
      <c r="B59" s="9">
        <v>0</v>
      </c>
      <c r="C59" s="9">
        <v>0</v>
      </c>
      <c r="D59" s="9">
        <v>-180000000</v>
      </c>
      <c r="E59" s="9">
        <v>180000000</v>
      </c>
      <c r="F59" s="9">
        <v>15000000</v>
      </c>
      <c r="G59" s="9">
        <v>179863725</v>
      </c>
      <c r="H59" s="9">
        <v>-136275</v>
      </c>
      <c r="I59" s="9">
        <v>180000000</v>
      </c>
    </row>
    <row r="60" spans="1:9" x14ac:dyDescent="0.25">
      <c r="A60" s="4" t="s">
        <v>187</v>
      </c>
      <c r="B60" s="9">
        <v>0</v>
      </c>
      <c r="C60" s="9">
        <v>0</v>
      </c>
      <c r="D60" s="9">
        <v>0</v>
      </c>
      <c r="E60" s="9">
        <v>0</v>
      </c>
      <c r="F60" s="9">
        <v>8000000</v>
      </c>
      <c r="G60" s="9">
        <v>60953834</v>
      </c>
      <c r="H60" s="9">
        <v>88020450</v>
      </c>
      <c r="I60" s="9">
        <v>-27066616</v>
      </c>
    </row>
    <row r="61" spans="1:9" x14ac:dyDescent="0.25">
      <c r="A61" s="4" t="s">
        <v>67</v>
      </c>
      <c r="B61" s="9">
        <v>10335980</v>
      </c>
      <c r="C61" s="9">
        <v>27301692718</v>
      </c>
      <c r="D61" s="9">
        <v>23197168062</v>
      </c>
      <c r="E61" s="9">
        <v>4104524656</v>
      </c>
      <c r="F61" s="9">
        <v>10335980</v>
      </c>
      <c r="G61" s="9">
        <v>27301692718</v>
      </c>
      <c r="H61" s="9">
        <v>23197168062</v>
      </c>
      <c r="I61" s="9">
        <v>4104524656</v>
      </c>
    </row>
    <row r="62" spans="1:9" x14ac:dyDescent="0.25">
      <c r="A62" s="4" t="s">
        <v>176</v>
      </c>
      <c r="B62" s="9">
        <v>0</v>
      </c>
      <c r="C62" s="9">
        <v>0</v>
      </c>
      <c r="D62" s="9">
        <v>0</v>
      </c>
      <c r="E62" s="9">
        <v>0</v>
      </c>
      <c r="F62" s="9">
        <v>36000000</v>
      </c>
      <c r="G62" s="9">
        <v>334746428</v>
      </c>
      <c r="H62" s="9">
        <v>71800788</v>
      </c>
      <c r="I62" s="9">
        <v>262945640</v>
      </c>
    </row>
    <row r="63" spans="1:9" x14ac:dyDescent="0.25">
      <c r="A63" s="4" t="s">
        <v>68</v>
      </c>
      <c r="B63" s="9">
        <v>0</v>
      </c>
      <c r="C63" s="9">
        <v>0</v>
      </c>
      <c r="D63" s="9">
        <v>0</v>
      </c>
      <c r="E63" s="9">
        <v>0</v>
      </c>
      <c r="F63" s="9">
        <v>10000000</v>
      </c>
      <c r="G63" s="9">
        <v>24221310836</v>
      </c>
      <c r="H63" s="9">
        <v>21052830944</v>
      </c>
      <c r="I63" s="9">
        <v>3168479892</v>
      </c>
    </row>
    <row r="64" spans="1:9" x14ac:dyDescent="0.25">
      <c r="A64" s="4" t="s">
        <v>180</v>
      </c>
      <c r="B64" s="9">
        <v>0</v>
      </c>
      <c r="C64" s="9">
        <v>0</v>
      </c>
      <c r="D64" s="9">
        <v>0</v>
      </c>
      <c r="E64" s="9">
        <v>0</v>
      </c>
      <c r="F64" s="9">
        <v>20000000</v>
      </c>
      <c r="G64" s="9">
        <v>348735672</v>
      </c>
      <c r="H64" s="9">
        <v>19750712</v>
      </c>
      <c r="I64" s="9">
        <v>328984960</v>
      </c>
    </row>
    <row r="65" spans="1:9" x14ac:dyDescent="0.25">
      <c r="A65" s="4" t="s">
        <v>50</v>
      </c>
      <c r="B65" s="9">
        <v>0</v>
      </c>
      <c r="C65" s="9">
        <v>0</v>
      </c>
      <c r="D65" s="9">
        <v>0</v>
      </c>
      <c r="E65" s="9">
        <v>0</v>
      </c>
      <c r="F65" s="9">
        <v>1800000</v>
      </c>
      <c r="G65" s="9">
        <v>47167665632</v>
      </c>
      <c r="H65" s="9">
        <v>41259328143</v>
      </c>
      <c r="I65" s="9">
        <v>5908337489</v>
      </c>
    </row>
    <row r="66" spans="1:9" x14ac:dyDescent="0.25">
      <c r="A66" s="4" t="s">
        <v>163</v>
      </c>
      <c r="B66" s="9">
        <v>0</v>
      </c>
      <c r="C66" s="9">
        <v>0</v>
      </c>
      <c r="D66" s="9">
        <v>0</v>
      </c>
      <c r="E66" s="9">
        <v>0</v>
      </c>
      <c r="F66" s="9">
        <v>10000000</v>
      </c>
      <c r="G66" s="9">
        <v>109916722</v>
      </c>
      <c r="H66" s="9">
        <v>64965912</v>
      </c>
      <c r="I66" s="9">
        <v>44950810</v>
      </c>
    </row>
    <row r="67" spans="1:9" x14ac:dyDescent="0.25">
      <c r="A67" s="4" t="s">
        <v>59</v>
      </c>
      <c r="B67" s="9">
        <v>0</v>
      </c>
      <c r="C67" s="9">
        <v>0</v>
      </c>
      <c r="D67" s="9">
        <v>0</v>
      </c>
      <c r="E67" s="9">
        <v>0</v>
      </c>
      <c r="F67" s="9">
        <v>454981</v>
      </c>
      <c r="G67" s="9">
        <v>17279293286</v>
      </c>
      <c r="H67" s="9">
        <v>16568675527</v>
      </c>
      <c r="I67" s="9">
        <v>710617759</v>
      </c>
    </row>
    <row r="68" spans="1:9" x14ac:dyDescent="0.25">
      <c r="A68" s="4" t="s">
        <v>66</v>
      </c>
      <c r="B68" s="9">
        <v>0</v>
      </c>
      <c r="C68" s="9">
        <v>0</v>
      </c>
      <c r="D68" s="9">
        <v>0</v>
      </c>
      <c r="E68" s="9">
        <v>0</v>
      </c>
      <c r="F68" s="9">
        <v>125000</v>
      </c>
      <c r="G68" s="9">
        <v>5394268979</v>
      </c>
      <c r="H68" s="9">
        <v>4419654372</v>
      </c>
      <c r="I68" s="9">
        <v>974614607</v>
      </c>
    </row>
    <row r="69" spans="1:9" x14ac:dyDescent="0.25">
      <c r="A69" s="4" t="s">
        <v>63</v>
      </c>
      <c r="B69" s="9">
        <v>0</v>
      </c>
      <c r="C69" s="9">
        <v>0</v>
      </c>
      <c r="D69" s="9">
        <v>0</v>
      </c>
      <c r="E69" s="9">
        <v>0</v>
      </c>
      <c r="F69" s="9">
        <v>200000</v>
      </c>
      <c r="G69" s="9">
        <v>1738457084</v>
      </c>
      <c r="H69" s="9">
        <v>1728227686</v>
      </c>
      <c r="I69" s="9">
        <v>10229398</v>
      </c>
    </row>
    <row r="70" spans="1:9" x14ac:dyDescent="0.25">
      <c r="A70" s="4" t="s">
        <v>229</v>
      </c>
      <c r="B70" s="9">
        <v>0</v>
      </c>
      <c r="C70" s="9">
        <v>0</v>
      </c>
      <c r="D70" s="9">
        <v>0</v>
      </c>
      <c r="E70" s="9">
        <v>0</v>
      </c>
      <c r="F70" s="9">
        <v>50000</v>
      </c>
      <c r="G70" s="9">
        <v>4537500000</v>
      </c>
      <c r="H70" s="9">
        <v>5197247733</v>
      </c>
      <c r="I70" s="9">
        <v>-659747733</v>
      </c>
    </row>
    <row r="71" spans="1:9" x14ac:dyDescent="0.25">
      <c r="A71" s="4" t="s">
        <v>228</v>
      </c>
      <c r="B71" s="9">
        <v>0</v>
      </c>
      <c r="C71" s="9">
        <v>0</v>
      </c>
      <c r="D71" s="9">
        <v>0</v>
      </c>
      <c r="E71" s="9">
        <v>0</v>
      </c>
      <c r="F71" s="9">
        <v>4502052</v>
      </c>
      <c r="G71" s="9">
        <v>386400092</v>
      </c>
      <c r="H71" s="9">
        <v>-292900</v>
      </c>
      <c r="I71" s="9">
        <v>386692992</v>
      </c>
    </row>
    <row r="72" spans="1:9" x14ac:dyDescent="0.25">
      <c r="A72" s="4" t="s">
        <v>171</v>
      </c>
      <c r="B72" s="9">
        <v>0</v>
      </c>
      <c r="C72" s="9">
        <v>0</v>
      </c>
      <c r="D72" s="9">
        <v>0</v>
      </c>
      <c r="E72" s="9">
        <v>0</v>
      </c>
      <c r="F72" s="9">
        <v>200000</v>
      </c>
      <c r="G72" s="9">
        <v>1053201595</v>
      </c>
      <c r="H72" s="9">
        <v>1099234231</v>
      </c>
      <c r="I72" s="9">
        <v>-46032636</v>
      </c>
    </row>
    <row r="73" spans="1:9" x14ac:dyDescent="0.25">
      <c r="A73" s="4" t="s">
        <v>117</v>
      </c>
      <c r="B73" s="9">
        <v>0</v>
      </c>
      <c r="C73" s="9">
        <v>0</v>
      </c>
      <c r="D73" s="9">
        <v>0</v>
      </c>
      <c r="E73" s="9">
        <v>0</v>
      </c>
      <c r="F73" s="9">
        <v>2513000</v>
      </c>
      <c r="G73" s="9">
        <v>18054275583</v>
      </c>
      <c r="H73" s="9">
        <v>15755790082</v>
      </c>
      <c r="I73" s="9">
        <v>2298485501</v>
      </c>
    </row>
    <row r="74" spans="1:9" x14ac:dyDescent="0.25">
      <c r="A74" s="4" t="s">
        <v>200</v>
      </c>
      <c r="B74" s="9">
        <v>0</v>
      </c>
      <c r="C74" s="9">
        <v>0</v>
      </c>
      <c r="D74" s="9">
        <v>0</v>
      </c>
      <c r="E74" s="9">
        <v>0</v>
      </c>
      <c r="F74" s="9">
        <v>10000000</v>
      </c>
      <c r="G74" s="9">
        <v>760623442</v>
      </c>
      <c r="H74" s="9">
        <v>1110264223</v>
      </c>
      <c r="I74" s="9">
        <v>-349640781</v>
      </c>
    </row>
    <row r="75" spans="1:9" x14ac:dyDescent="0.25">
      <c r="A75" s="4" t="s">
        <v>107</v>
      </c>
      <c r="B75" s="9">
        <v>15000000</v>
      </c>
      <c r="C75" s="9">
        <v>7245578175</v>
      </c>
      <c r="D75" s="9">
        <v>9145907351</v>
      </c>
      <c r="E75" s="9">
        <v>-1900329176</v>
      </c>
      <c r="F75" s="9">
        <v>15000000</v>
      </c>
      <c r="G75" s="9">
        <v>7245578175</v>
      </c>
      <c r="H75" s="9">
        <v>9145907351</v>
      </c>
      <c r="I75" s="9">
        <v>-1900329176</v>
      </c>
    </row>
    <row r="76" spans="1:9" x14ac:dyDescent="0.25">
      <c r="A76" s="4" t="s">
        <v>194</v>
      </c>
      <c r="B76" s="9">
        <v>0</v>
      </c>
      <c r="C76" s="9">
        <v>0</v>
      </c>
      <c r="D76" s="9">
        <v>0</v>
      </c>
      <c r="E76" s="9">
        <v>0</v>
      </c>
      <c r="F76" s="9">
        <v>50000000</v>
      </c>
      <c r="G76" s="9">
        <v>42984776475</v>
      </c>
      <c r="H76" s="9">
        <v>42734062451</v>
      </c>
      <c r="I76" s="9">
        <v>250714024</v>
      </c>
    </row>
    <row r="77" spans="1:9" x14ac:dyDescent="0.25">
      <c r="A77" s="4" t="s">
        <v>105</v>
      </c>
      <c r="B77" s="9">
        <v>0</v>
      </c>
      <c r="C77" s="9">
        <v>0</v>
      </c>
      <c r="D77" s="9">
        <v>0</v>
      </c>
      <c r="E77" s="9">
        <v>0</v>
      </c>
      <c r="F77" s="9">
        <v>33000000</v>
      </c>
      <c r="G77" s="9">
        <v>186858493</v>
      </c>
      <c r="H77" s="9">
        <v>-141507</v>
      </c>
      <c r="I77" s="9">
        <v>187000000</v>
      </c>
    </row>
    <row r="78" spans="1:9" x14ac:dyDescent="0.25">
      <c r="A78" s="4" t="s">
        <v>174</v>
      </c>
      <c r="B78" s="9">
        <v>0</v>
      </c>
      <c r="C78" s="9">
        <v>0</v>
      </c>
      <c r="D78" s="9">
        <v>0</v>
      </c>
      <c r="E78" s="9">
        <v>0</v>
      </c>
      <c r="F78" s="9">
        <v>8000000</v>
      </c>
      <c r="G78" s="9">
        <v>249810648</v>
      </c>
      <c r="H78" s="9">
        <v>55853032</v>
      </c>
      <c r="I78" s="9">
        <v>193957616</v>
      </c>
    </row>
    <row r="79" spans="1:9" x14ac:dyDescent="0.25">
      <c r="A79" s="4" t="s">
        <v>123</v>
      </c>
      <c r="B79" s="9">
        <v>0</v>
      </c>
      <c r="C79" s="9">
        <v>0</v>
      </c>
      <c r="D79" s="9">
        <v>0</v>
      </c>
      <c r="E79" s="9">
        <v>0</v>
      </c>
      <c r="F79" s="9">
        <v>2000000</v>
      </c>
      <c r="G79" s="9">
        <v>16332764255</v>
      </c>
      <c r="H79" s="9">
        <v>15273683213</v>
      </c>
      <c r="I79" s="9">
        <v>1059081042</v>
      </c>
    </row>
    <row r="80" spans="1:9" x14ac:dyDescent="0.25">
      <c r="A80" s="4" t="s">
        <v>173</v>
      </c>
      <c r="B80" s="9">
        <v>0</v>
      </c>
      <c r="C80" s="9">
        <v>0</v>
      </c>
      <c r="D80" s="9">
        <v>0</v>
      </c>
      <c r="E80" s="9">
        <v>0</v>
      </c>
      <c r="F80" s="9">
        <v>25424000</v>
      </c>
      <c r="G80" s="9">
        <v>608223068</v>
      </c>
      <c r="H80" s="9">
        <v>324504958</v>
      </c>
      <c r="I80" s="9">
        <v>283718110</v>
      </c>
    </row>
    <row r="81" spans="1:9" x14ac:dyDescent="0.25">
      <c r="A81" s="4" t="s">
        <v>84</v>
      </c>
      <c r="B81" s="9">
        <v>14978000</v>
      </c>
      <c r="C81" s="9">
        <v>8937372600</v>
      </c>
      <c r="D81" s="9">
        <v>8667188657</v>
      </c>
      <c r="E81" s="9">
        <v>270183943</v>
      </c>
      <c r="F81" s="9">
        <v>25252000</v>
      </c>
      <c r="G81" s="9">
        <v>14693569268</v>
      </c>
      <c r="H81" s="9">
        <v>14963715316</v>
      </c>
      <c r="I81" s="9">
        <v>-270146048</v>
      </c>
    </row>
    <row r="82" spans="1:9" x14ac:dyDescent="0.25">
      <c r="A82" s="4" t="s">
        <v>170</v>
      </c>
      <c r="B82" s="9">
        <v>0</v>
      </c>
      <c r="C82" s="9">
        <v>0</v>
      </c>
      <c r="D82" s="9">
        <v>0</v>
      </c>
      <c r="E82" s="9">
        <v>0</v>
      </c>
      <c r="F82" s="9">
        <v>5000000</v>
      </c>
      <c r="G82" s="9">
        <v>120908364</v>
      </c>
      <c r="H82" s="9">
        <v>14919709</v>
      </c>
      <c r="I82" s="9">
        <v>105988655</v>
      </c>
    </row>
    <row r="83" spans="1:9" x14ac:dyDescent="0.25">
      <c r="A83" s="4" t="s">
        <v>255</v>
      </c>
      <c r="B83" s="9">
        <v>40000000</v>
      </c>
      <c r="C83" s="9">
        <v>592696861</v>
      </c>
      <c r="D83" s="9">
        <v>-449139</v>
      </c>
      <c r="E83" s="9">
        <v>593146000</v>
      </c>
      <c r="F83" s="9">
        <v>40000000</v>
      </c>
      <c r="G83" s="9">
        <v>592696861</v>
      </c>
      <c r="H83" s="9">
        <v>-449139</v>
      </c>
      <c r="I83" s="9">
        <v>593146000</v>
      </c>
    </row>
    <row r="84" spans="1:9" x14ac:dyDescent="0.25">
      <c r="A84" s="4" t="s">
        <v>185</v>
      </c>
      <c r="B84" s="9">
        <v>0</v>
      </c>
      <c r="C84" s="9">
        <v>0</v>
      </c>
      <c r="D84" s="9">
        <v>0</v>
      </c>
      <c r="E84" s="9">
        <v>0</v>
      </c>
      <c r="F84" s="9">
        <v>14000000</v>
      </c>
      <c r="G84" s="9">
        <v>126903870</v>
      </c>
      <c r="H84" s="9">
        <v>150017443</v>
      </c>
      <c r="I84" s="9">
        <v>-23113573</v>
      </c>
    </row>
    <row r="85" spans="1:9" x14ac:dyDescent="0.25">
      <c r="A85" s="4" t="s">
        <v>125</v>
      </c>
      <c r="B85" s="9">
        <v>0</v>
      </c>
      <c r="C85" s="9">
        <v>0</v>
      </c>
      <c r="D85" s="9">
        <v>0</v>
      </c>
      <c r="E85" s="9">
        <v>0</v>
      </c>
      <c r="F85" s="9">
        <v>1105454</v>
      </c>
      <c r="G85" s="9">
        <v>5875656169</v>
      </c>
      <c r="H85" s="9">
        <v>5233649749</v>
      </c>
      <c r="I85" s="9">
        <v>642006420</v>
      </c>
    </row>
    <row r="86" spans="1:9" x14ac:dyDescent="0.25">
      <c r="A86" s="4" t="s">
        <v>81</v>
      </c>
      <c r="B86" s="9">
        <v>7000</v>
      </c>
      <c r="C86" s="9">
        <v>11514321</v>
      </c>
      <c r="D86" s="9">
        <v>8144642</v>
      </c>
      <c r="E86" s="9">
        <v>3369679</v>
      </c>
      <c r="F86" s="9">
        <v>67399963</v>
      </c>
      <c r="G86" s="9">
        <v>81287431545</v>
      </c>
      <c r="H86" s="9">
        <v>81163507582</v>
      </c>
      <c r="I86" s="9">
        <v>123923963</v>
      </c>
    </row>
    <row r="87" spans="1:9" x14ac:dyDescent="0.25">
      <c r="A87" s="4" t="s">
        <v>47</v>
      </c>
      <c r="B87" s="9">
        <v>0</v>
      </c>
      <c r="C87" s="9">
        <v>0</v>
      </c>
      <c r="D87" s="9">
        <v>0</v>
      </c>
      <c r="E87" s="9">
        <v>0</v>
      </c>
      <c r="F87" s="9">
        <v>6338333</v>
      </c>
      <c r="G87" s="9">
        <v>14031768438</v>
      </c>
      <c r="H87" s="9">
        <v>16509325136</v>
      </c>
      <c r="I87" s="9">
        <v>-2477556698</v>
      </c>
    </row>
    <row r="88" spans="1:9" x14ac:dyDescent="0.25">
      <c r="A88" s="4" t="s">
        <v>165</v>
      </c>
      <c r="B88" s="9">
        <v>0</v>
      </c>
      <c r="C88" s="9">
        <v>0</v>
      </c>
      <c r="D88" s="9">
        <v>0</v>
      </c>
      <c r="E88" s="9">
        <v>0</v>
      </c>
      <c r="F88" s="9">
        <v>10009000</v>
      </c>
      <c r="G88" s="9">
        <v>155143432</v>
      </c>
      <c r="H88" s="9">
        <v>70088537</v>
      </c>
      <c r="I88" s="9">
        <v>85054895</v>
      </c>
    </row>
    <row r="89" spans="1:9" x14ac:dyDescent="0.25">
      <c r="A89" s="4" t="s">
        <v>75</v>
      </c>
      <c r="B89" s="9">
        <v>0</v>
      </c>
      <c r="C89" s="9">
        <v>0</v>
      </c>
      <c r="D89" s="9">
        <v>0</v>
      </c>
      <c r="E89" s="9">
        <v>0</v>
      </c>
      <c r="F89" s="9">
        <v>95142000</v>
      </c>
      <c r="G89" s="9">
        <v>204407608376</v>
      </c>
      <c r="H89" s="9">
        <v>173773360135</v>
      </c>
      <c r="I89" s="9">
        <v>30634248241</v>
      </c>
    </row>
    <row r="90" spans="1:9" x14ac:dyDescent="0.25">
      <c r="A90" s="4" t="s">
        <v>76</v>
      </c>
      <c r="B90" s="9">
        <v>0</v>
      </c>
      <c r="C90" s="9">
        <v>0</v>
      </c>
      <c r="D90" s="9">
        <v>0</v>
      </c>
      <c r="E90" s="9">
        <v>0</v>
      </c>
      <c r="F90" s="9">
        <v>435000</v>
      </c>
      <c r="G90" s="9">
        <v>9927998529</v>
      </c>
      <c r="H90" s="9">
        <v>7555375305</v>
      </c>
      <c r="I90" s="9">
        <v>2372623224</v>
      </c>
    </row>
    <row r="91" spans="1:9" x14ac:dyDescent="0.25">
      <c r="A91" s="4" t="s">
        <v>65</v>
      </c>
      <c r="B91" s="9">
        <v>0</v>
      </c>
      <c r="C91" s="9">
        <v>0</v>
      </c>
      <c r="D91" s="9">
        <v>0</v>
      </c>
      <c r="E91" s="9">
        <v>0</v>
      </c>
      <c r="F91" s="9">
        <v>170000</v>
      </c>
      <c r="G91" s="9">
        <v>2753946186</v>
      </c>
      <c r="H91" s="9">
        <v>2564501033</v>
      </c>
      <c r="I91" s="9">
        <v>189445153</v>
      </c>
    </row>
    <row r="92" spans="1:9" x14ac:dyDescent="0.25">
      <c r="A92" s="4" t="s">
        <v>196</v>
      </c>
      <c r="B92" s="9">
        <v>0</v>
      </c>
      <c r="C92" s="9">
        <v>0</v>
      </c>
      <c r="D92" s="9">
        <v>0</v>
      </c>
      <c r="E92" s="9">
        <v>0</v>
      </c>
      <c r="F92" s="9">
        <v>40000000</v>
      </c>
      <c r="G92" s="9">
        <v>641513846</v>
      </c>
      <c r="H92" s="9">
        <v>3041816513</v>
      </c>
      <c r="I92" s="9">
        <v>-2400302667</v>
      </c>
    </row>
    <row r="93" spans="1:9" x14ac:dyDescent="0.25">
      <c r="A93" s="4" t="s">
        <v>116</v>
      </c>
      <c r="B93" s="9">
        <v>0</v>
      </c>
      <c r="C93" s="9">
        <v>0</v>
      </c>
      <c r="D93" s="9">
        <v>0</v>
      </c>
      <c r="E93" s="9">
        <v>0</v>
      </c>
      <c r="F93" s="9">
        <v>2450000</v>
      </c>
      <c r="G93" s="9">
        <v>9241456646</v>
      </c>
      <c r="H93" s="9">
        <v>10267435753</v>
      </c>
      <c r="I93" s="9">
        <v>-1025979107</v>
      </c>
    </row>
    <row r="94" spans="1:9" x14ac:dyDescent="0.25">
      <c r="A94" s="4" t="s">
        <v>177</v>
      </c>
      <c r="B94" s="9">
        <v>0</v>
      </c>
      <c r="C94" s="9">
        <v>0</v>
      </c>
      <c r="D94" s="9">
        <v>0</v>
      </c>
      <c r="E94" s="9">
        <v>0</v>
      </c>
      <c r="F94" s="9">
        <v>148596000</v>
      </c>
      <c r="G94" s="9">
        <v>2596420247</v>
      </c>
      <c r="H94" s="9">
        <v>153149604</v>
      </c>
      <c r="I94" s="9">
        <v>2443270643</v>
      </c>
    </row>
    <row r="95" spans="1:9" x14ac:dyDescent="0.25">
      <c r="A95" s="4" t="s">
        <v>78</v>
      </c>
      <c r="B95" s="9">
        <v>0</v>
      </c>
      <c r="C95" s="9">
        <v>0</v>
      </c>
      <c r="D95" s="9">
        <v>0</v>
      </c>
      <c r="E95" s="9">
        <v>0</v>
      </c>
      <c r="F95" s="9">
        <v>200000</v>
      </c>
      <c r="G95" s="9">
        <v>2885521186</v>
      </c>
      <c r="H95" s="9">
        <v>3112788957</v>
      </c>
      <c r="I95" s="9">
        <v>-227267771</v>
      </c>
    </row>
    <row r="96" spans="1:9" x14ac:dyDescent="0.25">
      <c r="A96" s="4" t="s">
        <v>60</v>
      </c>
      <c r="B96" s="9">
        <v>0</v>
      </c>
      <c r="C96" s="9">
        <v>0</v>
      </c>
      <c r="D96" s="9">
        <v>0</v>
      </c>
      <c r="E96" s="9">
        <v>0</v>
      </c>
      <c r="F96" s="9">
        <v>4050000</v>
      </c>
      <c r="G96" s="9">
        <v>44449851316</v>
      </c>
      <c r="H96" s="9">
        <v>26403563110</v>
      </c>
      <c r="I96" s="9">
        <v>18046288206</v>
      </c>
    </row>
    <row r="97" spans="1:9" x14ac:dyDescent="0.25">
      <c r="A97" s="4" t="s">
        <v>179</v>
      </c>
      <c r="B97" s="9">
        <v>0</v>
      </c>
      <c r="C97" s="9">
        <v>0</v>
      </c>
      <c r="D97" s="9">
        <v>0</v>
      </c>
      <c r="E97" s="9">
        <v>0</v>
      </c>
      <c r="F97" s="9">
        <v>5149000</v>
      </c>
      <c r="G97" s="9">
        <v>2128867180</v>
      </c>
      <c r="H97" s="9">
        <v>62206486</v>
      </c>
      <c r="I97" s="9">
        <v>2066660694</v>
      </c>
    </row>
    <row r="98" spans="1:9" x14ac:dyDescent="0.25">
      <c r="A98" s="4" t="s">
        <v>178</v>
      </c>
      <c r="B98" s="9">
        <v>0</v>
      </c>
      <c r="C98" s="9">
        <v>0</v>
      </c>
      <c r="D98" s="9">
        <v>0</v>
      </c>
      <c r="E98" s="9">
        <v>0</v>
      </c>
      <c r="F98" s="9">
        <v>4000000</v>
      </c>
      <c r="G98" s="9">
        <v>1402936497</v>
      </c>
      <c r="H98" s="9">
        <v>1316934107</v>
      </c>
      <c r="I98" s="9">
        <v>86002390</v>
      </c>
    </row>
    <row r="99" spans="1:9" x14ac:dyDescent="0.25">
      <c r="A99" s="4" t="s">
        <v>181</v>
      </c>
      <c r="B99" s="9">
        <v>0</v>
      </c>
      <c r="C99" s="9">
        <v>0</v>
      </c>
      <c r="D99" s="9">
        <v>0</v>
      </c>
      <c r="E99" s="9">
        <v>0</v>
      </c>
      <c r="F99" s="9">
        <v>1000000</v>
      </c>
      <c r="G99" s="9">
        <v>77980889</v>
      </c>
      <c r="H99" s="9">
        <v>1942399</v>
      </c>
      <c r="I99" s="9">
        <v>76038490</v>
      </c>
    </row>
    <row r="100" spans="1:9" x14ac:dyDescent="0.25">
      <c r="A100" s="4" t="s">
        <v>49</v>
      </c>
      <c r="B100" s="9">
        <v>4500000</v>
      </c>
      <c r="C100" s="9">
        <v>37468180814</v>
      </c>
      <c r="D100" s="9">
        <v>28719993697</v>
      </c>
      <c r="E100" s="9">
        <v>8748187117</v>
      </c>
      <c r="F100" s="9">
        <v>4500000</v>
      </c>
      <c r="G100" s="9">
        <v>37468180814</v>
      </c>
      <c r="H100" s="9">
        <v>28719993697</v>
      </c>
      <c r="I100" s="9">
        <v>8748187117</v>
      </c>
    </row>
    <row r="101" spans="1:9" x14ac:dyDescent="0.25">
      <c r="A101" s="4" t="s">
        <v>160</v>
      </c>
      <c r="B101" s="9">
        <v>0</v>
      </c>
      <c r="C101" s="9">
        <v>0</v>
      </c>
      <c r="D101" s="9">
        <v>0</v>
      </c>
      <c r="E101" s="9">
        <v>0</v>
      </c>
      <c r="F101" s="9">
        <v>15000000</v>
      </c>
      <c r="G101" s="9">
        <v>551581958</v>
      </c>
      <c r="H101" s="9">
        <v>669138695</v>
      </c>
      <c r="I101" s="9">
        <v>-117556737</v>
      </c>
    </row>
    <row r="102" spans="1:9" x14ac:dyDescent="0.25">
      <c r="A102" s="4" t="s">
        <v>71</v>
      </c>
      <c r="B102" s="9">
        <v>0</v>
      </c>
      <c r="C102" s="9">
        <v>0</v>
      </c>
      <c r="D102" s="9">
        <v>0</v>
      </c>
      <c r="E102" s="9">
        <v>0</v>
      </c>
      <c r="F102" s="9">
        <v>500000</v>
      </c>
      <c r="G102" s="9">
        <v>13445916785</v>
      </c>
      <c r="H102" s="9">
        <v>11515997916</v>
      </c>
      <c r="I102" s="9">
        <v>1929918869</v>
      </c>
    </row>
    <row r="103" spans="1:9" x14ac:dyDescent="0.25">
      <c r="A103" s="4" t="s">
        <v>72</v>
      </c>
      <c r="B103" s="9">
        <v>0</v>
      </c>
      <c r="C103" s="9">
        <v>0</v>
      </c>
      <c r="D103" s="9">
        <v>0</v>
      </c>
      <c r="E103" s="9">
        <v>0</v>
      </c>
      <c r="F103" s="9">
        <v>3252200</v>
      </c>
      <c r="G103" s="9">
        <v>47573029101</v>
      </c>
      <c r="H103" s="9">
        <v>49216633455</v>
      </c>
      <c r="I103" s="9">
        <v>-1643604354</v>
      </c>
    </row>
    <row r="104" spans="1:9" x14ac:dyDescent="0.25">
      <c r="A104" s="4" t="s">
        <v>227</v>
      </c>
      <c r="B104" s="9">
        <v>0</v>
      </c>
      <c r="C104" s="9">
        <v>0</v>
      </c>
      <c r="D104" s="9">
        <v>0</v>
      </c>
      <c r="E104" s="9">
        <v>0</v>
      </c>
      <c r="F104" s="9">
        <v>16000000</v>
      </c>
      <c r="G104" s="9">
        <v>136896309</v>
      </c>
      <c r="H104" s="9">
        <v>31920468</v>
      </c>
      <c r="I104" s="9">
        <v>104975841</v>
      </c>
    </row>
    <row r="105" spans="1:9" x14ac:dyDescent="0.25">
      <c r="A105" s="4" t="s">
        <v>183</v>
      </c>
      <c r="B105" s="9">
        <v>0</v>
      </c>
      <c r="C105" s="9">
        <v>0</v>
      </c>
      <c r="D105" s="9">
        <v>0</v>
      </c>
      <c r="E105" s="9">
        <v>0</v>
      </c>
      <c r="F105" s="9">
        <v>11000000</v>
      </c>
      <c r="G105" s="9">
        <v>191854617</v>
      </c>
      <c r="H105" s="9">
        <v>329103803</v>
      </c>
      <c r="I105" s="9">
        <v>-137249186</v>
      </c>
    </row>
    <row r="106" spans="1:9" x14ac:dyDescent="0.25">
      <c r="A106" s="4" t="s">
        <v>186</v>
      </c>
      <c r="B106" s="9">
        <v>0</v>
      </c>
      <c r="C106" s="9">
        <v>0</v>
      </c>
      <c r="D106" s="9">
        <v>0</v>
      </c>
      <c r="E106" s="9">
        <v>0</v>
      </c>
      <c r="F106" s="9">
        <v>32000000</v>
      </c>
      <c r="G106" s="9">
        <v>395700166</v>
      </c>
      <c r="H106" s="9">
        <v>95772726</v>
      </c>
      <c r="I106" s="9">
        <v>299927440</v>
      </c>
    </row>
    <row r="107" spans="1:9" x14ac:dyDescent="0.25">
      <c r="A107" s="4" t="s">
        <v>172</v>
      </c>
      <c r="B107" s="9">
        <v>0</v>
      </c>
      <c r="C107" s="9">
        <v>0</v>
      </c>
      <c r="D107" s="9">
        <v>0</v>
      </c>
      <c r="E107" s="9">
        <v>0</v>
      </c>
      <c r="F107" s="9">
        <v>100000</v>
      </c>
      <c r="G107" s="9">
        <v>139894951</v>
      </c>
      <c r="H107" s="9">
        <v>112979266</v>
      </c>
      <c r="I107" s="9">
        <v>26915685</v>
      </c>
    </row>
    <row r="108" spans="1:9" x14ac:dyDescent="0.25">
      <c r="A108" s="4" t="s">
        <v>120</v>
      </c>
      <c r="B108" s="9">
        <v>0</v>
      </c>
      <c r="C108" s="9">
        <v>0</v>
      </c>
      <c r="D108" s="9">
        <v>0</v>
      </c>
      <c r="E108" s="9">
        <v>0</v>
      </c>
      <c r="F108" s="9">
        <v>1675000</v>
      </c>
      <c r="G108" s="9">
        <v>8348086329</v>
      </c>
      <c r="H108" s="9">
        <v>7185060607</v>
      </c>
      <c r="I108" s="9">
        <v>1163025722</v>
      </c>
    </row>
    <row r="109" spans="1:9" x14ac:dyDescent="0.25">
      <c r="A109" s="4" t="s">
        <v>53</v>
      </c>
      <c r="B109" s="9">
        <v>0</v>
      </c>
      <c r="C109" s="9">
        <v>0</v>
      </c>
      <c r="D109" s="9">
        <v>0</v>
      </c>
      <c r="E109" s="9">
        <v>0</v>
      </c>
      <c r="F109" s="9">
        <v>275000</v>
      </c>
      <c r="G109" s="9">
        <v>13376423487</v>
      </c>
      <c r="H109" s="9">
        <v>13905158883</v>
      </c>
      <c r="I109" s="9">
        <v>-528735396</v>
      </c>
    </row>
    <row r="110" spans="1:9" x14ac:dyDescent="0.25">
      <c r="A110" s="4" t="s">
        <v>159</v>
      </c>
      <c r="B110" s="9">
        <v>0</v>
      </c>
      <c r="C110" s="9">
        <v>0</v>
      </c>
      <c r="D110" s="9">
        <v>0</v>
      </c>
      <c r="E110" s="9">
        <v>0</v>
      </c>
      <c r="F110" s="9">
        <v>10000000</v>
      </c>
      <c r="G110" s="9">
        <v>134897786</v>
      </c>
      <c r="H110" s="9">
        <v>99973520</v>
      </c>
      <c r="I110" s="9">
        <v>34924266</v>
      </c>
    </row>
    <row r="111" spans="1:9" x14ac:dyDescent="0.25">
      <c r="A111" s="4" t="s">
        <v>52</v>
      </c>
      <c r="B111" s="9">
        <v>0</v>
      </c>
      <c r="C111" s="9">
        <v>0</v>
      </c>
      <c r="D111" s="9">
        <v>0</v>
      </c>
      <c r="E111" s="9">
        <v>0</v>
      </c>
      <c r="F111" s="9">
        <v>1645957</v>
      </c>
      <c r="G111" s="9">
        <v>3330871734</v>
      </c>
      <c r="H111" s="9">
        <v>4543231495</v>
      </c>
      <c r="I111" s="9">
        <v>-1212359761</v>
      </c>
    </row>
    <row r="112" spans="1:9" x14ac:dyDescent="0.25">
      <c r="A112" s="4" t="s">
        <v>192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-2675971415</v>
      </c>
      <c r="I112" s="9">
        <v>2675971415</v>
      </c>
    </row>
    <row r="113" spans="1:9" ht="20.25" thickBot="1" x14ac:dyDescent="0.3">
      <c r="A113" s="4" t="s">
        <v>2</v>
      </c>
      <c r="B113" s="9"/>
      <c r="C113" s="6">
        <f>SUM(C8:C112)</f>
        <v>255281764135</v>
      </c>
      <c r="D113" s="6">
        <f>SUM(D8:D112)</f>
        <v>165674202437</v>
      </c>
      <c r="E113" s="6">
        <f>SUM(E8:E112)</f>
        <v>89607561698</v>
      </c>
      <c r="F113" s="9"/>
      <c r="G113" s="6">
        <f>SUM(G8:G112)</f>
        <v>1341350666854</v>
      </c>
      <c r="H113" s="6">
        <f>SUM(H8:H112)</f>
        <v>1138054203421</v>
      </c>
      <c r="I113" s="6">
        <f>SUM(I8:I112)</f>
        <v>203296463433</v>
      </c>
    </row>
    <row r="114" spans="1:9" ht="20.25" thickTop="1" x14ac:dyDescent="0.25"/>
  </sheetData>
  <mergeCells count="7">
    <mergeCell ref="A1:I1"/>
    <mergeCell ref="A2:I2"/>
    <mergeCell ref="A3:I3"/>
    <mergeCell ref="B6:E6"/>
    <mergeCell ref="F6:I6"/>
    <mergeCell ref="A5:E5"/>
    <mergeCell ref="F5:I5"/>
  </mergeCells>
  <pageMargins left="0.7" right="0.7" top="0.75" bottom="0.75" header="0.3" footer="0.3"/>
  <pageSetup scale="5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2510-12B0-41D8-9743-F203C8B3D16F}">
  <dimension ref="A1:I64"/>
  <sheetViews>
    <sheetView rightToLeft="1" tabSelected="1" view="pageBreakPreview" zoomScale="85" zoomScaleNormal="100" zoomScaleSheetLayoutView="85" workbookViewId="0">
      <selection activeCell="M27" sqref="M27"/>
    </sheetView>
  </sheetViews>
  <sheetFormatPr defaultColWidth="8.85546875" defaultRowHeight="19.5" x14ac:dyDescent="0.25"/>
  <cols>
    <col min="1" max="1" width="32.5703125" style="14" customWidth="1"/>
    <col min="2" max="2" width="16.5703125" style="14" customWidth="1"/>
    <col min="3" max="4" width="19.42578125" style="14" customWidth="1"/>
    <col min="5" max="5" width="22.140625" style="14" customWidth="1"/>
    <col min="6" max="6" width="16.5703125" style="14" customWidth="1"/>
    <col min="7" max="8" width="19.42578125" style="14" customWidth="1"/>
    <col min="9" max="9" width="22.140625" style="14" customWidth="1"/>
    <col min="10" max="16384" width="8.85546875" style="14"/>
  </cols>
  <sheetData>
    <row r="1" spans="1:9" ht="21" x14ac:dyDescent="0.25">
      <c r="A1" s="51" t="s">
        <v>94</v>
      </c>
      <c r="B1" s="51"/>
      <c r="C1" s="51"/>
      <c r="D1" s="51"/>
      <c r="E1" s="51"/>
      <c r="F1" s="51"/>
      <c r="G1" s="51"/>
      <c r="H1" s="51"/>
      <c r="I1" s="51"/>
    </row>
    <row r="2" spans="1:9" ht="21" x14ac:dyDescent="0.25">
      <c r="A2" s="51" t="s">
        <v>27</v>
      </c>
      <c r="B2" s="51"/>
      <c r="C2" s="51"/>
      <c r="D2" s="51"/>
      <c r="E2" s="51"/>
      <c r="F2" s="51"/>
      <c r="G2" s="51"/>
      <c r="H2" s="51"/>
      <c r="I2" s="51"/>
    </row>
    <row r="3" spans="1:9" ht="21" x14ac:dyDescent="0.25">
      <c r="A3" s="51" t="s">
        <v>253</v>
      </c>
      <c r="B3" s="51"/>
      <c r="C3" s="51"/>
      <c r="D3" s="51"/>
      <c r="E3" s="51"/>
      <c r="F3" s="51"/>
      <c r="G3" s="51"/>
      <c r="H3" s="51"/>
      <c r="I3" s="51"/>
    </row>
    <row r="4" spans="1:9" ht="21" x14ac:dyDescent="0.25">
      <c r="A4" s="28"/>
      <c r="B4" s="28"/>
      <c r="C4" s="28"/>
      <c r="D4" s="28"/>
      <c r="E4" s="28"/>
      <c r="F4" s="28"/>
      <c r="G4" s="28"/>
      <c r="H4" s="28"/>
      <c r="I4" s="28"/>
    </row>
    <row r="5" spans="1:9" ht="21" x14ac:dyDescent="0.25">
      <c r="A5" s="52" t="s">
        <v>18</v>
      </c>
      <c r="B5" s="52"/>
      <c r="C5" s="52"/>
      <c r="D5" s="52"/>
    </row>
    <row r="6" spans="1:9" ht="20.25" thickBot="1" x14ac:dyDescent="0.3">
      <c r="B6" s="65" t="s">
        <v>268</v>
      </c>
      <c r="C6" s="65"/>
      <c r="D6" s="65"/>
      <c r="E6" s="65"/>
      <c r="F6" s="65" t="s">
        <v>269</v>
      </c>
      <c r="G6" s="65"/>
      <c r="H6" s="65"/>
      <c r="I6" s="65"/>
    </row>
    <row r="7" spans="1:9" ht="20.25" thickBot="1" x14ac:dyDescent="0.3">
      <c r="A7" s="2" t="s">
        <v>14</v>
      </c>
      <c r="B7" s="26" t="s">
        <v>3</v>
      </c>
      <c r="C7" s="1" t="s">
        <v>9</v>
      </c>
      <c r="D7" s="26" t="s">
        <v>19</v>
      </c>
      <c r="E7" s="1" t="s">
        <v>20</v>
      </c>
      <c r="F7" s="26" t="s">
        <v>3</v>
      </c>
      <c r="G7" s="1" t="s">
        <v>9</v>
      </c>
      <c r="H7" s="26" t="s">
        <v>19</v>
      </c>
      <c r="I7" s="1" t="s">
        <v>20</v>
      </c>
    </row>
    <row r="8" spans="1:9" x14ac:dyDescent="0.25">
      <c r="A8" s="4" t="s">
        <v>87</v>
      </c>
      <c r="B8" s="9">
        <v>5000000</v>
      </c>
      <c r="C8" s="9">
        <v>68218562500</v>
      </c>
      <c r="D8" s="9">
        <v>72963383024</v>
      </c>
      <c r="E8" s="9">
        <v>-4744820524</v>
      </c>
      <c r="F8" s="9">
        <v>5000000</v>
      </c>
      <c r="G8" s="9">
        <v>68218562500</v>
      </c>
      <c r="H8" s="9">
        <v>55661497771</v>
      </c>
      <c r="I8" s="9">
        <v>12557064729</v>
      </c>
    </row>
    <row r="9" spans="1:9" x14ac:dyDescent="0.25">
      <c r="A9" s="4" t="s">
        <v>86</v>
      </c>
      <c r="B9" s="9">
        <v>5333000</v>
      </c>
      <c r="C9" s="9">
        <v>24871346777</v>
      </c>
      <c r="D9" s="9">
        <v>25792856544</v>
      </c>
      <c r="E9" s="9">
        <v>-921509767</v>
      </c>
      <c r="F9" s="9">
        <v>5333000</v>
      </c>
      <c r="G9" s="9">
        <v>24871346777</v>
      </c>
      <c r="H9" s="9">
        <v>18340554545</v>
      </c>
      <c r="I9" s="9">
        <v>6530792232</v>
      </c>
    </row>
    <row r="10" spans="1:9" x14ac:dyDescent="0.25">
      <c r="A10" s="4" t="s">
        <v>195</v>
      </c>
      <c r="B10" s="9">
        <v>0</v>
      </c>
      <c r="C10" s="9">
        <v>0</v>
      </c>
      <c r="D10" s="9">
        <v>84935613</v>
      </c>
      <c r="E10" s="9">
        <v>-84935613</v>
      </c>
      <c r="F10" s="9">
        <v>0</v>
      </c>
      <c r="G10" s="9">
        <v>0</v>
      </c>
      <c r="H10" s="9">
        <v>0</v>
      </c>
      <c r="I10" s="9">
        <v>0</v>
      </c>
    </row>
    <row r="11" spans="1:9" x14ac:dyDescent="0.25">
      <c r="A11" s="4" t="s">
        <v>107</v>
      </c>
      <c r="B11" s="9">
        <v>0</v>
      </c>
      <c r="C11" s="9">
        <v>0</v>
      </c>
      <c r="D11" s="9">
        <v>417244111</v>
      </c>
      <c r="E11" s="9">
        <v>-417244111</v>
      </c>
      <c r="F11" s="9">
        <v>0</v>
      </c>
      <c r="G11" s="9">
        <v>0</v>
      </c>
      <c r="H11" s="9">
        <v>0</v>
      </c>
      <c r="I11" s="9">
        <v>0</v>
      </c>
    </row>
    <row r="12" spans="1:9" x14ac:dyDescent="0.25">
      <c r="A12" s="4" t="s">
        <v>193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2498107</v>
      </c>
      <c r="I12" s="9">
        <v>-2498107</v>
      </c>
    </row>
    <row r="13" spans="1:9" x14ac:dyDescent="0.25">
      <c r="A13" s="4" t="s">
        <v>104</v>
      </c>
      <c r="B13" s="9">
        <v>0</v>
      </c>
      <c r="C13" s="9">
        <v>0</v>
      </c>
      <c r="D13" s="9">
        <v>-854215988</v>
      </c>
      <c r="E13" s="9">
        <v>854215988</v>
      </c>
      <c r="F13" s="9">
        <v>0</v>
      </c>
      <c r="G13" s="9">
        <v>0</v>
      </c>
      <c r="H13" s="9">
        <v>0</v>
      </c>
      <c r="I13" s="9">
        <v>0</v>
      </c>
    </row>
    <row r="14" spans="1:9" x14ac:dyDescent="0.25">
      <c r="A14" s="4" t="s">
        <v>190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16531468</v>
      </c>
      <c r="I14" s="9">
        <v>-16531468</v>
      </c>
    </row>
    <row r="15" spans="1:9" x14ac:dyDescent="0.25">
      <c r="A15" s="4" t="s">
        <v>194</v>
      </c>
      <c r="B15" s="9">
        <v>0</v>
      </c>
      <c r="C15" s="9">
        <v>0</v>
      </c>
      <c r="D15" s="9">
        <v>2098409250</v>
      </c>
      <c r="E15" s="9">
        <v>-2098409250</v>
      </c>
      <c r="F15" s="9">
        <v>0</v>
      </c>
      <c r="G15" s="9">
        <v>0</v>
      </c>
      <c r="H15" s="9">
        <v>0</v>
      </c>
      <c r="I15" s="9">
        <v>0</v>
      </c>
    </row>
    <row r="16" spans="1:9" x14ac:dyDescent="0.25">
      <c r="A16" s="4" t="s">
        <v>256</v>
      </c>
      <c r="B16" s="9">
        <v>0</v>
      </c>
      <c r="C16" s="9">
        <v>-980506703</v>
      </c>
      <c r="D16" s="9">
        <v>0</v>
      </c>
      <c r="E16" s="9">
        <v>-980506703</v>
      </c>
      <c r="F16" s="9">
        <v>0</v>
      </c>
      <c r="G16" s="9">
        <v>-980506703</v>
      </c>
      <c r="H16" s="9">
        <v>0</v>
      </c>
      <c r="I16" s="9">
        <v>-980506703</v>
      </c>
    </row>
    <row r="17" spans="1:9" x14ac:dyDescent="0.25">
      <c r="A17" s="4" t="s">
        <v>196</v>
      </c>
      <c r="B17" s="9">
        <v>0</v>
      </c>
      <c r="C17" s="9">
        <v>0</v>
      </c>
      <c r="D17" s="9">
        <v>715457630</v>
      </c>
      <c r="E17" s="9">
        <v>-715457630</v>
      </c>
      <c r="F17" s="9">
        <v>0</v>
      </c>
      <c r="G17" s="9">
        <v>0</v>
      </c>
      <c r="H17" s="9">
        <v>0</v>
      </c>
      <c r="I17" s="9">
        <v>0</v>
      </c>
    </row>
    <row r="18" spans="1:9" x14ac:dyDescent="0.25">
      <c r="A18" s="4" t="s">
        <v>102</v>
      </c>
      <c r="B18" s="9">
        <v>0</v>
      </c>
      <c r="C18" s="9">
        <v>0</v>
      </c>
      <c r="D18" s="9">
        <v>8324689</v>
      </c>
      <c r="E18" s="9">
        <v>-8324689</v>
      </c>
      <c r="F18" s="9">
        <v>0</v>
      </c>
      <c r="G18" s="9">
        <v>0</v>
      </c>
      <c r="H18" s="9">
        <v>0</v>
      </c>
      <c r="I18" s="9">
        <v>0</v>
      </c>
    </row>
    <row r="19" spans="1:9" x14ac:dyDescent="0.25">
      <c r="A19" s="4" t="s">
        <v>85</v>
      </c>
      <c r="B19" s="9">
        <v>12122188</v>
      </c>
      <c r="C19" s="9">
        <v>44264819231</v>
      </c>
      <c r="D19" s="9">
        <v>40776559020</v>
      </c>
      <c r="E19" s="9">
        <v>3488260211</v>
      </c>
      <c r="F19" s="9">
        <v>12122188</v>
      </c>
      <c r="G19" s="9">
        <v>44264819231</v>
      </c>
      <c r="H19" s="9">
        <v>20583450426</v>
      </c>
      <c r="I19" s="9">
        <v>23681368805</v>
      </c>
    </row>
    <row r="20" spans="1:9" x14ac:dyDescent="0.25">
      <c r="A20" s="4" t="s">
        <v>84</v>
      </c>
      <c r="B20" s="9">
        <v>32485000</v>
      </c>
      <c r="C20" s="9">
        <v>21467771373</v>
      </c>
      <c r="D20" s="9">
        <v>19727703248</v>
      </c>
      <c r="E20" s="9">
        <v>1740068125</v>
      </c>
      <c r="F20" s="9">
        <v>32485000</v>
      </c>
      <c r="G20" s="9">
        <v>21467771373</v>
      </c>
      <c r="H20" s="9">
        <v>18905012192</v>
      </c>
      <c r="I20" s="9">
        <v>2562759181</v>
      </c>
    </row>
    <row r="21" spans="1:9" x14ac:dyDescent="0.25">
      <c r="A21" s="4" t="s">
        <v>83</v>
      </c>
      <c r="B21" s="9">
        <v>14000000</v>
      </c>
      <c r="C21" s="9">
        <v>70292406800</v>
      </c>
      <c r="D21" s="9">
        <v>65985955000</v>
      </c>
      <c r="E21" s="9">
        <v>4306451800</v>
      </c>
      <c r="F21" s="9">
        <v>14000000</v>
      </c>
      <c r="G21" s="9">
        <v>70292406800</v>
      </c>
      <c r="H21" s="9">
        <v>43772900967</v>
      </c>
      <c r="I21" s="9">
        <v>26519505833</v>
      </c>
    </row>
    <row r="22" spans="1:9" x14ac:dyDescent="0.25">
      <c r="A22" s="4" t="s">
        <v>251</v>
      </c>
      <c r="B22" s="9">
        <v>8000000</v>
      </c>
      <c r="C22" s="9">
        <v>25481493600</v>
      </c>
      <c r="D22" s="9">
        <v>27466877241</v>
      </c>
      <c r="E22" s="9">
        <v>-1985383641</v>
      </c>
      <c r="F22" s="9">
        <v>8000000</v>
      </c>
      <c r="G22" s="9">
        <v>25481493600</v>
      </c>
      <c r="H22" s="9">
        <v>27466877241</v>
      </c>
      <c r="I22" s="9">
        <v>-1985383641</v>
      </c>
    </row>
    <row r="23" spans="1:9" x14ac:dyDescent="0.25">
      <c r="A23" s="4" t="s">
        <v>81</v>
      </c>
      <c r="B23" s="9">
        <v>148964560</v>
      </c>
      <c r="C23" s="9">
        <v>212702999026</v>
      </c>
      <c r="D23" s="9">
        <v>205569751643</v>
      </c>
      <c r="E23" s="9">
        <v>7133247383</v>
      </c>
      <c r="F23" s="9">
        <v>148964560</v>
      </c>
      <c r="G23" s="9">
        <v>212702999026</v>
      </c>
      <c r="H23" s="9">
        <v>174678432951</v>
      </c>
      <c r="I23" s="9">
        <v>38024566075</v>
      </c>
    </row>
    <row r="24" spans="1:9" x14ac:dyDescent="0.25">
      <c r="A24" s="4" t="s">
        <v>250</v>
      </c>
      <c r="B24" s="9">
        <v>5000000</v>
      </c>
      <c r="C24" s="9">
        <v>111828829000</v>
      </c>
      <c r="D24" s="9">
        <v>126295986132</v>
      </c>
      <c r="E24" s="9">
        <v>-14467157132</v>
      </c>
      <c r="F24" s="9">
        <v>5000000</v>
      </c>
      <c r="G24" s="9">
        <v>111828829000</v>
      </c>
      <c r="H24" s="9">
        <v>126295986132</v>
      </c>
      <c r="I24" s="9">
        <v>-14467157132</v>
      </c>
    </row>
    <row r="25" spans="1:9" x14ac:dyDescent="0.25">
      <c r="A25" s="4" t="s">
        <v>80</v>
      </c>
      <c r="B25" s="9">
        <v>1643258</v>
      </c>
      <c r="C25" s="9">
        <v>5299305751</v>
      </c>
      <c r="D25" s="9">
        <v>4643822393</v>
      </c>
      <c r="E25" s="9">
        <v>655483358</v>
      </c>
      <c r="F25" s="9">
        <v>1643258</v>
      </c>
      <c r="G25" s="9">
        <v>5299305751</v>
      </c>
      <c r="H25" s="9">
        <v>3488217311</v>
      </c>
      <c r="I25" s="9">
        <v>1811088440</v>
      </c>
    </row>
    <row r="26" spans="1:9" x14ac:dyDescent="0.25">
      <c r="A26" s="4" t="s">
        <v>249</v>
      </c>
      <c r="B26" s="9">
        <v>562500</v>
      </c>
      <c r="C26" s="9">
        <v>16007795775</v>
      </c>
      <c r="D26" s="9">
        <v>10303815269</v>
      </c>
      <c r="E26" s="9">
        <v>5703980506</v>
      </c>
      <c r="F26" s="9">
        <v>562500</v>
      </c>
      <c r="G26" s="9">
        <v>16007795775</v>
      </c>
      <c r="H26" s="9">
        <v>10303815269</v>
      </c>
      <c r="I26" s="9">
        <v>5703980506</v>
      </c>
    </row>
    <row r="27" spans="1:9" x14ac:dyDescent="0.25">
      <c r="A27" s="4" t="s">
        <v>79</v>
      </c>
      <c r="B27" s="9">
        <v>3300000</v>
      </c>
      <c r="C27" s="9">
        <v>76557599580</v>
      </c>
      <c r="D27" s="9">
        <v>83467243682</v>
      </c>
      <c r="E27" s="9">
        <v>-6909644102</v>
      </c>
      <c r="F27" s="9">
        <v>3300000</v>
      </c>
      <c r="G27" s="9">
        <v>76557599580</v>
      </c>
      <c r="H27" s="9">
        <v>73571008152</v>
      </c>
      <c r="I27" s="9">
        <v>2986591428</v>
      </c>
    </row>
    <row r="28" spans="1:9" x14ac:dyDescent="0.25">
      <c r="A28" s="4" t="s">
        <v>77</v>
      </c>
      <c r="B28" s="9">
        <v>2000000</v>
      </c>
      <c r="C28" s="9">
        <v>48541848400</v>
      </c>
      <c r="D28" s="9">
        <v>40742606200</v>
      </c>
      <c r="E28" s="9">
        <v>7799242200</v>
      </c>
      <c r="F28" s="9">
        <v>2000000</v>
      </c>
      <c r="G28" s="9">
        <v>48541848400</v>
      </c>
      <c r="H28" s="9">
        <v>38548312855</v>
      </c>
      <c r="I28" s="9">
        <v>9993535545</v>
      </c>
    </row>
    <row r="29" spans="1:9" x14ac:dyDescent="0.25">
      <c r="A29" s="4" t="s">
        <v>248</v>
      </c>
      <c r="B29" s="9">
        <v>1875000</v>
      </c>
      <c r="C29" s="9">
        <v>28465745625</v>
      </c>
      <c r="D29" s="9">
        <v>28857347619</v>
      </c>
      <c r="E29" s="9">
        <v>-391601994</v>
      </c>
      <c r="F29" s="9">
        <v>1875000</v>
      </c>
      <c r="G29" s="9">
        <v>28465745625</v>
      </c>
      <c r="H29" s="9">
        <v>28857347619</v>
      </c>
      <c r="I29" s="9">
        <v>-391601994</v>
      </c>
    </row>
    <row r="30" spans="1:9" x14ac:dyDescent="0.25">
      <c r="A30" s="4" t="s">
        <v>76</v>
      </c>
      <c r="B30" s="9">
        <v>1449999</v>
      </c>
      <c r="C30" s="9">
        <v>13855552589</v>
      </c>
      <c r="D30" s="9">
        <v>11395228680</v>
      </c>
      <c r="E30" s="9">
        <v>2460323909</v>
      </c>
      <c r="F30" s="9">
        <v>1449999</v>
      </c>
      <c r="G30" s="9">
        <v>13855552589</v>
      </c>
      <c r="H30" s="9">
        <v>7632716416</v>
      </c>
      <c r="I30" s="9">
        <v>6222836173</v>
      </c>
    </row>
    <row r="31" spans="1:9" x14ac:dyDescent="0.25">
      <c r="A31" s="4" t="s">
        <v>75</v>
      </c>
      <c r="B31" s="9">
        <v>23022000</v>
      </c>
      <c r="C31" s="9">
        <v>80867901388</v>
      </c>
      <c r="D31" s="9">
        <v>66290284616</v>
      </c>
      <c r="E31" s="9">
        <v>14577616772</v>
      </c>
      <c r="F31" s="9">
        <v>23022000</v>
      </c>
      <c r="G31" s="9">
        <v>80867901388</v>
      </c>
      <c r="H31" s="9">
        <v>57888434421</v>
      </c>
      <c r="I31" s="9">
        <v>22979466967</v>
      </c>
    </row>
    <row r="32" spans="1:9" x14ac:dyDescent="0.25">
      <c r="A32" s="4" t="s">
        <v>74</v>
      </c>
      <c r="B32" s="9">
        <v>1018181</v>
      </c>
      <c r="C32" s="9">
        <v>26278175087</v>
      </c>
      <c r="D32" s="9">
        <v>30066839315</v>
      </c>
      <c r="E32" s="9">
        <v>-3788664228</v>
      </c>
      <c r="F32" s="9">
        <v>1018181</v>
      </c>
      <c r="G32" s="9">
        <v>26278175087</v>
      </c>
      <c r="H32" s="9">
        <v>13384730030</v>
      </c>
      <c r="I32" s="9">
        <v>12893445057</v>
      </c>
    </row>
    <row r="33" spans="1:9" x14ac:dyDescent="0.25">
      <c r="A33" s="4" t="s">
        <v>73</v>
      </c>
      <c r="B33" s="9">
        <v>5043333</v>
      </c>
      <c r="C33" s="9">
        <v>149830180195</v>
      </c>
      <c r="D33" s="9">
        <v>105099892110</v>
      </c>
      <c r="E33" s="9">
        <v>44730288085</v>
      </c>
      <c r="F33" s="9">
        <v>5043333</v>
      </c>
      <c r="G33" s="9">
        <v>149830180195</v>
      </c>
      <c r="H33" s="9">
        <v>60285178081</v>
      </c>
      <c r="I33" s="9">
        <v>89545002114</v>
      </c>
    </row>
    <row r="34" spans="1:9" x14ac:dyDescent="0.25">
      <c r="A34" s="4" t="s">
        <v>72</v>
      </c>
      <c r="B34" s="9">
        <v>7048800</v>
      </c>
      <c r="C34" s="9">
        <v>142823866886</v>
      </c>
      <c r="D34" s="9">
        <v>134124467930</v>
      </c>
      <c r="E34" s="9">
        <v>8699398956</v>
      </c>
      <c r="F34" s="9">
        <v>7048800</v>
      </c>
      <c r="G34" s="9">
        <v>142823866886</v>
      </c>
      <c r="H34" s="9">
        <v>113207350485</v>
      </c>
      <c r="I34" s="9">
        <v>29616516401</v>
      </c>
    </row>
    <row r="35" spans="1:9" x14ac:dyDescent="0.25">
      <c r="A35" s="4" t="s">
        <v>71</v>
      </c>
      <c r="B35" s="9">
        <v>1600000</v>
      </c>
      <c r="C35" s="9">
        <v>41548329440</v>
      </c>
      <c r="D35" s="9">
        <v>45596791040</v>
      </c>
      <c r="E35" s="9">
        <v>-4048461600</v>
      </c>
      <c r="F35" s="9">
        <v>1600000</v>
      </c>
      <c r="G35" s="9">
        <v>41548329440</v>
      </c>
      <c r="H35" s="9">
        <v>37186382339</v>
      </c>
      <c r="I35" s="9">
        <v>4361947101</v>
      </c>
    </row>
    <row r="36" spans="1:9" x14ac:dyDescent="0.25">
      <c r="A36" s="4" t="s">
        <v>247</v>
      </c>
      <c r="B36" s="9">
        <v>20000000</v>
      </c>
      <c r="C36" s="9">
        <v>34253160400</v>
      </c>
      <c r="D36" s="9">
        <v>37718466486</v>
      </c>
      <c r="E36" s="9">
        <v>-3465306086</v>
      </c>
      <c r="F36" s="9">
        <v>20000000</v>
      </c>
      <c r="G36" s="9">
        <v>34253160400</v>
      </c>
      <c r="H36" s="9">
        <v>37718466486</v>
      </c>
      <c r="I36" s="9">
        <v>-3465306086</v>
      </c>
    </row>
    <row r="37" spans="1:9" x14ac:dyDescent="0.25">
      <c r="A37" s="4" t="s">
        <v>70</v>
      </c>
      <c r="B37" s="9">
        <v>9000000</v>
      </c>
      <c r="C37" s="9">
        <v>111094549200</v>
      </c>
      <c r="D37" s="9">
        <v>89140074038</v>
      </c>
      <c r="E37" s="9">
        <v>21954475162</v>
      </c>
      <c r="F37" s="9">
        <v>9000000</v>
      </c>
      <c r="G37" s="9">
        <v>111094549200</v>
      </c>
      <c r="H37" s="9">
        <v>74921837208</v>
      </c>
      <c r="I37" s="9">
        <v>36172711992</v>
      </c>
    </row>
    <row r="38" spans="1:9" x14ac:dyDescent="0.25">
      <c r="A38" s="4" t="s">
        <v>246</v>
      </c>
      <c r="B38" s="9">
        <v>937500</v>
      </c>
      <c r="C38" s="9">
        <v>24512169844</v>
      </c>
      <c r="D38" s="9">
        <v>19927549500</v>
      </c>
      <c r="E38" s="9">
        <v>4584620344</v>
      </c>
      <c r="F38" s="9">
        <v>937500</v>
      </c>
      <c r="G38" s="9">
        <v>24512169844</v>
      </c>
      <c r="H38" s="9">
        <v>19927549500</v>
      </c>
      <c r="I38" s="9">
        <v>4584620344</v>
      </c>
    </row>
    <row r="39" spans="1:9" x14ac:dyDescent="0.25">
      <c r="A39" s="4" t="s">
        <v>245</v>
      </c>
      <c r="B39" s="9">
        <v>900000</v>
      </c>
      <c r="C39" s="9">
        <v>4938527790</v>
      </c>
      <c r="D39" s="9">
        <v>3392947296</v>
      </c>
      <c r="E39" s="9">
        <v>1545580494</v>
      </c>
      <c r="F39" s="9">
        <v>900000</v>
      </c>
      <c r="G39" s="9">
        <v>4938527790</v>
      </c>
      <c r="H39" s="9">
        <v>3392947296</v>
      </c>
      <c r="I39" s="9">
        <v>1545580494</v>
      </c>
    </row>
    <row r="40" spans="1:9" x14ac:dyDescent="0.25">
      <c r="A40" s="4" t="s">
        <v>68</v>
      </c>
      <c r="B40" s="9">
        <v>11516638</v>
      </c>
      <c r="C40" s="9">
        <v>23620878941</v>
      </c>
      <c r="D40" s="9">
        <v>24946482210</v>
      </c>
      <c r="E40" s="9">
        <v>-1325603269</v>
      </c>
      <c r="F40" s="9">
        <v>11516638</v>
      </c>
      <c r="G40" s="9">
        <v>23620878941</v>
      </c>
      <c r="H40" s="9">
        <v>21241520107</v>
      </c>
      <c r="I40" s="9">
        <v>2379358834</v>
      </c>
    </row>
    <row r="41" spans="1:9" x14ac:dyDescent="0.25">
      <c r="A41" s="4" t="s">
        <v>67</v>
      </c>
      <c r="B41" s="9">
        <v>1664020</v>
      </c>
      <c r="C41" s="9">
        <v>3923149330</v>
      </c>
      <c r="D41" s="9">
        <v>3456823751</v>
      </c>
      <c r="E41" s="9">
        <v>466325579</v>
      </c>
      <c r="F41" s="9">
        <v>1664020</v>
      </c>
      <c r="G41" s="9">
        <v>3923149330</v>
      </c>
      <c r="H41" s="9">
        <v>3768821672</v>
      </c>
      <c r="I41" s="9">
        <v>154327658</v>
      </c>
    </row>
    <row r="42" spans="1:9" x14ac:dyDescent="0.25">
      <c r="A42" s="4" t="s">
        <v>66</v>
      </c>
      <c r="B42" s="9">
        <v>125000</v>
      </c>
      <c r="C42" s="9">
        <v>6407583525</v>
      </c>
      <c r="D42" s="9">
        <v>6057808350</v>
      </c>
      <c r="E42" s="9">
        <v>349775175</v>
      </c>
      <c r="F42" s="9">
        <v>125000</v>
      </c>
      <c r="G42" s="9">
        <v>6407583525</v>
      </c>
      <c r="H42" s="9">
        <v>4461676792</v>
      </c>
      <c r="I42" s="9">
        <v>1945906733</v>
      </c>
    </row>
    <row r="43" spans="1:9" x14ac:dyDescent="0.25">
      <c r="A43" s="4" t="s">
        <v>65</v>
      </c>
      <c r="B43" s="9">
        <v>800000</v>
      </c>
      <c r="C43" s="9">
        <v>9636926240</v>
      </c>
      <c r="D43" s="9">
        <v>10526000160</v>
      </c>
      <c r="E43" s="9">
        <v>-889073920</v>
      </c>
      <c r="F43" s="9">
        <v>800000</v>
      </c>
      <c r="G43" s="9">
        <v>9636926240</v>
      </c>
      <c r="H43" s="9">
        <v>12680340666</v>
      </c>
      <c r="I43" s="9">
        <v>-3043414426</v>
      </c>
    </row>
    <row r="44" spans="1:9" x14ac:dyDescent="0.25">
      <c r="A44" s="4" t="s">
        <v>64</v>
      </c>
      <c r="B44" s="9">
        <v>5000000</v>
      </c>
      <c r="C44" s="9">
        <v>49613500000</v>
      </c>
      <c r="D44" s="9">
        <v>40435002500</v>
      </c>
      <c r="E44" s="9">
        <v>9178497500</v>
      </c>
      <c r="F44" s="9">
        <v>5000000</v>
      </c>
      <c r="G44" s="9">
        <v>49613500000</v>
      </c>
      <c r="H44" s="9">
        <v>38902587200</v>
      </c>
      <c r="I44" s="9">
        <v>10710912800</v>
      </c>
    </row>
    <row r="45" spans="1:9" x14ac:dyDescent="0.25">
      <c r="A45" s="4" t="s">
        <v>244</v>
      </c>
      <c r="B45" s="9">
        <v>150000</v>
      </c>
      <c r="C45" s="9">
        <v>6172415535</v>
      </c>
      <c r="D45" s="9">
        <v>6206991273</v>
      </c>
      <c r="E45" s="9">
        <v>-34575738</v>
      </c>
      <c r="F45" s="9">
        <v>150000</v>
      </c>
      <c r="G45" s="9">
        <v>6172415535</v>
      </c>
      <c r="H45" s="9">
        <v>6206991273</v>
      </c>
      <c r="I45" s="9">
        <v>-34575738</v>
      </c>
    </row>
    <row r="46" spans="1:9" x14ac:dyDescent="0.25">
      <c r="A46" s="4" t="s">
        <v>63</v>
      </c>
      <c r="B46" s="9">
        <v>8200000</v>
      </c>
      <c r="C46" s="9">
        <v>95930679060</v>
      </c>
      <c r="D46" s="9">
        <v>84702151740</v>
      </c>
      <c r="E46" s="9">
        <v>11228527320</v>
      </c>
      <c r="F46" s="9">
        <v>8200000</v>
      </c>
      <c r="G46" s="9">
        <v>95930679060</v>
      </c>
      <c r="H46" s="9">
        <v>78561588853</v>
      </c>
      <c r="I46" s="9">
        <v>17369090207</v>
      </c>
    </row>
    <row r="47" spans="1:9" x14ac:dyDescent="0.25">
      <c r="A47" s="4" t="s">
        <v>62</v>
      </c>
      <c r="B47" s="9">
        <v>10228571</v>
      </c>
      <c r="C47" s="9">
        <v>245415010254</v>
      </c>
      <c r="D47" s="9">
        <v>220407651103</v>
      </c>
      <c r="E47" s="9">
        <v>25007359151</v>
      </c>
      <c r="F47" s="9">
        <v>10228571</v>
      </c>
      <c r="G47" s="9">
        <v>245415010254</v>
      </c>
      <c r="H47" s="9">
        <v>92279773446</v>
      </c>
      <c r="I47" s="9">
        <v>153135236808</v>
      </c>
    </row>
    <row r="48" spans="1:9" x14ac:dyDescent="0.25">
      <c r="A48" s="4" t="s">
        <v>61</v>
      </c>
      <c r="B48" s="9">
        <v>16470541</v>
      </c>
      <c r="C48" s="9">
        <v>202329109630</v>
      </c>
      <c r="D48" s="9">
        <v>189958905750</v>
      </c>
      <c r="E48" s="9">
        <v>12370203880</v>
      </c>
      <c r="F48" s="9">
        <v>16470541</v>
      </c>
      <c r="G48" s="9">
        <v>202329109630</v>
      </c>
      <c r="H48" s="9">
        <v>110255515835</v>
      </c>
      <c r="I48" s="9">
        <v>92073593795</v>
      </c>
    </row>
    <row r="49" spans="1:9" x14ac:dyDescent="0.25">
      <c r="A49" s="4" t="s">
        <v>60</v>
      </c>
      <c r="B49" s="9">
        <v>1425000</v>
      </c>
      <c r="C49" s="9">
        <v>20771435977</v>
      </c>
      <c r="D49" s="9">
        <v>17038516237</v>
      </c>
      <c r="E49" s="9">
        <v>3732919740</v>
      </c>
      <c r="F49" s="9">
        <v>1425000</v>
      </c>
      <c r="G49" s="9">
        <v>20771435977</v>
      </c>
      <c r="H49" s="9">
        <v>9418834770</v>
      </c>
      <c r="I49" s="9">
        <v>11352601207</v>
      </c>
    </row>
    <row r="50" spans="1:9" x14ac:dyDescent="0.25">
      <c r="A50" s="4" t="s">
        <v>59</v>
      </c>
      <c r="B50" s="9">
        <v>1294019</v>
      </c>
      <c r="C50" s="9">
        <v>72585437659</v>
      </c>
      <c r="D50" s="9">
        <v>69253642569</v>
      </c>
      <c r="E50" s="9">
        <v>3331795090</v>
      </c>
      <c r="F50" s="9">
        <v>1294019</v>
      </c>
      <c r="G50" s="9">
        <v>72585437659</v>
      </c>
      <c r="H50" s="9">
        <v>66207599039</v>
      </c>
      <c r="I50" s="9">
        <v>6377838620</v>
      </c>
    </row>
    <row r="51" spans="1:9" x14ac:dyDescent="0.25">
      <c r="A51" s="4" t="s">
        <v>58</v>
      </c>
      <c r="B51" s="9">
        <v>1184429</v>
      </c>
      <c r="C51" s="9">
        <v>7486491328</v>
      </c>
      <c r="D51" s="9">
        <v>6428745300</v>
      </c>
      <c r="E51" s="9">
        <v>1057746028</v>
      </c>
      <c r="F51" s="9">
        <v>1184429</v>
      </c>
      <c r="G51" s="9">
        <v>7486491328</v>
      </c>
      <c r="H51" s="9">
        <v>3546848946</v>
      </c>
      <c r="I51" s="9">
        <v>3939642382</v>
      </c>
    </row>
    <row r="52" spans="1:9" x14ac:dyDescent="0.25">
      <c r="A52" s="4" t="s">
        <v>57</v>
      </c>
      <c r="B52" s="9">
        <v>2173326</v>
      </c>
      <c r="C52" s="9">
        <v>73429716770</v>
      </c>
      <c r="D52" s="9">
        <v>66104580330</v>
      </c>
      <c r="E52" s="9">
        <v>7325136440</v>
      </c>
      <c r="F52" s="9">
        <v>2173326</v>
      </c>
      <c r="G52" s="9">
        <v>73429716770</v>
      </c>
      <c r="H52" s="9">
        <v>65108501687</v>
      </c>
      <c r="I52" s="9">
        <v>8321215083</v>
      </c>
    </row>
    <row r="53" spans="1:9" x14ac:dyDescent="0.25">
      <c r="A53" s="4" t="s">
        <v>56</v>
      </c>
      <c r="B53" s="9">
        <v>3000000</v>
      </c>
      <c r="C53" s="9">
        <v>54386318700</v>
      </c>
      <c r="D53" s="9">
        <v>43312585500</v>
      </c>
      <c r="E53" s="9">
        <v>11073733200</v>
      </c>
      <c r="F53" s="9">
        <v>3000000</v>
      </c>
      <c r="G53" s="9">
        <v>54386318700</v>
      </c>
      <c r="H53" s="9">
        <v>28866696331</v>
      </c>
      <c r="I53" s="9">
        <v>25519622369</v>
      </c>
    </row>
    <row r="54" spans="1:9" x14ac:dyDescent="0.25">
      <c r="A54" s="4" t="s">
        <v>54</v>
      </c>
      <c r="B54" s="9">
        <v>750000</v>
      </c>
      <c r="C54" s="9">
        <v>52109059050</v>
      </c>
      <c r="D54" s="9">
        <v>45597287175</v>
      </c>
      <c r="E54" s="9">
        <v>6511771875</v>
      </c>
      <c r="F54" s="9">
        <v>750000</v>
      </c>
      <c r="G54" s="9">
        <v>52109059050</v>
      </c>
      <c r="H54" s="9">
        <v>35245501211</v>
      </c>
      <c r="I54" s="9">
        <v>16863557839</v>
      </c>
    </row>
    <row r="55" spans="1:9" x14ac:dyDescent="0.25">
      <c r="A55" s="4" t="s">
        <v>53</v>
      </c>
      <c r="B55" s="9">
        <v>360000</v>
      </c>
      <c r="C55" s="9">
        <v>18368108424</v>
      </c>
      <c r="D55" s="9">
        <v>12284699508</v>
      </c>
      <c r="E55" s="9">
        <v>6083408916</v>
      </c>
      <c r="F55" s="9">
        <v>360000</v>
      </c>
      <c r="G55" s="9">
        <v>18368108424</v>
      </c>
      <c r="H55" s="9">
        <v>11462206904</v>
      </c>
      <c r="I55" s="9">
        <v>6905901520</v>
      </c>
    </row>
    <row r="56" spans="1:9" x14ac:dyDescent="0.25">
      <c r="A56" s="4" t="s">
        <v>52</v>
      </c>
      <c r="B56" s="9">
        <v>1795173</v>
      </c>
      <c r="C56" s="9">
        <v>4912815230</v>
      </c>
      <c r="D56" s="9">
        <v>4130826149</v>
      </c>
      <c r="E56" s="9">
        <v>781989081</v>
      </c>
      <c r="F56" s="9">
        <v>1795173</v>
      </c>
      <c r="G56" s="9">
        <v>4912815230</v>
      </c>
      <c r="H56" s="9">
        <v>4983403593</v>
      </c>
      <c r="I56" s="9">
        <v>-70588363</v>
      </c>
    </row>
    <row r="57" spans="1:9" x14ac:dyDescent="0.25">
      <c r="A57" s="4" t="s">
        <v>51</v>
      </c>
      <c r="B57" s="9">
        <v>4671455</v>
      </c>
      <c r="C57" s="9">
        <v>62252678688</v>
      </c>
      <c r="D57" s="9">
        <v>48624765408</v>
      </c>
      <c r="E57" s="9">
        <v>13627913280</v>
      </c>
      <c r="F57" s="9">
        <v>4671455</v>
      </c>
      <c r="G57" s="9">
        <v>62252678688</v>
      </c>
      <c r="H57" s="9">
        <v>47041933068</v>
      </c>
      <c r="I57" s="9">
        <v>15210745620</v>
      </c>
    </row>
    <row r="58" spans="1:9" x14ac:dyDescent="0.25">
      <c r="A58" s="4" t="s">
        <v>49</v>
      </c>
      <c r="B58" s="9">
        <v>5500000</v>
      </c>
      <c r="C58" s="9">
        <v>42950406950</v>
      </c>
      <c r="D58" s="9">
        <v>47293684117</v>
      </c>
      <c r="E58" s="9">
        <v>-4343277167</v>
      </c>
      <c r="F58" s="9">
        <v>5500000</v>
      </c>
      <c r="G58" s="9">
        <v>42950406950</v>
      </c>
      <c r="H58" s="9">
        <v>35458963080</v>
      </c>
      <c r="I58" s="9">
        <v>7491443870</v>
      </c>
    </row>
    <row r="59" spans="1:9" x14ac:dyDescent="0.25">
      <c r="A59" s="4" t="s">
        <v>48</v>
      </c>
      <c r="B59" s="9">
        <v>293000</v>
      </c>
      <c r="C59" s="9">
        <v>88063664819</v>
      </c>
      <c r="D59" s="9">
        <v>75813747435</v>
      </c>
      <c r="E59" s="9">
        <v>12249917384</v>
      </c>
      <c r="F59" s="9">
        <v>293000</v>
      </c>
      <c r="G59" s="9">
        <v>88063664819</v>
      </c>
      <c r="H59" s="9">
        <v>32578690617</v>
      </c>
      <c r="I59" s="9">
        <v>55484974202</v>
      </c>
    </row>
    <row r="60" spans="1:9" x14ac:dyDescent="0.25">
      <c r="A60" s="4" t="s">
        <v>47</v>
      </c>
      <c r="B60" s="9">
        <v>20695370</v>
      </c>
      <c r="C60" s="9">
        <v>57293751464</v>
      </c>
      <c r="D60" s="9">
        <v>61030925725</v>
      </c>
      <c r="E60" s="9">
        <v>-3737174261</v>
      </c>
      <c r="F60" s="9">
        <v>20695370</v>
      </c>
      <c r="G60" s="9">
        <v>57293751464</v>
      </c>
      <c r="H60" s="9">
        <v>61138116875</v>
      </c>
      <c r="I60" s="9">
        <v>-3844365411</v>
      </c>
    </row>
    <row r="61" spans="1:9" x14ac:dyDescent="0.25">
      <c r="A61" s="4" t="s">
        <v>243</v>
      </c>
      <c r="B61" s="9">
        <v>3000000</v>
      </c>
      <c r="C61" s="9">
        <v>15122194800</v>
      </c>
      <c r="D61" s="9">
        <v>16092755943</v>
      </c>
      <c r="E61" s="9">
        <v>-970561143</v>
      </c>
      <c r="F61" s="9">
        <v>3000000</v>
      </c>
      <c r="G61" s="9">
        <v>15122194800</v>
      </c>
      <c r="H61" s="9">
        <v>16092755943</v>
      </c>
      <c r="I61" s="9">
        <v>-970561143</v>
      </c>
    </row>
    <row r="62" spans="1:9" x14ac:dyDescent="0.25">
      <c r="A62" s="4" t="s">
        <v>242</v>
      </c>
      <c r="B62" s="9">
        <v>3696</v>
      </c>
      <c r="C62" s="9">
        <v>70671375</v>
      </c>
      <c r="D62" s="9">
        <v>47434765</v>
      </c>
      <c r="E62" s="9">
        <v>23236610</v>
      </c>
      <c r="F62" s="9">
        <v>3696</v>
      </c>
      <c r="G62" s="9">
        <v>70671375</v>
      </c>
      <c r="H62" s="9">
        <v>47434765</v>
      </c>
      <c r="I62" s="9">
        <v>23236610</v>
      </c>
    </row>
    <row r="63" spans="1:9" ht="20.25" thickBot="1" x14ac:dyDescent="0.3">
      <c r="A63" s="4" t="s">
        <v>2</v>
      </c>
      <c r="B63" s="9"/>
      <c r="C63" s="6">
        <f>SUM(C8:C62)</f>
        <v>2595874433303</v>
      </c>
      <c r="D63" s="6">
        <f>SUM(D8:D62)</f>
        <v>2397568616329</v>
      </c>
      <c r="E63" s="6">
        <f>SUM(E8:E62)</f>
        <v>198305816974</v>
      </c>
      <c r="F63" s="9"/>
      <c r="G63" s="6">
        <f>SUM(G8:G62)</f>
        <v>2595874433303</v>
      </c>
      <c r="H63" s="6">
        <f>SUM(H8:H62)</f>
        <v>1851594337941</v>
      </c>
      <c r="I63" s="6">
        <f>SUM(I8:I62)</f>
        <v>744280095362</v>
      </c>
    </row>
    <row r="64" spans="1:9" ht="20.25" thickTop="1" x14ac:dyDescent="0.25"/>
  </sheetData>
  <mergeCells count="6">
    <mergeCell ref="B6:E6"/>
    <mergeCell ref="F6:I6"/>
    <mergeCell ref="A5:D5"/>
    <mergeCell ref="A1:I1"/>
    <mergeCell ref="A2:I2"/>
    <mergeCell ref="A3:I3"/>
  </mergeCells>
  <pageMargins left="0.7" right="0.7" top="0.75" bottom="0.75" header="0.3" footer="0.3"/>
  <pageSetup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سربرگ</vt:lpstr>
      <vt:lpstr> سهام</vt:lpstr>
      <vt:lpstr>اوراق مشتقه</vt:lpstr>
      <vt:lpstr>سپرده</vt:lpstr>
      <vt:lpstr>درآمدها</vt:lpstr>
      <vt:lpstr>درآمد سرمایه گذاری در سهام </vt:lpstr>
      <vt:lpstr>درآمد سپرده بانکی</vt:lpstr>
      <vt:lpstr>درآمد سرمایه گذاری مشتقه </vt:lpstr>
      <vt:lpstr>سایر درآمدها</vt:lpstr>
      <vt:lpstr>درآمد سود سهام</vt:lpstr>
      <vt:lpstr>سود  سپرده بانکی</vt:lpstr>
      <vt:lpstr>درآمد ناشی ازفروش</vt:lpstr>
      <vt:lpstr>درآمد ناشی از تغییر قیمت اوراق </vt:lpstr>
      <vt:lpstr>' سهام'!Print_Area</vt:lpstr>
      <vt:lpstr>'اوراق مشتقه'!Print_Area</vt:lpstr>
      <vt:lpstr>'درآمد سپرده بانکی'!Print_Area</vt:lpstr>
      <vt:lpstr>'درآمد سرمایه گذاری در سهام '!Print_Area</vt:lpstr>
      <vt:lpstr>'درآمد سرمایه گذاری مشتقه 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سربرگ!Print_Area</vt:lpstr>
      <vt:lpstr>'سود  سپرده بانکی'!Print_Area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Ghazal Nezakati</cp:lastModifiedBy>
  <cp:lastPrinted>2026-09-30T09:31:16Z</cp:lastPrinted>
  <dcterms:created xsi:type="dcterms:W3CDTF">2017-11-22T14:26:20Z</dcterms:created>
  <dcterms:modified xsi:type="dcterms:W3CDTF">2026-09-30T09:34:36Z</dcterms:modified>
</cp:coreProperties>
</file>