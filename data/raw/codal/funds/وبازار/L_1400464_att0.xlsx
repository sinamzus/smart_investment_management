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ahmadi\Desktop\New folder (2)\"/>
    </mc:Choice>
  </mc:AlternateContent>
  <xr:revisionPtr revIDLastSave="0" documentId="13_ncr:1_{4FB1776F-D081-4F17-BD1D-15E225FAD4F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0" sheetId="1" r:id="rId1"/>
    <sheet name="1" sheetId="2" r:id="rId2"/>
    <sheet name="2" sheetId="6" r:id="rId3"/>
    <sheet name="3" sheetId="8" r:id="rId4"/>
    <sheet name="4" sheetId="13" r:id="rId5"/>
    <sheet name="5" sheetId="15" r:id="rId6"/>
    <sheet name="6" sheetId="16" r:id="rId7"/>
    <sheet name="7" sheetId="9" r:id="rId8"/>
    <sheet name="8" sheetId="11" r:id="rId9"/>
    <sheet name="9" sheetId="12" r:id="rId10"/>
    <sheet name="10" sheetId="10" r:id="rId11"/>
  </sheets>
  <definedNames>
    <definedName name="_xlnm.Print_Titles" localSheetId="1">'1'!$1:$10</definedName>
    <definedName name="_xlnm.Print_Titles" localSheetId="4">'4'!$1:$8</definedName>
    <definedName name="_xlnm.Print_Titles" localSheetId="7">'7'!$1:$8</definedName>
    <definedName name="_xlnm.Print_Titles" localSheetId="8">'8'!$1:$8</definedName>
    <definedName name="_xlnm.Print_Titles" localSheetId="9">'9'!$1:$8</definedName>
  </definedNames>
  <calcPr calcId="181029"/>
</workbook>
</file>

<file path=xl/calcChain.xml><?xml version="1.0" encoding="utf-8"?>
<calcChain xmlns="http://schemas.openxmlformats.org/spreadsheetml/2006/main">
  <c r="C7" i="16" l="1"/>
  <c r="E7" i="15"/>
  <c r="C7" i="13"/>
  <c r="C7" i="12"/>
  <c r="Q48" i="12"/>
  <c r="O48" i="12"/>
  <c r="M48" i="12"/>
  <c r="K48" i="12"/>
  <c r="I48" i="12"/>
  <c r="G48" i="12"/>
  <c r="E48" i="12"/>
  <c r="C7" i="11"/>
  <c r="I7" i="10"/>
  <c r="O7" i="9"/>
  <c r="O7" i="10" s="1"/>
  <c r="K7" i="11" s="1"/>
  <c r="K7" i="12" s="1"/>
  <c r="M7" i="13" s="1"/>
  <c r="I7" i="15" s="1"/>
  <c r="E7" i="16" s="1"/>
  <c r="E10" i="16"/>
  <c r="C10" i="16"/>
  <c r="I11" i="15"/>
  <c r="E11" i="15"/>
  <c r="G10" i="15" s="1"/>
  <c r="K10" i="15"/>
  <c r="K9" i="15"/>
  <c r="K11" i="15" s="1"/>
  <c r="U87" i="13"/>
  <c r="S87" i="13"/>
  <c r="Q87" i="13"/>
  <c r="O87" i="13"/>
  <c r="M87" i="13"/>
  <c r="K87" i="13"/>
  <c r="I87" i="13"/>
  <c r="G87" i="13"/>
  <c r="E87" i="13"/>
  <c r="C87" i="13"/>
  <c r="Q179" i="11"/>
  <c r="O179" i="11"/>
  <c r="M179" i="11"/>
  <c r="K179" i="11"/>
  <c r="I179" i="11"/>
  <c r="G179" i="11"/>
  <c r="E179" i="11"/>
  <c r="C179" i="11"/>
  <c r="S11" i="10"/>
  <c r="Q11" i="10"/>
  <c r="O11" i="10"/>
  <c r="M11" i="10"/>
  <c r="K11" i="10"/>
  <c r="I11" i="10"/>
  <c r="S46" i="9"/>
  <c r="Q46" i="9"/>
  <c r="O46" i="9"/>
  <c r="M46" i="9"/>
  <c r="K46" i="9"/>
  <c r="I46" i="9"/>
  <c r="E11" i="8"/>
  <c r="I10" i="8"/>
  <c r="G10" i="8"/>
  <c r="I9" i="8"/>
  <c r="G9" i="8"/>
  <c r="I8" i="8"/>
  <c r="I11" i="8" s="1"/>
  <c r="G8" i="8"/>
  <c r="G11" i="8" s="1"/>
  <c r="S12" i="6"/>
  <c r="Q12" i="6"/>
  <c r="O12" i="6"/>
  <c r="M12" i="6"/>
  <c r="K12" i="6"/>
  <c r="W54" i="2"/>
  <c r="U54" i="2"/>
  <c r="S54" i="2"/>
  <c r="M54" i="2"/>
  <c r="J54" i="2"/>
  <c r="G54" i="2"/>
  <c r="E54" i="2"/>
  <c r="G9" i="15" l="1"/>
  <c r="G11" i="15" s="1"/>
</calcChain>
</file>

<file path=xl/sharedStrings.xml><?xml version="1.0" encoding="utf-8"?>
<sst xmlns="http://schemas.openxmlformats.org/spreadsheetml/2006/main" count="591" uniqueCount="316">
  <si>
    <t>‫سرمایه گذاری قابل معامله شاخصی بازار آشنا</t>
  </si>
  <si>
    <t>‫صورت وضعیت پورتفوی</t>
  </si>
  <si>
    <t>‫برای ماه منتهی به 1404/05/31</t>
  </si>
  <si>
    <t>‫1- سرمایه گذاری ها</t>
  </si>
  <si>
    <t>‫1-1- سرمایه گذاری در سهام و حق تقدم سهام</t>
  </si>
  <si>
    <t>‫1404/04/31</t>
  </si>
  <si>
    <t>‫1404/05/31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</si>
  <si>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</si>
  <si>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</si>
  <si>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</si>
  <si>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</si>
  <si>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</si>
  <si>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</si>
  <si>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</si>
  <si>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</si>
  <si>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</si>
  <si>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‫اختيارخ خساپا-500-1404/05/29</t>
  </si>
  <si>
    <t>‫اختيارخ خودرو-500-1404/07/02</t>
  </si>
  <si>
    <t>‫اختيارخ خودرو-500-1404/08/07</t>
  </si>
  <si>
    <t>‫اختيارخ ذوب-400-1404/06/18</t>
  </si>
  <si>
    <t>‫اختيارخ شستا-1300-1404/06/12</t>
  </si>
  <si>
    <t>‫اختيارخ وبصادر-585-1404/05/22</t>
  </si>
  <si>
    <t>‫اختيارخ وبملت-1073-1404/05/22</t>
  </si>
  <si>
    <t>‫اختيارخ وبملت-1277-1404/05/22</t>
  </si>
  <si>
    <t>‫اختيارخ وبملت-1379-1404/05/22</t>
  </si>
  <si>
    <t>‫ارتباطات سیار</t>
  </si>
  <si>
    <t>‫اقتصاد نوين</t>
  </si>
  <si>
    <t>‫ايران خودرو</t>
  </si>
  <si>
    <t>‫بانك تجارت</t>
  </si>
  <si>
    <t>‫بانك ملت</t>
  </si>
  <si>
    <t>‫توسعه‌معادن‌وفلزات‌</t>
  </si>
  <si>
    <t>‫سرمايه گذاري تامين اجتماعي</t>
  </si>
  <si>
    <t>‫سرمايه گذاري دارويي تامين</t>
  </si>
  <si>
    <t>‫سرمايه گذاري صدرتامين</t>
  </si>
  <si>
    <t>‫سرمايه گذاري غدير</t>
  </si>
  <si>
    <t>‫سرمايه گذاري مهر</t>
  </si>
  <si>
    <t>‫سرمايه گذاري پايا تدبيرپارسا</t>
  </si>
  <si>
    <t>‫سيمان تهران</t>
  </si>
  <si>
    <t>‫صنايع غذايي رضوي</t>
  </si>
  <si>
    <t>‫صنايع پتروشيمي خليج فارس</t>
  </si>
  <si>
    <t>‫صندوق بازنشستگي</t>
  </si>
  <si>
    <t>‫فولاد مباركه</t>
  </si>
  <si>
    <t>‫قند چهار محال</t>
  </si>
  <si>
    <t>‫كشتيراني ايران</t>
  </si>
  <si>
    <t>‫مخابرات</t>
  </si>
  <si>
    <t>‫معدنكاران نسوز</t>
  </si>
  <si>
    <t>‫ملي مس</t>
  </si>
  <si>
    <t>‫مپنا</t>
  </si>
  <si>
    <t>‫نفت اصفهان</t>
  </si>
  <si>
    <t>‫نفت بندر عباس</t>
  </si>
  <si>
    <t>‫نفت بهران</t>
  </si>
  <si>
    <t>‫نفت تبريز</t>
  </si>
  <si>
    <t>‫نفت تهران</t>
  </si>
  <si>
    <t>‫نفت و گاز پارسیان</t>
  </si>
  <si>
    <t>‫پارس مينو</t>
  </si>
  <si>
    <t>‫پتروشيمي بوعلي سينا</t>
  </si>
  <si>
    <t>‫پتروشيمي جم</t>
  </si>
  <si>
    <t>‫پتروشيمي شيراز</t>
  </si>
  <si>
    <t>‫پتروشيمي نوري</t>
  </si>
  <si>
    <t>‫پتروشيمي پارس</t>
  </si>
  <si>
    <t>‫پتروشيمی پردیس</t>
  </si>
  <si>
    <t>‫پتروشیمی تامین</t>
  </si>
  <si>
    <t>‫پخش هجرت</t>
  </si>
  <si>
    <t>‫پست بانك ايران</t>
  </si>
  <si>
    <t>‫پويا</t>
  </si>
  <si>
    <t>‫پويا زركان آق دره</t>
  </si>
  <si>
    <t>‫چادرملو</t>
  </si>
  <si>
    <t>‫گل گهر</t>
  </si>
  <si>
    <t>‫جمع</t>
  </si>
  <si>
    <t>‫نام سهام</t>
  </si>
  <si>
    <t>‫تاریخ سررسید</t>
  </si>
  <si>
    <t>‫3-1- سرمایه گذاری در  سپرده بانکی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</si>
  <si>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</si>
  <si>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</si>
  <si>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</si>
  <si>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</si>
  <si>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</si>
  <si>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‫نرخ سود علی الحساب</t>
  </si>
  <si>
    <t>‫مبلغ</t>
  </si>
  <si>
    <t>‫افزایش</t>
  </si>
  <si>
    <t>‫کاهش</t>
  </si>
  <si>
    <t>‫سپرده بانکی نزد بانک پاسارگاد</t>
  </si>
  <si>
    <t>‫415.8100.14938708.1</t>
  </si>
  <si>
    <t>‫کوتاه مدت</t>
  </si>
  <si>
    <t>‫1400/08/09</t>
  </si>
  <si>
    <t>‫0</t>
  </si>
  <si>
    <t>‫سپرده بانکی نزد بانک گردشگري</t>
  </si>
  <si>
    <t>‫132-711270160-1</t>
  </si>
  <si>
    <t>‫جاري</t>
  </si>
  <si>
    <t>‫1401/09/22</t>
  </si>
  <si>
    <t>‫132.9967.1270160.1</t>
  </si>
  <si>
    <t>‫1403/05/03</t>
  </si>
  <si>
    <t>‫23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</si>
  <si>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</si>
  <si>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</si>
  <si>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</si>
  <si>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</si>
  <si>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</si>
  <si>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</si>
  <si>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</si>
  <si>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‫1-2</t>
  </si>
  <si>
    <t>‫2-2</t>
  </si>
  <si>
    <t>‫درآمد حاصل از سرمایه گذاری در سپرده بانکی و گواهی سپرده</t>
  </si>
  <si>
    <t>‫3-2</t>
  </si>
  <si>
    <t>‫سایر درآمدها</t>
  </si>
  <si>
    <t>‫درآمد سود سهام</t>
  </si>
  <si>
    <t>‫اطلاعات مجمع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</si>
  <si>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</si>
  <si>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</si>
  <si>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</si>
  <si>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</si>
  <si>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</si>
  <si>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</si>
  <si>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‫1404/03/21</t>
  </si>
  <si>
    <t>‫1404/04/22</t>
  </si>
  <si>
    <t>‫بين المللي توسعه ص. معادن غدير</t>
  </si>
  <si>
    <t>‫1403/10/15</t>
  </si>
  <si>
    <t>‫توسعه نيشكر و صنايع جانبي</t>
  </si>
  <si>
    <t>‫1403/12/20</t>
  </si>
  <si>
    <t>‫1404/04/29</t>
  </si>
  <si>
    <t>‫توليد انرژي برق شمس پاسارگاد</t>
  </si>
  <si>
    <t>‫1403/12/22</t>
  </si>
  <si>
    <t>‫1403/12/08</t>
  </si>
  <si>
    <t>‫سرمايه گذاري ملي ايران</t>
  </si>
  <si>
    <t>‫1404/01/27</t>
  </si>
  <si>
    <t>‫1404/04/28</t>
  </si>
  <si>
    <t>‫صبا فولاد خليج فارس</t>
  </si>
  <si>
    <t>‫1404/01/31</t>
  </si>
  <si>
    <t>‫صنايع الكترونيك ماديران</t>
  </si>
  <si>
    <t>‫1404/04/17</t>
  </si>
  <si>
    <t>‫1404/05/12</t>
  </si>
  <si>
    <t>‫1404/05/13</t>
  </si>
  <si>
    <t>‫كاني كربن طبس</t>
  </si>
  <si>
    <t>‫1404/03/28</t>
  </si>
  <si>
    <t>‫1404/04/12</t>
  </si>
  <si>
    <t>‫1404/05/08</t>
  </si>
  <si>
    <t>‫1404/04/30</t>
  </si>
  <si>
    <t>‫1403/10/19</t>
  </si>
  <si>
    <t>‫1404/03/03</t>
  </si>
  <si>
    <t>‫1404/05/11</t>
  </si>
  <si>
    <t>‫1404/02/15</t>
  </si>
  <si>
    <t>‫1404/04/21</t>
  </si>
  <si>
    <t>‫1404/04/23</t>
  </si>
  <si>
    <t>‫سود اوراق بهادار با درآمد ثابت و سپرده بانکی</t>
  </si>
  <si>
    <t>‫تاریخ دریافت سود</t>
  </si>
  <si>
    <t>‫درآمد سود</t>
  </si>
  <si>
    <t>‫خالص درآمد</t>
  </si>
  <si>
    <t>‫كوتاه مدت-1.1270160.9967.132-گردشگري</t>
  </si>
  <si>
    <t>‫1404/05/03</t>
  </si>
  <si>
    <t>‫-</t>
  </si>
  <si>
    <t>‫كوتاه مدت-1.14938708.8100.415-پاسارگاد</t>
  </si>
  <si>
    <t>‫1404/05/01</t>
  </si>
  <si>
    <t>‫سود(زیان) حاصل از فروش اوراق بهادار</t>
  </si>
  <si>
    <t>‫ارزش دفتری</t>
  </si>
  <si>
    <t>‫سود و زیان ناشی از فروش</t>
  </si>
  <si>
    <t>‫آلومينيوم ايران</t>
  </si>
  <si>
    <t>‫اختيارخ اخابر-760-1404/05/22</t>
  </si>
  <si>
    <t>‫اختيارخ خساپا-3000-1403/12/22</t>
  </si>
  <si>
    <t>‫اختيارخ خساپا-3250-1403/12/22</t>
  </si>
  <si>
    <t>‫اختيارخ خودرو-3750-1403/12/01</t>
  </si>
  <si>
    <t>‫اختيارخ خودرو-3750-1404/01/06</t>
  </si>
  <si>
    <t>‫اختيارخ خودرو-382-1404/02/03</t>
  </si>
  <si>
    <t>‫اختيارخ خودرو-4000-1403/11/03</t>
  </si>
  <si>
    <t>‫اختيارخ خودرو-4000-1404/01/06</t>
  </si>
  <si>
    <t>‫اختيارخ خودرو-5000-1403/12/01</t>
  </si>
  <si>
    <t>‫اختيارخ خودرو-588-1404/02/03</t>
  </si>
  <si>
    <t>‫اختيارخ خودرو-600-1404/04/04</t>
  </si>
  <si>
    <t>‫اختيارخ خودرو-647-1404/03/07</t>
  </si>
  <si>
    <t>‫اختيارخ خودرو-700-1404/03/07</t>
  </si>
  <si>
    <t>‫اختيارخ خگستر-5500-1404/04/04</t>
  </si>
  <si>
    <t>‫اختيارخ ذوب-500-1403/12/22</t>
  </si>
  <si>
    <t>‫اختيارخ ذوب-700-1403/11/24</t>
  </si>
  <si>
    <t>‫اختيارخ شستا-1400-1404/02/10</t>
  </si>
  <si>
    <t>‫اختيارخ شستا-1500-1404/01/20</t>
  </si>
  <si>
    <t>‫اختيارخ شستا-1500-1404/05/15</t>
  </si>
  <si>
    <t>‫اختيارخ شستا-1550-1403/11/10</t>
  </si>
  <si>
    <t>‫اختيارخ شستا-1600-1404/04/11</t>
  </si>
  <si>
    <t>‫اختيارخ شستا-1650-1403/12/08</t>
  </si>
  <si>
    <t>‫اختيارخ شستا-1700-1404/04/11</t>
  </si>
  <si>
    <t>‫اختيارخ شستا-1800-1404/04/11</t>
  </si>
  <si>
    <t>‫اختيارخ شستا-2000-1404/03/13</t>
  </si>
  <si>
    <t>‫اختيارخ شستا-2200-1404/04/11</t>
  </si>
  <si>
    <t>‫اختيارخ شپنا-3873-1404/02/17</t>
  </si>
  <si>
    <t>‫اختيارخ شپنا-4930-1404/04/18</t>
  </si>
  <si>
    <t>‫اختيارخ شپنا-5000-1403/12/08</t>
  </si>
  <si>
    <t>‫اختيارخ شپنا-5500-1403/12/08</t>
  </si>
  <si>
    <t>‫اختيارخ فملي-10000-1404/01/06</t>
  </si>
  <si>
    <t>‫اختيارخ فملي-7429-1404/03/07</t>
  </si>
  <si>
    <t>‫اختيارخ فولاد-3720-1404/05/15</t>
  </si>
  <si>
    <t>‫اختيارخ فولاد-4320-1404/03/13</t>
  </si>
  <si>
    <t>‫اختيارخ فولاد-4720-1404/05/15</t>
  </si>
  <si>
    <t>‫اختيارخ فولاد-5040-1404/03/13</t>
  </si>
  <si>
    <t>‫اختيارخ فولاد-6000-1403/12/01</t>
  </si>
  <si>
    <t>‫اختيارخ فولاد-6500-1403/12/01</t>
  </si>
  <si>
    <t>‫اختيارخ وبصادر-606-1403/11/17</t>
  </si>
  <si>
    <t>‫اختيارخ وبصادر-661-1403/11/17</t>
  </si>
  <si>
    <t>‫اختيارخ وبصادر-685-1404/05/22</t>
  </si>
  <si>
    <t>‫اختيارخ وبصادر-700-1404/03/21</t>
  </si>
  <si>
    <t>‫اختيارخ وبصادر-785-1404/05/22</t>
  </si>
  <si>
    <t>‫اختيارخ وبصادر-800-1404/03/21</t>
  </si>
  <si>
    <t>‫اختيارخ وبصادر-900-1404/03/21</t>
  </si>
  <si>
    <t>‫اختيارخ وبملت-2054-1404/01/27</t>
  </si>
  <si>
    <t>‫اختيارخ وبملت-2200-1404/01/27</t>
  </si>
  <si>
    <t>‫اختيارخ وبملت-2640-1404/03/21</t>
  </si>
  <si>
    <t>‫اختيارخ وبملت-2934-1404/03/21</t>
  </si>
  <si>
    <t>‫اختيارخ وبملت-3000-1403/11/24</t>
  </si>
  <si>
    <t>‫اختيارخ وبملت-3000-1404/04/25</t>
  </si>
  <si>
    <t>‫اختيارخ وبملت-3250-1404/03/21</t>
  </si>
  <si>
    <t>‫اختيارخ وبملت-3750-1403/11/24</t>
  </si>
  <si>
    <t>‫اختيارخ وتجارت-1000-1404/04/18</t>
  </si>
  <si>
    <t>‫اختيارخ وتجارت-1800-1403/12/15</t>
  </si>
  <si>
    <t>‫اختيارخ وتجارت-2200-1403/12/15</t>
  </si>
  <si>
    <t>‫اختيارخ وتجارت-499-1404/02/17</t>
  </si>
  <si>
    <t>‫اختيارخ وتجارت-589-1404/06/18</t>
  </si>
  <si>
    <t>‫اختيارخ وتجارت-900-1404/04/18</t>
  </si>
  <si>
    <t>‫اختيارف خساپا-543-1404/02/31</t>
  </si>
  <si>
    <t>‫اختيارف خودرو-3000-1404/01/06</t>
  </si>
  <si>
    <t>‫اختيارف خودرو-3250-1403/11/03</t>
  </si>
  <si>
    <t>‫اختيارف خودرو-3250-1403/12/01</t>
  </si>
  <si>
    <t>‫اختيارف خودرو-3250-1404/01/06</t>
  </si>
  <si>
    <t>‫اختيارف خودرو-3500-1403/12/01</t>
  </si>
  <si>
    <t>‫اختيارف خودرو-3500-1404/01/06</t>
  </si>
  <si>
    <t>‫اختيارف خودرو-3750-1404/01/06</t>
  </si>
  <si>
    <t>‫اختيارف خودرو-382-1404/02/03</t>
  </si>
  <si>
    <t>‫اختيارف خودرو-500-1404/04/04</t>
  </si>
  <si>
    <t>‫اختيارف خودرو-600-1404/04/04</t>
  </si>
  <si>
    <t>‫اختيارف خودرو-647-1404/03/07</t>
  </si>
  <si>
    <t>‫اختيارف شستا-1300-1404/01/20</t>
  </si>
  <si>
    <t>‫اختيارف شستا-1350-1403/12/08</t>
  </si>
  <si>
    <t>‫اختيارف شستا-1400-1404/02/10</t>
  </si>
  <si>
    <t>‫اختيارف شستا-1500-1404/02/10</t>
  </si>
  <si>
    <t>‫اختيارف شستا-1500-1404/03/13</t>
  </si>
  <si>
    <t>‫اختيارف شستا-1500-1404/04/11</t>
  </si>
  <si>
    <t>‫اختيارف شپنا-3521-1404/04/18</t>
  </si>
  <si>
    <t>‫اختيارف فملي-6686-1404/03/07</t>
  </si>
  <si>
    <t>‫اختيارف فولاد-3960-1404/03/13</t>
  </si>
  <si>
    <t>‫اختيارف وبصادر-600-1404/03/21</t>
  </si>
  <si>
    <t>‫اختيارف وبملت-1907-1404/01/27</t>
  </si>
  <si>
    <t>‫اختيارف وبملت-1907-1404/03/21</t>
  </si>
  <si>
    <t>‫اختيارف وبملت-2054-1404/01/27</t>
  </si>
  <si>
    <t>‫اختيارف وبملت-2347-1404/03/21</t>
  </si>
  <si>
    <t>‫اختيارف وبملت-2640-1404/03/21</t>
  </si>
  <si>
    <t>‫اختيارف وبملت-3000-1403/11/24</t>
  </si>
  <si>
    <t>‫اختيارف وتجارت-545-1404/02/17</t>
  </si>
  <si>
    <t>‫اخشان خراسان</t>
  </si>
  <si>
    <t>‫انتقال داده هاي آسياتك</t>
  </si>
  <si>
    <t>‫بانك صادرات</t>
  </si>
  <si>
    <t>‫توسعه معادن وص.معدني خاورميانه</t>
  </si>
  <si>
    <t>‫توليدي برنا باطري</t>
  </si>
  <si>
    <t>‫تولید برق دماوند</t>
  </si>
  <si>
    <t>‫دارويي و نهاده هاي زاگرس دارو</t>
  </si>
  <si>
    <t>‫ذوب آهن  اصفهان</t>
  </si>
  <si>
    <t>‫سايپا</t>
  </si>
  <si>
    <t>‫سرمايه گذاري اميد</t>
  </si>
  <si>
    <t>‫سرمايه گذاري جامي</t>
  </si>
  <si>
    <t>‫سيمان سپاهان</t>
  </si>
  <si>
    <t>‫صنايع ارتباطي آوا</t>
  </si>
  <si>
    <t>‫صنايع شيميايي كيمياگران امروز</t>
  </si>
  <si>
    <t>‫صنعتی صبانور</t>
  </si>
  <si>
    <t>‫فروشگاههاي زنجيره اي افق كوروش</t>
  </si>
  <si>
    <t>‫فولاد اميركبير</t>
  </si>
  <si>
    <t>‫فولاد خوزستان</t>
  </si>
  <si>
    <t>‫مبين انرژي خليج فارس</t>
  </si>
  <si>
    <t>‫مديريت نيروگاهي ايرانيان مپنا</t>
  </si>
  <si>
    <t>‫معادن روي</t>
  </si>
  <si>
    <t>‫نساجي بابكان</t>
  </si>
  <si>
    <t>‫گروه مالي صبا تامين</t>
  </si>
  <si>
    <t>‫گسترش خودرو</t>
  </si>
  <si>
    <t>‫درآمد ناشی از تغییر قیمت اوراق بهادار</t>
  </si>
  <si>
    <t>‫سود و زیان ناشی از تغییر قیمت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</si>
  <si>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</si>
  <si>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</si>
  <si>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</si>
  <si>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</si>
  <si>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</si>
  <si>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</si>
  <si>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‫بانك اقتصاد نوين</t>
  </si>
  <si>
    <t>‫س. نفت و گاز و پتروشيمي تامين</t>
  </si>
  <si>
    <t>‫سرمايه گذاري توسعه معادن و فلزات (هلدينگ)</t>
  </si>
  <si>
    <t>‫سرمايه گذاري صندوق بازنشستگي كشوري (هلدينگ)</t>
  </si>
  <si>
    <t>‫سرمايه گذاري غدير (هلدينگ)</t>
  </si>
  <si>
    <t>‫شركت ارتباطات سيار ايران</t>
  </si>
  <si>
    <t>‫شركت مخابرات ايران</t>
  </si>
  <si>
    <t>‫شركت پالايش نفت بندر عباس</t>
  </si>
  <si>
    <t>‫شركت گسترش نفت و گاز پارسيان</t>
  </si>
  <si>
    <t>‫فرآورده هاي غذايي و قند چهار محال</t>
  </si>
  <si>
    <t>‫فولاد مباركه اصفهان</t>
  </si>
  <si>
    <t>‫كشتيراني جمهوري اسلامي ايران</t>
  </si>
  <si>
    <t>‫معدني و صنعتي چادر ملو</t>
  </si>
  <si>
    <t>‫معدني و صنعتي گل گهر</t>
  </si>
  <si>
    <t>‫ملي صنايع مس ايران</t>
  </si>
  <si>
    <t>‫پالايش نفت اصفهان</t>
  </si>
  <si>
    <t>‫پالايش نفت تبريز</t>
  </si>
  <si>
    <t>‫پالايش نفت تهران</t>
  </si>
  <si>
    <t>‫پتروشيمي پرديس</t>
  </si>
  <si>
    <t>‫گروه مپنا</t>
  </si>
  <si>
    <t>‫بانك صادرات ايران</t>
  </si>
  <si>
    <t>‫توسعه معادن روي ايران</t>
  </si>
  <si>
    <t>‫توسعه معدني و صنعتي صبانور</t>
  </si>
  <si>
    <t>‫توليد نيروي برق دماوند</t>
  </si>
  <si>
    <t>‫ذوب آهن اصفهان</t>
  </si>
  <si>
    <t>‫فولاد اميركبير كاشان</t>
  </si>
  <si>
    <t>‫گروه مديريت سرمايه گذاري اميد</t>
  </si>
  <si>
    <t>‫گسترش سرمايه گذاري ايران خودرو</t>
  </si>
  <si>
    <t>‫نام سپرده بانکی</t>
  </si>
  <si>
    <t>‫نام سپرده</t>
  </si>
  <si>
    <t>‫سود سپرده بانکی و گواهی سپرده</t>
  </si>
  <si>
    <t>‫سپرده بانکی کوتاه مدت - پاسارگاد</t>
  </si>
  <si>
    <t>‫سپرده بانکی کوتاه مدت - گردشگري</t>
  </si>
  <si>
    <t>‫سهم آشنا</t>
  </si>
  <si>
    <t>‫تغییرات طی مرداد ماه</t>
  </si>
  <si>
    <t>از ابتدای سال مالی تا 1404/05/31</t>
  </si>
  <si>
    <t>تغییرات طی مرداد ماه</t>
  </si>
  <si>
    <t>‫2-2- درآمد حاصل از سرمایه گذاری در سپرده بانکی و گواهی سپرده:</t>
  </si>
  <si>
    <t>‫3-2- سایر درآمدها:</t>
  </si>
  <si>
    <t>‫درصد سود به کل سود سپرده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</si>
</sst>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u/>
      <sz val="18"/>
      <name val="B Nazanin"/>
      <charset val="178"/>
    </font>
    <font>
      <sz val="11"/>
      <color indexed="8"/>
      <name val="B Nazanin"/>
      <charset val="178"/>
    </font>
    <font>
      <b/>
      <u/>
      <sz val="16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2"/>
      <color indexed="8"/>
      <name val="B Nazanin"/>
      <charset val="178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37" fontId="4" fillId="0" borderId="0" xfId="0" applyNumberFormat="1" applyFont="1" applyAlignment="1">
      <alignment horizontal="right" vertical="center"/>
    </xf>
    <xf numFmtId="37" fontId="4" fillId="0" borderId="1" xfId="0" applyNumberFormat="1" applyFont="1" applyBorder="1" applyAlignment="1">
      <alignment horizontal="center" vertical="center"/>
    </xf>
    <xf numFmtId="37" fontId="4" fillId="0" borderId="1" xfId="0" applyNumberFormat="1" applyFont="1" applyBorder="1" applyAlignment="1">
      <alignment horizontal="center" vertical="center" wrapText="1"/>
    </xf>
    <xf numFmtId="37" fontId="5" fillId="0" borderId="0" xfId="0" applyNumberFormat="1" applyFont="1" applyAlignment="1">
      <alignment horizontal="center" vertical="center" wrapText="1"/>
    </xf>
    <xf numFmtId="37" fontId="5" fillId="0" borderId="0" xfId="0" applyNumberFormat="1" applyFont="1" applyAlignment="1">
      <alignment horizontal="center" vertical="center"/>
    </xf>
    <xf numFmtId="37" fontId="5" fillId="0" borderId="3" xfId="0" applyNumberFormat="1" applyFont="1" applyBorder="1" applyAlignment="1">
      <alignment horizontal="center" vertical="center"/>
    </xf>
    <xf numFmtId="37" fontId="5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37" fontId="4" fillId="0" borderId="0" xfId="0" applyNumberFormat="1" applyFont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/>
    </xf>
    <xf numFmtId="37" fontId="5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/>
    </xf>
    <xf numFmtId="37" fontId="5" fillId="0" borderId="3" xfId="0" applyNumberFormat="1" applyFont="1" applyBorder="1" applyAlignment="1">
      <alignment horizontal="right" vertical="center"/>
    </xf>
    <xf numFmtId="37" fontId="1" fillId="0" borderId="0" xfId="0" applyNumberFormat="1" applyFont="1" applyAlignment="1">
      <alignment horizontal="center" vertical="center"/>
    </xf>
    <xf numFmtId="0" fontId="2" fillId="0" borderId="0" xfId="0" applyFont="1"/>
    <xf numFmtId="37" fontId="3" fillId="0" borderId="0" xfId="0" applyNumberFormat="1" applyFont="1" applyAlignment="1">
      <alignment horizontal="center" vertical="center"/>
    </xf>
    <xf numFmtId="37" fontId="4" fillId="0" borderId="0" xfId="0" applyNumberFormat="1" applyFont="1" applyAlignment="1">
      <alignment horizontal="right" vertical="center"/>
    </xf>
    <xf numFmtId="37" fontId="4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/>
    <xf numFmtId="0" fontId="5" fillId="0" borderId="0" xfId="0" applyFont="1" applyAlignment="1">
      <alignment horizontal="right" vertical="center"/>
    </xf>
    <xf numFmtId="37" fontId="5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/>
    </xf>
    <xf numFmtId="37" fontId="5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37" fontId="5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5</xdr:col>
      <xdr:colOff>590550</xdr:colOff>
      <xdr:row>15</xdr:row>
      <xdr:rowOff>147637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0150" cy="1100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2:J24"/>
  <sheetViews>
    <sheetView rightToLeft="1" tabSelected="1" view="pageBreakPreview" zoomScale="60" zoomScaleNormal="100" workbookViewId="0">
      <selection activeCell="I7" sqref="I7:M7"/>
    </sheetView>
  </sheetViews>
  <sheetFormatPr defaultRowHeight="18" x14ac:dyDescent="0.45"/>
  <cols>
    <col min="1" max="16384" width="9.140625" style="1"/>
  </cols>
  <sheetData>
    <row r="22" spans="1:10" ht="39.950000000000003" customHeight="1" x14ac:dyDescent="0.45">
      <c r="A22" s="17" t="s">
        <v>0</v>
      </c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39.950000000000003" customHeight="1" x14ac:dyDescent="0.45">
      <c r="A23" s="17" t="s">
        <v>1</v>
      </c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39.950000000000003" customHeight="1" x14ac:dyDescent="0.45">
      <c r="A24" s="17" t="s">
        <v>2</v>
      </c>
      <c r="B24" s="18"/>
      <c r="C24" s="18"/>
      <c r="D24" s="18"/>
      <c r="E24" s="18"/>
      <c r="F24" s="18"/>
      <c r="G24" s="18"/>
      <c r="H24" s="18"/>
      <c r="I24" s="18"/>
      <c r="J24" s="18"/>
    </row>
  </sheetData>
  <mergeCells count="3">
    <mergeCell ref="A22:J22"/>
    <mergeCell ref="A23:J23"/>
    <mergeCell ref="A24:J24"/>
  </mergeCells>
  <pageMargins left="0.7" right="0.7" top="0.75" bottom="0.75" header="0.3" footer="0.3"/>
  <pageSetup paperSize="9" scale="9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55"/>
  <sheetViews>
    <sheetView rightToLeft="1" view="pageBreakPreview" topLeftCell="B4" zoomScale="60" zoomScaleNormal="100" workbookViewId="0">
      <selection activeCell="I7" sqref="I7:M7"/>
    </sheetView>
  </sheetViews>
  <sheetFormatPr defaultRowHeight="18" x14ac:dyDescent="0.45"/>
  <cols>
    <col min="1" max="1" width="22.7109375" style="15" bestFit="1" customWidth="1"/>
    <col min="2" max="2" width="1.42578125" style="1" customWidth="1"/>
    <col min="3" max="3" width="12.7109375" style="1" bestFit="1" customWidth="1"/>
    <col min="4" max="4" width="1.42578125" style="1" customWidth="1"/>
    <col min="5" max="5" width="18.28515625" style="1" bestFit="1" customWidth="1"/>
    <col min="6" max="6" width="1.42578125" style="1" customWidth="1"/>
    <col min="7" max="7" width="18" style="1" bestFit="1" customWidth="1"/>
    <col min="8" max="8" width="1.42578125" style="1" customWidth="1"/>
    <col min="9" max="9" width="9.85546875" style="1" bestFit="1" customWidth="1"/>
    <col min="10" max="10" width="17" style="1" customWidth="1"/>
    <col min="11" max="11" width="1.42578125" style="1" customWidth="1"/>
    <col min="12" max="12" width="12.7109375" style="1" bestFit="1" customWidth="1"/>
    <col min="13" max="13" width="18.28515625" style="1" bestFit="1" customWidth="1"/>
    <col min="14" max="14" width="1.42578125" style="1" customWidth="1"/>
    <col min="15" max="15" width="12.7109375" style="1" bestFit="1" customWidth="1"/>
    <col min="16" max="16" width="1.42578125" style="1" customWidth="1"/>
    <col min="17" max="17" width="14.85546875" style="1" bestFit="1" customWidth="1"/>
    <col min="18" max="18" width="1.42578125" style="1" customWidth="1"/>
    <col min="19" max="19" width="17.28515625" style="1" bestFit="1" customWidth="1"/>
    <col min="20" max="20" width="1.42578125" style="1" customWidth="1"/>
    <col min="21" max="21" width="18" style="1" bestFit="1" customWidth="1"/>
    <col min="22" max="22" width="1.42578125" style="1" customWidth="1"/>
    <col min="23" max="23" width="17.28515625" style="1" bestFit="1" customWidth="1"/>
    <col min="24" max="16384" width="9.140625" style="1"/>
  </cols>
  <sheetData>
    <row r="1" spans="1:23" ht="20.100000000000001" customHeight="1" x14ac:dyDescent="0.4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20.100000000000001" customHeight="1" x14ac:dyDescent="0.45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20.100000000000001" customHeight="1" x14ac:dyDescent="0.45">
      <c r="A3" s="19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5" spans="1:23" ht="21" x14ac:dyDescent="0.45">
      <c r="A5" s="20" t="s">
        <v>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3" ht="21" x14ac:dyDescent="0.45">
      <c r="A6" s="20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8" spans="1:23" ht="21" x14ac:dyDescent="0.45">
      <c r="C8" s="21" t="s">
        <v>5</v>
      </c>
      <c r="D8" s="22"/>
      <c r="E8" s="22"/>
      <c r="F8" s="22"/>
      <c r="G8" s="22"/>
      <c r="I8" s="21" t="s">
        <v>310</v>
      </c>
      <c r="J8" s="22"/>
      <c r="K8" s="22"/>
      <c r="L8" s="22"/>
      <c r="M8" s="22"/>
      <c r="O8" s="21" t="s">
        <v>6</v>
      </c>
      <c r="P8" s="22"/>
      <c r="Q8" s="22"/>
      <c r="R8" s="22"/>
      <c r="S8" s="22"/>
      <c r="T8" s="22"/>
      <c r="U8" s="22"/>
      <c r="V8" s="22"/>
      <c r="W8" s="22"/>
    </row>
    <row r="9" spans="1:23" ht="18.75" x14ac:dyDescent="0.45">
      <c r="A9" s="23" t="s">
        <v>7</v>
      </c>
      <c r="C9" s="25" t="s">
        <v>8</v>
      </c>
      <c r="E9" s="25" t="s">
        <v>9</v>
      </c>
      <c r="G9" s="25" t="s">
        <v>10</v>
      </c>
      <c r="I9" s="25" t="s">
        <v>11</v>
      </c>
      <c r="J9" s="18"/>
      <c r="L9" s="25" t="s">
        <v>12</v>
      </c>
      <c r="M9" s="18"/>
      <c r="O9" s="25" t="s">
        <v>8</v>
      </c>
      <c r="Q9" s="27" t="s">
        <v>13</v>
      </c>
      <c r="S9" s="25" t="s">
        <v>9</v>
      </c>
      <c r="U9" s="25" t="s">
        <v>10</v>
      </c>
      <c r="W9" s="27" t="s">
        <v>14</v>
      </c>
    </row>
    <row r="10" spans="1:23" ht="18.75" x14ac:dyDescent="0.45">
      <c r="A10" s="24"/>
      <c r="C10" s="26"/>
      <c r="E10" s="26"/>
      <c r="G10" s="26"/>
      <c r="I10" s="13" t="s">
        <v>8</v>
      </c>
      <c r="J10" s="13" t="s">
        <v>9</v>
      </c>
      <c r="L10" s="13" t="s">
        <v>8</v>
      </c>
      <c r="M10" s="13" t="s">
        <v>15</v>
      </c>
      <c r="O10" s="26"/>
      <c r="Q10" s="26"/>
      <c r="S10" s="26"/>
      <c r="U10" s="26"/>
      <c r="W10" s="26"/>
    </row>
    <row r="11" spans="1:23" ht="18.75" x14ac:dyDescent="0.45">
      <c r="A11" s="14" t="s">
        <v>25</v>
      </c>
      <c r="C11" s="6">
        <v>1000000</v>
      </c>
      <c r="E11" s="6">
        <v>4399636215</v>
      </c>
      <c r="G11" s="6">
        <v>4389724800</v>
      </c>
      <c r="I11" s="6">
        <v>0</v>
      </c>
      <c r="J11" s="6">
        <v>0</v>
      </c>
      <c r="L11" s="6">
        <v>1000000</v>
      </c>
      <c r="M11" s="6">
        <v>4146649571</v>
      </c>
    </row>
    <row r="12" spans="1:23" ht="18.75" x14ac:dyDescent="0.45">
      <c r="A12" s="14" t="s">
        <v>26</v>
      </c>
      <c r="C12" s="6">
        <v>5242039</v>
      </c>
      <c r="E12" s="6">
        <v>17597870612</v>
      </c>
      <c r="G12" s="6">
        <v>19134237043</v>
      </c>
      <c r="I12" s="6">
        <v>0</v>
      </c>
      <c r="J12" s="6">
        <v>0</v>
      </c>
      <c r="L12" s="6">
        <v>242039</v>
      </c>
      <c r="M12" s="6">
        <v>770878777</v>
      </c>
      <c r="O12" s="6">
        <v>5000000</v>
      </c>
      <c r="Q12" s="6">
        <v>3281</v>
      </c>
      <c r="S12" s="6">
        <v>16785329728</v>
      </c>
      <c r="U12" s="6">
        <v>16406795250</v>
      </c>
      <c r="W12" s="10">
        <v>2.2228522485408363E-2</v>
      </c>
    </row>
    <row r="13" spans="1:23" ht="18.75" x14ac:dyDescent="0.45">
      <c r="A13" s="14" t="s">
        <v>27</v>
      </c>
      <c r="C13" s="6">
        <v>79659591</v>
      </c>
      <c r="E13" s="6">
        <v>26481658953</v>
      </c>
      <c r="G13" s="6">
        <v>37217239724</v>
      </c>
      <c r="I13" s="6">
        <v>0</v>
      </c>
      <c r="J13" s="6">
        <v>0</v>
      </c>
      <c r="L13" s="6">
        <v>21659591</v>
      </c>
      <c r="M13" s="6">
        <v>8587556258</v>
      </c>
      <c r="O13" s="6">
        <v>58000000</v>
      </c>
      <c r="Q13" s="6">
        <v>384</v>
      </c>
      <c r="S13" s="6">
        <v>19281246614</v>
      </c>
      <c r="U13" s="6">
        <v>22024171800</v>
      </c>
      <c r="W13" s="10">
        <v>2.9839148390591198E-2</v>
      </c>
    </row>
    <row r="14" spans="1:23" ht="18.75" x14ac:dyDescent="0.45">
      <c r="A14" s="14" t="s">
        <v>28</v>
      </c>
      <c r="C14" s="6">
        <v>26466235</v>
      </c>
      <c r="E14" s="6">
        <v>8744802782</v>
      </c>
      <c r="G14" s="6">
        <v>12522970189</v>
      </c>
      <c r="I14" s="6">
        <v>0</v>
      </c>
      <c r="J14" s="6">
        <v>0</v>
      </c>
      <c r="L14" s="6">
        <v>26466235</v>
      </c>
      <c r="M14" s="6">
        <v>10889436543</v>
      </c>
    </row>
    <row r="15" spans="1:23" ht="18.75" x14ac:dyDescent="0.45">
      <c r="A15" s="14" t="s">
        <v>29</v>
      </c>
      <c r="C15" s="6">
        <v>20000000</v>
      </c>
      <c r="E15" s="6">
        <v>17890271230</v>
      </c>
      <c r="G15" s="6">
        <v>48728331000</v>
      </c>
      <c r="N15" s="9"/>
      <c r="O15" s="6">
        <v>39313066</v>
      </c>
      <c r="Q15" s="6">
        <v>1008</v>
      </c>
      <c r="S15" s="6">
        <v>17890271230</v>
      </c>
      <c r="U15" s="6">
        <v>39352707330</v>
      </c>
      <c r="W15" s="10">
        <v>5.3316478106630823E-2</v>
      </c>
    </row>
    <row r="16" spans="1:23" ht="18.75" x14ac:dyDescent="0.45">
      <c r="A16" s="14" t="s">
        <v>30</v>
      </c>
      <c r="C16" s="6">
        <v>6603333</v>
      </c>
      <c r="E16" s="6">
        <v>13662777497</v>
      </c>
      <c r="G16" s="6">
        <v>12767063963</v>
      </c>
      <c r="I16" s="6">
        <v>0</v>
      </c>
      <c r="J16" s="6">
        <v>0</v>
      </c>
      <c r="L16" s="6">
        <v>5153333</v>
      </c>
      <c r="M16" s="6">
        <v>8410374461</v>
      </c>
      <c r="O16" s="6">
        <v>1450000</v>
      </c>
      <c r="Q16" s="6">
        <v>1564</v>
      </c>
      <c r="S16" s="6">
        <v>3000155735</v>
      </c>
      <c r="U16" s="6">
        <v>2248541100</v>
      </c>
      <c r="W16" s="10">
        <v>3.0464052021807768E-3</v>
      </c>
    </row>
    <row r="17" spans="1:23" ht="18.75" x14ac:dyDescent="0.45">
      <c r="A17" s="14" t="s">
        <v>31</v>
      </c>
      <c r="C17" s="6">
        <v>30000000</v>
      </c>
      <c r="E17" s="6">
        <v>40111703839</v>
      </c>
      <c r="G17" s="6">
        <v>38767950000</v>
      </c>
      <c r="I17" s="6">
        <v>0</v>
      </c>
      <c r="J17" s="6">
        <v>0</v>
      </c>
      <c r="L17" s="6">
        <v>14000000</v>
      </c>
      <c r="M17" s="6">
        <v>17051986481</v>
      </c>
      <c r="O17" s="6">
        <v>16000000</v>
      </c>
      <c r="Q17" s="6">
        <v>1098</v>
      </c>
      <c r="S17" s="6">
        <v>21392908714</v>
      </c>
      <c r="U17" s="6">
        <v>17479375200</v>
      </c>
      <c r="W17" s="10">
        <v>2.3681692783000342E-2</v>
      </c>
    </row>
    <row r="18" spans="1:23" ht="18.75" x14ac:dyDescent="0.45">
      <c r="A18" s="14" t="s">
        <v>32</v>
      </c>
      <c r="C18" s="6">
        <v>500000</v>
      </c>
      <c r="E18" s="6">
        <v>12833873485</v>
      </c>
      <c r="G18" s="6">
        <v>13936581000</v>
      </c>
      <c r="I18" s="6">
        <v>0</v>
      </c>
      <c r="J18" s="6">
        <v>0</v>
      </c>
      <c r="L18" s="6">
        <v>150000</v>
      </c>
      <c r="M18" s="6">
        <v>3823116323</v>
      </c>
      <c r="O18" s="6">
        <v>350000</v>
      </c>
      <c r="Q18" s="6">
        <v>24800</v>
      </c>
      <c r="S18" s="6">
        <v>8983711439</v>
      </c>
      <c r="U18" s="6">
        <v>8729250075</v>
      </c>
      <c r="W18" s="10">
        <v>1.1826705253293763E-2</v>
      </c>
    </row>
    <row r="19" spans="1:23" ht="18.75" x14ac:dyDescent="0.45">
      <c r="A19" s="14" t="s">
        <v>33</v>
      </c>
      <c r="C19" s="6">
        <v>1288004</v>
      </c>
      <c r="E19" s="6">
        <v>14045283146</v>
      </c>
      <c r="G19" s="6">
        <v>14429436040</v>
      </c>
      <c r="N19" s="9"/>
      <c r="O19" s="6">
        <v>1288004</v>
      </c>
      <c r="Q19" s="6">
        <v>10320</v>
      </c>
      <c r="S19" s="6">
        <v>14045283146</v>
      </c>
      <c r="U19" s="6">
        <v>13225916086</v>
      </c>
      <c r="W19" s="10">
        <v>1.791895178967234E-2</v>
      </c>
    </row>
    <row r="20" spans="1:23" ht="18.75" x14ac:dyDescent="0.45">
      <c r="A20" s="14" t="s">
        <v>34</v>
      </c>
      <c r="C20" s="6">
        <v>4400000</v>
      </c>
      <c r="E20" s="6">
        <v>35677020520</v>
      </c>
      <c r="G20" s="6">
        <v>42032410200</v>
      </c>
      <c r="I20" s="6">
        <v>0</v>
      </c>
      <c r="J20" s="6">
        <v>0</v>
      </c>
      <c r="L20" s="6">
        <v>1200000</v>
      </c>
      <c r="M20" s="6">
        <v>9932547737</v>
      </c>
      <c r="O20" s="6">
        <v>3200000</v>
      </c>
      <c r="Q20" s="6">
        <v>7950</v>
      </c>
      <c r="S20" s="6">
        <v>25946924014</v>
      </c>
      <c r="U20" s="6">
        <v>24906916800</v>
      </c>
      <c r="W20" s="10">
        <v>3.3744796085694757E-2</v>
      </c>
    </row>
    <row r="21" spans="1:23" ht="18.75" x14ac:dyDescent="0.45">
      <c r="A21" s="14" t="s">
        <v>35</v>
      </c>
      <c r="C21" s="6">
        <v>750000</v>
      </c>
      <c r="E21" s="6">
        <v>2327157600</v>
      </c>
      <c r="G21" s="6">
        <v>2730903862</v>
      </c>
      <c r="N21" s="9"/>
      <c r="O21" s="6">
        <v>750000</v>
      </c>
      <c r="Q21" s="6">
        <v>3096</v>
      </c>
      <c r="S21" s="6">
        <v>2327157600</v>
      </c>
      <c r="U21" s="6">
        <v>2299237650</v>
      </c>
      <c r="W21" s="10">
        <v>3.1150907306119083E-3</v>
      </c>
    </row>
    <row r="22" spans="1:23" ht="18.75" x14ac:dyDescent="0.45">
      <c r="A22" s="14" t="s">
        <v>36</v>
      </c>
      <c r="C22" s="6">
        <v>3250000</v>
      </c>
      <c r="E22" s="6">
        <v>3903619200</v>
      </c>
      <c r="G22" s="6">
        <v>3889717650</v>
      </c>
      <c r="N22" s="9"/>
      <c r="O22" s="6">
        <v>3250000</v>
      </c>
      <c r="Q22" s="6">
        <v>1094</v>
      </c>
      <c r="S22" s="6">
        <v>3903619200</v>
      </c>
      <c r="U22" s="6">
        <v>3537575437</v>
      </c>
      <c r="W22" s="10">
        <v>4.7928357699949242E-3</v>
      </c>
    </row>
    <row r="23" spans="1:23" ht="18.75" x14ac:dyDescent="0.45">
      <c r="A23" s="14" t="s">
        <v>37</v>
      </c>
      <c r="C23" s="6">
        <v>2000000</v>
      </c>
      <c r="E23" s="6">
        <v>19533230776</v>
      </c>
      <c r="G23" s="6">
        <v>19105641000</v>
      </c>
      <c r="I23" s="6">
        <v>500000</v>
      </c>
      <c r="J23" s="6">
        <v>3638373248</v>
      </c>
      <c r="L23" s="6">
        <v>0</v>
      </c>
      <c r="M23" s="6">
        <v>0</v>
      </c>
      <c r="O23" s="6">
        <v>2500000</v>
      </c>
      <c r="Q23" s="6">
        <v>7390</v>
      </c>
      <c r="S23" s="6">
        <v>23171604024</v>
      </c>
      <c r="U23" s="6">
        <v>18539032500</v>
      </c>
      <c r="W23" s="10">
        <v>2.511735500471772E-2</v>
      </c>
    </row>
    <row r="24" spans="1:23" ht="18.75" x14ac:dyDescent="0.45">
      <c r="A24" s="14" t="s">
        <v>38</v>
      </c>
      <c r="C24" s="6">
        <v>1875000</v>
      </c>
      <c r="E24" s="6">
        <v>6098945898</v>
      </c>
      <c r="G24" s="6">
        <v>6504814687</v>
      </c>
      <c r="N24" s="9"/>
      <c r="O24" s="6">
        <v>1875000</v>
      </c>
      <c r="Q24" s="6">
        <v>3268</v>
      </c>
      <c r="S24" s="6">
        <v>6098945898</v>
      </c>
      <c r="U24" s="6">
        <v>6038853750</v>
      </c>
      <c r="W24" s="10">
        <v>8.1816585337083185E-3</v>
      </c>
    </row>
    <row r="25" spans="1:23" ht="18.75" x14ac:dyDescent="0.45">
      <c r="A25" s="14" t="s">
        <v>39</v>
      </c>
      <c r="C25" s="6">
        <v>10000000</v>
      </c>
      <c r="E25" s="6">
        <v>48734682997</v>
      </c>
      <c r="G25" s="6">
        <v>75348990000</v>
      </c>
      <c r="I25" s="6">
        <v>0</v>
      </c>
      <c r="J25" s="6">
        <v>0</v>
      </c>
      <c r="L25" s="6">
        <v>900000</v>
      </c>
      <c r="M25" s="6">
        <v>6218776887</v>
      </c>
      <c r="O25" s="6">
        <v>9100000</v>
      </c>
      <c r="Q25" s="6">
        <v>6800</v>
      </c>
      <c r="S25" s="6">
        <v>44348561527</v>
      </c>
      <c r="U25" s="6">
        <v>61240438350</v>
      </c>
      <c r="W25" s="10">
        <v>8.2970771569739657E-2</v>
      </c>
    </row>
    <row r="26" spans="1:23" ht="18.75" x14ac:dyDescent="0.45">
      <c r="A26" s="14" t="s">
        <v>40</v>
      </c>
      <c r="C26" s="6">
        <v>650000</v>
      </c>
      <c r="E26" s="6">
        <v>12030071874</v>
      </c>
      <c r="G26" s="6">
        <v>12987263250</v>
      </c>
      <c r="I26" s="6">
        <v>0</v>
      </c>
      <c r="J26" s="6">
        <v>0</v>
      </c>
      <c r="L26" s="6">
        <v>200000</v>
      </c>
      <c r="M26" s="6">
        <v>3123305112</v>
      </c>
      <c r="O26" s="6">
        <v>450000</v>
      </c>
      <c r="Q26" s="6">
        <v>14260</v>
      </c>
      <c r="S26" s="6">
        <v>8328511297</v>
      </c>
      <c r="U26" s="6">
        <v>6316193700</v>
      </c>
      <c r="W26" s="10">
        <v>8.5574087774786273E-3</v>
      </c>
    </row>
    <row r="27" spans="1:23" ht="18.75" x14ac:dyDescent="0.45">
      <c r="A27" s="14" t="s">
        <v>41</v>
      </c>
      <c r="C27" s="6">
        <v>18000000</v>
      </c>
      <c r="E27" s="6">
        <v>59837986567</v>
      </c>
      <c r="G27" s="6">
        <v>56058455700</v>
      </c>
      <c r="I27" s="6">
        <v>0</v>
      </c>
      <c r="J27" s="6">
        <v>0</v>
      </c>
      <c r="L27" s="6">
        <v>3600000</v>
      </c>
      <c r="M27" s="6">
        <v>8848962363</v>
      </c>
      <c r="O27" s="6">
        <v>14400000</v>
      </c>
      <c r="Q27" s="6">
        <v>2146</v>
      </c>
      <c r="S27" s="6">
        <v>47870389253</v>
      </c>
      <c r="U27" s="6">
        <v>30489501600</v>
      </c>
      <c r="W27" s="10">
        <v>4.1308284863522893E-2</v>
      </c>
    </row>
    <row r="28" spans="1:23" ht="18.75" x14ac:dyDescent="0.45">
      <c r="A28" s="14" t="s">
        <v>42</v>
      </c>
      <c r="C28" s="6">
        <v>1800000</v>
      </c>
      <c r="E28" s="6">
        <v>7757852041</v>
      </c>
      <c r="G28" s="6">
        <v>5868871200</v>
      </c>
      <c r="I28" s="6">
        <v>0</v>
      </c>
      <c r="J28" s="6">
        <v>0</v>
      </c>
      <c r="L28" s="6">
        <v>1800000</v>
      </c>
      <c r="M28" s="6">
        <v>5444809517</v>
      </c>
    </row>
    <row r="29" spans="1:23" ht="18.75" x14ac:dyDescent="0.45">
      <c r="A29" s="14" t="s">
        <v>43</v>
      </c>
      <c r="C29" s="6">
        <v>1200000</v>
      </c>
      <c r="E29" s="6">
        <v>7920501074</v>
      </c>
      <c r="G29" s="6">
        <v>8707878000</v>
      </c>
      <c r="I29" s="6">
        <v>0</v>
      </c>
      <c r="J29" s="6">
        <v>0</v>
      </c>
      <c r="L29" s="6">
        <v>1200000</v>
      </c>
      <c r="M29" s="6">
        <v>7407660636</v>
      </c>
    </row>
    <row r="30" spans="1:23" ht="18.75" x14ac:dyDescent="0.45">
      <c r="A30" s="14" t="s">
        <v>44</v>
      </c>
      <c r="C30" s="6">
        <v>14000000</v>
      </c>
      <c r="E30" s="6">
        <v>7253339611</v>
      </c>
      <c r="G30" s="6">
        <v>7584601500</v>
      </c>
      <c r="I30" s="6">
        <v>0</v>
      </c>
      <c r="J30" s="6">
        <v>0</v>
      </c>
      <c r="L30" s="6">
        <v>14000000</v>
      </c>
      <c r="M30" s="6">
        <v>6401682053</v>
      </c>
    </row>
    <row r="31" spans="1:23" ht="18.75" x14ac:dyDescent="0.45">
      <c r="A31" s="14" t="s">
        <v>45</v>
      </c>
      <c r="C31" s="6">
        <v>175000</v>
      </c>
      <c r="E31" s="6">
        <v>7181514900</v>
      </c>
      <c r="G31" s="6">
        <v>8036894250</v>
      </c>
      <c r="N31" s="9"/>
      <c r="O31" s="6">
        <v>175000</v>
      </c>
      <c r="Q31" s="6">
        <v>40800</v>
      </c>
      <c r="S31" s="6">
        <v>7181514900</v>
      </c>
      <c r="U31" s="6">
        <v>7045329375</v>
      </c>
      <c r="W31" s="10">
        <v>9.5452682893263727E-3</v>
      </c>
    </row>
    <row r="32" spans="1:23" ht="18.75" x14ac:dyDescent="0.45">
      <c r="A32" s="14" t="s">
        <v>46</v>
      </c>
      <c r="C32" s="6">
        <v>12000000</v>
      </c>
      <c r="E32" s="6">
        <v>48760441909</v>
      </c>
      <c r="G32" s="6">
        <v>80637336000</v>
      </c>
      <c r="I32" s="6">
        <v>0</v>
      </c>
      <c r="J32" s="6">
        <v>0</v>
      </c>
      <c r="L32" s="6">
        <v>1000000</v>
      </c>
      <c r="M32" s="6">
        <v>5574632612</v>
      </c>
      <c r="O32" s="6">
        <v>11000000</v>
      </c>
      <c r="Q32" s="6">
        <v>5440</v>
      </c>
      <c r="S32" s="6">
        <v>44697071750</v>
      </c>
      <c r="U32" s="6">
        <v>59593297500</v>
      </c>
      <c r="W32" s="10">
        <v>8.0739165283261527E-2</v>
      </c>
    </row>
    <row r="33" spans="1:23" ht="18.75" x14ac:dyDescent="0.45">
      <c r="A33" s="14" t="s">
        <v>47</v>
      </c>
      <c r="C33" s="6">
        <v>1164500</v>
      </c>
      <c r="E33" s="6">
        <v>16528576490</v>
      </c>
      <c r="G33" s="6">
        <v>16182845725</v>
      </c>
      <c r="I33" s="6">
        <v>0</v>
      </c>
      <c r="J33" s="6">
        <v>0</v>
      </c>
      <c r="L33" s="6">
        <v>364500</v>
      </c>
      <c r="M33" s="6">
        <v>4769154935</v>
      </c>
      <c r="O33" s="6">
        <v>800000</v>
      </c>
      <c r="Q33" s="6">
        <v>11930</v>
      </c>
      <c r="S33" s="6">
        <v>11354968821</v>
      </c>
      <c r="U33" s="6">
        <v>9487213200</v>
      </c>
      <c r="W33" s="10">
        <v>1.2853621242092543E-2</v>
      </c>
    </row>
    <row r="34" spans="1:23" ht="18.75" x14ac:dyDescent="0.45">
      <c r="A34" s="14" t="s">
        <v>48</v>
      </c>
      <c r="C34" s="6">
        <v>9250000</v>
      </c>
      <c r="E34" s="6">
        <v>24114875525</v>
      </c>
      <c r="G34" s="6">
        <v>31649060925</v>
      </c>
      <c r="I34" s="6">
        <v>0</v>
      </c>
      <c r="J34" s="6">
        <v>0</v>
      </c>
      <c r="L34" s="6">
        <v>1400000</v>
      </c>
      <c r="M34" s="6">
        <v>4362023689</v>
      </c>
      <c r="O34" s="6">
        <v>7850000</v>
      </c>
      <c r="Q34" s="6">
        <v>3130</v>
      </c>
      <c r="S34" s="6">
        <v>20465056527</v>
      </c>
      <c r="U34" s="6">
        <v>24237026505</v>
      </c>
      <c r="W34" s="10">
        <v>3.2837204367856726E-2</v>
      </c>
    </row>
    <row r="35" spans="1:23" ht="18.75" x14ac:dyDescent="0.45">
      <c r="A35" s="14" t="s">
        <v>49</v>
      </c>
      <c r="C35" s="6">
        <v>1500000</v>
      </c>
      <c r="E35" s="6">
        <v>15412896106</v>
      </c>
      <c r="G35" s="6">
        <v>15894859500</v>
      </c>
      <c r="I35" s="6">
        <v>0</v>
      </c>
      <c r="J35" s="6">
        <v>0</v>
      </c>
      <c r="L35" s="6">
        <v>100000</v>
      </c>
      <c r="M35" s="6">
        <v>1065621606</v>
      </c>
      <c r="O35" s="6">
        <v>1400000</v>
      </c>
      <c r="Q35" s="6">
        <v>9250</v>
      </c>
      <c r="S35" s="6">
        <v>14385369699</v>
      </c>
      <c r="U35" s="6">
        <v>12789447300</v>
      </c>
      <c r="W35" s="10">
        <v>1.7327608015587033E-2</v>
      </c>
    </row>
    <row r="36" spans="1:23" ht="18.75" x14ac:dyDescent="0.45">
      <c r="A36" s="14" t="s">
        <v>50</v>
      </c>
      <c r="C36" s="6">
        <v>400000</v>
      </c>
      <c r="E36" s="6">
        <v>6776045113</v>
      </c>
      <c r="G36" s="6">
        <v>6008038200</v>
      </c>
      <c r="I36" s="6">
        <v>0</v>
      </c>
      <c r="J36" s="6">
        <v>0</v>
      </c>
      <c r="L36" s="6">
        <v>400000</v>
      </c>
      <c r="M36" s="6">
        <v>5118865042</v>
      </c>
    </row>
    <row r="37" spans="1:23" ht="18.75" x14ac:dyDescent="0.45">
      <c r="A37" s="14" t="s">
        <v>51</v>
      </c>
      <c r="C37" s="6">
        <v>650000</v>
      </c>
      <c r="E37" s="6">
        <v>10326401749</v>
      </c>
      <c r="G37" s="6">
        <v>11727304875</v>
      </c>
      <c r="I37" s="6">
        <v>0</v>
      </c>
      <c r="J37" s="6">
        <v>0</v>
      </c>
      <c r="L37" s="6">
        <v>50000</v>
      </c>
      <c r="M37" s="6">
        <v>832086211</v>
      </c>
      <c r="O37" s="6">
        <v>600000</v>
      </c>
      <c r="Q37" s="6">
        <v>16380</v>
      </c>
      <c r="S37" s="6">
        <v>9532063153</v>
      </c>
      <c r="U37" s="6">
        <v>9775487700</v>
      </c>
      <c r="W37" s="10">
        <v>1.3244186011602899E-2</v>
      </c>
    </row>
    <row r="38" spans="1:23" ht="18.75" x14ac:dyDescent="0.45">
      <c r="A38" s="14" t="s">
        <v>52</v>
      </c>
      <c r="C38" s="6">
        <v>6485981</v>
      </c>
      <c r="E38" s="6">
        <v>12347277052</v>
      </c>
      <c r="G38" s="6">
        <v>15995973134</v>
      </c>
      <c r="I38" s="6">
        <v>0</v>
      </c>
      <c r="J38" s="6">
        <v>0</v>
      </c>
      <c r="L38" s="6">
        <v>1385981</v>
      </c>
      <c r="M38" s="6">
        <v>3072424933</v>
      </c>
      <c r="O38" s="6">
        <v>5100000</v>
      </c>
      <c r="Q38" s="6">
        <v>1987</v>
      </c>
      <c r="S38" s="6">
        <v>9708803181</v>
      </c>
      <c r="U38" s="6">
        <v>10012568625</v>
      </c>
      <c r="W38" s="10">
        <v>1.3565391865148485E-2</v>
      </c>
    </row>
    <row r="39" spans="1:23" ht="18.75" x14ac:dyDescent="0.45">
      <c r="A39" s="14" t="s">
        <v>53</v>
      </c>
      <c r="C39" s="6">
        <v>400000</v>
      </c>
      <c r="E39" s="6">
        <v>14045770018</v>
      </c>
      <c r="G39" s="6">
        <v>21892957200</v>
      </c>
      <c r="I39" s="6">
        <v>0</v>
      </c>
      <c r="J39" s="6">
        <v>0</v>
      </c>
      <c r="L39" s="6">
        <v>50000</v>
      </c>
      <c r="M39" s="6">
        <v>2407092107</v>
      </c>
      <c r="O39" s="6">
        <v>350000</v>
      </c>
      <c r="Q39" s="6">
        <v>50360</v>
      </c>
      <c r="S39" s="6">
        <v>12290048766</v>
      </c>
      <c r="U39" s="6">
        <v>17423708400</v>
      </c>
      <c r="W39" s="10">
        <v>2.3606273379232826E-2</v>
      </c>
    </row>
    <row r="40" spans="1:23" ht="18.75" x14ac:dyDescent="0.45">
      <c r="A40" s="14" t="s">
        <v>54</v>
      </c>
      <c r="C40" s="6">
        <v>4300000</v>
      </c>
      <c r="E40" s="6">
        <v>19240919913</v>
      </c>
      <c r="G40" s="6">
        <v>18200459070</v>
      </c>
      <c r="I40" s="6">
        <v>0</v>
      </c>
      <c r="J40" s="6">
        <v>0</v>
      </c>
      <c r="L40" s="6">
        <v>400000</v>
      </c>
      <c r="M40" s="6">
        <v>1641680836</v>
      </c>
      <c r="O40" s="6">
        <v>3900000</v>
      </c>
      <c r="Q40" s="6">
        <v>3742</v>
      </c>
      <c r="S40" s="6">
        <v>17451066898</v>
      </c>
      <c r="U40" s="6">
        <v>14549611635</v>
      </c>
      <c r="W40" s="10">
        <v>1.9712342627214576E-2</v>
      </c>
    </row>
    <row r="41" spans="1:23" ht="18.75" x14ac:dyDescent="0.45">
      <c r="A41" s="14" t="s">
        <v>55</v>
      </c>
      <c r="C41" s="6">
        <v>220000</v>
      </c>
      <c r="E41" s="6">
        <v>13591734748</v>
      </c>
      <c r="G41" s="6">
        <v>13370330358</v>
      </c>
      <c r="I41" s="6">
        <v>0</v>
      </c>
      <c r="J41" s="6">
        <v>0</v>
      </c>
      <c r="L41" s="6">
        <v>220000</v>
      </c>
      <c r="M41" s="6">
        <v>11235783065</v>
      </c>
    </row>
    <row r="42" spans="1:23" ht="18.75" x14ac:dyDescent="0.45">
      <c r="A42" s="14" t="s">
        <v>56</v>
      </c>
      <c r="C42" s="6">
        <v>227029</v>
      </c>
      <c r="E42" s="6">
        <v>9721636580</v>
      </c>
      <c r="G42" s="6">
        <v>11342585199</v>
      </c>
      <c r="I42" s="6">
        <v>0</v>
      </c>
      <c r="J42" s="6">
        <v>0</v>
      </c>
      <c r="L42" s="6">
        <v>27029</v>
      </c>
      <c r="M42" s="6">
        <v>1164181208</v>
      </c>
      <c r="O42" s="6">
        <v>200000</v>
      </c>
      <c r="Q42" s="6">
        <v>38780</v>
      </c>
      <c r="S42" s="6">
        <v>8564224465</v>
      </c>
      <c r="U42" s="6">
        <v>7624363500</v>
      </c>
      <c r="W42" s="10">
        <v>1.0329764766015277E-2</v>
      </c>
    </row>
    <row r="43" spans="1:23" ht="18.75" x14ac:dyDescent="0.45">
      <c r="A43" s="14" t="s">
        <v>57</v>
      </c>
      <c r="C43" s="6">
        <v>500000</v>
      </c>
      <c r="E43" s="6">
        <v>17597315150</v>
      </c>
      <c r="G43" s="6">
        <v>17018136000</v>
      </c>
      <c r="I43" s="6">
        <v>100000</v>
      </c>
      <c r="J43" s="6">
        <v>2822616954</v>
      </c>
      <c r="L43" s="6">
        <v>0</v>
      </c>
      <c r="M43" s="6">
        <v>0</v>
      </c>
      <c r="O43" s="6">
        <v>600000</v>
      </c>
      <c r="Q43" s="6">
        <v>27920</v>
      </c>
      <c r="S43" s="6">
        <v>20419932104</v>
      </c>
      <c r="U43" s="6">
        <v>16652325600</v>
      </c>
      <c r="W43" s="10">
        <v>2.2561175927025806E-2</v>
      </c>
    </row>
    <row r="44" spans="1:23" ht="18.75" x14ac:dyDescent="0.45">
      <c r="A44" s="14" t="s">
        <v>58</v>
      </c>
      <c r="C44" s="6">
        <v>770001</v>
      </c>
      <c r="E44" s="6">
        <v>20141656229</v>
      </c>
      <c r="G44" s="6">
        <v>34727082445</v>
      </c>
      <c r="I44" s="6">
        <v>0</v>
      </c>
      <c r="J44" s="6">
        <v>0</v>
      </c>
      <c r="L44" s="6">
        <v>120000</v>
      </c>
      <c r="M44" s="6">
        <v>4946989262</v>
      </c>
      <c r="O44" s="6">
        <v>650001</v>
      </c>
      <c r="Q44" s="6">
        <v>35880</v>
      </c>
      <c r="S44" s="6">
        <v>17002700893</v>
      </c>
      <c r="U44" s="6">
        <v>23170347097</v>
      </c>
      <c r="W44" s="10">
        <v>3.139202833901282E-2</v>
      </c>
    </row>
    <row r="45" spans="1:23" ht="18.75" x14ac:dyDescent="0.45">
      <c r="A45" s="14" t="s">
        <v>59</v>
      </c>
      <c r="C45" s="6">
        <v>5400000</v>
      </c>
      <c r="E45" s="6">
        <v>14926400244</v>
      </c>
      <c r="G45" s="6">
        <v>19163295900</v>
      </c>
      <c r="I45" s="6">
        <v>0</v>
      </c>
      <c r="J45" s="6">
        <v>0</v>
      </c>
      <c r="L45" s="6">
        <v>2400000</v>
      </c>
      <c r="M45" s="6">
        <v>7208005595</v>
      </c>
      <c r="O45" s="6">
        <v>3000000</v>
      </c>
      <c r="Q45" s="6">
        <v>2529</v>
      </c>
      <c r="S45" s="6">
        <v>8292444580</v>
      </c>
      <c r="U45" s="6">
        <v>7518000150</v>
      </c>
      <c r="W45" s="10">
        <v>1.0185659833816628E-2</v>
      </c>
    </row>
    <row r="46" spans="1:23" ht="18.75" x14ac:dyDescent="0.45">
      <c r="A46" s="14" t="s">
        <v>60</v>
      </c>
      <c r="C46" s="6">
        <v>120000</v>
      </c>
      <c r="E46" s="6">
        <v>18239142954</v>
      </c>
      <c r="G46" s="6">
        <v>32010398100</v>
      </c>
      <c r="N46" s="9"/>
      <c r="O46" s="6">
        <v>120000</v>
      </c>
      <c r="Q46" s="6">
        <v>269070</v>
      </c>
      <c r="S46" s="6">
        <v>18239142954</v>
      </c>
      <c r="U46" s="6">
        <v>31994890920</v>
      </c>
      <c r="W46" s="10">
        <v>4.3347841025407313E-2</v>
      </c>
    </row>
    <row r="47" spans="1:23" ht="18.75" x14ac:dyDescent="0.45">
      <c r="A47" s="14" t="s">
        <v>61</v>
      </c>
      <c r="C47" s="6">
        <v>1600000</v>
      </c>
      <c r="E47" s="6">
        <v>24070131004</v>
      </c>
      <c r="G47" s="6">
        <v>26274729600</v>
      </c>
      <c r="I47" s="6">
        <v>0</v>
      </c>
      <c r="J47" s="6">
        <v>0</v>
      </c>
      <c r="L47" s="6">
        <v>500000</v>
      </c>
      <c r="M47" s="6">
        <v>7472959694</v>
      </c>
      <c r="O47" s="6">
        <v>1100000</v>
      </c>
      <c r="Q47" s="6">
        <v>14570</v>
      </c>
      <c r="S47" s="6">
        <v>16548215065</v>
      </c>
      <c r="U47" s="6">
        <v>15767621100</v>
      </c>
      <c r="W47" s="10">
        <v>2.1362546117149196E-2</v>
      </c>
    </row>
    <row r="48" spans="1:23" ht="18.75" x14ac:dyDescent="0.45">
      <c r="A48" s="14" t="s">
        <v>62</v>
      </c>
      <c r="C48" s="6">
        <v>4517187</v>
      </c>
      <c r="E48" s="6">
        <v>10947286168</v>
      </c>
      <c r="G48" s="6">
        <v>11445799521</v>
      </c>
      <c r="I48" s="6">
        <v>0</v>
      </c>
      <c r="J48" s="6">
        <v>0</v>
      </c>
      <c r="L48" s="6">
        <v>4500000</v>
      </c>
      <c r="M48" s="6">
        <v>10630470503</v>
      </c>
      <c r="O48" s="6">
        <v>17187</v>
      </c>
      <c r="Q48" s="6">
        <v>2252</v>
      </c>
      <c r="S48" s="6">
        <v>41652251</v>
      </c>
      <c r="U48" s="6">
        <v>38474829</v>
      </c>
      <c r="W48" s="10">
        <v>5.2127096639957265E-5</v>
      </c>
    </row>
    <row r="49" spans="1:23" ht="18.75" x14ac:dyDescent="0.45">
      <c r="A49" s="14" t="s">
        <v>63</v>
      </c>
      <c r="C49" s="6">
        <v>2000000</v>
      </c>
      <c r="E49" s="6">
        <v>10526832667</v>
      </c>
      <c r="G49" s="6">
        <v>12377910600</v>
      </c>
      <c r="N49" s="9"/>
      <c r="O49" s="6">
        <v>2000000</v>
      </c>
      <c r="Q49" s="6">
        <v>5870</v>
      </c>
      <c r="S49" s="6">
        <v>10526832667</v>
      </c>
      <c r="U49" s="6">
        <v>11690028000</v>
      </c>
      <c r="W49" s="10">
        <v>1.5838074791178575E-2</v>
      </c>
    </row>
    <row r="50" spans="1:23" ht="18.75" x14ac:dyDescent="0.45">
      <c r="A50" s="14" t="s">
        <v>64</v>
      </c>
      <c r="C50" s="6">
        <v>100000</v>
      </c>
      <c r="E50" s="6">
        <v>2552366400</v>
      </c>
      <c r="G50" s="6">
        <v>3563669250</v>
      </c>
      <c r="N50" s="9"/>
      <c r="O50" s="6">
        <v>100000</v>
      </c>
      <c r="Q50" s="6">
        <v>31550</v>
      </c>
      <c r="S50" s="6">
        <v>2552366400</v>
      </c>
      <c r="U50" s="6">
        <v>3146168250</v>
      </c>
      <c r="W50" s="10">
        <v>4.2625430879319887E-3</v>
      </c>
    </row>
    <row r="51" spans="1:23" ht="18.75" x14ac:dyDescent="0.45">
      <c r="A51" s="14" t="s">
        <v>65</v>
      </c>
      <c r="C51" s="6">
        <v>700000</v>
      </c>
      <c r="E51" s="6">
        <v>30972642457</v>
      </c>
      <c r="G51" s="6">
        <v>33086954250</v>
      </c>
      <c r="I51" s="6">
        <v>300000</v>
      </c>
      <c r="J51" s="6">
        <v>14549448810</v>
      </c>
      <c r="L51" s="6">
        <v>300000</v>
      </c>
      <c r="M51" s="6">
        <v>15818046726</v>
      </c>
      <c r="O51" s="6">
        <v>700000</v>
      </c>
      <c r="Q51" s="6">
        <v>58250</v>
      </c>
      <c r="S51" s="6">
        <v>31964666269</v>
      </c>
      <c r="U51" s="6">
        <v>40741139250</v>
      </c>
      <c r="W51" s="10">
        <v>5.5197576132351517E-2</v>
      </c>
    </row>
    <row r="52" spans="1:23" ht="18.75" x14ac:dyDescent="0.45">
      <c r="A52" s="14" t="s">
        <v>66</v>
      </c>
      <c r="C52" s="6">
        <v>5802960</v>
      </c>
      <c r="E52" s="6">
        <v>17199552966</v>
      </c>
      <c r="G52" s="6">
        <v>12032949961</v>
      </c>
      <c r="N52" s="9"/>
      <c r="O52" s="6">
        <v>5802960</v>
      </c>
      <c r="Q52" s="6">
        <v>1880</v>
      </c>
      <c r="S52" s="6">
        <v>17199552966</v>
      </c>
      <c r="U52" s="6">
        <v>10723515809</v>
      </c>
      <c r="W52" s="10">
        <v>1.4528608948355625E-2</v>
      </c>
    </row>
    <row r="53" spans="1:23" ht="18.75" x14ac:dyDescent="0.45">
      <c r="A53" s="14" t="s">
        <v>67</v>
      </c>
      <c r="C53" s="6">
        <v>5200000</v>
      </c>
      <c r="E53" s="6">
        <v>11219748116</v>
      </c>
      <c r="G53" s="6">
        <v>10152033840</v>
      </c>
      <c r="I53" s="6">
        <v>0</v>
      </c>
      <c r="J53" s="6">
        <v>0</v>
      </c>
      <c r="L53" s="6">
        <v>3400000</v>
      </c>
      <c r="M53" s="6">
        <v>5970944648</v>
      </c>
      <c r="O53" s="6">
        <v>1800000</v>
      </c>
      <c r="Q53" s="6">
        <v>1678</v>
      </c>
      <c r="S53" s="6">
        <v>3883758963</v>
      </c>
      <c r="U53" s="6">
        <v>2970221400</v>
      </c>
      <c r="W53" s="10">
        <v>4.0241639010239437E-3</v>
      </c>
    </row>
    <row r="54" spans="1:23" ht="18.75" x14ac:dyDescent="0.45">
      <c r="A54" s="16" t="s">
        <v>68</v>
      </c>
      <c r="C54" s="6"/>
      <c r="E54" s="7">
        <f>SUM(E11:$E$53)</f>
        <v>743283450375</v>
      </c>
      <c r="G54" s="7">
        <f>SUM(G11:$G$53)</f>
        <v>905504684711</v>
      </c>
      <c r="I54" s="6"/>
      <c r="J54" s="7">
        <f>SUM(J11:$J$53)</f>
        <v>21010439012</v>
      </c>
      <c r="L54" s="6"/>
      <c r="M54" s="7">
        <f>SUM(M11:$M$53)</f>
        <v>194348705391</v>
      </c>
      <c r="O54" s="6"/>
      <c r="Q54" s="29"/>
      <c r="S54" s="7">
        <f>SUM(S11:$S$53)</f>
        <v>565676072691</v>
      </c>
      <c r="U54" s="7">
        <f>SUM(U11:$U$53)</f>
        <v>609785292773</v>
      </c>
      <c r="W54" s="11">
        <f>SUM(W11:$W$53)</f>
        <v>0.82615927639347797</v>
      </c>
    </row>
    <row r="55" spans="1:23" ht="18.75" x14ac:dyDescent="0.45">
      <c r="C55" s="6"/>
      <c r="E55" s="8"/>
      <c r="G55" s="8"/>
      <c r="I55" s="6"/>
      <c r="J55" s="8"/>
      <c r="L55" s="6"/>
      <c r="M55" s="8"/>
      <c r="O55" s="6"/>
      <c r="Q55" s="29"/>
      <c r="S55" s="8"/>
      <c r="U55" s="8"/>
      <c r="W55" s="8"/>
    </row>
  </sheetData>
  <mergeCells count="19"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</mergeCells>
  <pageMargins left="0.17" right="0.17" top="0.39" bottom="0.33" header="0.3" footer="0.3"/>
  <pageSetup paperSize="9"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3"/>
  <sheetViews>
    <sheetView rightToLeft="1" view="pageBreakPreview" zoomScaleNormal="100" zoomScaleSheetLayoutView="100" workbookViewId="0">
      <selection activeCell="I7" sqref="I7:M7"/>
    </sheetView>
  </sheetViews>
  <sheetFormatPr defaultRowHeight="18" x14ac:dyDescent="0.45"/>
  <cols>
    <col min="1" max="1" width="24.42578125" style="1" bestFit="1" customWidth="1"/>
    <col min="2" max="2" width="1.42578125" style="1" customWidth="1"/>
    <col min="3" max="3" width="20.85546875" style="1" bestFit="1" customWidth="1"/>
    <col min="4" max="4" width="1.42578125" style="1" customWidth="1"/>
    <col min="5" max="5" width="9.5703125" style="1" bestFit="1" customWidth="1"/>
    <col min="6" max="6" width="1.42578125" style="1" customWidth="1"/>
    <col min="7" max="7" width="11.42578125" style="1" bestFit="1" customWidth="1"/>
    <col min="8" max="8" width="1.42578125" style="1" customWidth="1"/>
    <col min="9" max="9" width="11.28515625" style="1" bestFit="1" customWidth="1"/>
    <col min="10" max="10" width="1.42578125" style="1" customWidth="1"/>
    <col min="11" max="11" width="16.5703125" style="1" bestFit="1" customWidth="1"/>
    <col min="12" max="12" width="1.42578125" style="1" customWidth="1"/>
    <col min="13" max="13" width="16.85546875" style="1" bestFit="1" customWidth="1"/>
    <col min="14" max="14" width="1.42578125" style="1" customWidth="1"/>
    <col min="15" max="15" width="16.85546875" style="1" bestFit="1" customWidth="1"/>
    <col min="16" max="16" width="1.42578125" style="1" customWidth="1"/>
    <col min="17" max="17" width="15.42578125" style="1" bestFit="1" customWidth="1"/>
    <col min="18" max="18" width="1.42578125" style="1" customWidth="1"/>
    <col min="19" max="19" width="11" style="1" bestFit="1" customWidth="1"/>
    <col min="20" max="16384" width="9.140625" style="1"/>
  </cols>
  <sheetData>
    <row r="1" spans="1:19" ht="26.25" x14ac:dyDescent="0.4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26.25" x14ac:dyDescent="0.45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ht="26.25" x14ac:dyDescent="0.45">
      <c r="A3" s="19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5" spans="1:19" ht="21" x14ac:dyDescent="0.45">
      <c r="A5" s="20" t="s">
        <v>71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7" spans="1:19" ht="21" x14ac:dyDescent="0.45">
      <c r="C7" s="21" t="s">
        <v>72</v>
      </c>
      <c r="D7" s="22"/>
      <c r="E7" s="22"/>
      <c r="F7" s="22"/>
      <c r="G7" s="22"/>
      <c r="H7" s="22"/>
      <c r="I7" s="22"/>
      <c r="K7" s="3" t="s">
        <v>5</v>
      </c>
      <c r="M7" s="21" t="s">
        <v>310</v>
      </c>
      <c r="N7" s="22"/>
      <c r="O7" s="22"/>
      <c r="Q7" s="21" t="s">
        <v>6</v>
      </c>
      <c r="R7" s="22"/>
      <c r="S7" s="22"/>
    </row>
    <row r="8" spans="1:19" ht="42" x14ac:dyDescent="0.45">
      <c r="A8" s="3" t="s">
        <v>73</v>
      </c>
      <c r="C8" s="3" t="s">
        <v>74</v>
      </c>
      <c r="E8" s="3" t="s">
        <v>75</v>
      </c>
      <c r="G8" s="4" t="s">
        <v>76</v>
      </c>
      <c r="I8" s="4" t="s">
        <v>77</v>
      </c>
      <c r="K8" s="3" t="s">
        <v>78</v>
      </c>
      <c r="M8" s="3" t="s">
        <v>79</v>
      </c>
      <c r="O8" s="3" t="s">
        <v>80</v>
      </c>
      <c r="Q8" s="3" t="s">
        <v>78</v>
      </c>
      <c r="S8" s="4" t="s">
        <v>14</v>
      </c>
    </row>
    <row r="9" spans="1:19" ht="18.75" x14ac:dyDescent="0.45">
      <c r="A9" s="14" t="s">
        <v>81</v>
      </c>
      <c r="C9" s="9" t="s">
        <v>82</v>
      </c>
      <c r="E9" s="5" t="s">
        <v>83</v>
      </c>
      <c r="G9" s="9" t="s">
        <v>84</v>
      </c>
      <c r="I9" s="9" t="s">
        <v>85</v>
      </c>
      <c r="K9" s="6">
        <v>116796324</v>
      </c>
      <c r="M9" s="6">
        <v>17787547991</v>
      </c>
      <c r="O9" s="6">
        <v>11512083244</v>
      </c>
      <c r="Q9" s="6">
        <v>6392261071</v>
      </c>
      <c r="S9" s="10">
        <v>8.6604676162655263E-3</v>
      </c>
    </row>
    <row r="10" spans="1:19" ht="18.75" x14ac:dyDescent="0.45">
      <c r="A10" s="14" t="s">
        <v>86</v>
      </c>
      <c r="C10" s="9" t="s">
        <v>87</v>
      </c>
      <c r="E10" s="5" t="s">
        <v>88</v>
      </c>
      <c r="G10" s="9" t="s">
        <v>89</v>
      </c>
      <c r="I10" s="9" t="s">
        <v>85</v>
      </c>
      <c r="K10" s="6">
        <v>156818</v>
      </c>
      <c r="P10" s="9"/>
      <c r="Q10" s="6">
        <v>156818</v>
      </c>
      <c r="S10" s="10">
        <v>2.1246272571828243E-7</v>
      </c>
    </row>
    <row r="11" spans="1:19" ht="18.75" x14ac:dyDescent="0.45">
      <c r="A11" s="14" t="s">
        <v>86</v>
      </c>
      <c r="C11" s="9" t="s">
        <v>90</v>
      </c>
      <c r="E11" s="5" t="s">
        <v>83</v>
      </c>
      <c r="G11" s="9" t="s">
        <v>91</v>
      </c>
      <c r="I11" s="9" t="s">
        <v>92</v>
      </c>
      <c r="K11" s="6">
        <v>136650511354</v>
      </c>
      <c r="M11" s="6">
        <v>184904552314</v>
      </c>
      <c r="O11" s="6">
        <v>241351210000</v>
      </c>
      <c r="Q11" s="6">
        <v>80203853668</v>
      </c>
      <c r="S11" s="10">
        <v>0.10866309583984965</v>
      </c>
    </row>
    <row r="12" spans="1:19" ht="18.75" x14ac:dyDescent="0.45">
      <c r="A12" s="7" t="s">
        <v>68</v>
      </c>
      <c r="K12" s="7">
        <f>SUM(K9:$K$11)</f>
        <v>136767464496</v>
      </c>
      <c r="M12" s="7">
        <f>SUM(M9:$M$11)</f>
        <v>202692100305</v>
      </c>
      <c r="O12" s="7">
        <f>SUM(O9:$O$11)</f>
        <v>252863293244</v>
      </c>
      <c r="Q12" s="7">
        <f>SUM(Q9:$Q$11)</f>
        <v>86596271557</v>
      </c>
      <c r="S12" s="11">
        <f>SUM(S9:$S$11)</f>
        <v>0.1173237759188409</v>
      </c>
    </row>
    <row r="13" spans="1:19" ht="18.75" x14ac:dyDescent="0.45">
      <c r="K13" s="8"/>
      <c r="M13" s="8"/>
      <c r="O13" s="8"/>
      <c r="Q13" s="8"/>
      <c r="S13" s="8"/>
    </row>
  </sheetData>
  <mergeCells count="7">
    <mergeCell ref="A1:S1"/>
    <mergeCell ref="A2:S2"/>
    <mergeCell ref="A3:S3"/>
    <mergeCell ref="A5:S5"/>
    <mergeCell ref="C7:I7"/>
    <mergeCell ref="M7:O7"/>
    <mergeCell ref="Q7:S7"/>
  </mergeCells>
  <pageMargins left="0.17" right="0.17" top="0.75" bottom="0.75" header="0.3" footer="0.3"/>
  <pageSetup paperSize="9" scale="8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"/>
  <sheetViews>
    <sheetView rightToLeft="1" view="pageBreakPreview" zoomScaleNormal="100" zoomScaleSheetLayoutView="100" workbookViewId="0">
      <selection activeCell="I7" sqref="I7:M7"/>
    </sheetView>
  </sheetViews>
  <sheetFormatPr defaultRowHeight="18" x14ac:dyDescent="0.45"/>
  <cols>
    <col min="1" max="1" width="53.7109375" style="1" bestFit="1" customWidth="1"/>
    <col min="2" max="2" width="1.42578125" style="1" customWidth="1"/>
    <col min="3" max="3" width="11.42578125" style="1" customWidth="1"/>
    <col min="4" max="4" width="1.42578125" style="1" customWidth="1"/>
    <col min="5" max="5" width="21.285156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1.42578125" style="1" customWidth="1"/>
    <col min="10" max="16384" width="9.140625" style="1"/>
  </cols>
  <sheetData>
    <row r="1" spans="1:9" ht="20.100000000000001" customHeight="1" x14ac:dyDescent="0.45">
      <c r="A1" s="19" t="s">
        <v>0</v>
      </c>
      <c r="B1" s="18"/>
      <c r="C1" s="18"/>
      <c r="D1" s="18"/>
      <c r="E1" s="18"/>
      <c r="F1" s="18"/>
      <c r="G1" s="18"/>
      <c r="H1" s="18"/>
      <c r="I1" s="18"/>
    </row>
    <row r="2" spans="1:9" ht="20.100000000000001" customHeight="1" x14ac:dyDescent="0.45">
      <c r="A2" s="19" t="s">
        <v>93</v>
      </c>
      <c r="B2" s="18"/>
      <c r="C2" s="18"/>
      <c r="D2" s="18"/>
      <c r="E2" s="18"/>
      <c r="F2" s="18"/>
      <c r="G2" s="18"/>
      <c r="H2" s="18"/>
      <c r="I2" s="18"/>
    </row>
    <row r="3" spans="1:9" ht="20.100000000000001" customHeight="1" x14ac:dyDescent="0.45">
      <c r="A3" s="19" t="s">
        <v>2</v>
      </c>
      <c r="B3" s="18"/>
      <c r="C3" s="18"/>
      <c r="D3" s="18"/>
      <c r="E3" s="18"/>
      <c r="F3" s="18"/>
      <c r="G3" s="18"/>
      <c r="H3" s="18"/>
      <c r="I3" s="18"/>
    </row>
    <row r="5" spans="1:9" ht="21" x14ac:dyDescent="0.45">
      <c r="A5" s="20" t="s">
        <v>94</v>
      </c>
      <c r="B5" s="18"/>
      <c r="C5" s="18"/>
      <c r="D5" s="18"/>
      <c r="E5" s="18"/>
      <c r="F5" s="18"/>
      <c r="G5" s="18"/>
      <c r="H5" s="18"/>
      <c r="I5" s="18"/>
    </row>
    <row r="6" spans="1:9" ht="21" x14ac:dyDescent="0.55000000000000004">
      <c r="E6" s="28" t="s">
        <v>311</v>
      </c>
      <c r="F6" s="28"/>
      <c r="G6" s="28"/>
      <c r="H6" s="28"/>
      <c r="I6" s="28"/>
    </row>
    <row r="7" spans="1:9" ht="42" x14ac:dyDescent="0.45">
      <c r="A7" s="3" t="s">
        <v>95</v>
      </c>
      <c r="C7" s="3" t="s">
        <v>96</v>
      </c>
      <c r="E7" s="3" t="s">
        <v>78</v>
      </c>
      <c r="G7" s="4" t="s">
        <v>97</v>
      </c>
      <c r="I7" s="4" t="s">
        <v>98</v>
      </c>
    </row>
    <row r="8" spans="1:9" ht="21" x14ac:dyDescent="0.45">
      <c r="A8" s="2" t="s">
        <v>99</v>
      </c>
      <c r="C8" s="9" t="s">
        <v>100</v>
      </c>
      <c r="E8" s="6">
        <v>-27033613424</v>
      </c>
      <c r="G8" s="10">
        <f>E8/-18673526365</f>
        <v>1.4476972852149343</v>
      </c>
      <c r="I8" s="10">
        <f>E8/738096527143</f>
        <v>-3.6626121963533459E-2</v>
      </c>
    </row>
    <row r="9" spans="1:9" ht="21" x14ac:dyDescent="0.45">
      <c r="A9" s="2" t="s">
        <v>102</v>
      </c>
      <c r="C9" s="9" t="s">
        <v>101</v>
      </c>
      <c r="E9" s="6">
        <v>8219419690</v>
      </c>
      <c r="G9" s="10">
        <f>E9/-18673526365</f>
        <v>-0.44016430155397701</v>
      </c>
      <c r="I9" s="10">
        <f>E9/738096527143</f>
        <v>1.1135968518664437E-2</v>
      </c>
    </row>
    <row r="10" spans="1:9" ht="21" x14ac:dyDescent="0.45">
      <c r="A10" s="2" t="s">
        <v>104</v>
      </c>
      <c r="C10" s="9" t="s">
        <v>103</v>
      </c>
      <c r="E10" s="6">
        <v>140667369</v>
      </c>
      <c r="G10" s="10">
        <f>E10/-18673526365</f>
        <v>-7.5329836609572803E-3</v>
      </c>
      <c r="I10" s="10">
        <f>E10/738096527143</f>
        <v>1.9058126386868485E-4</v>
      </c>
    </row>
    <row r="11" spans="1:9" ht="21" x14ac:dyDescent="0.45">
      <c r="A11" s="3" t="s">
        <v>68</v>
      </c>
      <c r="E11" s="7">
        <f>SUM(E8:$E$10)</f>
        <v>-18673526365</v>
      </c>
      <c r="G11" s="11">
        <f>SUM(G8:$G$10)</f>
        <v>1.0000000000000002</v>
      </c>
      <c r="I11" s="11">
        <f>SUM(I8:$I$10)</f>
        <v>-2.5299572181000336E-2</v>
      </c>
    </row>
    <row r="12" spans="1:9" ht="18.75" x14ac:dyDescent="0.45">
      <c r="E12" s="8"/>
      <c r="G12" s="8"/>
      <c r="I12" s="8"/>
    </row>
  </sheetData>
  <mergeCells count="5">
    <mergeCell ref="A1:I1"/>
    <mergeCell ref="A2:I2"/>
    <mergeCell ref="A3:I3"/>
    <mergeCell ref="A5:I5"/>
    <mergeCell ref="E6:I6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88"/>
  <sheetViews>
    <sheetView rightToLeft="1" view="pageBreakPreview" zoomScale="60" zoomScaleNormal="100" workbookViewId="0">
      <selection activeCell="I7" sqref="I7:M7"/>
    </sheetView>
  </sheetViews>
  <sheetFormatPr defaultRowHeight="18" x14ac:dyDescent="0.45"/>
  <cols>
    <col min="1" max="1" width="40.5703125" style="1" bestFit="1" customWidth="1"/>
    <col min="2" max="2" width="1.42578125" style="1" customWidth="1"/>
    <col min="3" max="3" width="16.85546875" style="1" bestFit="1" customWidth="1"/>
    <col min="4" max="4" width="1.42578125" style="1" customWidth="1"/>
    <col min="5" max="5" width="17.5703125" style="1" bestFit="1" customWidth="1"/>
    <col min="6" max="6" width="1.42578125" style="1" customWidth="1"/>
    <col min="7" max="7" width="17.28515625" style="1" bestFit="1" customWidth="1"/>
    <col min="8" max="8" width="1.42578125" style="1" customWidth="1"/>
    <col min="9" max="9" width="17.7109375" style="1" bestFit="1" customWidth="1"/>
    <col min="10" max="10" width="1.42578125" style="1" customWidth="1"/>
    <col min="11" max="11" width="11.5703125" style="1" bestFit="1" customWidth="1"/>
    <col min="12" max="12" width="1.42578125" style="1" customWidth="1"/>
    <col min="13" max="13" width="16.5703125" style="1" bestFit="1" customWidth="1"/>
    <col min="14" max="14" width="1.42578125" style="1" customWidth="1"/>
    <col min="15" max="15" width="17.5703125" style="1" bestFit="1" customWidth="1"/>
    <col min="16" max="16" width="1.42578125" style="1" customWidth="1"/>
    <col min="17" max="17" width="17.7109375" style="1" bestFit="1" customWidth="1"/>
    <col min="18" max="18" width="1.42578125" style="1" customWidth="1"/>
    <col min="19" max="19" width="17.7109375" style="1" bestFit="1" customWidth="1"/>
    <col min="20" max="20" width="1.42578125" style="1" customWidth="1"/>
    <col min="21" max="21" width="11.5703125" style="1" bestFit="1" customWidth="1"/>
    <col min="22" max="16384" width="9.140625" style="1"/>
  </cols>
  <sheetData>
    <row r="1" spans="1:21" ht="20.100000000000001" customHeight="1" x14ac:dyDescent="0.4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ht="20.100000000000001" customHeight="1" x14ac:dyDescent="0.45">
      <c r="A2" s="19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20.100000000000001" customHeight="1" x14ac:dyDescent="0.45">
      <c r="A3" s="19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5" spans="1:21" ht="21" x14ac:dyDescent="0.45">
      <c r="A5" s="20" t="s">
        <v>270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7" spans="1:21" ht="21" x14ac:dyDescent="0.45">
      <c r="C7" s="21" t="str">
        <f>'9'!C7:I7</f>
        <v>تغییرات طی مرداد ماه</v>
      </c>
      <c r="D7" s="22"/>
      <c r="E7" s="22"/>
      <c r="F7" s="22"/>
      <c r="G7" s="22"/>
      <c r="H7" s="22"/>
      <c r="I7" s="22"/>
      <c r="J7" s="22"/>
      <c r="K7" s="22"/>
      <c r="M7" s="21" t="str">
        <f>'9'!K7</f>
        <v>از ابتدای سال مالی تا 1404/05/31</v>
      </c>
      <c r="N7" s="22"/>
      <c r="O7" s="22"/>
      <c r="P7" s="22"/>
      <c r="Q7" s="22"/>
      <c r="R7" s="22"/>
      <c r="S7" s="22"/>
      <c r="T7" s="22"/>
      <c r="U7" s="22"/>
    </row>
    <row r="8" spans="1:21" ht="42" x14ac:dyDescent="0.45">
      <c r="A8" s="3" t="s">
        <v>271</v>
      </c>
      <c r="C8" s="4" t="s">
        <v>105</v>
      </c>
      <c r="E8" s="4" t="s">
        <v>272</v>
      </c>
      <c r="G8" s="4" t="s">
        <v>273</v>
      </c>
      <c r="I8" s="4" t="s">
        <v>274</v>
      </c>
      <c r="K8" s="4" t="s">
        <v>275</v>
      </c>
      <c r="M8" s="4" t="s">
        <v>105</v>
      </c>
      <c r="O8" s="4" t="s">
        <v>272</v>
      </c>
      <c r="Q8" s="4" t="s">
        <v>273</v>
      </c>
      <c r="S8" s="4" t="s">
        <v>274</v>
      </c>
      <c r="U8" s="4" t="s">
        <v>275</v>
      </c>
    </row>
    <row r="9" spans="1:21" ht="18.75" x14ac:dyDescent="0.45">
      <c r="A9" s="14" t="s">
        <v>27</v>
      </c>
      <c r="C9" s="6">
        <v>0</v>
      </c>
      <c r="E9" s="6">
        <v>-5601396145</v>
      </c>
      <c r="G9" s="6">
        <v>-952714084</v>
      </c>
      <c r="I9" s="6">
        <v>-6554110229</v>
      </c>
      <c r="K9" s="10">
        <v>6.7039114693071056E-2</v>
      </c>
      <c r="M9" s="6">
        <v>0</v>
      </c>
      <c r="O9" s="6">
        <v>-3660383517</v>
      </c>
      <c r="Q9" s="6">
        <v>-952714084</v>
      </c>
      <c r="S9" s="6">
        <v>-4613097601</v>
      </c>
      <c r="U9" s="10">
        <v>0.24703944562106817</v>
      </c>
    </row>
    <row r="10" spans="1:21" ht="18.75" x14ac:dyDescent="0.45">
      <c r="A10" s="14" t="s">
        <v>276</v>
      </c>
      <c r="C10" s="6">
        <v>0</v>
      </c>
      <c r="E10" s="6">
        <v>-1914900909</v>
      </c>
      <c r="G10" s="6">
        <v>-37047928</v>
      </c>
      <c r="I10" s="6">
        <v>-1951948837</v>
      </c>
      <c r="K10" s="10">
        <v>1.9965627276094085E-2</v>
      </c>
      <c r="M10" s="6">
        <v>1258089360</v>
      </c>
      <c r="O10" s="6">
        <v>-378534478</v>
      </c>
      <c r="Q10" s="6">
        <v>991706504</v>
      </c>
      <c r="S10" s="6">
        <v>1871261386</v>
      </c>
      <c r="U10" s="10">
        <v>-0.10020932037278862</v>
      </c>
    </row>
    <row r="11" spans="1:21" ht="18.75" x14ac:dyDescent="0.45">
      <c r="A11" s="14" t="s">
        <v>28</v>
      </c>
      <c r="C11" s="6">
        <v>291128585</v>
      </c>
      <c r="E11" s="6">
        <v>-1000336467</v>
      </c>
      <c r="G11" s="6">
        <v>-568017612</v>
      </c>
      <c r="I11" s="6">
        <v>-1277225494</v>
      </c>
      <c r="K11" s="10">
        <v>1.3064178567262899E-2</v>
      </c>
      <c r="M11" s="6">
        <v>291128585</v>
      </c>
      <c r="O11" s="6">
        <v>0</v>
      </c>
      <c r="Q11" s="6">
        <v>820651110</v>
      </c>
      <c r="S11" s="6">
        <v>1111779695</v>
      </c>
      <c r="U11" s="10">
        <v>-5.9537747357875648E-2</v>
      </c>
    </row>
    <row r="12" spans="1:21" ht="18.75" x14ac:dyDescent="0.45">
      <c r="A12" s="14" t="s">
        <v>29</v>
      </c>
      <c r="C12" s="6">
        <v>1800000000</v>
      </c>
      <c r="E12" s="6">
        <v>-9375623670</v>
      </c>
      <c r="G12" s="6">
        <v>0</v>
      </c>
      <c r="I12" s="6">
        <v>-7575623670</v>
      </c>
      <c r="K12" s="10">
        <v>7.7487726989627026E-2</v>
      </c>
      <c r="M12" s="6">
        <v>1800000000</v>
      </c>
      <c r="O12" s="6">
        <v>1532471988</v>
      </c>
      <c r="Q12" s="6">
        <v>2282088371</v>
      </c>
      <c r="S12" s="6">
        <v>5614560359</v>
      </c>
      <c r="U12" s="10">
        <v>-0.30066952803962266</v>
      </c>
    </row>
    <row r="13" spans="1:21" ht="18.75" x14ac:dyDescent="0.45">
      <c r="A13" s="14" t="s">
        <v>277</v>
      </c>
      <c r="C13" s="6">
        <v>0</v>
      </c>
      <c r="E13" s="6">
        <v>-698634662</v>
      </c>
      <c r="G13" s="6">
        <v>-2290783978</v>
      </c>
      <c r="I13" s="6">
        <v>-2989418640</v>
      </c>
      <c r="K13" s="10">
        <v>3.0577450190846414E-2</v>
      </c>
      <c r="M13" s="6">
        <v>0</v>
      </c>
      <c r="O13" s="6">
        <v>-5811021342</v>
      </c>
      <c r="Q13" s="6">
        <v>-3087240096</v>
      </c>
      <c r="S13" s="6">
        <v>-8898261438</v>
      </c>
      <c r="U13" s="10">
        <v>0.47651746456834804</v>
      </c>
    </row>
    <row r="14" spans="1:21" ht="18.75" x14ac:dyDescent="0.45">
      <c r="A14" s="14" t="s">
        <v>31</v>
      </c>
      <c r="C14" s="6">
        <v>0</v>
      </c>
      <c r="E14" s="6">
        <v>-767790739</v>
      </c>
      <c r="G14" s="6">
        <v>-3366731235</v>
      </c>
      <c r="I14" s="6">
        <v>-4134521974</v>
      </c>
      <c r="K14" s="10">
        <v>4.2290209217048631E-2</v>
      </c>
      <c r="M14" s="6">
        <v>0</v>
      </c>
      <c r="O14" s="6">
        <v>-5972949442</v>
      </c>
      <c r="Q14" s="6">
        <v>-5928526497</v>
      </c>
      <c r="S14" s="6">
        <v>-11901475939</v>
      </c>
      <c r="U14" s="10">
        <v>0.63734485422673404</v>
      </c>
    </row>
    <row r="15" spans="1:21" ht="18.75" x14ac:dyDescent="0.45">
      <c r="A15" s="14" t="s">
        <v>278</v>
      </c>
      <c r="C15" s="6">
        <v>0</v>
      </c>
      <c r="E15" s="6">
        <v>3687020901</v>
      </c>
      <c r="G15" s="6">
        <v>-5744828168</v>
      </c>
      <c r="I15" s="6">
        <v>-2057807267</v>
      </c>
      <c r="K15" s="10">
        <v>2.1048406659113589E-2</v>
      </c>
      <c r="M15" s="6">
        <v>646000000</v>
      </c>
      <c r="O15" s="6">
        <v>-1748491201</v>
      </c>
      <c r="Q15" s="6">
        <v>-6846862313</v>
      </c>
      <c r="S15" s="6">
        <v>-7949353514</v>
      </c>
      <c r="U15" s="10">
        <v>0.42570178543778225</v>
      </c>
    </row>
    <row r="16" spans="1:21" ht="18.75" x14ac:dyDescent="0.45">
      <c r="A16" s="14" t="s">
        <v>32</v>
      </c>
      <c r="C16" s="6">
        <v>0</v>
      </c>
      <c r="E16" s="6">
        <v>-1197313034</v>
      </c>
      <c r="G16" s="6">
        <v>-164017891</v>
      </c>
      <c r="I16" s="6">
        <v>-1361330925</v>
      </c>
      <c r="K16" s="10">
        <v>1.3924456078338487E-2</v>
      </c>
      <c r="M16" s="6">
        <v>0</v>
      </c>
      <c r="O16" s="6">
        <v>-627458337</v>
      </c>
      <c r="Q16" s="6">
        <v>1293559138</v>
      </c>
      <c r="S16" s="6">
        <v>666100801</v>
      </c>
      <c r="U16" s="10">
        <v>-3.5670863016450935E-2</v>
      </c>
    </row>
    <row r="17" spans="1:21" ht="18.75" x14ac:dyDescent="0.45">
      <c r="A17" s="14" t="s">
        <v>33</v>
      </c>
      <c r="C17" s="6">
        <v>0</v>
      </c>
      <c r="E17" s="6">
        <v>-1203519954</v>
      </c>
      <c r="G17" s="6">
        <v>0</v>
      </c>
      <c r="I17" s="6">
        <v>-1203519954</v>
      </c>
      <c r="K17" s="10">
        <v>1.2310276973159158E-2</v>
      </c>
      <c r="M17" s="6">
        <v>0</v>
      </c>
      <c r="O17" s="6">
        <v>-2604624469</v>
      </c>
      <c r="Q17" s="6">
        <v>0</v>
      </c>
      <c r="S17" s="6">
        <v>-2604624469</v>
      </c>
      <c r="U17" s="10">
        <v>0.13948219624344102</v>
      </c>
    </row>
    <row r="18" spans="1:21" ht="18.75" x14ac:dyDescent="0.45">
      <c r="A18" s="14" t="s">
        <v>279</v>
      </c>
      <c r="C18" s="6">
        <v>1553500000</v>
      </c>
      <c r="E18" s="6">
        <v>-2110368150</v>
      </c>
      <c r="G18" s="6">
        <v>-1418701400</v>
      </c>
      <c r="I18" s="6">
        <v>-1975569550</v>
      </c>
      <c r="K18" s="10">
        <v>2.0207233174165885E-2</v>
      </c>
      <c r="M18" s="6">
        <v>1553500000</v>
      </c>
      <c r="O18" s="6">
        <v>-3945384450</v>
      </c>
      <c r="Q18" s="6">
        <v>-1181765226</v>
      </c>
      <c r="S18" s="6">
        <v>-3573649676</v>
      </c>
      <c r="U18" s="10">
        <v>0.19137519106718545</v>
      </c>
    </row>
    <row r="19" spans="1:21" ht="18.75" x14ac:dyDescent="0.45">
      <c r="A19" s="14" t="s">
        <v>280</v>
      </c>
      <c r="C19" s="6">
        <v>0</v>
      </c>
      <c r="E19" s="6">
        <v>-4261356658</v>
      </c>
      <c r="G19" s="6">
        <v>-2872136742</v>
      </c>
      <c r="I19" s="6">
        <v>-7133493400</v>
      </c>
      <c r="K19" s="10">
        <v>7.296537065990584E-2</v>
      </c>
      <c r="M19" s="6">
        <v>5006486160</v>
      </c>
      <c r="O19" s="6">
        <v>-9397447847</v>
      </c>
      <c r="Q19" s="6">
        <v>-4220285512</v>
      </c>
      <c r="S19" s="6">
        <v>-8611247199</v>
      </c>
      <c r="U19" s="10">
        <v>0.46114735003347612</v>
      </c>
    </row>
    <row r="20" spans="1:21" ht="18.75" x14ac:dyDescent="0.45">
      <c r="A20" s="14" t="s">
        <v>35</v>
      </c>
      <c r="C20" s="6">
        <v>0</v>
      </c>
      <c r="E20" s="6">
        <v>-431666212</v>
      </c>
      <c r="G20" s="6">
        <v>0</v>
      </c>
      <c r="I20" s="6">
        <v>-431666212</v>
      </c>
      <c r="K20" s="10">
        <v>4.4153240766911621E-3</v>
      </c>
      <c r="M20" s="6">
        <v>0</v>
      </c>
      <c r="O20" s="6">
        <v>-27919950</v>
      </c>
      <c r="Q20" s="6">
        <v>549092400</v>
      </c>
      <c r="S20" s="6">
        <v>521172450</v>
      </c>
      <c r="U20" s="10">
        <v>-2.7909696316215846E-2</v>
      </c>
    </row>
    <row r="21" spans="1:21" ht="18.75" x14ac:dyDescent="0.45">
      <c r="A21" s="14" t="s">
        <v>36</v>
      </c>
      <c r="C21" s="6">
        <v>0</v>
      </c>
      <c r="E21" s="6">
        <v>-352142213</v>
      </c>
      <c r="G21" s="6">
        <v>0</v>
      </c>
      <c r="I21" s="6">
        <v>-352142213</v>
      </c>
      <c r="K21" s="10">
        <v>3.6019080211869984E-3</v>
      </c>
      <c r="M21" s="6">
        <v>0</v>
      </c>
      <c r="O21" s="6">
        <v>-366043763</v>
      </c>
      <c r="Q21" s="6">
        <v>880380800</v>
      </c>
      <c r="S21" s="6">
        <v>514337037</v>
      </c>
      <c r="U21" s="10">
        <v>-2.7543647993773027E-2</v>
      </c>
    </row>
    <row r="22" spans="1:21" ht="18.75" x14ac:dyDescent="0.45">
      <c r="A22" s="14" t="s">
        <v>37</v>
      </c>
      <c r="C22" s="6">
        <v>0</v>
      </c>
      <c r="E22" s="6">
        <v>-4204981748</v>
      </c>
      <c r="G22" s="6">
        <v>0</v>
      </c>
      <c r="I22" s="6">
        <v>-4204981748</v>
      </c>
      <c r="K22" s="10">
        <v>4.3010911296414572E-2</v>
      </c>
      <c r="M22" s="6">
        <v>2100000000</v>
      </c>
      <c r="O22" s="6">
        <v>-4632571524</v>
      </c>
      <c r="Q22" s="6">
        <v>1640831706</v>
      </c>
      <c r="S22" s="6">
        <v>-891739818</v>
      </c>
      <c r="U22" s="10">
        <v>4.7754227057584468E-2</v>
      </c>
    </row>
    <row r="23" spans="1:21" ht="18.75" x14ac:dyDescent="0.45">
      <c r="A23" s="14" t="s">
        <v>281</v>
      </c>
      <c r="C23" s="6">
        <v>0</v>
      </c>
      <c r="E23" s="6">
        <v>151095600</v>
      </c>
      <c r="G23" s="6">
        <v>-369350710</v>
      </c>
      <c r="I23" s="6">
        <v>-218255110</v>
      </c>
      <c r="K23" s="10">
        <v>2.2324356534161121E-3</v>
      </c>
      <c r="M23" s="6">
        <v>637000000</v>
      </c>
      <c r="O23" s="6">
        <v>0</v>
      </c>
      <c r="Q23" s="6">
        <v>-714788246</v>
      </c>
      <c r="S23" s="6">
        <v>-77788246</v>
      </c>
      <c r="U23" s="10">
        <v>4.1656966380918484E-3</v>
      </c>
    </row>
    <row r="24" spans="1:21" ht="18.75" x14ac:dyDescent="0.45">
      <c r="A24" s="14" t="s">
        <v>282</v>
      </c>
      <c r="C24" s="6">
        <v>0</v>
      </c>
      <c r="E24" s="6">
        <v>1042997580</v>
      </c>
      <c r="G24" s="6">
        <v>-2187599080</v>
      </c>
      <c r="I24" s="6">
        <v>-1144601500</v>
      </c>
      <c r="K24" s="10">
        <v>1.1707625986642704E-2</v>
      </c>
      <c r="M24" s="6">
        <v>1160426080</v>
      </c>
      <c r="O24" s="6">
        <v>0</v>
      </c>
      <c r="Q24" s="6">
        <v>-2799209091</v>
      </c>
      <c r="S24" s="6">
        <v>-1638783011</v>
      </c>
      <c r="U24" s="10">
        <v>8.7759696747561802E-2</v>
      </c>
    </row>
    <row r="25" spans="1:21" ht="18.75" x14ac:dyDescent="0.45">
      <c r="A25" s="14" t="s">
        <v>283</v>
      </c>
      <c r="C25" s="6">
        <v>1310400000</v>
      </c>
      <c r="E25" s="6">
        <v>-2077885793</v>
      </c>
      <c r="G25" s="6">
        <v>44473593</v>
      </c>
      <c r="I25" s="6">
        <v>-723012200</v>
      </c>
      <c r="K25" s="10">
        <v>7.3953742165982763E-3</v>
      </c>
      <c r="M25" s="6">
        <v>1310400000</v>
      </c>
      <c r="O25" s="6">
        <v>-1595922399</v>
      </c>
      <c r="Q25" s="6">
        <v>44473593</v>
      </c>
      <c r="S25" s="6">
        <v>-241048806</v>
      </c>
      <c r="U25" s="10">
        <v>1.290858519640942E-2</v>
      </c>
    </row>
    <row r="26" spans="1:21" ht="18.75" x14ac:dyDescent="0.45">
      <c r="A26" s="14" t="s">
        <v>284</v>
      </c>
      <c r="C26" s="6">
        <v>0</v>
      </c>
      <c r="E26" s="6">
        <v>-1468708875</v>
      </c>
      <c r="G26" s="6">
        <v>-579039925</v>
      </c>
      <c r="I26" s="6">
        <v>-2047748800</v>
      </c>
      <c r="K26" s="10">
        <v>2.0945523018270039E-2</v>
      </c>
      <c r="M26" s="6">
        <v>4394680000</v>
      </c>
      <c r="O26" s="6">
        <v>-3580071074</v>
      </c>
      <c r="Q26" s="6">
        <v>-1308998245</v>
      </c>
      <c r="S26" s="6">
        <v>-494389319</v>
      </c>
      <c r="U26" s="10">
        <v>2.6475412802942216E-2</v>
      </c>
    </row>
    <row r="27" spans="1:21" ht="18.75" x14ac:dyDescent="0.45">
      <c r="A27" s="14" t="s">
        <v>38</v>
      </c>
      <c r="C27" s="6">
        <v>0</v>
      </c>
      <c r="E27" s="6">
        <v>-465960937</v>
      </c>
      <c r="G27" s="6">
        <v>0</v>
      </c>
      <c r="I27" s="6">
        <v>-465960937</v>
      </c>
      <c r="K27" s="10">
        <v>4.7661097550383991E-3</v>
      </c>
      <c r="M27" s="6">
        <v>562500000</v>
      </c>
      <c r="O27" s="6">
        <v>-60092148</v>
      </c>
      <c r="Q27" s="6">
        <v>598442884</v>
      </c>
      <c r="S27" s="6">
        <v>1100850736</v>
      </c>
      <c r="U27" s="10">
        <v>-5.895248248682889E-2</v>
      </c>
    </row>
    <row r="28" spans="1:21" ht="18.75" x14ac:dyDescent="0.45">
      <c r="A28" s="14" t="s">
        <v>39</v>
      </c>
      <c r="C28" s="6">
        <v>0</v>
      </c>
      <c r="E28" s="6">
        <v>-7925674547</v>
      </c>
      <c r="G28" s="6">
        <v>73122897</v>
      </c>
      <c r="I28" s="6">
        <v>-7852551650</v>
      </c>
      <c r="K28" s="10">
        <v>8.032030165869436E-2</v>
      </c>
      <c r="M28" s="6">
        <v>0</v>
      </c>
      <c r="O28" s="6">
        <v>-1275319029</v>
      </c>
      <c r="Q28" s="6">
        <v>4884647069</v>
      </c>
      <c r="S28" s="6">
        <v>3609328040</v>
      </c>
      <c r="U28" s="10">
        <v>-0.19328582986687529</v>
      </c>
    </row>
    <row r="29" spans="1:21" ht="18.75" x14ac:dyDescent="0.45">
      <c r="A29" s="14" t="s">
        <v>285</v>
      </c>
      <c r="C29" s="6">
        <v>0</v>
      </c>
      <c r="E29" s="6">
        <v>1888980841</v>
      </c>
      <c r="G29" s="6">
        <v>-2280452041</v>
      </c>
      <c r="I29" s="6">
        <v>-391471200</v>
      </c>
      <c r="K29" s="10">
        <v>4.0041869542737831E-3</v>
      </c>
      <c r="M29" s="6">
        <v>0</v>
      </c>
      <c r="O29" s="6">
        <v>0</v>
      </c>
      <c r="Q29" s="6">
        <v>-2220221191</v>
      </c>
      <c r="S29" s="6">
        <v>-2220221191</v>
      </c>
      <c r="U29" s="10">
        <v>0.11889672832022695</v>
      </c>
    </row>
    <row r="30" spans="1:21" ht="18.75" x14ac:dyDescent="0.45">
      <c r="A30" s="14" t="s">
        <v>286</v>
      </c>
      <c r="C30" s="6">
        <v>4760000000</v>
      </c>
      <c r="E30" s="6">
        <v>-10535558629</v>
      </c>
      <c r="G30" s="6">
        <v>-6131466762</v>
      </c>
      <c r="I30" s="6">
        <v>-11907025391</v>
      </c>
      <c r="K30" s="10">
        <v>0.12179173266091832</v>
      </c>
      <c r="M30" s="6">
        <v>4760000000</v>
      </c>
      <c r="O30" s="6">
        <v>-29644080282</v>
      </c>
      <c r="Q30" s="6">
        <v>-8146271391</v>
      </c>
      <c r="S30" s="6">
        <v>-33030351673</v>
      </c>
      <c r="U30" s="10">
        <v>1.7688331077577912</v>
      </c>
    </row>
    <row r="31" spans="1:21" ht="18.75" x14ac:dyDescent="0.45">
      <c r="A31" s="14" t="s">
        <v>287</v>
      </c>
      <c r="C31" s="6">
        <v>0</v>
      </c>
      <c r="E31" s="6">
        <v>993730480</v>
      </c>
      <c r="G31" s="6">
        <v>-2249608480</v>
      </c>
      <c r="I31" s="6">
        <v>-1255878000</v>
      </c>
      <c r="K31" s="10">
        <v>1.2845824427849225E-2</v>
      </c>
      <c r="M31" s="6">
        <v>0</v>
      </c>
      <c r="O31" s="6">
        <v>0</v>
      </c>
      <c r="Q31" s="6">
        <v>-2474802263</v>
      </c>
      <c r="S31" s="6">
        <v>-2474802263</v>
      </c>
      <c r="U31" s="10">
        <v>0.13252999003115715</v>
      </c>
    </row>
    <row r="32" spans="1:21" ht="18.75" x14ac:dyDescent="0.45">
      <c r="A32" s="14" t="s">
        <v>45</v>
      </c>
      <c r="C32" s="6">
        <v>262500000</v>
      </c>
      <c r="E32" s="6">
        <v>-991564875</v>
      </c>
      <c r="G32" s="6">
        <v>0</v>
      </c>
      <c r="I32" s="6">
        <v>-729064875</v>
      </c>
      <c r="K32" s="10">
        <v>7.4572843705852342E-3</v>
      </c>
      <c r="M32" s="6">
        <v>262500000</v>
      </c>
      <c r="O32" s="6">
        <v>-136185525</v>
      </c>
      <c r="Q32" s="6">
        <v>933138850</v>
      </c>
      <c r="S32" s="6">
        <v>1059453325</v>
      </c>
      <c r="U32" s="10">
        <v>-5.673557871670909E-2</v>
      </c>
    </row>
    <row r="33" spans="1:21" ht="18.75" x14ac:dyDescent="0.45">
      <c r="A33" s="14" t="s">
        <v>288</v>
      </c>
      <c r="C33" s="6">
        <v>0</v>
      </c>
      <c r="E33" s="6">
        <v>-1309434152</v>
      </c>
      <c r="G33" s="6">
        <v>0</v>
      </c>
      <c r="I33" s="6">
        <v>-1309434152</v>
      </c>
      <c r="K33" s="10">
        <v>1.3393626782555023E-2</v>
      </c>
      <c r="M33" s="6">
        <v>1976000000</v>
      </c>
      <c r="O33" s="6">
        <v>-7383416546</v>
      </c>
      <c r="Q33" s="6">
        <v>-1626775972</v>
      </c>
      <c r="S33" s="6">
        <v>-7034192518</v>
      </c>
      <c r="U33" s="10">
        <v>0.37669331333069828</v>
      </c>
    </row>
    <row r="34" spans="1:21" ht="18.75" x14ac:dyDescent="0.45">
      <c r="A34" s="14" t="s">
        <v>289</v>
      </c>
      <c r="C34" s="6">
        <v>0</v>
      </c>
      <c r="E34" s="6">
        <v>3925342483</v>
      </c>
      <c r="G34" s="6">
        <v>-5100470603</v>
      </c>
      <c r="I34" s="6">
        <v>-1175128120</v>
      </c>
      <c r="K34" s="10">
        <v>1.2019869374054276E-2</v>
      </c>
      <c r="M34" s="6">
        <v>1612000000</v>
      </c>
      <c r="O34" s="6">
        <v>-2910037089</v>
      </c>
      <c r="Q34" s="6">
        <v>-6999131137</v>
      </c>
      <c r="S34" s="6">
        <v>-8297168226</v>
      </c>
      <c r="U34" s="10">
        <v>0.44432787165210935</v>
      </c>
    </row>
    <row r="35" spans="1:21" ht="18.75" x14ac:dyDescent="0.45">
      <c r="A35" s="14" t="s">
        <v>290</v>
      </c>
      <c r="C35" s="6">
        <v>4440000000</v>
      </c>
      <c r="E35" s="6">
        <v>-15217769237</v>
      </c>
      <c r="G35" s="6">
        <v>-218269263</v>
      </c>
      <c r="I35" s="6">
        <v>-10996038500</v>
      </c>
      <c r="K35" s="10">
        <v>0.11247364789642829</v>
      </c>
      <c r="M35" s="6">
        <v>4440000000</v>
      </c>
      <c r="O35" s="6">
        <v>-4495664393</v>
      </c>
      <c r="Q35" s="6">
        <v>2388053323</v>
      </c>
      <c r="S35" s="6">
        <v>2332388930</v>
      </c>
      <c r="U35" s="10">
        <v>-0.12490350694401368</v>
      </c>
    </row>
    <row r="36" spans="1:21" ht="18.75" x14ac:dyDescent="0.45">
      <c r="A36" s="14" t="s">
        <v>50</v>
      </c>
      <c r="C36" s="6">
        <v>0</v>
      </c>
      <c r="E36" s="6">
        <v>500706301</v>
      </c>
      <c r="G36" s="6">
        <v>-1359240051</v>
      </c>
      <c r="I36" s="6">
        <v>-858533750</v>
      </c>
      <c r="K36" s="10">
        <v>8.7815646248146726E-3</v>
      </c>
      <c r="M36" s="6">
        <v>420000000</v>
      </c>
      <c r="O36" s="6">
        <v>0</v>
      </c>
      <c r="Q36" s="6">
        <v>-1983363651</v>
      </c>
      <c r="S36" s="6">
        <v>-1563363651</v>
      </c>
      <c r="U36" s="10">
        <v>8.3720858098352002E-2</v>
      </c>
    </row>
    <row r="37" spans="1:21" ht="18.75" x14ac:dyDescent="0.45">
      <c r="A37" s="14" t="s">
        <v>54</v>
      </c>
      <c r="C37" s="6">
        <v>0</v>
      </c>
      <c r="E37" s="6">
        <v>-1860994420</v>
      </c>
      <c r="G37" s="6">
        <v>-138345765</v>
      </c>
      <c r="I37" s="6">
        <v>-1999340185</v>
      </c>
      <c r="K37" s="10">
        <v>2.045037255852367E-2</v>
      </c>
      <c r="M37" s="6">
        <v>1891500000</v>
      </c>
      <c r="O37" s="6">
        <v>-2901455263</v>
      </c>
      <c r="Q37" s="6">
        <v>488588020</v>
      </c>
      <c r="S37" s="6">
        <v>-521367243</v>
      </c>
      <c r="U37" s="10">
        <v>2.7920127822091734E-2</v>
      </c>
    </row>
    <row r="38" spans="1:21" ht="18.75" x14ac:dyDescent="0.45">
      <c r="A38" s="14" t="s">
        <v>291</v>
      </c>
      <c r="C38" s="6">
        <v>0</v>
      </c>
      <c r="E38" s="6">
        <v>-2695057159</v>
      </c>
      <c r="G38" s="6">
        <v>-328844265</v>
      </c>
      <c r="I38" s="6">
        <v>-3023901424</v>
      </c>
      <c r="K38" s="10">
        <v>3.0930159442101271E-2</v>
      </c>
      <c r="M38" s="6">
        <v>3330000000</v>
      </c>
      <c r="O38" s="6">
        <v>-2211738848</v>
      </c>
      <c r="Q38" s="6">
        <v>1386090593</v>
      </c>
      <c r="S38" s="6">
        <v>2504351745</v>
      </c>
      <c r="U38" s="10">
        <v>-0.13411241647929631</v>
      </c>
    </row>
    <row r="39" spans="1:21" ht="18.75" x14ac:dyDescent="0.45">
      <c r="A39" s="14" t="s">
        <v>292</v>
      </c>
      <c r="C39" s="6">
        <v>0</v>
      </c>
      <c r="E39" s="6">
        <v>-1120352880</v>
      </c>
      <c r="G39" s="6">
        <v>5602455</v>
      </c>
      <c r="I39" s="6">
        <v>-1114750425</v>
      </c>
      <c r="K39" s="10">
        <v>1.140229245230851E-2</v>
      </c>
      <c r="M39" s="6">
        <v>1298050000</v>
      </c>
      <c r="O39" s="6">
        <v>-202083842</v>
      </c>
      <c r="Q39" s="6">
        <v>5602455</v>
      </c>
      <c r="S39" s="6">
        <v>1101568613</v>
      </c>
      <c r="U39" s="10">
        <v>-5.8990926055867116E-2</v>
      </c>
    </row>
    <row r="40" spans="1:21" ht="18.75" x14ac:dyDescent="0.45">
      <c r="A40" s="14" t="s">
        <v>293</v>
      </c>
      <c r="C40" s="6">
        <v>1080336390</v>
      </c>
      <c r="E40" s="6">
        <v>-3046340306</v>
      </c>
      <c r="G40" s="6">
        <v>153751056</v>
      </c>
      <c r="I40" s="6">
        <v>-1812252860</v>
      </c>
      <c r="K40" s="10">
        <v>1.8536738487677645E-2</v>
      </c>
      <c r="M40" s="6">
        <v>1080336390</v>
      </c>
      <c r="O40" s="6">
        <v>-794958636</v>
      </c>
      <c r="Q40" s="6">
        <v>153751056</v>
      </c>
      <c r="S40" s="6">
        <v>439128810</v>
      </c>
      <c r="U40" s="10">
        <v>-2.3516115886020546E-2</v>
      </c>
    </row>
    <row r="41" spans="1:21" ht="18.75" x14ac:dyDescent="0.45">
      <c r="A41" s="14" t="s">
        <v>55</v>
      </c>
      <c r="C41" s="6">
        <v>0</v>
      </c>
      <c r="E41" s="6">
        <v>813419250</v>
      </c>
      <c r="G41" s="6">
        <v>-2880713708</v>
      </c>
      <c r="I41" s="6">
        <v>-2067294458</v>
      </c>
      <c r="K41" s="10">
        <v>2.1145446968681453E-2</v>
      </c>
      <c r="M41" s="6">
        <v>1839640000</v>
      </c>
      <c r="O41" s="6">
        <v>0</v>
      </c>
      <c r="Q41" s="6">
        <v>-2090606228</v>
      </c>
      <c r="S41" s="6">
        <v>-250966228</v>
      </c>
      <c r="U41" s="10">
        <v>1.3439680491756973E-2</v>
      </c>
    </row>
    <row r="42" spans="1:21" ht="18.75" x14ac:dyDescent="0.45">
      <c r="A42" s="14" t="s">
        <v>56</v>
      </c>
      <c r="C42" s="6">
        <v>0</v>
      </c>
      <c r="E42" s="6">
        <v>-2339884196</v>
      </c>
      <c r="G42" s="6">
        <v>-207188003</v>
      </c>
      <c r="I42" s="6">
        <v>-2547072199</v>
      </c>
      <c r="K42" s="10">
        <v>2.6052882742917581E-2</v>
      </c>
      <c r="M42" s="6">
        <v>953521800</v>
      </c>
      <c r="O42" s="6">
        <v>-2574589500</v>
      </c>
      <c r="Q42" s="6">
        <v>564872035</v>
      </c>
      <c r="S42" s="6">
        <v>-1056195665</v>
      </c>
      <c r="U42" s="10">
        <v>5.6561125325511059E-2</v>
      </c>
    </row>
    <row r="43" spans="1:21" ht="18.75" x14ac:dyDescent="0.45">
      <c r="A43" s="14" t="s">
        <v>57</v>
      </c>
      <c r="C43" s="6">
        <v>2492000000</v>
      </c>
      <c r="E43" s="6">
        <v>-3188427354</v>
      </c>
      <c r="G43" s="6">
        <v>0</v>
      </c>
      <c r="I43" s="6">
        <v>-696427354</v>
      </c>
      <c r="K43" s="10">
        <v>7.1234495040406794E-3</v>
      </c>
      <c r="M43" s="6">
        <v>2492000000</v>
      </c>
      <c r="O43" s="6">
        <v>-3838638680</v>
      </c>
      <c r="Q43" s="6">
        <v>0</v>
      </c>
      <c r="S43" s="6">
        <v>-1346638680</v>
      </c>
      <c r="U43" s="10">
        <v>7.2114856812691794E-2</v>
      </c>
    </row>
    <row r="44" spans="1:21" ht="18.75" x14ac:dyDescent="0.45">
      <c r="A44" s="14" t="s">
        <v>58</v>
      </c>
      <c r="C44" s="6">
        <v>2380003400</v>
      </c>
      <c r="E44" s="6">
        <v>-7558510017</v>
      </c>
      <c r="G44" s="6">
        <v>978374669</v>
      </c>
      <c r="I44" s="6">
        <v>-4200131948</v>
      </c>
      <c r="K44" s="10">
        <v>4.29613048224496E-2</v>
      </c>
      <c r="M44" s="6">
        <v>2380003400</v>
      </c>
      <c r="O44" s="6">
        <v>1513259899</v>
      </c>
      <c r="Q44" s="6">
        <v>2790456296</v>
      </c>
      <c r="S44" s="6">
        <v>6683719595</v>
      </c>
      <c r="U44" s="10">
        <v>-0.35792487526766076</v>
      </c>
    </row>
    <row r="45" spans="1:21" ht="18.75" x14ac:dyDescent="0.45">
      <c r="A45" s="14" t="s">
        <v>59</v>
      </c>
      <c r="C45" s="6">
        <v>864000000</v>
      </c>
      <c r="E45" s="6">
        <v>-4131819697</v>
      </c>
      <c r="G45" s="6">
        <v>-262326308</v>
      </c>
      <c r="I45" s="6">
        <v>-3530146005</v>
      </c>
      <c r="K45" s="10">
        <v>3.6108312897354167E-2</v>
      </c>
      <c r="M45" s="6">
        <v>864000000</v>
      </c>
      <c r="O45" s="6">
        <v>-1873844914</v>
      </c>
      <c r="Q45" s="6">
        <v>-262326308</v>
      </c>
      <c r="S45" s="6">
        <v>-1272171222</v>
      </c>
      <c r="U45" s="10">
        <v>6.8126994180619516E-2</v>
      </c>
    </row>
    <row r="46" spans="1:21" ht="18.75" x14ac:dyDescent="0.45">
      <c r="A46" s="14" t="s">
        <v>294</v>
      </c>
      <c r="C46" s="6">
        <v>0</v>
      </c>
      <c r="E46" s="6">
        <v>-15507180</v>
      </c>
      <c r="G46" s="6">
        <v>0</v>
      </c>
      <c r="I46" s="6">
        <v>-15507180</v>
      </c>
      <c r="K46" s="10">
        <v>1.5861613281788116E-4</v>
      </c>
      <c r="M46" s="6">
        <v>0</v>
      </c>
      <c r="O46" s="6">
        <v>6303535662</v>
      </c>
      <c r="Q46" s="6">
        <v>778763390</v>
      </c>
      <c r="S46" s="6">
        <v>7082299052</v>
      </c>
      <c r="U46" s="10">
        <v>-0.37926950237285834</v>
      </c>
    </row>
    <row r="47" spans="1:21" ht="18.75" x14ac:dyDescent="0.45">
      <c r="A47" s="14" t="s">
        <v>62</v>
      </c>
      <c r="C47" s="6">
        <v>0</v>
      </c>
      <c r="E47" s="6">
        <v>-501690775</v>
      </c>
      <c r="G47" s="6">
        <v>-211533917</v>
      </c>
      <c r="I47" s="6">
        <v>-713224692</v>
      </c>
      <c r="K47" s="10">
        <v>7.2952620963491997E-3</v>
      </c>
      <c r="M47" s="6">
        <v>1865500000</v>
      </c>
      <c r="O47" s="6">
        <v>-3177422</v>
      </c>
      <c r="Q47" s="6">
        <v>437599584</v>
      </c>
      <c r="S47" s="6">
        <v>2299922162</v>
      </c>
      <c r="U47" s="10">
        <v>-0.12316485472774816</v>
      </c>
    </row>
    <row r="48" spans="1:21" ht="18.75" x14ac:dyDescent="0.45">
      <c r="A48" s="14" t="s">
        <v>63</v>
      </c>
      <c r="C48" s="6">
        <v>0</v>
      </c>
      <c r="E48" s="6">
        <v>-687882600</v>
      </c>
      <c r="G48" s="6">
        <v>0</v>
      </c>
      <c r="I48" s="6">
        <v>-687882600</v>
      </c>
      <c r="K48" s="10">
        <v>7.0360489685880618E-3</v>
      </c>
      <c r="M48" s="6">
        <v>3248000000</v>
      </c>
      <c r="O48" s="6">
        <v>1252503000</v>
      </c>
      <c r="Q48" s="6">
        <v>3233980000</v>
      </c>
      <c r="S48" s="6">
        <v>7734483000</v>
      </c>
      <c r="U48" s="10">
        <v>-0.41419509356823081</v>
      </c>
    </row>
    <row r="49" spans="1:21" ht="18.75" x14ac:dyDescent="0.45">
      <c r="A49" s="14" t="s">
        <v>64</v>
      </c>
      <c r="C49" s="6">
        <v>0</v>
      </c>
      <c r="E49" s="6">
        <v>-417501000</v>
      </c>
      <c r="G49" s="6">
        <v>0</v>
      </c>
      <c r="I49" s="6">
        <v>-417501000</v>
      </c>
      <c r="K49" s="10">
        <v>4.270434345096801E-3</v>
      </c>
      <c r="M49" s="6">
        <v>235000000</v>
      </c>
      <c r="O49" s="6">
        <v>593801850</v>
      </c>
      <c r="Q49" s="6">
        <v>560334700</v>
      </c>
      <c r="S49" s="6">
        <v>1389136550</v>
      </c>
      <c r="U49" s="10">
        <v>-7.4390692087150406E-2</v>
      </c>
    </row>
    <row r="50" spans="1:21" ht="18.75" x14ac:dyDescent="0.45">
      <c r="A50" s="14" t="s">
        <v>65</v>
      </c>
      <c r="C50" s="6">
        <v>0</v>
      </c>
      <c r="E50" s="6">
        <v>6662161188</v>
      </c>
      <c r="G50" s="6">
        <v>2355302202</v>
      </c>
      <c r="I50" s="6">
        <v>9017463390</v>
      </c>
      <c r="K50" s="10">
        <v>-9.2235672169190069E-2</v>
      </c>
      <c r="M50" s="6">
        <v>0</v>
      </c>
      <c r="O50" s="6">
        <v>8776472981</v>
      </c>
      <c r="Q50" s="6">
        <v>2355302202</v>
      </c>
      <c r="S50" s="6">
        <v>11131775183</v>
      </c>
      <c r="U50" s="10">
        <v>-0.59612603240619888</v>
      </c>
    </row>
    <row r="51" spans="1:21" ht="18.75" x14ac:dyDescent="0.45">
      <c r="A51" s="14" t="s">
        <v>295</v>
      </c>
      <c r="C51" s="6">
        <v>0</v>
      </c>
      <c r="E51" s="6">
        <v>-1522024856</v>
      </c>
      <c r="G51" s="6">
        <v>-375906449</v>
      </c>
      <c r="I51" s="6">
        <v>-1897931305</v>
      </c>
      <c r="K51" s="10">
        <v>1.9413105668025683E-2</v>
      </c>
      <c r="M51" s="6">
        <v>0</v>
      </c>
      <c r="O51" s="6">
        <v>-1867755621</v>
      </c>
      <c r="Q51" s="6">
        <v>159418858</v>
      </c>
      <c r="S51" s="6">
        <v>-1708336763</v>
      </c>
      <c r="U51" s="10">
        <v>9.1484421828431653E-2</v>
      </c>
    </row>
    <row r="52" spans="1:21" ht="18.75" x14ac:dyDescent="0.45">
      <c r="A52" s="14" t="s">
        <v>20</v>
      </c>
      <c r="C52" s="6">
        <v>0</v>
      </c>
      <c r="E52" s="6">
        <v>8755</v>
      </c>
      <c r="G52" s="6">
        <v>0</v>
      </c>
      <c r="I52" s="6">
        <v>8755</v>
      </c>
      <c r="K52" s="10">
        <v>-8.9551049437779765E-8</v>
      </c>
      <c r="M52" s="6">
        <v>0</v>
      </c>
      <c r="O52" s="6">
        <v>8755</v>
      </c>
      <c r="Q52" s="6">
        <v>0</v>
      </c>
      <c r="S52" s="6">
        <v>8755</v>
      </c>
      <c r="U52" s="10">
        <v>-4.6884556397497554E-7</v>
      </c>
    </row>
    <row r="53" spans="1:21" ht="18.75" x14ac:dyDescent="0.45">
      <c r="A53" s="14" t="s">
        <v>19</v>
      </c>
      <c r="C53" s="6">
        <v>0</v>
      </c>
      <c r="E53" s="6">
        <v>16079</v>
      </c>
      <c r="G53" s="6">
        <v>0</v>
      </c>
      <c r="I53" s="6">
        <v>16079</v>
      </c>
      <c r="K53" s="10">
        <v>-1.6446502843061803E-7</v>
      </c>
      <c r="M53" s="6">
        <v>0</v>
      </c>
      <c r="O53" s="6">
        <v>16079</v>
      </c>
      <c r="Q53" s="6">
        <v>0</v>
      </c>
      <c r="S53" s="6">
        <v>16079</v>
      </c>
      <c r="U53" s="10">
        <v>-8.6105857488904988E-7</v>
      </c>
    </row>
    <row r="54" spans="1:21" ht="18.75" x14ac:dyDescent="0.45">
      <c r="A54" s="14" t="s">
        <v>18</v>
      </c>
      <c r="C54" s="6">
        <v>0</v>
      </c>
      <c r="E54" s="6">
        <v>26966527</v>
      </c>
      <c r="G54" s="6">
        <v>0</v>
      </c>
      <c r="I54" s="6">
        <v>26966527</v>
      </c>
      <c r="K54" s="10">
        <v>-2.7582875985633615E-4</v>
      </c>
      <c r="M54" s="6">
        <v>0</v>
      </c>
      <c r="O54" s="6">
        <v>26966527</v>
      </c>
      <c r="Q54" s="6">
        <v>0</v>
      </c>
      <c r="S54" s="6">
        <v>26966527</v>
      </c>
      <c r="U54" s="10">
        <v>-1.4441046898642381E-3</v>
      </c>
    </row>
    <row r="55" spans="1:21" ht="18.75" x14ac:dyDescent="0.45">
      <c r="A55" s="14" t="s">
        <v>155</v>
      </c>
      <c r="L55" s="9"/>
      <c r="M55" s="6">
        <v>0</v>
      </c>
      <c r="O55" s="6">
        <v>0</v>
      </c>
      <c r="Q55" s="6">
        <v>410312059</v>
      </c>
      <c r="S55" s="6">
        <v>410312059</v>
      </c>
      <c r="U55" s="10">
        <v>-2.1972928464601763E-2</v>
      </c>
    </row>
    <row r="56" spans="1:21" ht="18.75" x14ac:dyDescent="0.45">
      <c r="A56" s="14" t="s">
        <v>244</v>
      </c>
      <c r="L56" s="9"/>
      <c r="M56" s="6">
        <v>0</v>
      </c>
      <c r="O56" s="6">
        <v>0</v>
      </c>
      <c r="Q56" s="6">
        <v>191025600</v>
      </c>
      <c r="S56" s="6">
        <v>191025600</v>
      </c>
      <c r="U56" s="10">
        <v>-1.0229755016066029E-2</v>
      </c>
    </row>
    <row r="57" spans="1:21" ht="18.75" x14ac:dyDescent="0.45">
      <c r="A57" s="14" t="s">
        <v>245</v>
      </c>
      <c r="L57" s="9"/>
      <c r="M57" s="6">
        <v>0</v>
      </c>
      <c r="O57" s="6">
        <v>0</v>
      </c>
      <c r="Q57" s="6">
        <v>-1476525993</v>
      </c>
      <c r="S57" s="6">
        <v>-1476525993</v>
      </c>
      <c r="U57" s="10">
        <v>7.9070549618708824E-2</v>
      </c>
    </row>
    <row r="58" spans="1:21" ht="18.75" x14ac:dyDescent="0.45">
      <c r="A58" s="14" t="s">
        <v>296</v>
      </c>
      <c r="L58" s="9"/>
      <c r="M58" s="6">
        <v>0</v>
      </c>
      <c r="O58" s="6">
        <v>0</v>
      </c>
      <c r="Q58" s="6">
        <v>-2841925362</v>
      </c>
      <c r="S58" s="6">
        <v>-2841925362</v>
      </c>
      <c r="U58" s="10">
        <v>0.15219007414296706</v>
      </c>
    </row>
    <row r="59" spans="1:21" ht="18.75" x14ac:dyDescent="0.45">
      <c r="A59" s="14" t="s">
        <v>115</v>
      </c>
      <c r="L59" s="9"/>
      <c r="M59" s="6">
        <v>952000000</v>
      </c>
      <c r="O59" s="6">
        <v>0</v>
      </c>
      <c r="Q59" s="6">
        <v>-2453485900</v>
      </c>
      <c r="S59" s="6">
        <v>-1501485900</v>
      </c>
      <c r="U59" s="10">
        <v>8.0407196297655484E-2</v>
      </c>
    </row>
    <row r="60" spans="1:21" ht="18.75" x14ac:dyDescent="0.45">
      <c r="A60" s="14" t="s">
        <v>297</v>
      </c>
      <c r="L60" s="9"/>
      <c r="M60" s="6">
        <v>0</v>
      </c>
      <c r="O60" s="6">
        <v>0</v>
      </c>
      <c r="Q60" s="6">
        <v>-707351562</v>
      </c>
      <c r="S60" s="6">
        <v>-707351562</v>
      </c>
      <c r="U60" s="10">
        <v>3.7879913422555096E-2</v>
      </c>
    </row>
    <row r="61" spans="1:21" ht="18.75" x14ac:dyDescent="0.45">
      <c r="A61" s="14" t="s">
        <v>247</v>
      </c>
      <c r="L61" s="9"/>
      <c r="M61" s="6">
        <v>0</v>
      </c>
      <c r="O61" s="6">
        <v>0</v>
      </c>
      <c r="Q61" s="6">
        <v>-136788503</v>
      </c>
      <c r="S61" s="6">
        <v>-136788503</v>
      </c>
      <c r="U61" s="10">
        <v>7.3252636018649496E-3</v>
      </c>
    </row>
    <row r="62" spans="1:21" ht="18.75" x14ac:dyDescent="0.45">
      <c r="A62" s="14" t="s">
        <v>298</v>
      </c>
      <c r="L62" s="9"/>
      <c r="M62" s="6">
        <v>0</v>
      </c>
      <c r="O62" s="6">
        <v>0</v>
      </c>
      <c r="Q62" s="6">
        <v>-2314315880</v>
      </c>
      <c r="S62" s="6">
        <v>-2314315880</v>
      </c>
      <c r="U62" s="10">
        <v>0.1239356635036941</v>
      </c>
    </row>
    <row r="63" spans="1:21" ht="18.75" x14ac:dyDescent="0.45">
      <c r="A63" s="14" t="s">
        <v>117</v>
      </c>
      <c r="L63" s="9"/>
      <c r="M63" s="6">
        <v>1257300000</v>
      </c>
      <c r="O63" s="6">
        <v>0</v>
      </c>
      <c r="Q63" s="6">
        <v>2831026152</v>
      </c>
      <c r="S63" s="6">
        <v>4088326152</v>
      </c>
      <c r="U63" s="10">
        <v>-0.21893701661314466</v>
      </c>
    </row>
    <row r="64" spans="1:21" ht="18.75" x14ac:dyDescent="0.45">
      <c r="A64" s="14" t="s">
        <v>120</v>
      </c>
      <c r="L64" s="9"/>
      <c r="M64" s="6">
        <v>292500000</v>
      </c>
      <c r="O64" s="6">
        <v>0</v>
      </c>
      <c r="Q64" s="6">
        <v>1119306895</v>
      </c>
      <c r="S64" s="6">
        <v>1411806895</v>
      </c>
      <c r="U64" s="10">
        <v>-7.5604728716166081E-2</v>
      </c>
    </row>
    <row r="65" spans="1:21" ht="18.75" x14ac:dyDescent="0.45">
      <c r="A65" s="14" t="s">
        <v>299</v>
      </c>
      <c r="L65" s="9"/>
      <c r="M65" s="6">
        <v>0</v>
      </c>
      <c r="O65" s="6">
        <v>0</v>
      </c>
      <c r="Q65" s="6">
        <v>-201510906</v>
      </c>
      <c r="S65" s="6">
        <v>-201510906</v>
      </c>
      <c r="U65" s="10">
        <v>1.0791261492938697E-2</v>
      </c>
    </row>
    <row r="66" spans="1:21" ht="18.75" x14ac:dyDescent="0.45">
      <c r="A66" s="14" t="s">
        <v>248</v>
      </c>
      <c r="L66" s="9"/>
      <c r="M66" s="6">
        <v>0</v>
      </c>
      <c r="O66" s="6">
        <v>0</v>
      </c>
      <c r="Q66" s="6">
        <v>694641600</v>
      </c>
      <c r="S66" s="6">
        <v>694641600</v>
      </c>
      <c r="U66" s="10">
        <v>-3.7199272725583023E-2</v>
      </c>
    </row>
    <row r="67" spans="1:21" ht="18.75" x14ac:dyDescent="0.45">
      <c r="A67" s="14" t="s">
        <v>250</v>
      </c>
      <c r="L67" s="9"/>
      <c r="M67" s="6">
        <v>0</v>
      </c>
      <c r="O67" s="6">
        <v>0</v>
      </c>
      <c r="Q67" s="6">
        <v>6310789540</v>
      </c>
      <c r="S67" s="6">
        <v>6310789540</v>
      </c>
      <c r="U67" s="10">
        <v>-0.33795381850470319</v>
      </c>
    </row>
    <row r="68" spans="1:21" ht="18.75" x14ac:dyDescent="0.45">
      <c r="A68" s="14" t="s">
        <v>300</v>
      </c>
      <c r="L68" s="9"/>
      <c r="M68" s="6">
        <v>0</v>
      </c>
      <c r="O68" s="6">
        <v>0</v>
      </c>
      <c r="Q68" s="6">
        <v>-2458047700</v>
      </c>
      <c r="S68" s="6">
        <v>-2458047700</v>
      </c>
      <c r="U68" s="10">
        <v>0.1316327538759442</v>
      </c>
    </row>
    <row r="69" spans="1:21" ht="18.75" x14ac:dyDescent="0.45">
      <c r="A69" s="14" t="s">
        <v>252</v>
      </c>
      <c r="L69" s="9"/>
      <c r="M69" s="6">
        <v>0</v>
      </c>
      <c r="O69" s="6">
        <v>0</v>
      </c>
      <c r="Q69" s="6">
        <v>1736288324</v>
      </c>
      <c r="S69" s="6">
        <v>1736288324</v>
      </c>
      <c r="U69" s="10">
        <v>-9.2981276811986868E-2</v>
      </c>
    </row>
    <row r="70" spans="1:21" ht="18.75" x14ac:dyDescent="0.45">
      <c r="A70" s="14" t="s">
        <v>254</v>
      </c>
      <c r="L70" s="9"/>
      <c r="M70" s="6">
        <v>0</v>
      </c>
      <c r="O70" s="6">
        <v>0</v>
      </c>
      <c r="Q70" s="6">
        <v>-436957507</v>
      </c>
      <c r="S70" s="6">
        <v>-436957507</v>
      </c>
      <c r="U70" s="10">
        <v>2.3399838812394554E-2</v>
      </c>
    </row>
    <row r="71" spans="1:21" ht="18.75" x14ac:dyDescent="0.45">
      <c r="A71" s="14" t="s">
        <v>123</v>
      </c>
      <c r="L71" s="9"/>
      <c r="M71" s="6">
        <v>642857000</v>
      </c>
      <c r="O71" s="6">
        <v>0</v>
      </c>
      <c r="Q71" s="6">
        <v>901828280</v>
      </c>
      <c r="S71" s="6">
        <v>1544685280</v>
      </c>
      <c r="U71" s="10">
        <v>-8.2720598659673669E-2</v>
      </c>
    </row>
    <row r="72" spans="1:21" ht="18.75" x14ac:dyDescent="0.45">
      <c r="A72" s="14" t="s">
        <v>255</v>
      </c>
      <c r="L72" s="9"/>
      <c r="M72" s="6">
        <v>0</v>
      </c>
      <c r="O72" s="6">
        <v>0</v>
      </c>
      <c r="Q72" s="6">
        <v>2814038028</v>
      </c>
      <c r="S72" s="6">
        <v>2814038028</v>
      </c>
      <c r="U72" s="10">
        <v>-0.1506966586276057</v>
      </c>
    </row>
    <row r="73" spans="1:21" ht="18.75" x14ac:dyDescent="0.45">
      <c r="A73" s="14" t="s">
        <v>126</v>
      </c>
      <c r="L73" s="9"/>
      <c r="M73" s="6">
        <v>1344000000</v>
      </c>
      <c r="O73" s="6">
        <v>0</v>
      </c>
      <c r="Q73" s="6">
        <v>-4634389748</v>
      </c>
      <c r="S73" s="6">
        <v>-3290389748</v>
      </c>
      <c r="U73" s="10">
        <v>0.17620612645328815</v>
      </c>
    </row>
    <row r="74" spans="1:21" ht="18.75" x14ac:dyDescent="0.45">
      <c r="A74" s="14" t="s">
        <v>256</v>
      </c>
      <c r="L74" s="9"/>
      <c r="M74" s="6">
        <v>0</v>
      </c>
      <c r="O74" s="6">
        <v>0</v>
      </c>
      <c r="Q74" s="6">
        <v>597495097</v>
      </c>
      <c r="S74" s="6">
        <v>597495097</v>
      </c>
      <c r="U74" s="10">
        <v>-3.1996907564277297E-2</v>
      </c>
    </row>
    <row r="75" spans="1:21" ht="18.75" x14ac:dyDescent="0.45">
      <c r="A75" s="14" t="s">
        <v>128</v>
      </c>
      <c r="L75" s="9"/>
      <c r="M75" s="6">
        <v>225000000</v>
      </c>
      <c r="O75" s="6">
        <v>0</v>
      </c>
      <c r="Q75" s="6">
        <v>2133705317</v>
      </c>
      <c r="S75" s="6">
        <v>2358705317</v>
      </c>
      <c r="U75" s="10">
        <v>-0.12631279549967314</v>
      </c>
    </row>
    <row r="76" spans="1:21" ht="18.75" x14ac:dyDescent="0.45">
      <c r="A76" s="14" t="s">
        <v>257</v>
      </c>
      <c r="L76" s="9"/>
      <c r="M76" s="6">
        <v>0</v>
      </c>
      <c r="O76" s="6">
        <v>0</v>
      </c>
      <c r="Q76" s="6">
        <v>1447873382</v>
      </c>
      <c r="S76" s="6">
        <v>1447873382</v>
      </c>
      <c r="U76" s="10">
        <v>-7.7536152181398657E-2</v>
      </c>
    </row>
    <row r="77" spans="1:21" ht="18.75" x14ac:dyDescent="0.45">
      <c r="A77" s="14" t="s">
        <v>259</v>
      </c>
      <c r="L77" s="9"/>
      <c r="M77" s="6">
        <v>0</v>
      </c>
      <c r="O77" s="6">
        <v>0</v>
      </c>
      <c r="Q77" s="6">
        <v>157727</v>
      </c>
      <c r="S77" s="6">
        <v>157727</v>
      </c>
      <c r="U77" s="10">
        <v>-8.446556741185719E-6</v>
      </c>
    </row>
    <row r="78" spans="1:21" ht="18.75" x14ac:dyDescent="0.45">
      <c r="A78" s="14" t="s">
        <v>301</v>
      </c>
      <c r="L78" s="9"/>
      <c r="M78" s="6">
        <v>0</v>
      </c>
      <c r="O78" s="6">
        <v>0</v>
      </c>
      <c r="Q78" s="6">
        <v>-364180561</v>
      </c>
      <c r="S78" s="6">
        <v>-364180561</v>
      </c>
      <c r="U78" s="10">
        <v>1.9502506054913535E-2</v>
      </c>
    </row>
    <row r="79" spans="1:21" ht="18.75" x14ac:dyDescent="0.45">
      <c r="A79" s="14" t="s">
        <v>261</v>
      </c>
      <c r="L79" s="9"/>
      <c r="M79" s="6">
        <v>0</v>
      </c>
      <c r="O79" s="6">
        <v>0</v>
      </c>
      <c r="Q79" s="6">
        <v>-7535029565</v>
      </c>
      <c r="S79" s="6">
        <v>-7535029565</v>
      </c>
      <c r="U79" s="10">
        <v>0.40351401324620667</v>
      </c>
    </row>
    <row r="80" spans="1:21" ht="18.75" x14ac:dyDescent="0.45">
      <c r="A80" s="14" t="s">
        <v>132</v>
      </c>
      <c r="L80" s="9"/>
      <c r="M80" s="6">
        <v>296000000</v>
      </c>
      <c r="O80" s="6">
        <v>0</v>
      </c>
      <c r="Q80" s="6">
        <v>-1418258700</v>
      </c>
      <c r="S80" s="6">
        <v>-1122258700</v>
      </c>
      <c r="U80" s="10">
        <v>6.0098916405176797E-2</v>
      </c>
    </row>
    <row r="81" spans="1:21" ht="18.75" x14ac:dyDescent="0.45">
      <c r="A81" s="14" t="s">
        <v>262</v>
      </c>
      <c r="L81" s="9"/>
      <c r="M81" s="6">
        <v>0</v>
      </c>
      <c r="O81" s="6">
        <v>0</v>
      </c>
      <c r="Q81" s="6">
        <v>99830342</v>
      </c>
      <c r="S81" s="6">
        <v>99830342</v>
      </c>
      <c r="U81" s="10">
        <v>-5.346089434243825E-3</v>
      </c>
    </row>
    <row r="82" spans="1:21" ht="18.75" x14ac:dyDescent="0.45">
      <c r="A82" s="14" t="s">
        <v>263</v>
      </c>
      <c r="L82" s="9"/>
      <c r="M82" s="6">
        <v>0</v>
      </c>
      <c r="O82" s="6">
        <v>0</v>
      </c>
      <c r="Q82" s="6">
        <v>1102917532</v>
      </c>
      <c r="S82" s="6">
        <v>1102917532</v>
      </c>
      <c r="U82" s="10">
        <v>-5.9063163027804469E-2</v>
      </c>
    </row>
    <row r="83" spans="1:21" ht="18.75" x14ac:dyDescent="0.45">
      <c r="A83" s="14" t="s">
        <v>265</v>
      </c>
      <c r="L83" s="9"/>
      <c r="M83" s="6">
        <v>0</v>
      </c>
      <c r="O83" s="6">
        <v>0</v>
      </c>
      <c r="Q83" s="6">
        <v>2697705400</v>
      </c>
      <c r="S83" s="6">
        <v>2697705400</v>
      </c>
      <c r="U83" s="10">
        <v>-0.14446684291277406</v>
      </c>
    </row>
    <row r="84" spans="1:21" ht="18.75" x14ac:dyDescent="0.45">
      <c r="A84" s="14" t="s">
        <v>266</v>
      </c>
      <c r="L84" s="9"/>
      <c r="M84" s="6">
        <v>0</v>
      </c>
      <c r="O84" s="6">
        <v>0</v>
      </c>
      <c r="Q84" s="6">
        <v>-2496132153</v>
      </c>
      <c r="S84" s="6">
        <v>-2496132153</v>
      </c>
      <c r="U84" s="10">
        <v>0.13367224295024044</v>
      </c>
    </row>
    <row r="85" spans="1:21" ht="18.75" x14ac:dyDescent="0.45">
      <c r="A85" s="14" t="s">
        <v>302</v>
      </c>
      <c r="L85" s="9"/>
      <c r="M85" s="6">
        <v>0</v>
      </c>
      <c r="O85" s="6">
        <v>0</v>
      </c>
      <c r="Q85" s="6">
        <v>1118081095</v>
      </c>
      <c r="S85" s="6">
        <v>1118081095</v>
      </c>
      <c r="U85" s="10">
        <v>-5.9875198350089455E-2</v>
      </c>
    </row>
    <row r="86" spans="1:21" ht="18.75" x14ac:dyDescent="0.45">
      <c r="A86" s="14" t="s">
        <v>303</v>
      </c>
      <c r="L86" s="9"/>
      <c r="M86" s="6">
        <v>0</v>
      </c>
      <c r="O86" s="6">
        <v>0</v>
      </c>
      <c r="Q86" s="6">
        <v>-1517070806</v>
      </c>
      <c r="S86" s="6">
        <v>-1517070806</v>
      </c>
      <c r="U86" s="10">
        <v>8.1241795274590606E-2</v>
      </c>
    </row>
    <row r="87" spans="1:21" ht="19.5" thickBot="1" x14ac:dyDescent="0.5">
      <c r="A87" s="7" t="s">
        <v>68</v>
      </c>
      <c r="C87" s="7">
        <f>SUM(C9:$C$86)</f>
        <v>21233868375</v>
      </c>
      <c r="E87" s="7">
        <f>SUM(E9:$E$86)</f>
        <v>-82506134061</v>
      </c>
      <c r="G87" s="7">
        <f>SUM(G9:$G$86)</f>
        <v>-38684707496</v>
      </c>
      <c r="I87" s="7">
        <f>SUM(I9:$I$86)</f>
        <v>-99956973182</v>
      </c>
      <c r="K87" s="11">
        <f>SUM(K9:$K$86)</f>
        <v>1.0224159733948728</v>
      </c>
      <c r="M87" s="7">
        <f>SUM(M9:$M$86)</f>
        <v>60677918775</v>
      </c>
      <c r="O87" s="7">
        <f>SUM(O9:$O$86)</f>
        <v>-86522824790</v>
      </c>
      <c r="Q87" s="7">
        <f>SUM(Q9:$Q$86)</f>
        <v>-27407010990</v>
      </c>
      <c r="S87" s="7">
        <f>SUM(S9:$S$86)</f>
        <v>-53251917005</v>
      </c>
      <c r="U87" s="11">
        <f>SUM(U9:$U$86)</f>
        <v>2.8517333022224789</v>
      </c>
    </row>
    <row r="88" spans="1:21" ht="18.75" x14ac:dyDescent="0.45">
      <c r="C88" s="8"/>
      <c r="E88" s="8"/>
      <c r="G88" s="8"/>
      <c r="I88" s="8"/>
      <c r="K88" s="8"/>
      <c r="M88" s="8"/>
      <c r="O88" s="8"/>
      <c r="Q88" s="8"/>
      <c r="S88" s="8"/>
      <c r="U88" s="8"/>
    </row>
  </sheetData>
  <mergeCells count="6">
    <mergeCell ref="A1:U1"/>
    <mergeCell ref="A2:U2"/>
    <mergeCell ref="A3:U3"/>
    <mergeCell ref="A5:U5"/>
    <mergeCell ref="C7:K7"/>
    <mergeCell ref="M7:U7"/>
  </mergeCells>
  <pageMargins left="0.17" right="0.17" top="0.34" bottom="0.3" header="0.3" footer="0.3"/>
  <pageSetup paperSize="9" scale="6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2"/>
  <sheetViews>
    <sheetView rightToLeft="1" view="pageBreakPreview" zoomScale="85" zoomScaleNormal="100" zoomScaleSheetLayoutView="85" workbookViewId="0">
      <selection activeCell="I7" sqref="I7:M7"/>
    </sheetView>
  </sheetViews>
  <sheetFormatPr defaultRowHeight="18" x14ac:dyDescent="0.45"/>
  <cols>
    <col min="1" max="1" width="28.42578125" style="1" bestFit="1" customWidth="1"/>
    <col min="2" max="2" width="1.42578125" style="1" customWidth="1"/>
    <col min="3" max="3" width="22.5703125" style="1" bestFit="1" customWidth="1"/>
    <col min="4" max="4" width="1.42578125" style="1" customWidth="1"/>
    <col min="5" max="5" width="17" style="1" customWidth="1"/>
    <col min="6" max="6" width="1.42578125" style="1" customWidth="1"/>
    <col min="7" max="7" width="14.140625" style="1" customWidth="1"/>
    <col min="8" max="8" width="1.42578125" style="1" customWidth="1"/>
    <col min="9" max="9" width="17" style="1" customWidth="1"/>
    <col min="10" max="10" width="1.42578125" style="1" customWidth="1"/>
    <col min="11" max="11" width="14.140625" style="1" customWidth="1"/>
    <col min="12" max="16384" width="9.140625" style="1"/>
  </cols>
  <sheetData>
    <row r="1" spans="1:11" ht="20.100000000000001" customHeight="1" x14ac:dyDescent="0.4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0.100000000000001" customHeight="1" x14ac:dyDescent="0.45">
      <c r="A2" s="19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20.100000000000001" customHeight="1" x14ac:dyDescent="0.45">
      <c r="A3" s="19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5" spans="1:11" ht="21" x14ac:dyDescent="0.45">
      <c r="A5" s="20" t="s">
        <v>313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7" spans="1:11" ht="21" x14ac:dyDescent="0.45">
      <c r="A7" s="21" t="s">
        <v>304</v>
      </c>
      <c r="B7" s="22"/>
      <c r="C7" s="22"/>
      <c r="E7" s="21" t="str">
        <f>'4'!C7</f>
        <v>تغییرات طی مرداد ماه</v>
      </c>
      <c r="F7" s="22"/>
      <c r="G7" s="22"/>
      <c r="I7" s="21" t="str">
        <f>'4'!M7</f>
        <v>از ابتدای سال مالی تا 1404/05/31</v>
      </c>
      <c r="J7" s="22"/>
      <c r="K7" s="22"/>
    </row>
    <row r="8" spans="1:11" ht="42" x14ac:dyDescent="0.45">
      <c r="A8" s="4" t="s">
        <v>305</v>
      </c>
      <c r="C8" s="4" t="s">
        <v>74</v>
      </c>
      <c r="E8" s="4" t="s">
        <v>306</v>
      </c>
      <c r="G8" s="4" t="s">
        <v>315</v>
      </c>
      <c r="I8" s="4" t="s">
        <v>306</v>
      </c>
      <c r="K8" s="4" t="s">
        <v>315</v>
      </c>
    </row>
    <row r="9" spans="1:11" ht="18.75" x14ac:dyDescent="0.45">
      <c r="A9" s="5" t="s">
        <v>307</v>
      </c>
      <c r="C9" s="9" t="s">
        <v>82</v>
      </c>
      <c r="E9" s="6">
        <v>493656</v>
      </c>
      <c r="G9" s="10">
        <f>E9/E11</f>
        <v>2.4730231483490031E-4</v>
      </c>
      <c r="I9" s="6">
        <v>21041703</v>
      </c>
      <c r="K9" s="10">
        <f>I9/I11</f>
        <v>2.5599986122621268E-3</v>
      </c>
    </row>
    <row r="10" spans="1:11" ht="18.75" x14ac:dyDescent="0.45">
      <c r="A10" s="5" t="s">
        <v>308</v>
      </c>
      <c r="C10" s="9" t="s">
        <v>90</v>
      </c>
      <c r="E10" s="6">
        <v>1995670433</v>
      </c>
      <c r="G10" s="10">
        <f>E10/E11</f>
        <v>0.99975269768516506</v>
      </c>
      <c r="I10" s="6">
        <v>8198377987</v>
      </c>
      <c r="K10" s="10">
        <f>I10/I11</f>
        <v>0.99744000138773792</v>
      </c>
    </row>
    <row r="11" spans="1:11" ht="18.75" x14ac:dyDescent="0.45">
      <c r="A11" s="7" t="s">
        <v>68</v>
      </c>
      <c r="E11" s="7">
        <f>SUM(E9:$E$10)</f>
        <v>1996164089</v>
      </c>
      <c r="G11" s="11">
        <f>SUM(G9:$G$10)</f>
        <v>1</v>
      </c>
      <c r="I11" s="7">
        <f>SUM(I9:$I$10)</f>
        <v>8219419690</v>
      </c>
      <c r="K11" s="11">
        <f>SUM(K9:$K$10)</f>
        <v>1</v>
      </c>
    </row>
    <row r="12" spans="1:11" ht="18.75" x14ac:dyDescent="0.45">
      <c r="E12" s="8"/>
      <c r="G12" s="8"/>
      <c r="I12" s="8"/>
      <c r="K12" s="8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rightToLeft="1" view="pageBreakPreview" zoomScale="85" zoomScaleNormal="100" zoomScaleSheetLayoutView="85" workbookViewId="0">
      <selection activeCell="I7" sqref="I7:M7"/>
    </sheetView>
  </sheetViews>
  <sheetFormatPr defaultRowHeight="18" x14ac:dyDescent="0.45"/>
  <cols>
    <col min="1" max="1" width="33.7109375" style="1" customWidth="1"/>
    <col min="2" max="2" width="1.42578125" style="1" customWidth="1"/>
    <col min="3" max="3" width="25.85546875" style="1" customWidth="1"/>
    <col min="4" max="4" width="1.42578125" style="1" customWidth="1"/>
    <col min="5" max="5" width="29.7109375" style="1" bestFit="1" customWidth="1"/>
    <col min="6" max="16384" width="9.140625" style="1"/>
  </cols>
  <sheetData>
    <row r="1" spans="1:5" ht="20.100000000000001" customHeight="1" x14ac:dyDescent="0.45">
      <c r="A1" s="19" t="s">
        <v>0</v>
      </c>
      <c r="B1" s="18"/>
      <c r="C1" s="18"/>
      <c r="D1" s="18"/>
      <c r="E1" s="18"/>
    </row>
    <row r="2" spans="1:5" ht="20.100000000000001" customHeight="1" x14ac:dyDescent="0.45">
      <c r="A2" s="19" t="s">
        <v>93</v>
      </c>
      <c r="B2" s="18"/>
      <c r="C2" s="18"/>
      <c r="D2" s="18"/>
      <c r="E2" s="18"/>
    </row>
    <row r="3" spans="1:5" ht="20.100000000000001" customHeight="1" x14ac:dyDescent="0.45">
      <c r="A3" s="19" t="s">
        <v>2</v>
      </c>
      <c r="B3" s="18"/>
      <c r="C3" s="18"/>
      <c r="D3" s="18"/>
      <c r="E3" s="18"/>
    </row>
    <row r="5" spans="1:5" ht="21" x14ac:dyDescent="0.45">
      <c r="A5" s="20" t="s">
        <v>314</v>
      </c>
      <c r="B5" s="18"/>
      <c r="C5" s="18"/>
      <c r="D5" s="18"/>
      <c r="E5" s="18"/>
    </row>
    <row r="7" spans="1:5" ht="21" x14ac:dyDescent="0.45">
      <c r="C7" s="3" t="str">
        <f>'5'!E7</f>
        <v>تغییرات طی مرداد ماه</v>
      </c>
      <c r="E7" s="3" t="str">
        <f>'5'!I7</f>
        <v>از ابتدای سال مالی تا 1404/05/31</v>
      </c>
    </row>
    <row r="8" spans="1:5" ht="21" x14ac:dyDescent="0.45">
      <c r="A8" s="4" t="s">
        <v>104</v>
      </c>
      <c r="C8" s="4" t="s">
        <v>78</v>
      </c>
      <c r="E8" s="4" t="s">
        <v>78</v>
      </c>
    </row>
    <row r="9" spans="1:5" ht="18.75" x14ac:dyDescent="0.45">
      <c r="A9" s="5" t="s">
        <v>309</v>
      </c>
      <c r="C9" s="6">
        <v>21572798</v>
      </c>
      <c r="E9" s="6">
        <v>140615461</v>
      </c>
    </row>
    <row r="10" spans="1:5" ht="18.75" x14ac:dyDescent="0.45">
      <c r="A10" s="7" t="s">
        <v>68</v>
      </c>
      <c r="C10" s="7">
        <f>SUM(C9:$C$9)</f>
        <v>21572798</v>
      </c>
      <c r="E10" s="7">
        <f>SUM(E9:$E$9)</f>
        <v>140615461</v>
      </c>
    </row>
    <row r="11" spans="1:5" ht="18.75" x14ac:dyDescent="0.45">
      <c r="C11" s="8"/>
      <c r="E11" s="8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scale="9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47"/>
  <sheetViews>
    <sheetView rightToLeft="1" view="pageBreakPreview" zoomScale="60" zoomScaleNormal="100" workbookViewId="0">
      <selection activeCell="I7" sqref="I7:M7"/>
    </sheetView>
  </sheetViews>
  <sheetFormatPr defaultRowHeight="18" x14ac:dyDescent="0.45"/>
  <cols>
    <col min="1" max="1" width="26.140625" style="1" bestFit="1" customWidth="1"/>
    <col min="2" max="2" width="1.42578125" style="1" customWidth="1"/>
    <col min="3" max="3" width="12.5703125" style="1" bestFit="1" customWidth="1"/>
    <col min="4" max="4" width="1.42578125" style="1" customWidth="1"/>
    <col min="5" max="5" width="17.5703125" style="1" bestFit="1" customWidth="1"/>
    <col min="6" max="6" width="1.42578125" style="1" customWidth="1"/>
    <col min="7" max="7" width="10.5703125" style="1" bestFit="1" customWidth="1"/>
    <col min="8" max="8" width="1.42578125" style="1" customWidth="1"/>
    <col min="9" max="9" width="16.85546875" style="1" bestFit="1" customWidth="1"/>
    <col min="10" max="10" width="1.42578125" style="1" customWidth="1"/>
    <col min="11" max="11" width="16.5703125" style="1" bestFit="1" customWidth="1"/>
    <col min="12" max="12" width="1.42578125" style="1" customWidth="1"/>
    <col min="13" max="13" width="16.85546875" style="1" bestFit="1" customWidth="1"/>
    <col min="14" max="14" width="1.42578125" style="1" customWidth="1"/>
    <col min="15" max="15" width="16.5703125" style="1" bestFit="1" customWidth="1"/>
    <col min="16" max="16" width="1.42578125" style="1" customWidth="1"/>
    <col min="17" max="17" width="16.28515625" style="1" bestFit="1" customWidth="1"/>
    <col min="18" max="18" width="1.42578125" style="1" customWidth="1"/>
    <col min="19" max="19" width="16.5703125" style="1" bestFit="1" customWidth="1"/>
    <col min="20" max="16384" width="9.140625" style="1"/>
  </cols>
  <sheetData>
    <row r="1" spans="1:19" ht="20.100000000000001" customHeight="1" x14ac:dyDescent="0.4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20.100000000000001" customHeight="1" x14ac:dyDescent="0.45">
      <c r="A2" s="19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ht="20.100000000000001" customHeight="1" x14ac:dyDescent="0.45">
      <c r="A3" s="19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5" spans="1:19" ht="21" x14ac:dyDescent="0.45">
      <c r="A5" s="20" t="s">
        <v>105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7" spans="1:19" ht="21" x14ac:dyDescent="0.45">
      <c r="C7" s="21" t="s">
        <v>106</v>
      </c>
      <c r="D7" s="22"/>
      <c r="E7" s="22"/>
      <c r="F7" s="22"/>
      <c r="G7" s="22"/>
      <c r="I7" s="21" t="s">
        <v>312</v>
      </c>
      <c r="J7" s="22"/>
      <c r="K7" s="22"/>
      <c r="L7" s="22"/>
      <c r="M7" s="22"/>
      <c r="O7" s="21" t="str">
        <f>'3'!E6</f>
        <v>از ابتدای سال مالی تا 1404/05/31</v>
      </c>
      <c r="P7" s="22"/>
      <c r="Q7" s="22"/>
      <c r="R7" s="22"/>
      <c r="S7" s="22"/>
    </row>
    <row r="8" spans="1:19" ht="42" x14ac:dyDescent="0.45">
      <c r="A8" s="3" t="s">
        <v>69</v>
      </c>
      <c r="C8" s="4" t="s">
        <v>107</v>
      </c>
      <c r="E8" s="4" t="s">
        <v>108</v>
      </c>
      <c r="G8" s="4" t="s">
        <v>109</v>
      </c>
      <c r="I8" s="4" t="s">
        <v>110</v>
      </c>
      <c r="K8" s="4" t="s">
        <v>111</v>
      </c>
      <c r="M8" s="4" t="s">
        <v>112</v>
      </c>
      <c r="O8" s="4" t="s">
        <v>110</v>
      </c>
      <c r="Q8" s="4" t="s">
        <v>111</v>
      </c>
      <c r="S8" s="4" t="s">
        <v>112</v>
      </c>
    </row>
    <row r="9" spans="1:19" ht="18.75" x14ac:dyDescent="0.45">
      <c r="A9" s="14" t="s">
        <v>25</v>
      </c>
      <c r="C9" s="9" t="s">
        <v>113</v>
      </c>
      <c r="E9" s="6">
        <v>1000000</v>
      </c>
      <c r="G9" s="6">
        <v>637</v>
      </c>
      <c r="N9" s="9"/>
      <c r="O9" s="6">
        <v>637000000</v>
      </c>
      <c r="Q9" s="6">
        <v>0</v>
      </c>
      <c r="S9" s="6">
        <v>637000000</v>
      </c>
    </row>
    <row r="10" spans="1:19" ht="18.75" x14ac:dyDescent="0.45">
      <c r="A10" s="14" t="s">
        <v>26</v>
      </c>
      <c r="C10" s="9" t="s">
        <v>114</v>
      </c>
      <c r="E10" s="6">
        <v>5242039</v>
      </c>
      <c r="G10" s="6">
        <v>240</v>
      </c>
      <c r="N10" s="9"/>
      <c r="O10" s="6">
        <v>1258089360</v>
      </c>
      <c r="Q10" s="6">
        <v>0</v>
      </c>
      <c r="S10" s="6">
        <v>1258089360</v>
      </c>
    </row>
    <row r="11" spans="1:19" ht="18.75" x14ac:dyDescent="0.45">
      <c r="A11" s="14" t="s">
        <v>28</v>
      </c>
      <c r="C11" s="9" t="s">
        <v>5</v>
      </c>
      <c r="E11" s="6">
        <v>26466235</v>
      </c>
      <c r="G11" s="6">
        <v>11</v>
      </c>
      <c r="I11" s="6">
        <v>291128585</v>
      </c>
      <c r="K11" s="6">
        <v>0</v>
      </c>
      <c r="M11" s="6">
        <v>291128585</v>
      </c>
      <c r="O11" s="6">
        <v>291128585</v>
      </c>
      <c r="Q11" s="6">
        <v>0</v>
      </c>
      <c r="S11" s="6">
        <v>291128585</v>
      </c>
    </row>
    <row r="12" spans="1:19" ht="18.75" x14ac:dyDescent="0.45">
      <c r="A12" s="14" t="s">
        <v>29</v>
      </c>
      <c r="C12" s="9" t="s">
        <v>5</v>
      </c>
      <c r="E12" s="6">
        <v>20000000</v>
      </c>
      <c r="G12" s="6">
        <v>90</v>
      </c>
      <c r="I12" s="6">
        <v>1800000000</v>
      </c>
      <c r="K12" s="6">
        <v>0</v>
      </c>
      <c r="M12" s="6">
        <v>1800000000</v>
      </c>
      <c r="O12" s="6">
        <v>1800000000</v>
      </c>
      <c r="Q12" s="6">
        <v>0</v>
      </c>
      <c r="S12" s="6">
        <v>1800000000</v>
      </c>
    </row>
    <row r="13" spans="1:19" ht="18.75" x14ac:dyDescent="0.45">
      <c r="A13" s="14" t="s">
        <v>115</v>
      </c>
      <c r="C13" s="9" t="s">
        <v>116</v>
      </c>
      <c r="E13" s="6">
        <v>1700000</v>
      </c>
      <c r="G13" s="6">
        <v>560</v>
      </c>
      <c r="N13" s="9"/>
      <c r="O13" s="6">
        <v>952000000</v>
      </c>
      <c r="Q13" s="6">
        <v>0</v>
      </c>
      <c r="S13" s="6">
        <v>952000000</v>
      </c>
    </row>
    <row r="14" spans="1:19" ht="18.75" x14ac:dyDescent="0.45">
      <c r="A14" s="14" t="s">
        <v>117</v>
      </c>
      <c r="C14" s="9" t="s">
        <v>118</v>
      </c>
      <c r="E14" s="6">
        <v>285750</v>
      </c>
      <c r="G14" s="6">
        <v>4400</v>
      </c>
      <c r="N14" s="9"/>
      <c r="O14" s="6">
        <v>1257300000</v>
      </c>
      <c r="Q14" s="6">
        <v>0</v>
      </c>
      <c r="S14" s="6">
        <v>1257300000</v>
      </c>
    </row>
    <row r="15" spans="1:19" ht="18.75" x14ac:dyDescent="0.45">
      <c r="A15" s="14" t="s">
        <v>30</v>
      </c>
      <c r="C15" s="9" t="s">
        <v>119</v>
      </c>
      <c r="E15" s="6">
        <v>3800000</v>
      </c>
      <c r="G15" s="6">
        <v>170</v>
      </c>
      <c r="N15" s="9"/>
      <c r="O15" s="6">
        <v>646000000</v>
      </c>
      <c r="Q15" s="6">
        <v>-80217157</v>
      </c>
      <c r="S15" s="6">
        <v>565782843</v>
      </c>
    </row>
    <row r="16" spans="1:19" ht="18.75" x14ac:dyDescent="0.45">
      <c r="A16" s="14" t="s">
        <v>120</v>
      </c>
      <c r="C16" s="9" t="s">
        <v>121</v>
      </c>
      <c r="E16" s="6">
        <v>900000</v>
      </c>
      <c r="G16" s="6">
        <v>325</v>
      </c>
      <c r="N16" s="9"/>
      <c r="O16" s="6">
        <v>292500000</v>
      </c>
      <c r="Q16" s="6">
        <v>0</v>
      </c>
      <c r="S16" s="6">
        <v>292500000</v>
      </c>
    </row>
    <row r="17" spans="1:19" ht="18.75" x14ac:dyDescent="0.45">
      <c r="A17" s="14" t="s">
        <v>34</v>
      </c>
      <c r="C17" s="9" t="s">
        <v>122</v>
      </c>
      <c r="E17" s="6">
        <v>4279048</v>
      </c>
      <c r="G17" s="6">
        <v>1170</v>
      </c>
      <c r="N17" s="9"/>
      <c r="O17" s="6">
        <v>5006486160</v>
      </c>
      <c r="Q17" s="6">
        <v>0</v>
      </c>
      <c r="S17" s="6">
        <v>5006486160</v>
      </c>
    </row>
    <row r="18" spans="1:19" ht="18.75" x14ac:dyDescent="0.45">
      <c r="A18" s="14" t="s">
        <v>123</v>
      </c>
      <c r="C18" s="9" t="s">
        <v>124</v>
      </c>
      <c r="E18" s="6">
        <v>1285714</v>
      </c>
      <c r="G18" s="6">
        <v>500</v>
      </c>
      <c r="N18" s="9"/>
      <c r="O18" s="6">
        <v>642857000</v>
      </c>
      <c r="Q18" s="6">
        <v>0</v>
      </c>
      <c r="S18" s="6">
        <v>642857000</v>
      </c>
    </row>
    <row r="19" spans="1:19" ht="18.75" x14ac:dyDescent="0.45">
      <c r="A19" s="14" t="s">
        <v>37</v>
      </c>
      <c r="C19" s="9" t="s">
        <v>125</v>
      </c>
      <c r="E19" s="6">
        <v>2000000</v>
      </c>
      <c r="G19" s="6">
        <v>1050</v>
      </c>
      <c r="N19" s="9"/>
      <c r="O19" s="6">
        <v>2100000000</v>
      </c>
      <c r="Q19" s="6">
        <v>-259663866</v>
      </c>
      <c r="S19" s="6">
        <v>1840336134</v>
      </c>
    </row>
    <row r="20" spans="1:19" ht="18.75" x14ac:dyDescent="0.45">
      <c r="A20" s="14" t="s">
        <v>126</v>
      </c>
      <c r="C20" s="9" t="s">
        <v>127</v>
      </c>
      <c r="E20" s="6">
        <v>2400000</v>
      </c>
      <c r="G20" s="6">
        <v>560</v>
      </c>
      <c r="N20" s="9"/>
      <c r="O20" s="6">
        <v>1344000000</v>
      </c>
      <c r="Q20" s="6">
        <v>0</v>
      </c>
      <c r="S20" s="6">
        <v>1344000000</v>
      </c>
    </row>
    <row r="21" spans="1:19" ht="18.75" x14ac:dyDescent="0.45">
      <c r="A21" s="14" t="s">
        <v>128</v>
      </c>
      <c r="C21" s="9" t="s">
        <v>129</v>
      </c>
      <c r="E21" s="6">
        <v>1500000</v>
      </c>
      <c r="G21" s="6">
        <v>150</v>
      </c>
      <c r="N21" s="9"/>
      <c r="O21" s="6">
        <v>225000000</v>
      </c>
      <c r="Q21" s="6">
        <v>-26510574</v>
      </c>
      <c r="S21" s="6">
        <v>198489426</v>
      </c>
    </row>
    <row r="22" spans="1:19" ht="18.75" x14ac:dyDescent="0.45">
      <c r="A22" s="14" t="s">
        <v>38</v>
      </c>
      <c r="C22" s="9" t="s">
        <v>125</v>
      </c>
      <c r="E22" s="6">
        <v>1875000</v>
      </c>
      <c r="G22" s="6">
        <v>300</v>
      </c>
      <c r="N22" s="9"/>
      <c r="O22" s="6">
        <v>562500000</v>
      </c>
      <c r="Q22" s="6">
        <v>-69552821</v>
      </c>
      <c r="S22" s="6">
        <v>492947179</v>
      </c>
    </row>
    <row r="23" spans="1:19" ht="18.75" x14ac:dyDescent="0.45">
      <c r="A23" s="14" t="s">
        <v>40</v>
      </c>
      <c r="C23" s="9" t="s">
        <v>130</v>
      </c>
      <c r="E23" s="6">
        <v>650000</v>
      </c>
      <c r="G23" s="6">
        <v>2390</v>
      </c>
      <c r="I23" s="6">
        <v>1553500000</v>
      </c>
      <c r="K23" s="6">
        <v>0</v>
      </c>
      <c r="M23" s="6">
        <v>1553500000</v>
      </c>
      <c r="O23" s="6">
        <v>1553500000</v>
      </c>
      <c r="Q23" s="6">
        <v>0</v>
      </c>
      <c r="S23" s="6">
        <v>1553500000</v>
      </c>
    </row>
    <row r="24" spans="1:19" ht="18.75" x14ac:dyDescent="0.45">
      <c r="A24" s="14" t="s">
        <v>41</v>
      </c>
      <c r="C24" s="9" t="s">
        <v>131</v>
      </c>
      <c r="E24" s="6">
        <v>17000000</v>
      </c>
      <c r="G24" s="6">
        <v>280</v>
      </c>
      <c r="I24" s="6">
        <v>4760000000</v>
      </c>
      <c r="K24" s="6">
        <v>-628252081</v>
      </c>
      <c r="M24" s="6">
        <v>4131747919</v>
      </c>
      <c r="O24" s="6">
        <v>4760000000</v>
      </c>
      <c r="Q24" s="6">
        <v>-628252081</v>
      </c>
      <c r="S24" s="6">
        <v>4131747919</v>
      </c>
    </row>
    <row r="25" spans="1:19" ht="18.75" x14ac:dyDescent="0.45">
      <c r="A25" s="14" t="s">
        <v>132</v>
      </c>
      <c r="C25" s="9" t="s">
        <v>133</v>
      </c>
      <c r="E25" s="6">
        <v>200000</v>
      </c>
      <c r="G25" s="6">
        <v>1480</v>
      </c>
      <c r="N25" s="9"/>
      <c r="O25" s="6">
        <v>296000000</v>
      </c>
      <c r="Q25" s="6">
        <v>-31681957</v>
      </c>
      <c r="S25" s="6">
        <v>264318043</v>
      </c>
    </row>
    <row r="26" spans="1:19" ht="18.75" x14ac:dyDescent="0.45">
      <c r="A26" s="14" t="s">
        <v>44</v>
      </c>
      <c r="C26" s="9" t="s">
        <v>134</v>
      </c>
      <c r="E26" s="6">
        <v>29010652</v>
      </c>
      <c r="G26" s="6">
        <v>40</v>
      </c>
      <c r="N26" s="9"/>
      <c r="O26" s="6">
        <v>1160426080</v>
      </c>
      <c r="Q26" s="6">
        <v>-133624821</v>
      </c>
      <c r="S26" s="6">
        <v>1026801259</v>
      </c>
    </row>
    <row r="27" spans="1:19" ht="18.75" x14ac:dyDescent="0.45">
      <c r="A27" s="14" t="s">
        <v>45</v>
      </c>
      <c r="C27" s="9" t="s">
        <v>135</v>
      </c>
      <c r="E27" s="6">
        <v>175000</v>
      </c>
      <c r="G27" s="6">
        <v>1500</v>
      </c>
      <c r="I27" s="6">
        <v>262500000</v>
      </c>
      <c r="K27" s="6">
        <v>-33966905</v>
      </c>
      <c r="M27" s="6">
        <v>228533095</v>
      </c>
      <c r="O27" s="6">
        <v>262500000</v>
      </c>
      <c r="Q27" s="6">
        <v>-33966905</v>
      </c>
      <c r="S27" s="6">
        <v>228533095</v>
      </c>
    </row>
    <row r="28" spans="1:19" ht="18.75" x14ac:dyDescent="0.45">
      <c r="A28" s="14" t="s">
        <v>46</v>
      </c>
      <c r="C28" s="9" t="s">
        <v>5</v>
      </c>
      <c r="E28" s="6">
        <v>12000000</v>
      </c>
      <c r="G28" s="6">
        <v>370</v>
      </c>
      <c r="I28" s="6">
        <v>4440000000</v>
      </c>
      <c r="K28" s="6">
        <v>0</v>
      </c>
      <c r="M28" s="6">
        <v>4440000000</v>
      </c>
      <c r="O28" s="6">
        <v>4440000000</v>
      </c>
      <c r="Q28" s="6">
        <v>0</v>
      </c>
      <c r="S28" s="6">
        <v>4440000000</v>
      </c>
    </row>
    <row r="29" spans="1:19" ht="18.75" x14ac:dyDescent="0.45">
      <c r="A29" s="14" t="s">
        <v>48</v>
      </c>
      <c r="C29" s="9" t="s">
        <v>136</v>
      </c>
      <c r="E29" s="6">
        <v>9250000</v>
      </c>
      <c r="G29" s="6">
        <v>360</v>
      </c>
      <c r="N29" s="9"/>
      <c r="O29" s="6">
        <v>3330000000</v>
      </c>
      <c r="Q29" s="6">
        <v>-415251799</v>
      </c>
      <c r="S29" s="6">
        <v>2914748201</v>
      </c>
    </row>
    <row r="30" spans="1:19" ht="18.75" x14ac:dyDescent="0.45">
      <c r="A30" s="14" t="s">
        <v>49</v>
      </c>
      <c r="C30" s="9" t="s">
        <v>135</v>
      </c>
      <c r="E30" s="6">
        <v>1400000</v>
      </c>
      <c r="G30" s="6">
        <v>936</v>
      </c>
      <c r="I30" s="6">
        <v>1310400000</v>
      </c>
      <c r="K30" s="6">
        <v>-169562791</v>
      </c>
      <c r="M30" s="6">
        <v>1140837209</v>
      </c>
      <c r="O30" s="6">
        <v>1310400000</v>
      </c>
      <c r="Q30" s="6">
        <v>-169562791</v>
      </c>
      <c r="S30" s="6">
        <v>1140837209</v>
      </c>
    </row>
    <row r="31" spans="1:19" ht="18.75" x14ac:dyDescent="0.45">
      <c r="A31" s="14" t="s">
        <v>50</v>
      </c>
      <c r="C31" s="9" t="s">
        <v>136</v>
      </c>
      <c r="E31" s="6">
        <v>400000</v>
      </c>
      <c r="G31" s="6">
        <v>1050</v>
      </c>
      <c r="N31" s="9"/>
      <c r="O31" s="6">
        <v>420000000</v>
      </c>
      <c r="Q31" s="6">
        <v>-52374101</v>
      </c>
      <c r="S31" s="6">
        <v>367625899</v>
      </c>
    </row>
    <row r="32" spans="1:19" ht="18.75" x14ac:dyDescent="0.45">
      <c r="A32" s="14" t="s">
        <v>51</v>
      </c>
      <c r="C32" s="9" t="s">
        <v>125</v>
      </c>
      <c r="E32" s="6">
        <v>650000</v>
      </c>
      <c r="G32" s="6">
        <v>1997</v>
      </c>
      <c r="N32" s="9"/>
      <c r="O32" s="6">
        <v>1298050000</v>
      </c>
      <c r="Q32" s="6">
        <v>-160503181</v>
      </c>
      <c r="S32" s="6">
        <v>1137546819</v>
      </c>
    </row>
    <row r="33" spans="1:19" ht="18.75" x14ac:dyDescent="0.45">
      <c r="A33" s="14" t="s">
        <v>52</v>
      </c>
      <c r="C33" s="9" t="s">
        <v>130</v>
      </c>
      <c r="E33" s="6">
        <v>5685981</v>
      </c>
      <c r="G33" s="6">
        <v>190</v>
      </c>
      <c r="I33" s="6">
        <v>1080336390</v>
      </c>
      <c r="K33" s="6">
        <v>0</v>
      </c>
      <c r="M33" s="6">
        <v>1080336390</v>
      </c>
      <c r="O33" s="6">
        <v>1080336390</v>
      </c>
      <c r="Q33" s="6">
        <v>0</v>
      </c>
      <c r="S33" s="6">
        <v>1080336390</v>
      </c>
    </row>
    <row r="34" spans="1:19" ht="18.75" x14ac:dyDescent="0.45">
      <c r="A34" s="14" t="s">
        <v>53</v>
      </c>
      <c r="C34" s="9" t="s">
        <v>137</v>
      </c>
      <c r="E34" s="6">
        <v>607000</v>
      </c>
      <c r="G34" s="6">
        <v>7240</v>
      </c>
      <c r="N34" s="9"/>
      <c r="O34" s="6">
        <v>4394680000</v>
      </c>
      <c r="Q34" s="6">
        <v>0</v>
      </c>
      <c r="S34" s="6">
        <v>4394680000</v>
      </c>
    </row>
    <row r="35" spans="1:19" ht="18.75" x14ac:dyDescent="0.45">
      <c r="A35" s="14" t="s">
        <v>54</v>
      </c>
      <c r="C35" s="9" t="s">
        <v>138</v>
      </c>
      <c r="E35" s="6">
        <v>4850000</v>
      </c>
      <c r="G35" s="6">
        <v>390</v>
      </c>
      <c r="N35" s="9"/>
      <c r="O35" s="6">
        <v>1891500000</v>
      </c>
      <c r="Q35" s="6">
        <v>-176226708</v>
      </c>
      <c r="S35" s="6">
        <v>1715273292</v>
      </c>
    </row>
    <row r="36" spans="1:19" ht="18.75" x14ac:dyDescent="0.45">
      <c r="A36" s="14" t="s">
        <v>55</v>
      </c>
      <c r="C36" s="9" t="s">
        <v>119</v>
      </c>
      <c r="E36" s="6">
        <v>219974</v>
      </c>
      <c r="G36" s="6">
        <v>8363</v>
      </c>
      <c r="N36" s="9"/>
      <c r="O36" s="6">
        <v>1839640000</v>
      </c>
      <c r="Q36" s="6">
        <v>-228437600</v>
      </c>
      <c r="S36" s="6">
        <v>1611202400</v>
      </c>
    </row>
    <row r="37" spans="1:19" ht="18.75" x14ac:dyDescent="0.45">
      <c r="A37" s="14" t="s">
        <v>56</v>
      </c>
      <c r="C37" s="9" t="s">
        <v>125</v>
      </c>
      <c r="E37" s="6">
        <v>227029</v>
      </c>
      <c r="G37" s="6">
        <v>4200</v>
      </c>
      <c r="N37" s="9"/>
      <c r="O37" s="6">
        <v>953521800</v>
      </c>
      <c r="Q37" s="6">
        <v>-117902455</v>
      </c>
      <c r="S37" s="6">
        <v>835619345</v>
      </c>
    </row>
    <row r="38" spans="1:19" ht="18.75" x14ac:dyDescent="0.45">
      <c r="A38" s="14" t="s">
        <v>57</v>
      </c>
      <c r="C38" s="9" t="s">
        <v>139</v>
      </c>
      <c r="E38" s="6">
        <v>500000</v>
      </c>
      <c r="G38" s="6">
        <v>4984</v>
      </c>
      <c r="I38" s="6">
        <v>2492000000</v>
      </c>
      <c r="K38" s="6">
        <v>-326333333</v>
      </c>
      <c r="M38" s="6">
        <v>2165666667</v>
      </c>
      <c r="O38" s="6">
        <v>2492000000</v>
      </c>
      <c r="Q38" s="6">
        <v>-326333333</v>
      </c>
      <c r="S38" s="6">
        <v>2165666667</v>
      </c>
    </row>
    <row r="39" spans="1:19" ht="18.75" x14ac:dyDescent="0.45">
      <c r="A39" s="14" t="s">
        <v>58</v>
      </c>
      <c r="C39" s="9" t="s">
        <v>135</v>
      </c>
      <c r="E39" s="6">
        <v>700001</v>
      </c>
      <c r="G39" s="6">
        <v>3400</v>
      </c>
      <c r="I39" s="6">
        <v>2380003400</v>
      </c>
      <c r="K39" s="6">
        <v>0</v>
      </c>
      <c r="M39" s="6">
        <v>2380003400</v>
      </c>
      <c r="O39" s="6">
        <v>2380003400</v>
      </c>
      <c r="Q39" s="6">
        <v>0</v>
      </c>
      <c r="S39" s="6">
        <v>2380003400</v>
      </c>
    </row>
    <row r="40" spans="1:19" ht="18.75" x14ac:dyDescent="0.45">
      <c r="A40" s="14" t="s">
        <v>59</v>
      </c>
      <c r="C40" s="9" t="s">
        <v>5</v>
      </c>
      <c r="E40" s="6">
        <v>5400000</v>
      </c>
      <c r="G40" s="6">
        <v>160</v>
      </c>
      <c r="I40" s="6">
        <v>864000000</v>
      </c>
      <c r="K40" s="6">
        <v>0</v>
      </c>
      <c r="M40" s="6">
        <v>864000000</v>
      </c>
      <c r="O40" s="6">
        <v>864000000</v>
      </c>
      <c r="Q40" s="6">
        <v>0</v>
      </c>
      <c r="S40" s="6">
        <v>864000000</v>
      </c>
    </row>
    <row r="41" spans="1:19" ht="18.75" x14ac:dyDescent="0.45">
      <c r="A41" s="14" t="s">
        <v>62</v>
      </c>
      <c r="C41" s="9" t="s">
        <v>140</v>
      </c>
      <c r="E41" s="6">
        <v>350000</v>
      </c>
      <c r="G41" s="6">
        <v>5330</v>
      </c>
      <c r="N41" s="9"/>
      <c r="O41" s="6">
        <v>1865500000</v>
      </c>
      <c r="Q41" s="6">
        <v>-153601823</v>
      </c>
      <c r="S41" s="6">
        <v>1711898177</v>
      </c>
    </row>
    <row r="42" spans="1:19" ht="18.75" x14ac:dyDescent="0.45">
      <c r="A42" s="14" t="s">
        <v>63</v>
      </c>
      <c r="C42" s="9" t="s">
        <v>119</v>
      </c>
      <c r="E42" s="6">
        <v>2000000</v>
      </c>
      <c r="G42" s="6">
        <v>1624</v>
      </c>
      <c r="N42" s="9"/>
      <c r="O42" s="6">
        <v>3248000000</v>
      </c>
      <c r="Q42" s="6">
        <v>0</v>
      </c>
      <c r="S42" s="6">
        <v>3248000000</v>
      </c>
    </row>
    <row r="43" spans="1:19" ht="18.75" x14ac:dyDescent="0.45">
      <c r="A43" s="14" t="s">
        <v>64</v>
      </c>
      <c r="C43" s="9" t="s">
        <v>141</v>
      </c>
      <c r="E43" s="6">
        <v>100000</v>
      </c>
      <c r="G43" s="6">
        <v>2350</v>
      </c>
      <c r="N43" s="9"/>
      <c r="O43" s="6">
        <v>235000000</v>
      </c>
      <c r="Q43" s="6">
        <v>0</v>
      </c>
      <c r="S43" s="6">
        <v>235000000</v>
      </c>
    </row>
    <row r="44" spans="1:19" ht="18.75" x14ac:dyDescent="0.45">
      <c r="A44" s="14" t="s">
        <v>66</v>
      </c>
      <c r="C44" s="9" t="s">
        <v>142</v>
      </c>
      <c r="E44" s="6">
        <v>5200000</v>
      </c>
      <c r="G44" s="6">
        <v>380</v>
      </c>
      <c r="N44" s="9"/>
      <c r="O44" s="6">
        <v>1976000000</v>
      </c>
      <c r="Q44" s="6">
        <v>-239118603</v>
      </c>
      <c r="S44" s="6">
        <v>1736881397</v>
      </c>
    </row>
    <row r="45" spans="1:19" ht="18.75" x14ac:dyDescent="0.45">
      <c r="A45" s="14" t="s">
        <v>67</v>
      </c>
      <c r="C45" s="9" t="s">
        <v>142</v>
      </c>
      <c r="E45" s="6">
        <v>5200000</v>
      </c>
      <c r="G45" s="6">
        <v>310</v>
      </c>
      <c r="N45" s="9"/>
      <c r="O45" s="6">
        <v>1612000000</v>
      </c>
      <c r="Q45" s="6">
        <v>-113420813</v>
      </c>
      <c r="S45" s="6">
        <v>1498579187</v>
      </c>
    </row>
    <row r="46" spans="1:19" ht="19.5" thickBot="1" x14ac:dyDescent="0.5">
      <c r="A46" s="7" t="s">
        <v>68</v>
      </c>
      <c r="I46" s="7">
        <f>SUM(I9:$I$45)</f>
        <v>21233868375</v>
      </c>
      <c r="K46" s="7">
        <f>SUM(K9:$K$45)</f>
        <v>-1158115110</v>
      </c>
      <c r="M46" s="7">
        <f>SUM(M9:$M$45)</f>
        <v>20075753265</v>
      </c>
      <c r="O46" s="7">
        <f>SUM(O9:$O$45)</f>
        <v>60677918775</v>
      </c>
      <c r="Q46" s="7">
        <f>SUM(Q9:$Q$45)</f>
        <v>-3416203389</v>
      </c>
      <c r="S46" s="7">
        <f>SUM(S9:$S$45)</f>
        <v>57261715386</v>
      </c>
    </row>
    <row r="47" spans="1:19" ht="18.75" x14ac:dyDescent="0.45">
      <c r="I47" s="8"/>
      <c r="K47" s="8"/>
      <c r="M47" s="8"/>
      <c r="O47" s="8"/>
      <c r="Q47" s="8"/>
      <c r="S47" s="8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17" right="0.17" top="0.35" bottom="0.32" header="0.3" footer="0.3"/>
  <pageSetup paperSize="9" scale="8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80"/>
  <sheetViews>
    <sheetView rightToLeft="1" view="pageBreakPreview" zoomScale="60" zoomScaleNormal="100" workbookViewId="0">
      <selection activeCell="I7" sqref="I7:M7"/>
    </sheetView>
  </sheetViews>
  <sheetFormatPr defaultRowHeight="18" x14ac:dyDescent="0.45"/>
  <cols>
    <col min="1" max="1" width="30.42578125" style="1" bestFit="1" customWidth="1"/>
    <col min="2" max="2" width="1.42578125" style="1" customWidth="1"/>
    <col min="3" max="3" width="14" style="1" bestFit="1" customWidth="1"/>
    <col min="4" max="4" width="1.42578125" style="1" customWidth="1"/>
    <col min="5" max="5" width="18.28515625" style="1" bestFit="1" customWidth="1"/>
    <col min="6" max="6" width="1.42578125" style="1" customWidth="1"/>
    <col min="7" max="7" width="18" style="1" bestFit="1" customWidth="1"/>
    <col min="8" max="8" width="1.42578125" style="1" customWidth="1"/>
    <col min="9" max="9" width="17.7109375" style="1" bestFit="1" customWidth="1"/>
    <col min="10" max="10" width="1.42578125" style="1" customWidth="1"/>
    <col min="11" max="11" width="14.85546875" style="1" bestFit="1" customWidth="1"/>
    <col min="12" max="12" width="1.42578125" style="1" customWidth="1"/>
    <col min="13" max="13" width="19.85546875" style="1" bestFit="1" customWidth="1"/>
    <col min="14" max="14" width="1.42578125" style="1" customWidth="1"/>
    <col min="15" max="15" width="19.42578125" style="1" bestFit="1" customWidth="1"/>
    <col min="16" max="16" width="1.42578125" style="1" customWidth="1"/>
    <col min="17" max="17" width="16.85546875" style="1" bestFit="1" customWidth="1"/>
    <col min="18" max="16384" width="9.140625" style="1"/>
  </cols>
  <sheetData>
    <row r="1" spans="1:17" ht="26.25" x14ac:dyDescent="0.4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6.25" x14ac:dyDescent="0.45">
      <c r="A2" s="19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6.25" x14ac:dyDescent="0.45">
      <c r="A3" s="19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5" spans="1:17" ht="21" x14ac:dyDescent="0.45">
      <c r="A5" s="20" t="s">
        <v>152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7" spans="1:17" ht="21" x14ac:dyDescent="0.45">
      <c r="C7" s="21" t="str">
        <f>'10'!I7</f>
        <v>تغییرات طی مرداد ماه</v>
      </c>
      <c r="D7" s="22"/>
      <c r="E7" s="22"/>
      <c r="F7" s="22"/>
      <c r="G7" s="22"/>
      <c r="H7" s="22"/>
      <c r="I7" s="22"/>
      <c r="K7" s="21" t="str">
        <f>'10'!O7</f>
        <v>از ابتدای سال مالی تا 1404/05/31</v>
      </c>
      <c r="L7" s="22"/>
      <c r="M7" s="22"/>
      <c r="N7" s="22"/>
      <c r="O7" s="22"/>
      <c r="P7" s="22"/>
      <c r="Q7" s="22"/>
    </row>
    <row r="8" spans="1:17" ht="42" x14ac:dyDescent="0.45">
      <c r="A8" s="12" t="s">
        <v>95</v>
      </c>
      <c r="C8" s="4" t="s">
        <v>8</v>
      </c>
      <c r="E8" s="4" t="s">
        <v>10</v>
      </c>
      <c r="G8" s="4" t="s">
        <v>153</v>
      </c>
      <c r="I8" s="4" t="s">
        <v>154</v>
      </c>
      <c r="K8" s="4" t="s">
        <v>8</v>
      </c>
      <c r="M8" s="4" t="s">
        <v>10</v>
      </c>
      <c r="O8" s="4" t="s">
        <v>153</v>
      </c>
      <c r="Q8" s="4" t="s">
        <v>154</v>
      </c>
    </row>
    <row r="9" spans="1:17" ht="18.75" x14ac:dyDescent="0.45">
      <c r="A9" s="5" t="s">
        <v>155</v>
      </c>
      <c r="J9" s="9"/>
      <c r="K9" s="6">
        <v>579887</v>
      </c>
      <c r="M9" s="6">
        <v>3249801158</v>
      </c>
      <c r="O9" s="6">
        <v>2839489099</v>
      </c>
      <c r="Q9" s="6">
        <v>410312059</v>
      </c>
    </row>
    <row r="10" spans="1:17" ht="18.75" x14ac:dyDescent="0.45">
      <c r="A10" s="5" t="s">
        <v>156</v>
      </c>
      <c r="J10" s="9"/>
      <c r="K10" s="6">
        <v>2000000</v>
      </c>
      <c r="M10" s="6">
        <v>59984551</v>
      </c>
      <c r="O10" s="6">
        <v>19989701</v>
      </c>
      <c r="Q10" s="6">
        <v>39994850</v>
      </c>
    </row>
    <row r="11" spans="1:17" ht="18.75" x14ac:dyDescent="0.45">
      <c r="A11" s="5" t="s">
        <v>157</v>
      </c>
      <c r="J11" s="9"/>
      <c r="K11" s="6">
        <v>3400000</v>
      </c>
      <c r="M11" s="6">
        <v>204947225</v>
      </c>
      <c r="O11" s="6">
        <v>38968245</v>
      </c>
      <c r="Q11" s="6">
        <v>165978980</v>
      </c>
    </row>
    <row r="12" spans="1:17" ht="18.75" x14ac:dyDescent="0.45">
      <c r="A12" s="5" t="s">
        <v>158</v>
      </c>
      <c r="J12" s="9"/>
      <c r="K12" s="6">
        <v>3400000</v>
      </c>
      <c r="M12" s="6">
        <v>204247405</v>
      </c>
      <c r="O12" s="6">
        <v>50960536</v>
      </c>
      <c r="Q12" s="6">
        <v>153286869</v>
      </c>
    </row>
    <row r="13" spans="1:17" ht="18.75" x14ac:dyDescent="0.45">
      <c r="A13" s="5" t="s">
        <v>16</v>
      </c>
      <c r="C13" s="6">
        <v>2571000</v>
      </c>
      <c r="E13" s="6">
        <v>2570349</v>
      </c>
      <c r="G13" s="6">
        <v>-651</v>
      </c>
      <c r="I13" s="6">
        <v>2571000</v>
      </c>
      <c r="K13" s="6">
        <v>2571000</v>
      </c>
      <c r="M13" s="6">
        <v>2570349</v>
      </c>
      <c r="O13" s="6">
        <v>-651</v>
      </c>
      <c r="Q13" s="6">
        <v>2571000</v>
      </c>
    </row>
    <row r="14" spans="1:17" ht="18.75" x14ac:dyDescent="0.45">
      <c r="A14" s="5" t="s">
        <v>159</v>
      </c>
      <c r="J14" s="9"/>
      <c r="K14" s="6">
        <v>542000</v>
      </c>
      <c r="M14" s="6">
        <v>275318095</v>
      </c>
      <c r="O14" s="6">
        <v>257445385</v>
      </c>
      <c r="Q14" s="6">
        <v>17872710</v>
      </c>
    </row>
    <row r="15" spans="1:17" ht="18.75" x14ac:dyDescent="0.45">
      <c r="A15" s="5" t="s">
        <v>160</v>
      </c>
      <c r="J15" s="9"/>
      <c r="K15" s="6">
        <v>10050000</v>
      </c>
      <c r="M15" s="6">
        <v>974552024</v>
      </c>
      <c r="O15" s="6">
        <v>3574655304</v>
      </c>
      <c r="Q15" s="6">
        <v>-2600103280</v>
      </c>
    </row>
    <row r="16" spans="1:17" ht="18.75" x14ac:dyDescent="0.45">
      <c r="A16" s="5" t="s">
        <v>161</v>
      </c>
      <c r="J16" s="9"/>
      <c r="K16" s="6">
        <v>3391000</v>
      </c>
      <c r="M16" s="6">
        <v>1506997858</v>
      </c>
      <c r="O16" s="6">
        <v>2494074992</v>
      </c>
      <c r="Q16" s="6">
        <v>-987077134</v>
      </c>
    </row>
    <row r="17" spans="1:17" ht="18.75" x14ac:dyDescent="0.45">
      <c r="A17" s="5" t="s">
        <v>162</v>
      </c>
      <c r="J17" s="9"/>
      <c r="K17" s="6">
        <v>3531000</v>
      </c>
      <c r="M17" s="6">
        <v>798637324</v>
      </c>
      <c r="O17" s="6">
        <v>145649675</v>
      </c>
      <c r="Q17" s="6">
        <v>652987649</v>
      </c>
    </row>
    <row r="18" spans="1:17" ht="18.75" x14ac:dyDescent="0.45">
      <c r="A18" s="5" t="s">
        <v>163</v>
      </c>
      <c r="J18" s="9"/>
      <c r="K18" s="6">
        <v>4309000</v>
      </c>
      <c r="M18" s="6">
        <v>469382136</v>
      </c>
      <c r="O18" s="6">
        <v>612734884</v>
      </c>
      <c r="Q18" s="6">
        <v>-143352748</v>
      </c>
    </row>
    <row r="19" spans="1:17" ht="18.75" x14ac:dyDescent="0.45">
      <c r="A19" s="5" t="s">
        <v>17</v>
      </c>
      <c r="C19" s="6">
        <v>4000000</v>
      </c>
      <c r="E19" s="6">
        <v>87627444</v>
      </c>
      <c r="G19" s="6">
        <v>51990812</v>
      </c>
      <c r="I19" s="6">
        <v>35636632</v>
      </c>
      <c r="K19" s="6">
        <v>4000000</v>
      </c>
      <c r="M19" s="6">
        <v>87627444</v>
      </c>
      <c r="O19" s="6">
        <v>51990812</v>
      </c>
      <c r="Q19" s="6">
        <v>35636632</v>
      </c>
    </row>
    <row r="20" spans="1:17" ht="18.75" x14ac:dyDescent="0.45">
      <c r="A20" s="5" t="s">
        <v>18</v>
      </c>
      <c r="C20" s="6">
        <v>5939000</v>
      </c>
      <c r="E20" s="6">
        <v>133806561</v>
      </c>
      <c r="G20" s="6">
        <v>133806561</v>
      </c>
      <c r="I20" s="6">
        <v>0</v>
      </c>
      <c r="K20" s="6">
        <v>5939000</v>
      </c>
      <c r="M20" s="6">
        <v>133806561</v>
      </c>
      <c r="O20" s="6">
        <v>133806561</v>
      </c>
      <c r="Q20" s="6">
        <v>0</v>
      </c>
    </row>
    <row r="21" spans="1:17" ht="18.75" x14ac:dyDescent="0.45">
      <c r="A21" s="5" t="s">
        <v>164</v>
      </c>
      <c r="J21" s="9"/>
      <c r="K21" s="6">
        <v>7700000</v>
      </c>
      <c r="M21" s="6">
        <v>587094792</v>
      </c>
      <c r="O21" s="6">
        <v>256414819</v>
      </c>
      <c r="Q21" s="6">
        <v>330679973</v>
      </c>
    </row>
    <row r="22" spans="1:17" ht="18.75" x14ac:dyDescent="0.45">
      <c r="A22" s="5" t="s">
        <v>165</v>
      </c>
      <c r="J22" s="9"/>
      <c r="K22" s="6">
        <v>4000000</v>
      </c>
      <c r="M22" s="6">
        <v>329585143</v>
      </c>
      <c r="O22" s="6">
        <v>176973713</v>
      </c>
      <c r="Q22" s="6">
        <v>152611430</v>
      </c>
    </row>
    <row r="23" spans="1:17" ht="18.75" x14ac:dyDescent="0.45">
      <c r="A23" s="5" t="s">
        <v>166</v>
      </c>
      <c r="J23" s="9"/>
      <c r="K23" s="6">
        <v>29000000</v>
      </c>
      <c r="M23" s="6">
        <v>1008520372</v>
      </c>
      <c r="O23" s="6">
        <v>521874659</v>
      </c>
      <c r="Q23" s="6">
        <v>486645713</v>
      </c>
    </row>
    <row r="24" spans="1:17" ht="18.75" x14ac:dyDescent="0.45">
      <c r="A24" s="5" t="s">
        <v>167</v>
      </c>
      <c r="J24" s="9"/>
      <c r="K24" s="6">
        <v>10198800</v>
      </c>
      <c r="M24" s="6">
        <v>879216085</v>
      </c>
      <c r="O24" s="6">
        <v>428233453</v>
      </c>
      <c r="Q24" s="6">
        <v>450982632</v>
      </c>
    </row>
    <row r="25" spans="1:17" ht="18.75" x14ac:dyDescent="0.45">
      <c r="A25" s="5" t="s">
        <v>168</v>
      </c>
      <c r="J25" s="9"/>
      <c r="K25" s="6">
        <v>33996000</v>
      </c>
      <c r="M25" s="6">
        <v>1053604664</v>
      </c>
      <c r="O25" s="6">
        <v>237761921</v>
      </c>
      <c r="Q25" s="6">
        <v>815842743</v>
      </c>
    </row>
    <row r="26" spans="1:17" ht="18.75" x14ac:dyDescent="0.45">
      <c r="A26" s="5" t="s">
        <v>169</v>
      </c>
      <c r="J26" s="9"/>
      <c r="K26" s="6">
        <v>2000000</v>
      </c>
      <c r="M26" s="6">
        <v>1659572560</v>
      </c>
      <c r="O26" s="6">
        <v>1016231267</v>
      </c>
      <c r="Q26" s="6">
        <v>643341293</v>
      </c>
    </row>
    <row r="27" spans="1:17" ht="18.75" x14ac:dyDescent="0.45">
      <c r="A27" s="5" t="s">
        <v>19</v>
      </c>
      <c r="C27" s="6">
        <v>62444000</v>
      </c>
      <c r="E27" s="6">
        <v>62428094</v>
      </c>
      <c r="G27" s="6">
        <v>62428094</v>
      </c>
      <c r="I27" s="6">
        <v>0</v>
      </c>
      <c r="K27" s="6">
        <v>62444000</v>
      </c>
      <c r="M27" s="6">
        <v>62428094</v>
      </c>
      <c r="O27" s="6">
        <v>62428094</v>
      </c>
      <c r="Q27" s="6">
        <v>0</v>
      </c>
    </row>
    <row r="28" spans="1:17" ht="18.75" x14ac:dyDescent="0.45">
      <c r="A28" s="5" t="s">
        <v>170</v>
      </c>
      <c r="J28" s="9"/>
      <c r="K28" s="6">
        <v>14000000</v>
      </c>
      <c r="M28" s="6">
        <v>1232505640</v>
      </c>
      <c r="O28" s="6">
        <v>395766559</v>
      </c>
      <c r="Q28" s="6">
        <v>836739081</v>
      </c>
    </row>
    <row r="29" spans="1:17" ht="18.75" x14ac:dyDescent="0.45">
      <c r="A29" s="5" t="s">
        <v>171</v>
      </c>
      <c r="J29" s="9"/>
      <c r="K29" s="6">
        <v>1500000</v>
      </c>
      <c r="M29" s="6">
        <v>64903292</v>
      </c>
      <c r="O29" s="6">
        <v>-351767500</v>
      </c>
      <c r="Q29" s="6">
        <v>416670792</v>
      </c>
    </row>
    <row r="30" spans="1:17" ht="18.75" x14ac:dyDescent="0.45">
      <c r="A30" s="5" t="s">
        <v>20</v>
      </c>
      <c r="C30" s="6">
        <v>17000000</v>
      </c>
      <c r="E30" s="6">
        <v>33991330</v>
      </c>
      <c r="G30" s="6">
        <v>33991330</v>
      </c>
      <c r="I30" s="6">
        <v>0</v>
      </c>
      <c r="K30" s="6">
        <v>17000000</v>
      </c>
      <c r="M30" s="6">
        <v>33991330</v>
      </c>
      <c r="O30" s="6">
        <v>33991330</v>
      </c>
      <c r="Q30" s="6">
        <v>0</v>
      </c>
    </row>
    <row r="31" spans="1:17" ht="18.75" x14ac:dyDescent="0.45">
      <c r="A31" s="5" t="s">
        <v>172</v>
      </c>
      <c r="J31" s="9"/>
      <c r="K31" s="6">
        <v>10000000</v>
      </c>
      <c r="M31" s="6">
        <v>531873060</v>
      </c>
      <c r="O31" s="6">
        <v>2165796592</v>
      </c>
      <c r="Q31" s="6">
        <v>-1633923532</v>
      </c>
    </row>
    <row r="32" spans="1:17" ht="18.75" x14ac:dyDescent="0.45">
      <c r="A32" s="5" t="s">
        <v>173</v>
      </c>
      <c r="J32" s="9"/>
      <c r="K32" s="6">
        <v>16214000</v>
      </c>
      <c r="M32" s="6">
        <v>903957236</v>
      </c>
      <c r="O32" s="6">
        <v>839388318</v>
      </c>
      <c r="Q32" s="6">
        <v>64568918</v>
      </c>
    </row>
    <row r="33" spans="1:17" ht="18.75" x14ac:dyDescent="0.45">
      <c r="A33" s="5" t="s">
        <v>174</v>
      </c>
      <c r="J33" s="9"/>
      <c r="K33" s="6">
        <v>4069000</v>
      </c>
      <c r="M33" s="6">
        <v>104698049</v>
      </c>
      <c r="O33" s="6">
        <v>28463378</v>
      </c>
      <c r="Q33" s="6">
        <v>76234671</v>
      </c>
    </row>
    <row r="34" spans="1:17" ht="18.75" x14ac:dyDescent="0.45">
      <c r="A34" s="5" t="s">
        <v>175</v>
      </c>
      <c r="J34" s="9"/>
      <c r="K34" s="6">
        <v>28000000</v>
      </c>
      <c r="M34" s="6">
        <v>2321433191</v>
      </c>
      <c r="O34" s="6">
        <v>1502932284</v>
      </c>
      <c r="Q34" s="6">
        <v>818500907</v>
      </c>
    </row>
    <row r="35" spans="1:17" ht="18.75" x14ac:dyDescent="0.45">
      <c r="A35" s="5" t="s">
        <v>176</v>
      </c>
      <c r="J35" s="9"/>
      <c r="K35" s="6">
        <v>20000000</v>
      </c>
      <c r="M35" s="6">
        <v>399897066</v>
      </c>
      <c r="O35" s="6">
        <v>19902127</v>
      </c>
      <c r="Q35" s="6">
        <v>379994939</v>
      </c>
    </row>
    <row r="36" spans="1:17" ht="18.75" x14ac:dyDescent="0.45">
      <c r="A36" s="5" t="s">
        <v>177</v>
      </c>
      <c r="J36" s="9"/>
      <c r="K36" s="6">
        <v>21751000</v>
      </c>
      <c r="M36" s="6">
        <v>1603768001</v>
      </c>
      <c r="O36" s="6">
        <v>750369242</v>
      </c>
      <c r="Q36" s="6">
        <v>853398759</v>
      </c>
    </row>
    <row r="37" spans="1:17" ht="18.75" x14ac:dyDescent="0.45">
      <c r="A37" s="5" t="s">
        <v>178</v>
      </c>
      <c r="J37" s="9"/>
      <c r="K37" s="6">
        <v>11000000</v>
      </c>
      <c r="M37" s="6">
        <v>207951504</v>
      </c>
      <c r="O37" s="6">
        <v>77180335</v>
      </c>
      <c r="Q37" s="6">
        <v>130771169</v>
      </c>
    </row>
    <row r="38" spans="1:17" ht="18.75" x14ac:dyDescent="0.45">
      <c r="A38" s="5" t="s">
        <v>179</v>
      </c>
      <c r="J38" s="9"/>
      <c r="K38" s="6">
        <v>1907000</v>
      </c>
      <c r="M38" s="6">
        <v>55298786</v>
      </c>
      <c r="O38" s="6">
        <v>13338215</v>
      </c>
      <c r="Q38" s="6">
        <v>41960571</v>
      </c>
    </row>
    <row r="39" spans="1:17" ht="18.75" x14ac:dyDescent="0.45">
      <c r="A39" s="5" t="s">
        <v>180</v>
      </c>
      <c r="J39" s="9"/>
      <c r="K39" s="6">
        <v>9543000</v>
      </c>
      <c r="M39" s="6">
        <v>688239801</v>
      </c>
      <c r="O39" s="6">
        <v>209822814</v>
      </c>
      <c r="Q39" s="6">
        <v>478416987</v>
      </c>
    </row>
    <row r="40" spans="1:17" ht="18.75" x14ac:dyDescent="0.45">
      <c r="A40" s="5" t="s">
        <v>181</v>
      </c>
      <c r="J40" s="9"/>
      <c r="K40" s="6">
        <v>40000000</v>
      </c>
      <c r="M40" s="6">
        <v>1978215683</v>
      </c>
      <c r="O40" s="6">
        <v>600645330</v>
      </c>
      <c r="Q40" s="6">
        <v>1377570353</v>
      </c>
    </row>
    <row r="41" spans="1:17" ht="18.75" x14ac:dyDescent="0.45">
      <c r="A41" s="5" t="s">
        <v>182</v>
      </c>
      <c r="J41" s="9"/>
      <c r="K41" s="6">
        <v>5526640</v>
      </c>
      <c r="M41" s="6">
        <v>782593497</v>
      </c>
      <c r="O41" s="6">
        <v>591846803</v>
      </c>
      <c r="Q41" s="6">
        <v>190746694</v>
      </c>
    </row>
    <row r="42" spans="1:17" ht="18.75" x14ac:dyDescent="0.45">
      <c r="A42" s="5" t="s">
        <v>183</v>
      </c>
      <c r="J42" s="9"/>
      <c r="K42" s="6">
        <v>1077780</v>
      </c>
      <c r="M42" s="6">
        <v>66146467</v>
      </c>
      <c r="O42" s="6">
        <v>1061042</v>
      </c>
      <c r="Q42" s="6">
        <v>65085425</v>
      </c>
    </row>
    <row r="43" spans="1:17" ht="18.75" x14ac:dyDescent="0.45">
      <c r="A43" s="5" t="s">
        <v>184</v>
      </c>
      <c r="J43" s="9"/>
      <c r="K43" s="6">
        <v>1073000</v>
      </c>
      <c r="M43" s="6">
        <v>430469130</v>
      </c>
      <c r="O43" s="6">
        <v>130748811</v>
      </c>
      <c r="Q43" s="6">
        <v>299720319</v>
      </c>
    </row>
    <row r="44" spans="1:17" ht="18.75" x14ac:dyDescent="0.45">
      <c r="A44" s="5" t="s">
        <v>185</v>
      </c>
      <c r="J44" s="9"/>
      <c r="K44" s="6">
        <v>10000000</v>
      </c>
      <c r="M44" s="6">
        <v>5498633758</v>
      </c>
      <c r="O44" s="6">
        <v>3185510161</v>
      </c>
      <c r="Q44" s="6">
        <v>2313123597</v>
      </c>
    </row>
    <row r="45" spans="1:17" ht="18.75" x14ac:dyDescent="0.45">
      <c r="A45" s="5" t="s">
        <v>186</v>
      </c>
      <c r="J45" s="9"/>
      <c r="K45" s="6">
        <v>12000000</v>
      </c>
      <c r="M45" s="6">
        <v>1203342086</v>
      </c>
      <c r="O45" s="6">
        <v>773360175</v>
      </c>
      <c r="Q45" s="6">
        <v>429981911</v>
      </c>
    </row>
    <row r="46" spans="1:17" ht="18.75" x14ac:dyDescent="0.45">
      <c r="A46" s="5" t="s">
        <v>187</v>
      </c>
      <c r="J46" s="9"/>
      <c r="K46" s="6">
        <v>1946316</v>
      </c>
      <c r="M46" s="6">
        <v>438617479</v>
      </c>
      <c r="O46" s="6">
        <v>401431811</v>
      </c>
      <c r="Q46" s="6">
        <v>37185668</v>
      </c>
    </row>
    <row r="47" spans="1:17" ht="18.75" x14ac:dyDescent="0.45">
      <c r="A47" s="5" t="s">
        <v>188</v>
      </c>
      <c r="J47" s="9"/>
      <c r="K47" s="6">
        <v>1001000</v>
      </c>
      <c r="M47" s="6">
        <v>90066809</v>
      </c>
      <c r="O47" s="6">
        <v>7986865</v>
      </c>
      <c r="Q47" s="6">
        <v>82079944</v>
      </c>
    </row>
    <row r="48" spans="1:17" ht="18.75" x14ac:dyDescent="0.45">
      <c r="A48" s="5" t="s">
        <v>189</v>
      </c>
      <c r="J48" s="9"/>
      <c r="K48" s="6">
        <v>19562676</v>
      </c>
      <c r="M48" s="6">
        <v>602465346</v>
      </c>
      <c r="O48" s="6">
        <v>194843987</v>
      </c>
      <c r="Q48" s="6">
        <v>407621359</v>
      </c>
    </row>
    <row r="49" spans="1:17" ht="18.75" x14ac:dyDescent="0.45">
      <c r="A49" s="5" t="s">
        <v>190</v>
      </c>
      <c r="J49" s="9"/>
      <c r="K49" s="6">
        <v>3878000</v>
      </c>
      <c r="M49" s="6">
        <v>391212254</v>
      </c>
      <c r="O49" s="6">
        <v>112642260</v>
      </c>
      <c r="Q49" s="6">
        <v>278569994</v>
      </c>
    </row>
    <row r="50" spans="1:17" ht="18.75" x14ac:dyDescent="0.45">
      <c r="A50" s="5" t="s">
        <v>191</v>
      </c>
      <c r="J50" s="9"/>
      <c r="K50" s="6">
        <v>3071079</v>
      </c>
      <c r="M50" s="6">
        <v>89793788</v>
      </c>
      <c r="O50" s="6">
        <v>22278836</v>
      </c>
      <c r="Q50" s="6">
        <v>67514952</v>
      </c>
    </row>
    <row r="51" spans="1:17" ht="18.75" x14ac:dyDescent="0.45">
      <c r="A51" s="5" t="s">
        <v>192</v>
      </c>
      <c r="J51" s="9"/>
      <c r="K51" s="6">
        <v>40000</v>
      </c>
      <c r="M51" s="6">
        <v>15995880</v>
      </c>
      <c r="O51" s="6">
        <v>14399588</v>
      </c>
      <c r="Q51" s="6">
        <v>1596292</v>
      </c>
    </row>
    <row r="52" spans="1:17" ht="18.75" x14ac:dyDescent="0.45">
      <c r="A52" s="5" t="s">
        <v>193</v>
      </c>
      <c r="J52" s="9"/>
      <c r="K52" s="6">
        <v>8000000</v>
      </c>
      <c r="M52" s="6">
        <v>806472331</v>
      </c>
      <c r="O52" s="6">
        <v>87814950</v>
      </c>
      <c r="Q52" s="6">
        <v>718657381</v>
      </c>
    </row>
    <row r="53" spans="1:17" ht="18.75" x14ac:dyDescent="0.45">
      <c r="A53" s="5" t="s">
        <v>21</v>
      </c>
      <c r="C53" s="6">
        <v>28000000</v>
      </c>
      <c r="E53" s="6">
        <v>27992958</v>
      </c>
      <c r="G53" s="6">
        <v>146521</v>
      </c>
      <c r="I53" s="6">
        <v>27846437</v>
      </c>
      <c r="K53" s="6">
        <v>28000000</v>
      </c>
      <c r="M53" s="6">
        <v>27992958</v>
      </c>
      <c r="O53" s="6">
        <v>146521</v>
      </c>
      <c r="Q53" s="6">
        <v>27846437</v>
      </c>
    </row>
    <row r="54" spans="1:17" ht="18.75" x14ac:dyDescent="0.45">
      <c r="A54" s="5" t="s">
        <v>194</v>
      </c>
      <c r="J54" s="9"/>
      <c r="K54" s="6">
        <v>6862000</v>
      </c>
      <c r="M54" s="6">
        <v>2072784133</v>
      </c>
      <c r="O54" s="6">
        <v>1045680441</v>
      </c>
      <c r="Q54" s="6">
        <v>1027103692</v>
      </c>
    </row>
    <row r="55" spans="1:17" ht="18.75" x14ac:dyDescent="0.45">
      <c r="A55" s="5" t="s">
        <v>195</v>
      </c>
      <c r="J55" s="9"/>
      <c r="K55" s="6">
        <v>3250000</v>
      </c>
      <c r="M55" s="6">
        <v>659830052</v>
      </c>
      <c r="O55" s="6">
        <v>265616455</v>
      </c>
      <c r="Q55" s="6">
        <v>394213597</v>
      </c>
    </row>
    <row r="56" spans="1:17" ht="18.75" x14ac:dyDescent="0.45">
      <c r="A56" s="5" t="s">
        <v>196</v>
      </c>
      <c r="J56" s="9"/>
      <c r="K56" s="6">
        <v>16000000</v>
      </c>
      <c r="M56" s="6">
        <v>754228801</v>
      </c>
      <c r="O56" s="6">
        <v>211964341</v>
      </c>
      <c r="Q56" s="6">
        <v>542264460</v>
      </c>
    </row>
    <row r="57" spans="1:17" ht="18.75" x14ac:dyDescent="0.45">
      <c r="A57" s="5" t="s">
        <v>197</v>
      </c>
      <c r="J57" s="9"/>
      <c r="K57" s="6">
        <v>59500000</v>
      </c>
      <c r="M57" s="6">
        <v>2347779475</v>
      </c>
      <c r="O57" s="6">
        <v>2555393219</v>
      </c>
      <c r="Q57" s="6">
        <v>-207613744</v>
      </c>
    </row>
    <row r="58" spans="1:17" ht="18.75" x14ac:dyDescent="0.45">
      <c r="A58" s="5" t="s">
        <v>198</v>
      </c>
      <c r="J58" s="9"/>
      <c r="K58" s="6">
        <v>5000000</v>
      </c>
      <c r="M58" s="6">
        <v>167281920</v>
      </c>
      <c r="O58" s="6">
        <v>32865390</v>
      </c>
      <c r="Q58" s="6">
        <v>134416530</v>
      </c>
    </row>
    <row r="59" spans="1:17" ht="18.75" x14ac:dyDescent="0.45">
      <c r="A59" s="5" t="s">
        <v>199</v>
      </c>
      <c r="J59" s="9"/>
      <c r="K59" s="6">
        <v>62000000</v>
      </c>
      <c r="M59" s="6">
        <v>1010274022</v>
      </c>
      <c r="O59" s="6">
        <v>247803737</v>
      </c>
      <c r="Q59" s="6">
        <v>762470285</v>
      </c>
    </row>
    <row r="60" spans="1:17" ht="18.75" x14ac:dyDescent="0.45">
      <c r="A60" s="5" t="s">
        <v>200</v>
      </c>
      <c r="J60" s="9"/>
      <c r="K60" s="6">
        <v>25000000</v>
      </c>
      <c r="M60" s="6">
        <v>417072717</v>
      </c>
      <c r="O60" s="6">
        <v>124924892</v>
      </c>
      <c r="Q60" s="6">
        <v>292147825</v>
      </c>
    </row>
    <row r="61" spans="1:17" ht="18.75" x14ac:dyDescent="0.45">
      <c r="A61" s="5" t="s">
        <v>22</v>
      </c>
      <c r="C61" s="6">
        <v>19660000</v>
      </c>
      <c r="E61" s="6">
        <v>196549410</v>
      </c>
      <c r="G61" s="6">
        <v>245762610</v>
      </c>
      <c r="I61" s="6">
        <v>-49213200</v>
      </c>
      <c r="K61" s="6">
        <v>19660000</v>
      </c>
      <c r="M61" s="6">
        <v>196549410</v>
      </c>
      <c r="O61" s="6">
        <v>245762610</v>
      </c>
      <c r="Q61" s="6">
        <v>-49213200</v>
      </c>
    </row>
    <row r="62" spans="1:17" ht="18.75" x14ac:dyDescent="0.45">
      <c r="A62" s="5" t="s">
        <v>23</v>
      </c>
      <c r="C62" s="6">
        <v>3373272</v>
      </c>
      <c r="E62" s="6">
        <v>3373130</v>
      </c>
      <c r="G62" s="6">
        <v>-170785849</v>
      </c>
      <c r="I62" s="6">
        <v>174158979</v>
      </c>
      <c r="K62" s="6">
        <v>6865272</v>
      </c>
      <c r="M62" s="6">
        <v>182387038</v>
      </c>
      <c r="O62" s="6">
        <v>8228059</v>
      </c>
      <c r="Q62" s="6">
        <v>174158979</v>
      </c>
    </row>
    <row r="63" spans="1:17" ht="18.75" x14ac:dyDescent="0.45">
      <c r="A63" s="5" t="s">
        <v>24</v>
      </c>
      <c r="C63" s="6">
        <v>4336374</v>
      </c>
      <c r="E63" s="6">
        <v>4337485</v>
      </c>
      <c r="G63" s="6">
        <v>-167394879</v>
      </c>
      <c r="I63" s="6">
        <v>171732364</v>
      </c>
      <c r="K63" s="6">
        <v>8825374</v>
      </c>
      <c r="M63" s="6">
        <v>184851001</v>
      </c>
      <c r="O63" s="6">
        <v>13118637</v>
      </c>
      <c r="Q63" s="6">
        <v>171732364</v>
      </c>
    </row>
    <row r="64" spans="1:17" ht="18.75" x14ac:dyDescent="0.45">
      <c r="A64" s="5" t="s">
        <v>201</v>
      </c>
      <c r="J64" s="9"/>
      <c r="K64" s="6">
        <v>23420000</v>
      </c>
      <c r="M64" s="6">
        <v>4478272142</v>
      </c>
      <c r="O64" s="6">
        <v>4089390829</v>
      </c>
      <c r="Q64" s="6">
        <v>388881313</v>
      </c>
    </row>
    <row r="65" spans="1:17" ht="18.75" x14ac:dyDescent="0.45">
      <c r="A65" s="5" t="s">
        <v>202</v>
      </c>
      <c r="J65" s="9"/>
      <c r="K65" s="6">
        <v>5207424</v>
      </c>
      <c r="M65" s="6">
        <v>401352241</v>
      </c>
      <c r="O65" s="6">
        <v>2237898038</v>
      </c>
      <c r="Q65" s="6">
        <v>-1836545797</v>
      </c>
    </row>
    <row r="66" spans="1:17" ht="18.75" x14ac:dyDescent="0.45">
      <c r="A66" s="5" t="s">
        <v>203</v>
      </c>
      <c r="J66" s="9"/>
      <c r="K66" s="6">
        <v>3414816</v>
      </c>
      <c r="M66" s="6">
        <v>1065185809</v>
      </c>
      <c r="O66" s="6">
        <v>818945458</v>
      </c>
      <c r="Q66" s="6">
        <v>246240351</v>
      </c>
    </row>
    <row r="67" spans="1:17" ht="18.75" x14ac:dyDescent="0.45">
      <c r="A67" s="5" t="s">
        <v>204</v>
      </c>
      <c r="J67" s="9"/>
      <c r="K67" s="6">
        <v>34006728</v>
      </c>
      <c r="M67" s="6">
        <v>2435286918</v>
      </c>
      <c r="O67" s="6">
        <v>1532130274</v>
      </c>
      <c r="Q67" s="6">
        <v>903156644</v>
      </c>
    </row>
    <row r="68" spans="1:17" ht="18.75" x14ac:dyDescent="0.45">
      <c r="A68" s="5" t="s">
        <v>205</v>
      </c>
      <c r="J68" s="9"/>
      <c r="K68" s="6">
        <v>9900000</v>
      </c>
      <c r="M68" s="6">
        <v>3806991542</v>
      </c>
      <c r="O68" s="6">
        <v>2306671564</v>
      </c>
      <c r="Q68" s="6">
        <v>1500319978</v>
      </c>
    </row>
    <row r="69" spans="1:17" ht="18.75" x14ac:dyDescent="0.45">
      <c r="A69" s="5" t="s">
        <v>206</v>
      </c>
      <c r="J69" s="9"/>
      <c r="K69" s="6">
        <v>1868000</v>
      </c>
      <c r="M69" s="6">
        <v>52290538</v>
      </c>
      <c r="O69" s="6">
        <v>1855016</v>
      </c>
      <c r="Q69" s="6">
        <v>50435522</v>
      </c>
    </row>
    <row r="70" spans="1:17" ht="18.75" x14ac:dyDescent="0.45">
      <c r="A70" s="5" t="s">
        <v>207</v>
      </c>
      <c r="J70" s="9"/>
      <c r="K70" s="6">
        <v>12756144</v>
      </c>
      <c r="M70" s="6">
        <v>442111636</v>
      </c>
      <c r="O70" s="6">
        <v>76442696</v>
      </c>
      <c r="Q70" s="6">
        <v>365668940</v>
      </c>
    </row>
    <row r="71" spans="1:17" ht="18.75" x14ac:dyDescent="0.45">
      <c r="A71" s="5" t="s">
        <v>208</v>
      </c>
      <c r="J71" s="9"/>
      <c r="K71" s="6">
        <v>7500000</v>
      </c>
      <c r="M71" s="6">
        <v>510332588</v>
      </c>
      <c r="O71" s="6">
        <v>340440251</v>
      </c>
      <c r="Q71" s="6">
        <v>169892337</v>
      </c>
    </row>
    <row r="72" spans="1:17" ht="18.75" x14ac:dyDescent="0.45">
      <c r="A72" s="5" t="s">
        <v>209</v>
      </c>
      <c r="J72" s="9"/>
      <c r="K72" s="6">
        <v>2564000</v>
      </c>
      <c r="M72" s="6">
        <v>38450108</v>
      </c>
      <c r="O72" s="6">
        <v>10921904</v>
      </c>
      <c r="Q72" s="6">
        <v>27528204</v>
      </c>
    </row>
    <row r="73" spans="1:17" ht="18.75" x14ac:dyDescent="0.45">
      <c r="A73" s="5" t="s">
        <v>210</v>
      </c>
      <c r="J73" s="9"/>
      <c r="K73" s="6">
        <v>3301000</v>
      </c>
      <c r="M73" s="6">
        <v>1086767113</v>
      </c>
      <c r="O73" s="6">
        <v>792327147</v>
      </c>
      <c r="Q73" s="6">
        <v>294439966</v>
      </c>
    </row>
    <row r="74" spans="1:17" ht="18.75" x14ac:dyDescent="0.45">
      <c r="A74" s="5" t="s">
        <v>211</v>
      </c>
      <c r="J74" s="9"/>
      <c r="K74" s="6">
        <v>9000000</v>
      </c>
      <c r="M74" s="6">
        <v>730954783</v>
      </c>
      <c r="O74" s="6">
        <v>137375185</v>
      </c>
      <c r="Q74" s="6">
        <v>593579598</v>
      </c>
    </row>
    <row r="75" spans="1:17" ht="18.75" x14ac:dyDescent="0.45">
      <c r="A75" s="5" t="s">
        <v>212</v>
      </c>
      <c r="J75" s="9"/>
      <c r="K75" s="6">
        <v>40315236</v>
      </c>
      <c r="M75" s="6">
        <v>915062489</v>
      </c>
      <c r="O75" s="6">
        <v>5914187115</v>
      </c>
      <c r="Q75" s="6">
        <v>-4999124626</v>
      </c>
    </row>
    <row r="76" spans="1:17" ht="18.75" x14ac:dyDescent="0.45">
      <c r="A76" s="5" t="s">
        <v>213</v>
      </c>
      <c r="J76" s="9"/>
      <c r="K76" s="6">
        <v>31721000</v>
      </c>
      <c r="M76" s="6">
        <v>647486261</v>
      </c>
      <c r="O76" s="6">
        <v>485929324</v>
      </c>
      <c r="Q76" s="6">
        <v>161556937</v>
      </c>
    </row>
    <row r="77" spans="1:17" ht="18.75" x14ac:dyDescent="0.45">
      <c r="A77" s="5" t="s">
        <v>214</v>
      </c>
      <c r="J77" s="9"/>
      <c r="K77" s="6">
        <v>9996000</v>
      </c>
      <c r="M77" s="6">
        <v>190752920</v>
      </c>
      <c r="O77" s="6">
        <v>50973045</v>
      </c>
      <c r="Q77" s="6">
        <v>139779875</v>
      </c>
    </row>
    <row r="78" spans="1:17" ht="18.75" x14ac:dyDescent="0.45">
      <c r="A78" s="5" t="s">
        <v>215</v>
      </c>
      <c r="J78" s="9"/>
      <c r="K78" s="6">
        <v>11766348</v>
      </c>
      <c r="M78" s="6">
        <v>361098236</v>
      </c>
      <c r="O78" s="6">
        <v>46984496</v>
      </c>
      <c r="Q78" s="6">
        <v>314113740</v>
      </c>
    </row>
    <row r="79" spans="1:17" ht="18.75" x14ac:dyDescent="0.45">
      <c r="A79" s="5" t="s">
        <v>216</v>
      </c>
      <c r="J79" s="9"/>
      <c r="K79" s="6">
        <v>1000</v>
      </c>
      <c r="M79" s="6">
        <v>4000</v>
      </c>
      <c r="O79" s="6">
        <v>5001</v>
      </c>
      <c r="Q79" s="6">
        <v>-1001</v>
      </c>
    </row>
    <row r="80" spans="1:17" ht="18.75" x14ac:dyDescent="0.45">
      <c r="A80" s="5" t="s">
        <v>217</v>
      </c>
      <c r="J80" s="9"/>
      <c r="K80" s="6">
        <v>4000000</v>
      </c>
      <c r="M80" s="6">
        <v>1143160582</v>
      </c>
      <c r="O80" s="6">
        <v>-1492454212</v>
      </c>
      <c r="Q80" s="6">
        <v>2635614794</v>
      </c>
    </row>
    <row r="81" spans="1:17" ht="18.75" x14ac:dyDescent="0.45">
      <c r="A81" s="5" t="s">
        <v>218</v>
      </c>
      <c r="J81" s="9"/>
      <c r="K81" s="6">
        <v>5000000</v>
      </c>
      <c r="M81" s="6">
        <v>327538664</v>
      </c>
      <c r="O81" s="6">
        <v>106943192</v>
      </c>
      <c r="Q81" s="6">
        <v>220595472</v>
      </c>
    </row>
    <row r="82" spans="1:17" ht="18.75" x14ac:dyDescent="0.45">
      <c r="A82" s="5" t="s">
        <v>219</v>
      </c>
      <c r="J82" s="9"/>
      <c r="K82" s="6">
        <v>10001000</v>
      </c>
      <c r="M82" s="6">
        <v>968841492</v>
      </c>
      <c r="O82" s="6">
        <v>199808978</v>
      </c>
      <c r="Q82" s="6">
        <v>769032514</v>
      </c>
    </row>
    <row r="83" spans="1:17" ht="18.75" x14ac:dyDescent="0.45">
      <c r="A83" s="5" t="s">
        <v>220</v>
      </c>
      <c r="J83" s="9"/>
      <c r="K83" s="6">
        <v>3222000</v>
      </c>
      <c r="M83" s="6">
        <v>694463151</v>
      </c>
      <c r="O83" s="6">
        <v>556624475</v>
      </c>
      <c r="Q83" s="6">
        <v>137838676</v>
      </c>
    </row>
    <row r="84" spans="1:17" ht="18.75" x14ac:dyDescent="0.45">
      <c r="A84" s="5" t="s">
        <v>221</v>
      </c>
      <c r="J84" s="9"/>
      <c r="K84" s="6">
        <v>20000000</v>
      </c>
      <c r="M84" s="6">
        <v>1819225503</v>
      </c>
      <c r="O84" s="6">
        <v>215096909</v>
      </c>
      <c r="Q84" s="6">
        <v>1604128594</v>
      </c>
    </row>
    <row r="85" spans="1:17" ht="18.75" x14ac:dyDescent="0.45">
      <c r="A85" s="5" t="s">
        <v>222</v>
      </c>
      <c r="J85" s="9"/>
      <c r="K85" s="6">
        <v>14000000</v>
      </c>
      <c r="M85" s="6">
        <v>1649825097</v>
      </c>
      <c r="O85" s="6">
        <v>476100734</v>
      </c>
      <c r="Q85" s="6">
        <v>1173724363</v>
      </c>
    </row>
    <row r="86" spans="1:17" ht="18.75" x14ac:dyDescent="0.45">
      <c r="A86" s="5" t="s">
        <v>223</v>
      </c>
      <c r="J86" s="9"/>
      <c r="K86" s="6">
        <v>100000</v>
      </c>
      <c r="M86" s="6">
        <v>7498069</v>
      </c>
      <c r="O86" s="6">
        <v>4674267</v>
      </c>
      <c r="Q86" s="6">
        <v>2823802</v>
      </c>
    </row>
    <row r="87" spans="1:17" ht="18.75" x14ac:dyDescent="0.45">
      <c r="A87" s="5" t="s">
        <v>224</v>
      </c>
      <c r="J87" s="9"/>
      <c r="K87" s="6">
        <v>1202000</v>
      </c>
      <c r="M87" s="6">
        <v>26634146</v>
      </c>
      <c r="O87" s="6">
        <v>10813924</v>
      </c>
      <c r="Q87" s="6">
        <v>15820222</v>
      </c>
    </row>
    <row r="88" spans="1:17" ht="18.75" x14ac:dyDescent="0.45">
      <c r="A88" s="5" t="s">
        <v>225</v>
      </c>
      <c r="J88" s="9"/>
      <c r="K88" s="6">
        <v>20300000</v>
      </c>
      <c r="M88" s="6">
        <v>1216706651</v>
      </c>
      <c r="O88" s="6">
        <v>75477651</v>
      </c>
      <c r="Q88" s="6">
        <v>1141229000</v>
      </c>
    </row>
    <row r="89" spans="1:17" ht="18.75" x14ac:dyDescent="0.45">
      <c r="A89" s="5" t="s">
        <v>226</v>
      </c>
      <c r="J89" s="9"/>
      <c r="K89" s="6">
        <v>93489000</v>
      </c>
      <c r="M89" s="6">
        <v>4866285587</v>
      </c>
      <c r="O89" s="6">
        <v>5756321140</v>
      </c>
      <c r="Q89" s="6">
        <v>-890035553</v>
      </c>
    </row>
    <row r="90" spans="1:17" ht="18.75" x14ac:dyDescent="0.45">
      <c r="A90" s="5" t="s">
        <v>227</v>
      </c>
      <c r="J90" s="9"/>
      <c r="K90" s="6">
        <v>7000000</v>
      </c>
      <c r="M90" s="6">
        <v>337454107</v>
      </c>
      <c r="O90" s="6">
        <v>239929861</v>
      </c>
      <c r="Q90" s="6">
        <v>97524246</v>
      </c>
    </row>
    <row r="91" spans="1:17" ht="18.75" x14ac:dyDescent="0.45">
      <c r="A91" s="5" t="s">
        <v>228</v>
      </c>
      <c r="J91" s="9"/>
      <c r="K91" s="6">
        <v>10100000</v>
      </c>
      <c r="M91" s="6">
        <v>521893605</v>
      </c>
      <c r="O91" s="6">
        <v>293841274</v>
      </c>
      <c r="Q91" s="6">
        <v>228052331</v>
      </c>
    </row>
    <row r="92" spans="1:17" ht="18.75" x14ac:dyDescent="0.45">
      <c r="A92" s="5" t="s">
        <v>229</v>
      </c>
      <c r="J92" s="9"/>
      <c r="K92" s="6">
        <v>40000000</v>
      </c>
      <c r="M92" s="6">
        <v>1606692339</v>
      </c>
      <c r="O92" s="6">
        <v>279658249</v>
      </c>
      <c r="Q92" s="6">
        <v>1327034090</v>
      </c>
    </row>
    <row r="93" spans="1:17" ht="18.75" x14ac:dyDescent="0.45">
      <c r="A93" s="5" t="s">
        <v>230</v>
      </c>
      <c r="J93" s="9"/>
      <c r="K93" s="6">
        <v>61000000</v>
      </c>
      <c r="M93" s="6">
        <v>1226417268</v>
      </c>
      <c r="O93" s="6">
        <v>910982620</v>
      </c>
      <c r="Q93" s="6">
        <v>315434648</v>
      </c>
    </row>
    <row r="94" spans="1:17" ht="18.75" x14ac:dyDescent="0.45">
      <c r="A94" s="5" t="s">
        <v>231</v>
      </c>
      <c r="J94" s="9"/>
      <c r="K94" s="6">
        <v>14400000</v>
      </c>
      <c r="M94" s="6">
        <v>610022957</v>
      </c>
      <c r="O94" s="6">
        <v>317496661</v>
      </c>
      <c r="Q94" s="6">
        <v>292526296</v>
      </c>
    </row>
    <row r="95" spans="1:17" ht="18.75" x14ac:dyDescent="0.45">
      <c r="A95" s="5" t="s">
        <v>232</v>
      </c>
      <c r="J95" s="9"/>
      <c r="K95" s="6">
        <v>9000000</v>
      </c>
      <c r="M95" s="6">
        <v>239938228</v>
      </c>
      <c r="O95" s="6">
        <v>1536643794</v>
      </c>
      <c r="Q95" s="6">
        <v>-1296705566</v>
      </c>
    </row>
    <row r="96" spans="1:17" ht="18.75" x14ac:dyDescent="0.45">
      <c r="A96" s="5" t="s">
        <v>233</v>
      </c>
      <c r="J96" s="9"/>
      <c r="K96" s="6">
        <v>373460</v>
      </c>
      <c r="M96" s="6">
        <v>20577616</v>
      </c>
      <c r="O96" s="6">
        <v>30418930</v>
      </c>
      <c r="Q96" s="6">
        <v>-9841314</v>
      </c>
    </row>
    <row r="97" spans="1:17" ht="18.75" x14ac:dyDescent="0.45">
      <c r="A97" s="5" t="s">
        <v>234</v>
      </c>
      <c r="J97" s="9"/>
      <c r="K97" s="6">
        <v>1152156</v>
      </c>
      <c r="M97" s="6">
        <v>130358630</v>
      </c>
      <c r="O97" s="6">
        <v>90473480</v>
      </c>
      <c r="Q97" s="6">
        <v>39885150</v>
      </c>
    </row>
    <row r="98" spans="1:17" ht="18.75" x14ac:dyDescent="0.45">
      <c r="A98" s="5" t="s">
        <v>235</v>
      </c>
      <c r="J98" s="9"/>
      <c r="K98" s="6">
        <v>287523</v>
      </c>
      <c r="M98" s="6">
        <v>22995918</v>
      </c>
      <c r="O98" s="6">
        <v>23001840</v>
      </c>
      <c r="Q98" s="6">
        <v>-5922</v>
      </c>
    </row>
    <row r="99" spans="1:17" ht="18.75" x14ac:dyDescent="0.45">
      <c r="A99" s="5" t="s">
        <v>236</v>
      </c>
      <c r="J99" s="9"/>
      <c r="K99" s="6">
        <v>1059000</v>
      </c>
      <c r="M99" s="6">
        <v>10587280</v>
      </c>
      <c r="O99" s="6">
        <v>8530474</v>
      </c>
      <c r="Q99" s="6">
        <v>2056806</v>
      </c>
    </row>
    <row r="100" spans="1:17" ht="18.75" x14ac:dyDescent="0.45">
      <c r="A100" s="5" t="s">
        <v>237</v>
      </c>
      <c r="J100" s="9"/>
      <c r="K100" s="6">
        <v>18744000</v>
      </c>
      <c r="M100" s="6">
        <v>1095764742</v>
      </c>
      <c r="O100" s="6">
        <v>296971944</v>
      </c>
      <c r="Q100" s="6">
        <v>798792798</v>
      </c>
    </row>
    <row r="101" spans="1:17" ht="18.75" x14ac:dyDescent="0.45">
      <c r="A101" s="5" t="s">
        <v>238</v>
      </c>
      <c r="J101" s="9"/>
      <c r="K101" s="6">
        <v>1073520</v>
      </c>
      <c r="M101" s="6">
        <v>28619837</v>
      </c>
      <c r="O101" s="6">
        <v>27464766</v>
      </c>
      <c r="Q101" s="6">
        <v>1155071</v>
      </c>
    </row>
    <row r="102" spans="1:17" ht="18.75" x14ac:dyDescent="0.45">
      <c r="A102" s="5" t="s">
        <v>239</v>
      </c>
      <c r="J102" s="9"/>
      <c r="K102" s="6">
        <v>3479568</v>
      </c>
      <c r="M102" s="6">
        <v>185589459</v>
      </c>
      <c r="O102" s="6">
        <v>45275351</v>
      </c>
      <c r="Q102" s="6">
        <v>140314108</v>
      </c>
    </row>
    <row r="103" spans="1:17" ht="18.75" x14ac:dyDescent="0.45">
      <c r="A103" s="5" t="s">
        <v>240</v>
      </c>
      <c r="J103" s="9"/>
      <c r="K103" s="6">
        <v>23106240</v>
      </c>
      <c r="M103" s="6">
        <v>1262303157</v>
      </c>
      <c r="O103" s="6">
        <v>658583608</v>
      </c>
      <c r="Q103" s="6">
        <v>603719549</v>
      </c>
    </row>
    <row r="104" spans="1:17" ht="18.75" x14ac:dyDescent="0.45">
      <c r="A104" s="5" t="s">
        <v>241</v>
      </c>
      <c r="J104" s="9"/>
      <c r="K104" s="6">
        <v>1172352</v>
      </c>
      <c r="M104" s="6">
        <v>123065277</v>
      </c>
      <c r="O104" s="6">
        <v>118406349</v>
      </c>
      <c r="Q104" s="6">
        <v>4658928</v>
      </c>
    </row>
    <row r="105" spans="1:17" ht="18.75" x14ac:dyDescent="0.45">
      <c r="A105" s="5" t="s">
        <v>242</v>
      </c>
      <c r="J105" s="9"/>
      <c r="K105" s="6">
        <v>7300000</v>
      </c>
      <c r="M105" s="6">
        <v>430610110</v>
      </c>
      <c r="O105" s="6">
        <v>179611356</v>
      </c>
      <c r="Q105" s="6">
        <v>250998754</v>
      </c>
    </row>
    <row r="106" spans="1:17" ht="18.75" x14ac:dyDescent="0.45">
      <c r="A106" s="5" t="s">
        <v>243</v>
      </c>
      <c r="J106" s="9"/>
      <c r="K106" s="6">
        <v>79326</v>
      </c>
      <c r="M106" s="6">
        <v>793060</v>
      </c>
      <c r="O106" s="6">
        <v>3491035</v>
      </c>
      <c r="Q106" s="6">
        <v>-2697975</v>
      </c>
    </row>
    <row r="107" spans="1:17" ht="18.75" x14ac:dyDescent="0.45">
      <c r="A107" s="5" t="s">
        <v>244</v>
      </c>
      <c r="J107" s="9"/>
      <c r="K107" s="6">
        <v>150000</v>
      </c>
      <c r="M107" s="6">
        <v>1234610146</v>
      </c>
      <c r="O107" s="6">
        <v>1043584546</v>
      </c>
      <c r="Q107" s="6">
        <v>191025600</v>
      </c>
    </row>
    <row r="108" spans="1:17" ht="18.75" x14ac:dyDescent="0.45">
      <c r="A108" s="5" t="s">
        <v>25</v>
      </c>
      <c r="C108" s="6">
        <v>1000000</v>
      </c>
      <c r="E108" s="6">
        <v>4146649571</v>
      </c>
      <c r="G108" s="6">
        <v>4516000281</v>
      </c>
      <c r="I108" s="6">
        <v>-369350710</v>
      </c>
      <c r="K108" s="6">
        <v>2000000</v>
      </c>
      <c r="M108" s="6">
        <v>8317069944</v>
      </c>
      <c r="O108" s="6">
        <v>9031858190</v>
      </c>
      <c r="Q108" s="6">
        <v>-714788246</v>
      </c>
    </row>
    <row r="109" spans="1:17" ht="18.75" x14ac:dyDescent="0.45">
      <c r="A109" s="5" t="s">
        <v>26</v>
      </c>
      <c r="C109" s="6">
        <v>242039</v>
      </c>
      <c r="E109" s="6">
        <v>770878777</v>
      </c>
      <c r="G109" s="6">
        <v>807926705</v>
      </c>
      <c r="I109" s="6">
        <v>-37047928</v>
      </c>
      <c r="K109" s="6">
        <v>1242039</v>
      </c>
      <c r="M109" s="6">
        <v>4392202947</v>
      </c>
      <c r="O109" s="6">
        <v>3400496443</v>
      </c>
      <c r="Q109" s="6">
        <v>991706504</v>
      </c>
    </row>
    <row r="110" spans="1:17" ht="18.75" x14ac:dyDescent="0.45">
      <c r="A110" s="5" t="s">
        <v>245</v>
      </c>
      <c r="J110" s="9"/>
      <c r="K110" s="6">
        <v>2700000</v>
      </c>
      <c r="M110" s="6">
        <v>10139193638</v>
      </c>
      <c r="O110" s="6">
        <v>11615719631</v>
      </c>
      <c r="Q110" s="6">
        <v>-1476525993</v>
      </c>
    </row>
    <row r="111" spans="1:17" ht="18.75" x14ac:dyDescent="0.45">
      <c r="A111" s="5" t="s">
        <v>27</v>
      </c>
      <c r="C111" s="6">
        <v>21659591</v>
      </c>
      <c r="E111" s="6">
        <v>8587556258</v>
      </c>
      <c r="G111" s="6">
        <v>9540270342</v>
      </c>
      <c r="I111" s="6">
        <v>-952714084</v>
      </c>
      <c r="K111" s="6">
        <v>21659591</v>
      </c>
      <c r="M111" s="6">
        <v>8587556258</v>
      </c>
      <c r="O111" s="6">
        <v>9540270342</v>
      </c>
      <c r="Q111" s="6">
        <v>-952714084</v>
      </c>
    </row>
    <row r="112" spans="1:17" ht="18.75" x14ac:dyDescent="0.45">
      <c r="A112" s="5" t="s">
        <v>28</v>
      </c>
      <c r="C112" s="6">
        <v>26466235</v>
      </c>
      <c r="E112" s="6">
        <v>10889436543</v>
      </c>
      <c r="G112" s="6">
        <v>11457454155</v>
      </c>
      <c r="I112" s="6">
        <v>-568017612</v>
      </c>
      <c r="K112" s="6">
        <v>44066235</v>
      </c>
      <c r="M112" s="6">
        <v>19886782173</v>
      </c>
      <c r="O112" s="6">
        <v>19066131063</v>
      </c>
      <c r="Q112" s="6">
        <v>820651110</v>
      </c>
    </row>
    <row r="113" spans="1:17" ht="18.75" x14ac:dyDescent="0.45">
      <c r="A113" s="5" t="s">
        <v>246</v>
      </c>
      <c r="J113" s="9"/>
      <c r="K113" s="6">
        <v>53560926</v>
      </c>
      <c r="M113" s="6">
        <v>31923712893</v>
      </c>
      <c r="O113" s="6">
        <v>34765638255</v>
      </c>
      <c r="Q113" s="6">
        <v>-2841925362</v>
      </c>
    </row>
    <row r="114" spans="1:17" ht="18.75" x14ac:dyDescent="0.45">
      <c r="A114" s="5" t="s">
        <v>29</v>
      </c>
      <c r="J114" s="9"/>
      <c r="K114" s="6">
        <v>5392957</v>
      </c>
      <c r="M114" s="6">
        <v>12405976149</v>
      </c>
      <c r="O114" s="6">
        <v>10123887778</v>
      </c>
      <c r="Q114" s="6">
        <v>2282088371</v>
      </c>
    </row>
    <row r="115" spans="1:17" ht="18.75" x14ac:dyDescent="0.45">
      <c r="A115" s="5" t="s">
        <v>115</v>
      </c>
      <c r="J115" s="9"/>
      <c r="K115" s="6">
        <v>1700000</v>
      </c>
      <c r="M115" s="6">
        <v>6531405579</v>
      </c>
      <c r="O115" s="6">
        <v>8984891479</v>
      </c>
      <c r="Q115" s="6">
        <v>-2453485900</v>
      </c>
    </row>
    <row r="116" spans="1:17" ht="18.75" x14ac:dyDescent="0.45">
      <c r="A116" s="5" t="s">
        <v>247</v>
      </c>
      <c r="J116" s="9"/>
      <c r="K116" s="6">
        <v>491813</v>
      </c>
      <c r="M116" s="6">
        <v>2682696973</v>
      </c>
      <c r="O116" s="6">
        <v>2819485476</v>
      </c>
      <c r="Q116" s="6">
        <v>-136788503</v>
      </c>
    </row>
    <row r="117" spans="1:17" ht="18.75" x14ac:dyDescent="0.45">
      <c r="A117" s="5" t="s">
        <v>117</v>
      </c>
      <c r="J117" s="9"/>
      <c r="K117" s="6">
        <v>571500</v>
      </c>
      <c r="M117" s="6">
        <v>28686183282</v>
      </c>
      <c r="O117" s="6">
        <v>25855157130</v>
      </c>
      <c r="Q117" s="6">
        <v>2831026152</v>
      </c>
    </row>
    <row r="118" spans="1:17" ht="18.75" x14ac:dyDescent="0.45">
      <c r="A118" s="5" t="s">
        <v>30</v>
      </c>
      <c r="C118" s="6">
        <v>5153333</v>
      </c>
      <c r="E118" s="6">
        <v>8410374461</v>
      </c>
      <c r="G118" s="6">
        <v>14155202629</v>
      </c>
      <c r="I118" s="6">
        <v>-5744828168</v>
      </c>
      <c r="K118" s="6">
        <v>7153333</v>
      </c>
      <c r="M118" s="6">
        <v>13179826386</v>
      </c>
      <c r="O118" s="6">
        <v>20026688699</v>
      </c>
      <c r="Q118" s="6">
        <v>-6846862313</v>
      </c>
    </row>
    <row r="119" spans="1:17" ht="18.75" x14ac:dyDescent="0.45">
      <c r="A119" s="5" t="s">
        <v>120</v>
      </c>
      <c r="J119" s="9"/>
      <c r="K119" s="6">
        <v>1800000</v>
      </c>
      <c r="M119" s="6">
        <v>6943185870</v>
      </c>
      <c r="O119" s="6">
        <v>5823878975</v>
      </c>
      <c r="Q119" s="6">
        <v>1119306895</v>
      </c>
    </row>
    <row r="120" spans="1:17" ht="18.75" x14ac:dyDescent="0.45">
      <c r="A120" s="5" t="s">
        <v>248</v>
      </c>
      <c r="J120" s="9"/>
      <c r="K120" s="6">
        <v>1600000</v>
      </c>
      <c r="M120" s="6">
        <v>11093598204</v>
      </c>
      <c r="O120" s="6">
        <v>10398956604</v>
      </c>
      <c r="Q120" s="6">
        <v>694641600</v>
      </c>
    </row>
    <row r="121" spans="1:17" ht="18.75" x14ac:dyDescent="0.45">
      <c r="A121" s="5" t="s">
        <v>249</v>
      </c>
      <c r="J121" s="9"/>
      <c r="K121" s="6">
        <v>200000</v>
      </c>
      <c r="M121" s="6">
        <v>1455289206</v>
      </c>
      <c r="O121" s="6">
        <v>1656800112</v>
      </c>
      <c r="Q121" s="6">
        <v>-201510906</v>
      </c>
    </row>
    <row r="122" spans="1:17" ht="18.75" x14ac:dyDescent="0.45">
      <c r="A122" s="5" t="s">
        <v>250</v>
      </c>
      <c r="J122" s="9"/>
      <c r="K122" s="6">
        <v>595000</v>
      </c>
      <c r="M122" s="6">
        <v>17461482461</v>
      </c>
      <c r="O122" s="6">
        <v>11150692921</v>
      </c>
      <c r="Q122" s="6">
        <v>6310789540</v>
      </c>
    </row>
    <row r="123" spans="1:17" ht="18.75" x14ac:dyDescent="0.45">
      <c r="A123" s="5" t="s">
        <v>251</v>
      </c>
      <c r="J123" s="9"/>
      <c r="K123" s="6">
        <v>24500000</v>
      </c>
      <c r="M123" s="6">
        <v>10435935006</v>
      </c>
      <c r="O123" s="6">
        <v>12893982706</v>
      </c>
      <c r="Q123" s="6">
        <v>-2458047700</v>
      </c>
    </row>
    <row r="124" spans="1:17" ht="18.75" x14ac:dyDescent="0.45">
      <c r="A124" s="5" t="s">
        <v>252</v>
      </c>
      <c r="J124" s="9"/>
      <c r="K124" s="6">
        <v>28192301</v>
      </c>
      <c r="M124" s="6">
        <v>11377970441</v>
      </c>
      <c r="O124" s="6">
        <v>9641682117</v>
      </c>
      <c r="Q124" s="6">
        <v>1736288324</v>
      </c>
    </row>
    <row r="125" spans="1:17" ht="18.75" x14ac:dyDescent="0.45">
      <c r="A125" s="5" t="s">
        <v>253</v>
      </c>
      <c r="J125" s="9"/>
      <c r="K125" s="6">
        <v>700000</v>
      </c>
      <c r="M125" s="6">
        <v>13113781594</v>
      </c>
      <c r="O125" s="6">
        <v>11995700499</v>
      </c>
      <c r="Q125" s="6">
        <v>1118081095</v>
      </c>
    </row>
    <row r="126" spans="1:17" ht="18.75" x14ac:dyDescent="0.45">
      <c r="A126" s="5" t="s">
        <v>31</v>
      </c>
      <c r="C126" s="6">
        <v>14000000</v>
      </c>
      <c r="E126" s="6">
        <v>17051986481</v>
      </c>
      <c r="G126" s="6">
        <v>20418717716</v>
      </c>
      <c r="I126" s="6">
        <v>-3366731235</v>
      </c>
      <c r="K126" s="6">
        <v>31200000</v>
      </c>
      <c r="M126" s="6">
        <v>39210958233</v>
      </c>
      <c r="O126" s="6">
        <v>45139484730</v>
      </c>
      <c r="Q126" s="6">
        <v>-5928526497</v>
      </c>
    </row>
    <row r="127" spans="1:17" ht="18.75" x14ac:dyDescent="0.45">
      <c r="A127" s="5" t="s">
        <v>254</v>
      </c>
      <c r="J127" s="9"/>
      <c r="K127" s="6">
        <v>24869520</v>
      </c>
      <c r="M127" s="6">
        <v>29276157072</v>
      </c>
      <c r="O127" s="6">
        <v>29713114579</v>
      </c>
      <c r="Q127" s="6">
        <v>-436957507</v>
      </c>
    </row>
    <row r="128" spans="1:17" ht="18.75" x14ac:dyDescent="0.45">
      <c r="A128" s="5" t="s">
        <v>32</v>
      </c>
      <c r="C128" s="6">
        <v>150000</v>
      </c>
      <c r="E128" s="6">
        <v>3823116323</v>
      </c>
      <c r="G128" s="6">
        <v>3987134214</v>
      </c>
      <c r="I128" s="6">
        <v>-164017891</v>
      </c>
      <c r="K128" s="6">
        <v>550000</v>
      </c>
      <c r="M128" s="6">
        <v>15746941656</v>
      </c>
      <c r="O128" s="6">
        <v>14453382518</v>
      </c>
      <c r="Q128" s="6">
        <v>1293559138</v>
      </c>
    </row>
    <row r="129" spans="1:17" ht="18.75" x14ac:dyDescent="0.45">
      <c r="A129" s="5" t="s">
        <v>34</v>
      </c>
      <c r="C129" s="6">
        <v>1200000</v>
      </c>
      <c r="E129" s="6">
        <v>9932547737</v>
      </c>
      <c r="G129" s="6">
        <v>12804684479</v>
      </c>
      <c r="I129" s="6">
        <v>-2872136742</v>
      </c>
      <c r="K129" s="6">
        <v>2479048</v>
      </c>
      <c r="M129" s="6">
        <v>22153354852</v>
      </c>
      <c r="O129" s="6">
        <v>26373640364</v>
      </c>
      <c r="Q129" s="6">
        <v>-4220285512</v>
      </c>
    </row>
    <row r="130" spans="1:17" ht="18.75" x14ac:dyDescent="0.45">
      <c r="A130" s="5" t="s">
        <v>123</v>
      </c>
      <c r="J130" s="9"/>
      <c r="K130" s="6">
        <v>2785714</v>
      </c>
      <c r="M130" s="6">
        <v>14503087056</v>
      </c>
      <c r="O130" s="6">
        <v>13601258776</v>
      </c>
      <c r="Q130" s="6">
        <v>901828280</v>
      </c>
    </row>
    <row r="131" spans="1:17" ht="18.75" x14ac:dyDescent="0.45">
      <c r="A131" s="5" t="s">
        <v>35</v>
      </c>
      <c r="J131" s="9"/>
      <c r="K131" s="6">
        <v>750000</v>
      </c>
      <c r="M131" s="6">
        <v>2859136320</v>
      </c>
      <c r="O131" s="6">
        <v>2310043920</v>
      </c>
      <c r="Q131" s="6">
        <v>549092400</v>
      </c>
    </row>
    <row r="132" spans="1:17" ht="18.75" x14ac:dyDescent="0.45">
      <c r="A132" s="5" t="s">
        <v>36</v>
      </c>
      <c r="J132" s="9"/>
      <c r="K132" s="6">
        <v>3250000</v>
      </c>
      <c r="M132" s="6">
        <v>4755535365</v>
      </c>
      <c r="O132" s="6">
        <v>3875154565</v>
      </c>
      <c r="Q132" s="6">
        <v>880380800</v>
      </c>
    </row>
    <row r="133" spans="1:17" ht="18.75" x14ac:dyDescent="0.45">
      <c r="A133" s="5" t="s">
        <v>37</v>
      </c>
      <c r="J133" s="9"/>
      <c r="K133" s="6">
        <v>500000</v>
      </c>
      <c r="M133" s="6">
        <v>6485320811</v>
      </c>
      <c r="O133" s="6">
        <v>4844489105</v>
      </c>
      <c r="Q133" s="6">
        <v>1640831706</v>
      </c>
    </row>
    <row r="134" spans="1:17" ht="18.75" x14ac:dyDescent="0.45">
      <c r="A134" s="5" t="s">
        <v>255</v>
      </c>
      <c r="J134" s="9"/>
      <c r="K134" s="6">
        <v>1383146</v>
      </c>
      <c r="M134" s="6">
        <v>16041014404</v>
      </c>
      <c r="O134" s="6">
        <v>13226976376</v>
      </c>
      <c r="Q134" s="6">
        <v>2814038028</v>
      </c>
    </row>
    <row r="135" spans="1:17" ht="18.75" x14ac:dyDescent="0.45">
      <c r="A135" s="5" t="s">
        <v>126</v>
      </c>
      <c r="J135" s="9"/>
      <c r="K135" s="6">
        <v>2400000</v>
      </c>
      <c r="M135" s="6">
        <v>7129862097</v>
      </c>
      <c r="O135" s="6">
        <v>11764251845</v>
      </c>
      <c r="Q135" s="6">
        <v>-4634389748</v>
      </c>
    </row>
    <row r="136" spans="1:17" ht="18.75" x14ac:dyDescent="0.45">
      <c r="A136" s="5" t="s">
        <v>256</v>
      </c>
      <c r="J136" s="9"/>
      <c r="K136" s="6">
        <v>750000</v>
      </c>
      <c r="M136" s="6">
        <v>6006550068</v>
      </c>
      <c r="O136" s="6">
        <v>5409054971</v>
      </c>
      <c r="Q136" s="6">
        <v>597495097</v>
      </c>
    </row>
    <row r="137" spans="1:17" ht="18.75" x14ac:dyDescent="0.45">
      <c r="A137" s="5" t="s">
        <v>128</v>
      </c>
      <c r="J137" s="9"/>
      <c r="K137" s="6">
        <v>3000000</v>
      </c>
      <c r="M137" s="6">
        <v>11374254037</v>
      </c>
      <c r="O137" s="6">
        <v>9240548720</v>
      </c>
      <c r="Q137" s="6">
        <v>2133705317</v>
      </c>
    </row>
    <row r="138" spans="1:17" ht="18.75" x14ac:dyDescent="0.45">
      <c r="A138" s="5" t="s">
        <v>257</v>
      </c>
      <c r="J138" s="9"/>
      <c r="K138" s="6">
        <v>9506493</v>
      </c>
      <c r="M138" s="6">
        <v>25599861319</v>
      </c>
      <c r="O138" s="6">
        <v>24151987937</v>
      </c>
      <c r="Q138" s="6">
        <v>1447873382</v>
      </c>
    </row>
    <row r="139" spans="1:17" ht="18.75" x14ac:dyDescent="0.45">
      <c r="A139" s="5" t="s">
        <v>38</v>
      </c>
      <c r="J139" s="9"/>
      <c r="K139" s="6">
        <v>1875000</v>
      </c>
      <c r="M139" s="6">
        <v>6657539463</v>
      </c>
      <c r="O139" s="6">
        <v>6059096579</v>
      </c>
      <c r="Q139" s="6">
        <v>598442884</v>
      </c>
    </row>
    <row r="140" spans="1:17" ht="18.75" x14ac:dyDescent="0.45">
      <c r="A140" s="5" t="s">
        <v>39</v>
      </c>
      <c r="C140" s="6">
        <v>900000</v>
      </c>
      <c r="E140" s="6">
        <v>6218776887</v>
      </c>
      <c r="G140" s="6">
        <v>6145653990</v>
      </c>
      <c r="I140" s="6">
        <v>73122897</v>
      </c>
      <c r="K140" s="6">
        <v>6065870</v>
      </c>
      <c r="M140" s="6">
        <v>50481232214</v>
      </c>
      <c r="O140" s="6">
        <v>45596585145</v>
      </c>
      <c r="Q140" s="6">
        <v>4884647069</v>
      </c>
    </row>
    <row r="141" spans="1:17" ht="18.75" x14ac:dyDescent="0.45">
      <c r="A141" s="5" t="s">
        <v>40</v>
      </c>
      <c r="C141" s="6">
        <v>200000</v>
      </c>
      <c r="E141" s="6">
        <v>3123305112</v>
      </c>
      <c r="G141" s="6">
        <v>4542006512</v>
      </c>
      <c r="I141" s="6">
        <v>-1418701400</v>
      </c>
      <c r="K141" s="6">
        <v>642665</v>
      </c>
      <c r="M141" s="6">
        <v>13393084960</v>
      </c>
      <c r="O141" s="6">
        <v>14574850186</v>
      </c>
      <c r="Q141" s="6">
        <v>-1181765226</v>
      </c>
    </row>
    <row r="142" spans="1:17" ht="18.75" x14ac:dyDescent="0.45">
      <c r="A142" s="5" t="s">
        <v>258</v>
      </c>
      <c r="J142" s="9"/>
      <c r="K142" s="6">
        <v>3800000</v>
      </c>
      <c r="M142" s="6">
        <v>23683463035</v>
      </c>
      <c r="O142" s="6">
        <v>25997778915</v>
      </c>
      <c r="Q142" s="6">
        <v>-2314315880</v>
      </c>
    </row>
    <row r="143" spans="1:17" ht="18.75" x14ac:dyDescent="0.45">
      <c r="A143" s="5" t="s">
        <v>259</v>
      </c>
      <c r="J143" s="9"/>
      <c r="K143" s="6">
        <v>265</v>
      </c>
      <c r="M143" s="6">
        <v>5023485</v>
      </c>
      <c r="O143" s="6">
        <v>4865758</v>
      </c>
      <c r="Q143" s="6">
        <v>157727</v>
      </c>
    </row>
    <row r="144" spans="1:17" ht="18.75" x14ac:dyDescent="0.45">
      <c r="A144" s="5" t="s">
        <v>260</v>
      </c>
      <c r="J144" s="9"/>
      <c r="K144" s="6">
        <v>800000</v>
      </c>
      <c r="M144" s="6">
        <v>2926501004</v>
      </c>
      <c r="O144" s="6">
        <v>3290681565</v>
      </c>
      <c r="Q144" s="6">
        <v>-364180561</v>
      </c>
    </row>
    <row r="145" spans="1:17" ht="18.75" x14ac:dyDescent="0.45">
      <c r="A145" s="5" t="s">
        <v>261</v>
      </c>
      <c r="J145" s="9"/>
      <c r="K145" s="6">
        <v>16214566</v>
      </c>
      <c r="M145" s="6">
        <v>32438711144</v>
      </c>
      <c r="O145" s="6">
        <v>39973740709</v>
      </c>
      <c r="Q145" s="6">
        <v>-7535029565</v>
      </c>
    </row>
    <row r="146" spans="1:17" ht="18.75" x14ac:dyDescent="0.45">
      <c r="A146" s="5" t="s">
        <v>41</v>
      </c>
      <c r="C146" s="6">
        <v>3600000</v>
      </c>
      <c r="E146" s="6">
        <v>8848962363</v>
      </c>
      <c r="G146" s="6">
        <v>14980429125</v>
      </c>
      <c r="I146" s="6">
        <v>-6131466762</v>
      </c>
      <c r="K146" s="6">
        <v>6366211</v>
      </c>
      <c r="M146" s="6">
        <v>18328954183</v>
      </c>
      <c r="O146" s="6">
        <v>26475225574</v>
      </c>
      <c r="Q146" s="6">
        <v>-8146271391</v>
      </c>
    </row>
    <row r="147" spans="1:17" ht="18.75" x14ac:dyDescent="0.45">
      <c r="A147" s="5" t="s">
        <v>42</v>
      </c>
      <c r="C147" s="6">
        <v>1800000</v>
      </c>
      <c r="E147" s="6">
        <v>5444809517</v>
      </c>
      <c r="G147" s="6">
        <v>7725261558</v>
      </c>
      <c r="I147" s="6">
        <v>-2280452041</v>
      </c>
      <c r="K147" s="6">
        <v>1900000</v>
      </c>
      <c r="M147" s="6">
        <v>6041239517</v>
      </c>
      <c r="O147" s="6">
        <v>8261460708</v>
      </c>
      <c r="Q147" s="6">
        <v>-2220221191</v>
      </c>
    </row>
    <row r="148" spans="1:17" ht="18.75" x14ac:dyDescent="0.45">
      <c r="A148" s="5" t="s">
        <v>132</v>
      </c>
      <c r="J148" s="9"/>
      <c r="K148" s="6">
        <v>200000</v>
      </c>
      <c r="M148" s="6">
        <v>2200826700</v>
      </c>
      <c r="O148" s="6">
        <v>3619085400</v>
      </c>
      <c r="Q148" s="6">
        <v>-1418258700</v>
      </c>
    </row>
    <row r="149" spans="1:17" ht="18.75" x14ac:dyDescent="0.45">
      <c r="A149" s="5" t="s">
        <v>43</v>
      </c>
      <c r="C149" s="6">
        <v>1200000</v>
      </c>
      <c r="E149" s="6">
        <v>7407660636</v>
      </c>
      <c r="G149" s="6">
        <v>9657269116</v>
      </c>
      <c r="I149" s="6">
        <v>-2249608480</v>
      </c>
      <c r="K149" s="6">
        <v>2308532</v>
      </c>
      <c r="M149" s="6">
        <v>16092601741</v>
      </c>
      <c r="O149" s="6">
        <v>18567404004</v>
      </c>
      <c r="Q149" s="6">
        <v>-2474802263</v>
      </c>
    </row>
    <row r="150" spans="1:17" ht="18.75" x14ac:dyDescent="0.45">
      <c r="A150" s="5" t="s">
        <v>262</v>
      </c>
      <c r="J150" s="9"/>
      <c r="K150" s="6">
        <v>200000</v>
      </c>
      <c r="M150" s="6">
        <v>2425482010</v>
      </c>
      <c r="O150" s="6">
        <v>2325651668</v>
      </c>
      <c r="Q150" s="6">
        <v>99830342</v>
      </c>
    </row>
    <row r="151" spans="1:17" ht="18.75" x14ac:dyDescent="0.45">
      <c r="A151" s="5" t="s">
        <v>44</v>
      </c>
      <c r="C151" s="6">
        <v>14000000</v>
      </c>
      <c r="E151" s="6">
        <v>6401682053</v>
      </c>
      <c r="G151" s="6">
        <v>8589281133</v>
      </c>
      <c r="I151" s="6">
        <v>-2187599080</v>
      </c>
      <c r="K151" s="6">
        <v>29010652</v>
      </c>
      <c r="M151" s="6">
        <v>14989091885</v>
      </c>
      <c r="O151" s="6">
        <v>17788300976</v>
      </c>
      <c r="Q151" s="6">
        <v>-2799209091</v>
      </c>
    </row>
    <row r="152" spans="1:17" ht="18.75" x14ac:dyDescent="0.45">
      <c r="A152" s="5" t="s">
        <v>263</v>
      </c>
      <c r="J152" s="9"/>
      <c r="K152" s="6">
        <v>1800000</v>
      </c>
      <c r="M152" s="6">
        <v>30209179739</v>
      </c>
      <c r="O152" s="6">
        <v>29106262207</v>
      </c>
      <c r="Q152" s="6">
        <v>1102917532</v>
      </c>
    </row>
    <row r="153" spans="1:17" ht="18.75" x14ac:dyDescent="0.45">
      <c r="A153" s="5" t="s">
        <v>264</v>
      </c>
      <c r="J153" s="9"/>
      <c r="K153" s="6">
        <v>2421626</v>
      </c>
      <c r="M153" s="6">
        <v>13863899230</v>
      </c>
      <c r="O153" s="6">
        <v>14571250792</v>
      </c>
      <c r="Q153" s="6">
        <v>-707351562</v>
      </c>
    </row>
    <row r="154" spans="1:17" ht="18.75" x14ac:dyDescent="0.45">
      <c r="A154" s="5" t="s">
        <v>45</v>
      </c>
      <c r="J154" s="9"/>
      <c r="K154" s="6">
        <v>175000</v>
      </c>
      <c r="M154" s="6">
        <v>8066371716</v>
      </c>
      <c r="O154" s="6">
        <v>7133232866</v>
      </c>
      <c r="Q154" s="6">
        <v>933138850</v>
      </c>
    </row>
    <row r="155" spans="1:17" ht="18.75" x14ac:dyDescent="0.45">
      <c r="A155" s="5" t="s">
        <v>46</v>
      </c>
      <c r="C155" s="6">
        <v>1000000</v>
      </c>
      <c r="E155" s="6">
        <v>5574632612</v>
      </c>
      <c r="G155" s="6">
        <v>5792901875</v>
      </c>
      <c r="I155" s="6">
        <v>-218269263</v>
      </c>
      <c r="K155" s="6">
        <v>5238461</v>
      </c>
      <c r="M155" s="6">
        <v>34717716562</v>
      </c>
      <c r="O155" s="6">
        <v>32329663239</v>
      </c>
      <c r="Q155" s="6">
        <v>2388053323</v>
      </c>
    </row>
    <row r="156" spans="1:17" ht="18.75" x14ac:dyDescent="0.45">
      <c r="A156" s="5" t="s">
        <v>47</v>
      </c>
      <c r="C156" s="6">
        <v>364500</v>
      </c>
      <c r="E156" s="6">
        <v>4769154935</v>
      </c>
      <c r="G156" s="6">
        <v>5145061384</v>
      </c>
      <c r="I156" s="6">
        <v>-375906449</v>
      </c>
      <c r="K156" s="6">
        <v>700000</v>
      </c>
      <c r="M156" s="6">
        <v>9563380769</v>
      </c>
      <c r="O156" s="6">
        <v>9403961911</v>
      </c>
      <c r="Q156" s="6">
        <v>159418858</v>
      </c>
    </row>
    <row r="157" spans="1:17" ht="18.75" x14ac:dyDescent="0.45">
      <c r="A157" s="5" t="s">
        <v>265</v>
      </c>
      <c r="J157" s="9"/>
      <c r="K157" s="6">
        <v>450000</v>
      </c>
      <c r="M157" s="6">
        <v>5159086050</v>
      </c>
      <c r="O157" s="6">
        <v>2461380650</v>
      </c>
      <c r="Q157" s="6">
        <v>2697705400</v>
      </c>
    </row>
    <row r="158" spans="1:17" ht="18.75" x14ac:dyDescent="0.45">
      <c r="A158" s="5" t="s">
        <v>48</v>
      </c>
      <c r="C158" s="6">
        <v>1400000</v>
      </c>
      <c r="E158" s="6">
        <v>4362023689</v>
      </c>
      <c r="G158" s="6">
        <v>4690867954</v>
      </c>
      <c r="I158" s="6">
        <v>-328844265</v>
      </c>
      <c r="K158" s="6">
        <v>6350000</v>
      </c>
      <c r="M158" s="6">
        <v>22645405314</v>
      </c>
      <c r="O158" s="6">
        <v>21259314721</v>
      </c>
      <c r="Q158" s="6">
        <v>1386090593</v>
      </c>
    </row>
    <row r="159" spans="1:17" ht="18.75" x14ac:dyDescent="0.45">
      <c r="A159" s="5" t="s">
        <v>49</v>
      </c>
      <c r="C159" s="6">
        <v>100000</v>
      </c>
      <c r="E159" s="6">
        <v>1065621606</v>
      </c>
      <c r="G159" s="6">
        <v>1021148013</v>
      </c>
      <c r="I159" s="6">
        <v>44473593</v>
      </c>
      <c r="K159" s="6">
        <v>100000</v>
      </c>
      <c r="M159" s="6">
        <v>1065621606</v>
      </c>
      <c r="O159" s="6">
        <v>1021148013</v>
      </c>
      <c r="Q159" s="6">
        <v>44473593</v>
      </c>
    </row>
    <row r="160" spans="1:17" ht="18.75" x14ac:dyDescent="0.45">
      <c r="A160" s="5" t="s">
        <v>50</v>
      </c>
      <c r="C160" s="6">
        <v>400000</v>
      </c>
      <c r="E160" s="6">
        <v>5118865042</v>
      </c>
      <c r="G160" s="6">
        <v>6478105093</v>
      </c>
      <c r="I160" s="6">
        <v>-1359240051</v>
      </c>
      <c r="K160" s="6">
        <v>600000</v>
      </c>
      <c r="M160" s="6">
        <v>7733463755</v>
      </c>
      <c r="O160" s="6">
        <v>9716827406</v>
      </c>
      <c r="Q160" s="6">
        <v>-1983363651</v>
      </c>
    </row>
    <row r="161" spans="1:17" ht="18.75" x14ac:dyDescent="0.45">
      <c r="A161" s="5" t="s">
        <v>51</v>
      </c>
      <c r="C161" s="6">
        <v>50000</v>
      </c>
      <c r="E161" s="6">
        <v>832086211</v>
      </c>
      <c r="G161" s="6">
        <v>826483756</v>
      </c>
      <c r="I161" s="6">
        <v>5602455</v>
      </c>
      <c r="K161" s="6">
        <v>50000</v>
      </c>
      <c r="M161" s="6">
        <v>832086211</v>
      </c>
      <c r="O161" s="6">
        <v>826483756</v>
      </c>
      <c r="Q161" s="6">
        <v>5602455</v>
      </c>
    </row>
    <row r="162" spans="1:17" ht="18.75" x14ac:dyDescent="0.45">
      <c r="A162" s="5" t="s">
        <v>52</v>
      </c>
      <c r="C162" s="6">
        <v>1385981</v>
      </c>
      <c r="E162" s="6">
        <v>3072424933</v>
      </c>
      <c r="G162" s="6">
        <v>2918673877</v>
      </c>
      <c r="I162" s="6">
        <v>153751056</v>
      </c>
      <c r="K162" s="6">
        <v>1385981</v>
      </c>
      <c r="M162" s="6">
        <v>3072424933</v>
      </c>
      <c r="O162" s="6">
        <v>2918673877</v>
      </c>
      <c r="Q162" s="6">
        <v>153751056</v>
      </c>
    </row>
    <row r="163" spans="1:17" ht="18.75" x14ac:dyDescent="0.45">
      <c r="A163" s="5" t="s">
        <v>53</v>
      </c>
      <c r="C163" s="6">
        <v>50000</v>
      </c>
      <c r="E163" s="6">
        <v>2407092107</v>
      </c>
      <c r="G163" s="6">
        <v>2986132032</v>
      </c>
      <c r="I163" s="6">
        <v>-579039925</v>
      </c>
      <c r="K163" s="6">
        <v>257000</v>
      </c>
      <c r="M163" s="6">
        <v>14029800109</v>
      </c>
      <c r="O163" s="6">
        <v>15338798354</v>
      </c>
      <c r="Q163" s="6">
        <v>-1308998245</v>
      </c>
    </row>
    <row r="164" spans="1:17" ht="18.75" x14ac:dyDescent="0.45">
      <c r="A164" s="5" t="s">
        <v>54</v>
      </c>
      <c r="C164" s="6">
        <v>400000</v>
      </c>
      <c r="E164" s="6">
        <v>1641680836</v>
      </c>
      <c r="G164" s="6">
        <v>1780026601</v>
      </c>
      <c r="I164" s="6">
        <v>-138345765</v>
      </c>
      <c r="K164" s="6">
        <v>1750000</v>
      </c>
      <c r="M164" s="6">
        <v>8269695874</v>
      </c>
      <c r="O164" s="6">
        <v>7781107854</v>
      </c>
      <c r="Q164" s="6">
        <v>488588020</v>
      </c>
    </row>
    <row r="165" spans="1:17" ht="18.75" x14ac:dyDescent="0.45">
      <c r="A165" s="5" t="s">
        <v>55</v>
      </c>
      <c r="C165" s="6">
        <v>220000</v>
      </c>
      <c r="E165" s="6">
        <v>11235783065</v>
      </c>
      <c r="G165" s="6">
        <v>14116496773</v>
      </c>
      <c r="I165" s="6">
        <v>-2880713708</v>
      </c>
      <c r="K165" s="6">
        <v>300000</v>
      </c>
      <c r="M165" s="6">
        <v>17148228183</v>
      </c>
      <c r="O165" s="6">
        <v>19238834411</v>
      </c>
      <c r="Q165" s="6">
        <v>-2090606228</v>
      </c>
    </row>
    <row r="166" spans="1:17" ht="18.75" x14ac:dyDescent="0.45">
      <c r="A166" s="5" t="s">
        <v>56</v>
      </c>
      <c r="C166" s="6">
        <v>27029</v>
      </c>
      <c r="E166" s="6">
        <v>1164181208</v>
      </c>
      <c r="G166" s="6">
        <v>1371369211</v>
      </c>
      <c r="I166" s="6">
        <v>-207188003</v>
      </c>
      <c r="K166" s="6">
        <v>85000</v>
      </c>
      <c r="M166" s="6">
        <v>4870275581</v>
      </c>
      <c r="O166" s="6">
        <v>4305403546</v>
      </c>
      <c r="Q166" s="6">
        <v>564872035</v>
      </c>
    </row>
    <row r="167" spans="1:17" ht="18.75" x14ac:dyDescent="0.45">
      <c r="A167" s="5" t="s">
        <v>58</v>
      </c>
      <c r="C167" s="6">
        <v>120000</v>
      </c>
      <c r="E167" s="6">
        <v>4946989262</v>
      </c>
      <c r="G167" s="6">
        <v>3968614593</v>
      </c>
      <c r="I167" s="6">
        <v>978374669</v>
      </c>
      <c r="K167" s="6">
        <v>274899</v>
      </c>
      <c r="M167" s="6">
        <v>11878590309</v>
      </c>
      <c r="O167" s="6">
        <v>9088134013</v>
      </c>
      <c r="Q167" s="6">
        <v>2790456296</v>
      </c>
    </row>
    <row r="168" spans="1:17" ht="18.75" x14ac:dyDescent="0.45">
      <c r="A168" s="5" t="s">
        <v>59</v>
      </c>
      <c r="C168" s="6">
        <v>2400000</v>
      </c>
      <c r="E168" s="6">
        <v>7208005595</v>
      </c>
      <c r="G168" s="6">
        <v>7470331903</v>
      </c>
      <c r="I168" s="6">
        <v>-262326308</v>
      </c>
      <c r="K168" s="6">
        <v>2400000</v>
      </c>
      <c r="M168" s="6">
        <v>7208005595</v>
      </c>
      <c r="O168" s="6">
        <v>7470331903</v>
      </c>
      <c r="Q168" s="6">
        <v>-262326308</v>
      </c>
    </row>
    <row r="169" spans="1:17" ht="18.75" x14ac:dyDescent="0.45">
      <c r="A169" s="5" t="s">
        <v>60</v>
      </c>
      <c r="J169" s="9"/>
      <c r="K169" s="6">
        <v>20000</v>
      </c>
      <c r="M169" s="6">
        <v>4904535772</v>
      </c>
      <c r="O169" s="6">
        <v>4125772382</v>
      </c>
      <c r="Q169" s="6">
        <v>778763390</v>
      </c>
    </row>
    <row r="170" spans="1:17" ht="18.75" x14ac:dyDescent="0.45">
      <c r="A170" s="5" t="s">
        <v>61</v>
      </c>
      <c r="C170" s="6">
        <v>500000</v>
      </c>
      <c r="E170" s="6">
        <v>7472959694</v>
      </c>
      <c r="G170" s="6">
        <v>9763743672</v>
      </c>
      <c r="I170" s="6">
        <v>-2290783978</v>
      </c>
      <c r="K170" s="6">
        <v>918099</v>
      </c>
      <c r="M170" s="6">
        <v>14773201574</v>
      </c>
      <c r="O170" s="6">
        <v>17860441670</v>
      </c>
      <c r="Q170" s="6">
        <v>-3087240096</v>
      </c>
    </row>
    <row r="171" spans="1:17" ht="18.75" x14ac:dyDescent="0.45">
      <c r="A171" s="5" t="s">
        <v>62</v>
      </c>
      <c r="C171" s="6">
        <v>4500000</v>
      </c>
      <c r="E171" s="6">
        <v>10630470503</v>
      </c>
      <c r="G171" s="6">
        <v>10842004420</v>
      </c>
      <c r="I171" s="6">
        <v>-211533917</v>
      </c>
      <c r="K171" s="6">
        <v>4810000</v>
      </c>
      <c r="M171" s="6">
        <v>20914217375</v>
      </c>
      <c r="O171" s="6">
        <v>20476617791</v>
      </c>
      <c r="Q171" s="6">
        <v>437599584</v>
      </c>
    </row>
    <row r="172" spans="1:17" ht="18.75" x14ac:dyDescent="0.45">
      <c r="A172" s="5" t="s">
        <v>63</v>
      </c>
      <c r="J172" s="9"/>
      <c r="K172" s="6">
        <v>1600000</v>
      </c>
      <c r="M172" s="6">
        <v>11515075234</v>
      </c>
      <c r="O172" s="6">
        <v>8281095234</v>
      </c>
      <c r="Q172" s="6">
        <v>3233980000</v>
      </c>
    </row>
    <row r="173" spans="1:17" ht="18.75" x14ac:dyDescent="0.45">
      <c r="A173" s="5" t="s">
        <v>64</v>
      </c>
      <c r="J173" s="9"/>
      <c r="K173" s="6">
        <v>100000</v>
      </c>
      <c r="M173" s="6">
        <v>3094180615</v>
      </c>
      <c r="O173" s="6">
        <v>2533845915</v>
      </c>
      <c r="Q173" s="6">
        <v>560334700</v>
      </c>
    </row>
    <row r="174" spans="1:17" ht="18.75" x14ac:dyDescent="0.45">
      <c r="A174" s="5" t="s">
        <v>65</v>
      </c>
      <c r="C174" s="6">
        <v>300000</v>
      </c>
      <c r="E174" s="6">
        <v>15818046726</v>
      </c>
      <c r="G174" s="6">
        <v>13462744524</v>
      </c>
      <c r="I174" s="6">
        <v>2355302202</v>
      </c>
      <c r="K174" s="6">
        <v>300000</v>
      </c>
      <c r="M174" s="6">
        <v>15818046726</v>
      </c>
      <c r="O174" s="6">
        <v>13462744524</v>
      </c>
      <c r="Q174" s="6">
        <v>2355302202</v>
      </c>
    </row>
    <row r="175" spans="1:17" ht="18.75" x14ac:dyDescent="0.45">
      <c r="A175" s="5" t="s">
        <v>66</v>
      </c>
      <c r="J175" s="9"/>
      <c r="K175" s="6">
        <v>904441</v>
      </c>
      <c r="M175" s="6">
        <v>1483381171</v>
      </c>
      <c r="O175" s="6">
        <v>3110157143</v>
      </c>
      <c r="Q175" s="6">
        <v>-1626775972</v>
      </c>
    </row>
    <row r="176" spans="1:17" ht="18.75" x14ac:dyDescent="0.45">
      <c r="A176" s="5" t="s">
        <v>266</v>
      </c>
      <c r="J176" s="9"/>
      <c r="K176" s="6">
        <v>3550000</v>
      </c>
      <c r="M176" s="6">
        <v>12949938069</v>
      </c>
      <c r="O176" s="6">
        <v>15446070222</v>
      </c>
      <c r="Q176" s="6">
        <v>-2496132153</v>
      </c>
    </row>
    <row r="177" spans="1:17" ht="18.75" x14ac:dyDescent="0.45">
      <c r="A177" s="5" t="s">
        <v>267</v>
      </c>
      <c r="J177" s="9"/>
      <c r="K177" s="6">
        <v>4400000</v>
      </c>
      <c r="M177" s="6">
        <v>22370101322</v>
      </c>
      <c r="O177" s="6">
        <v>23887172128</v>
      </c>
      <c r="Q177" s="6">
        <v>-1517070806</v>
      </c>
    </row>
    <row r="178" spans="1:17" ht="18.75" x14ac:dyDescent="0.45">
      <c r="A178" s="5" t="s">
        <v>67</v>
      </c>
      <c r="C178" s="6">
        <v>3400000</v>
      </c>
      <c r="E178" s="6">
        <v>5970944648</v>
      </c>
      <c r="G178" s="6">
        <v>11071415251</v>
      </c>
      <c r="I178" s="6">
        <v>-5100470603</v>
      </c>
      <c r="K178" s="6">
        <v>1403444</v>
      </c>
      <c r="M178" s="6">
        <v>1452292363</v>
      </c>
      <c r="O178" s="6">
        <v>8451423500</v>
      </c>
      <c r="Q178" s="6">
        <v>-6999131137</v>
      </c>
    </row>
    <row r="179" spans="1:17" ht="18.75" x14ac:dyDescent="0.45">
      <c r="A179" s="7" t="s">
        <v>68</v>
      </c>
      <c r="C179" s="7">
        <f>SUM(C9:$C$178)</f>
        <v>255512354</v>
      </c>
      <c r="E179" s="7">
        <f>SUM(E9:$E$178)</f>
        <v>194901382152</v>
      </c>
      <c r="G179" s="7">
        <f>SUM(G9:$G$178)</f>
        <v>233223357436</v>
      </c>
      <c r="I179" s="7">
        <f>SUM(I9:$I$178)</f>
        <v>-38321975284</v>
      </c>
      <c r="K179" s="7">
        <f>SUM(K9:$K$178)</f>
        <v>1666980993</v>
      </c>
      <c r="M179" s="7">
        <f>SUM(M9:$M$178)</f>
        <v>1000110174225</v>
      </c>
      <c r="O179" s="7">
        <f>SUM(O9:$O$178)</f>
        <v>1007373375664</v>
      </c>
      <c r="Q179" s="7">
        <f>SUM(Q9:$Q$178)</f>
        <v>-7263201439</v>
      </c>
    </row>
    <row r="180" spans="1:17" ht="18.75" x14ac:dyDescent="0.45">
      <c r="C180" s="8"/>
      <c r="E180" s="8"/>
      <c r="G180" s="8"/>
      <c r="I180" s="8"/>
      <c r="K180" s="8"/>
      <c r="M180" s="8"/>
      <c r="O180" s="8"/>
      <c r="Q180" s="8"/>
    </row>
  </sheetData>
  <mergeCells count="6">
    <mergeCell ref="A1:Q1"/>
    <mergeCell ref="A2:Q2"/>
    <mergeCell ref="A3:Q3"/>
    <mergeCell ref="A5:Q5"/>
    <mergeCell ref="C7:I7"/>
    <mergeCell ref="K7:Q7"/>
  </mergeCells>
  <pageMargins left="0.17" right="0.17" top="0.35" bottom="0.3" header="0.3" footer="0.3"/>
  <pageSetup paperSize="9" scale="7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49"/>
  <sheetViews>
    <sheetView rightToLeft="1" view="pageBreakPreview" zoomScale="60" zoomScaleNormal="100" workbookViewId="0">
      <selection activeCell="I7" sqref="I7:M7"/>
    </sheetView>
  </sheetViews>
  <sheetFormatPr defaultRowHeight="18" x14ac:dyDescent="0.45"/>
  <cols>
    <col min="1" max="1" width="36.85546875" style="1" bestFit="1" customWidth="1"/>
    <col min="2" max="2" width="1.42578125" style="1" customWidth="1"/>
    <col min="3" max="3" width="14" style="1" bestFit="1" customWidth="1"/>
    <col min="4" max="4" width="1.42578125" style="1" customWidth="1"/>
    <col min="5" max="5" width="18" style="1" bestFit="1" customWidth="1"/>
    <col min="6" max="6" width="1.42578125" style="1" customWidth="1"/>
    <col min="7" max="7" width="17.5703125" style="1" bestFit="1" customWidth="1"/>
    <col min="8" max="8" width="1.42578125" style="1" customWidth="1"/>
    <col min="9" max="9" width="17.5703125" style="1" bestFit="1" customWidth="1"/>
    <col min="10" max="10" width="1.42578125" style="1" customWidth="1"/>
    <col min="11" max="11" width="14" style="1" bestFit="1" customWidth="1"/>
    <col min="12" max="12" width="1.42578125" style="1" customWidth="1"/>
    <col min="13" max="13" width="18" style="1" bestFit="1" customWidth="1"/>
    <col min="14" max="14" width="1.42578125" style="1" customWidth="1"/>
    <col min="15" max="15" width="17.7109375" style="1" bestFit="1" customWidth="1"/>
    <col min="16" max="16" width="1.42578125" style="1" customWidth="1"/>
    <col min="17" max="17" width="17.5703125" style="1" bestFit="1" customWidth="1"/>
    <col min="18" max="16384" width="9.140625" style="1"/>
  </cols>
  <sheetData>
    <row r="1" spans="1:17" ht="20.100000000000001" customHeight="1" x14ac:dyDescent="0.4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0.100000000000001" customHeight="1" x14ac:dyDescent="0.45">
      <c r="A2" s="19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0.100000000000001" customHeight="1" x14ac:dyDescent="0.45">
      <c r="A3" s="19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5" spans="1:17" ht="21" x14ac:dyDescent="0.45">
      <c r="A5" s="20" t="s">
        <v>268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7" spans="1:17" ht="21" x14ac:dyDescent="0.45">
      <c r="C7" s="21" t="str">
        <f>'8'!C7:I7</f>
        <v>تغییرات طی مرداد ماه</v>
      </c>
      <c r="D7" s="22"/>
      <c r="E7" s="22"/>
      <c r="F7" s="22"/>
      <c r="G7" s="22"/>
      <c r="H7" s="22"/>
      <c r="I7" s="22"/>
      <c r="K7" s="21" t="str">
        <f>'8'!K7:Q7</f>
        <v>از ابتدای سال مالی تا 1404/05/31</v>
      </c>
      <c r="L7" s="22"/>
      <c r="M7" s="22"/>
      <c r="N7" s="22"/>
      <c r="O7" s="22"/>
      <c r="P7" s="22"/>
      <c r="Q7" s="22"/>
    </row>
    <row r="8" spans="1:17" ht="42" x14ac:dyDescent="0.45">
      <c r="A8" s="12" t="s">
        <v>95</v>
      </c>
      <c r="C8" s="4" t="s">
        <v>8</v>
      </c>
      <c r="E8" s="4" t="s">
        <v>10</v>
      </c>
      <c r="G8" s="4" t="s">
        <v>153</v>
      </c>
      <c r="I8" s="4" t="s">
        <v>269</v>
      </c>
      <c r="K8" s="4" t="s">
        <v>8</v>
      </c>
      <c r="M8" s="4" t="s">
        <v>10</v>
      </c>
      <c r="O8" s="4" t="s">
        <v>153</v>
      </c>
      <c r="Q8" s="4" t="s">
        <v>269</v>
      </c>
    </row>
    <row r="9" spans="1:17" ht="18.75" x14ac:dyDescent="0.45">
      <c r="A9" s="14" t="s">
        <v>41</v>
      </c>
      <c r="C9" s="6">
        <v>14400000</v>
      </c>
      <c r="E9" s="6">
        <v>30489501600</v>
      </c>
      <c r="G9" s="6">
        <v>41025060229</v>
      </c>
      <c r="I9" s="6">
        <v>-10535558629</v>
      </c>
      <c r="K9" s="6">
        <v>14400000</v>
      </c>
      <c r="M9" s="6">
        <v>30489501600</v>
      </c>
      <c r="O9" s="6">
        <v>60133581882</v>
      </c>
      <c r="Q9" s="6">
        <v>-29644080282</v>
      </c>
    </row>
    <row r="10" spans="1:17" ht="18.75" x14ac:dyDescent="0.45">
      <c r="A10" s="14" t="s">
        <v>34</v>
      </c>
      <c r="C10" s="6">
        <v>3200000</v>
      </c>
      <c r="E10" s="6">
        <v>24906916800</v>
      </c>
      <c r="G10" s="6">
        <v>29168273458</v>
      </c>
      <c r="I10" s="6">
        <v>-4261356658</v>
      </c>
      <c r="K10" s="6">
        <v>3200000</v>
      </c>
      <c r="M10" s="6">
        <v>24906916800</v>
      </c>
      <c r="O10" s="6">
        <v>34304364647</v>
      </c>
      <c r="Q10" s="6">
        <v>-9397447847</v>
      </c>
    </row>
    <row r="11" spans="1:17" ht="18.75" x14ac:dyDescent="0.45">
      <c r="A11" s="14" t="s">
        <v>66</v>
      </c>
      <c r="C11" s="6">
        <v>5802960</v>
      </c>
      <c r="E11" s="6">
        <v>10723515809</v>
      </c>
      <c r="G11" s="6">
        <v>12032949961</v>
      </c>
      <c r="I11" s="6">
        <v>-1309434152</v>
      </c>
      <c r="K11" s="6">
        <v>5802960</v>
      </c>
      <c r="M11" s="6">
        <v>10723515809</v>
      </c>
      <c r="O11" s="6">
        <v>18106932355</v>
      </c>
      <c r="Q11" s="6">
        <v>-7383416546</v>
      </c>
    </row>
    <row r="12" spans="1:17" ht="18.75" x14ac:dyDescent="0.45">
      <c r="A12" s="14" t="s">
        <v>31</v>
      </c>
      <c r="C12" s="6">
        <v>16000000</v>
      </c>
      <c r="E12" s="6">
        <v>17479375200</v>
      </c>
      <c r="G12" s="6">
        <v>18247165939</v>
      </c>
      <c r="I12" s="6">
        <v>-767790739</v>
      </c>
      <c r="K12" s="6">
        <v>16000000</v>
      </c>
      <c r="M12" s="6">
        <v>17479375200</v>
      </c>
      <c r="O12" s="6">
        <v>23452324642</v>
      </c>
      <c r="Q12" s="6">
        <v>-5972949442</v>
      </c>
    </row>
    <row r="13" spans="1:17" ht="18.75" x14ac:dyDescent="0.45">
      <c r="A13" s="14" t="s">
        <v>61</v>
      </c>
      <c r="C13" s="6">
        <v>1100000</v>
      </c>
      <c r="E13" s="6">
        <v>15767621100</v>
      </c>
      <c r="G13" s="6">
        <v>16466255762</v>
      </c>
      <c r="I13" s="6">
        <v>-698634662</v>
      </c>
      <c r="K13" s="6">
        <v>1100000</v>
      </c>
      <c r="M13" s="6">
        <v>15767621100</v>
      </c>
      <c r="O13" s="6">
        <v>21578642442</v>
      </c>
      <c r="Q13" s="6">
        <v>-5811021342</v>
      </c>
    </row>
    <row r="14" spans="1:17" ht="18.75" x14ac:dyDescent="0.45">
      <c r="A14" s="14" t="s">
        <v>37</v>
      </c>
      <c r="C14" s="6">
        <v>2500000</v>
      </c>
      <c r="E14" s="6">
        <v>18539032500</v>
      </c>
      <c r="G14" s="6">
        <v>22744014248</v>
      </c>
      <c r="I14" s="6">
        <v>-4204981748</v>
      </c>
      <c r="K14" s="6">
        <v>2500000</v>
      </c>
      <c r="M14" s="6">
        <v>18539032500</v>
      </c>
      <c r="O14" s="6">
        <v>23171604024</v>
      </c>
      <c r="Q14" s="6">
        <v>-4632571524</v>
      </c>
    </row>
    <row r="15" spans="1:17" ht="18.75" x14ac:dyDescent="0.45">
      <c r="A15" s="14" t="s">
        <v>46</v>
      </c>
      <c r="C15" s="6">
        <v>11000000</v>
      </c>
      <c r="E15" s="6">
        <v>59593297500</v>
      </c>
      <c r="G15" s="6">
        <v>74811066737</v>
      </c>
      <c r="I15" s="6">
        <v>-15217769237</v>
      </c>
      <c r="K15" s="6">
        <v>11000000</v>
      </c>
      <c r="M15" s="6">
        <v>59593297500</v>
      </c>
      <c r="O15" s="6">
        <v>64088961893</v>
      </c>
      <c r="Q15" s="6">
        <v>-4495664393</v>
      </c>
    </row>
    <row r="16" spans="1:17" ht="18.75" x14ac:dyDescent="0.45">
      <c r="A16" s="14" t="s">
        <v>40</v>
      </c>
      <c r="C16" s="6">
        <v>450000</v>
      </c>
      <c r="E16" s="6">
        <v>6316193700</v>
      </c>
      <c r="G16" s="6">
        <v>8426561850</v>
      </c>
      <c r="I16" s="6">
        <v>-2110368150</v>
      </c>
      <c r="K16" s="6">
        <v>450000</v>
      </c>
      <c r="M16" s="6">
        <v>6316193700</v>
      </c>
      <c r="O16" s="6">
        <v>10261578150</v>
      </c>
      <c r="Q16" s="6">
        <v>-3945384450</v>
      </c>
    </row>
    <row r="17" spans="1:17" ht="18.75" x14ac:dyDescent="0.45">
      <c r="A17" s="14" t="s">
        <v>57</v>
      </c>
      <c r="C17" s="6">
        <v>600000</v>
      </c>
      <c r="E17" s="6">
        <v>16652325600</v>
      </c>
      <c r="G17" s="6">
        <v>19840752954</v>
      </c>
      <c r="I17" s="6">
        <v>-3188427354</v>
      </c>
      <c r="K17" s="6">
        <v>600000</v>
      </c>
      <c r="M17" s="6">
        <v>16652325600</v>
      </c>
      <c r="O17" s="6">
        <v>20490964280</v>
      </c>
      <c r="Q17" s="6">
        <v>-3838638680</v>
      </c>
    </row>
    <row r="18" spans="1:17" ht="18.75" x14ac:dyDescent="0.45">
      <c r="A18" s="14" t="s">
        <v>27</v>
      </c>
      <c r="C18" s="6">
        <v>58000000</v>
      </c>
      <c r="E18" s="6">
        <v>22024171800</v>
      </c>
      <c r="G18" s="6">
        <v>27625567945</v>
      </c>
      <c r="I18" s="6">
        <v>-5601396145</v>
      </c>
      <c r="K18" s="6">
        <v>58000000</v>
      </c>
      <c r="M18" s="6">
        <v>22024171800</v>
      </c>
      <c r="O18" s="6">
        <v>25684555317</v>
      </c>
      <c r="Q18" s="6">
        <v>-3660383517</v>
      </c>
    </row>
    <row r="19" spans="1:17" ht="18.75" x14ac:dyDescent="0.45">
      <c r="A19" s="14" t="s">
        <v>53</v>
      </c>
      <c r="C19" s="6">
        <v>350000</v>
      </c>
      <c r="E19" s="6">
        <v>17423708400</v>
      </c>
      <c r="G19" s="6">
        <v>18892417275</v>
      </c>
      <c r="I19" s="6">
        <v>-1468708875</v>
      </c>
      <c r="K19" s="6">
        <v>350000</v>
      </c>
      <c r="M19" s="6">
        <v>17423708400</v>
      </c>
      <c r="O19" s="6">
        <v>21003779474</v>
      </c>
      <c r="Q19" s="6">
        <v>-3580071074</v>
      </c>
    </row>
    <row r="20" spans="1:17" ht="18.75" x14ac:dyDescent="0.45">
      <c r="A20" s="14" t="s">
        <v>67</v>
      </c>
      <c r="C20" s="6">
        <v>1800000</v>
      </c>
      <c r="E20" s="6">
        <v>2970221400</v>
      </c>
      <c r="G20" s="6">
        <v>-955121083</v>
      </c>
      <c r="I20" s="6">
        <v>3925342483</v>
      </c>
      <c r="K20" s="6">
        <v>1800000</v>
      </c>
      <c r="M20" s="6">
        <v>2970221400</v>
      </c>
      <c r="O20" s="6">
        <v>5880258489</v>
      </c>
      <c r="Q20" s="6">
        <v>-2910037089</v>
      </c>
    </row>
    <row r="21" spans="1:17" ht="18.75" x14ac:dyDescent="0.45">
      <c r="A21" s="14" t="s">
        <v>54</v>
      </c>
      <c r="C21" s="6">
        <v>3900000</v>
      </c>
      <c r="E21" s="6">
        <v>14549611635</v>
      </c>
      <c r="G21" s="6">
        <v>16410606055</v>
      </c>
      <c r="I21" s="6">
        <v>-1860994420</v>
      </c>
      <c r="K21" s="6">
        <v>3900000</v>
      </c>
      <c r="M21" s="6">
        <v>14549611635</v>
      </c>
      <c r="O21" s="6">
        <v>17451066898</v>
      </c>
      <c r="Q21" s="6">
        <v>-2901455263</v>
      </c>
    </row>
    <row r="22" spans="1:17" ht="18.75" x14ac:dyDescent="0.45">
      <c r="A22" s="14" t="s">
        <v>33</v>
      </c>
      <c r="C22" s="6">
        <v>1288004</v>
      </c>
      <c r="E22" s="6">
        <v>13225916086</v>
      </c>
      <c r="G22" s="6">
        <v>14429436040</v>
      </c>
      <c r="I22" s="6">
        <v>-1203519954</v>
      </c>
      <c r="K22" s="6">
        <v>1288004</v>
      </c>
      <c r="M22" s="6">
        <v>13225916086</v>
      </c>
      <c r="O22" s="6">
        <v>15830540555</v>
      </c>
      <c r="Q22" s="6">
        <v>-2604624469</v>
      </c>
    </row>
    <row r="23" spans="1:17" ht="18.75" x14ac:dyDescent="0.45">
      <c r="A23" s="14" t="s">
        <v>56</v>
      </c>
      <c r="C23" s="6">
        <v>200000</v>
      </c>
      <c r="E23" s="6">
        <v>7624363500</v>
      </c>
      <c r="G23" s="6">
        <v>9964247696</v>
      </c>
      <c r="I23" s="6">
        <v>-2339884196</v>
      </c>
      <c r="K23" s="6">
        <v>200000</v>
      </c>
      <c r="M23" s="6">
        <v>7624363500</v>
      </c>
      <c r="O23" s="6">
        <v>10198953000</v>
      </c>
      <c r="Q23" s="6">
        <v>-2574589500</v>
      </c>
    </row>
    <row r="24" spans="1:17" ht="18.75" x14ac:dyDescent="0.45">
      <c r="A24" s="14" t="s">
        <v>48</v>
      </c>
      <c r="C24" s="6">
        <v>7850000</v>
      </c>
      <c r="E24" s="6">
        <v>24237026505</v>
      </c>
      <c r="G24" s="6">
        <v>26932083664</v>
      </c>
      <c r="I24" s="6">
        <v>-2695057159</v>
      </c>
      <c r="K24" s="6">
        <v>7850000</v>
      </c>
      <c r="M24" s="6">
        <v>24237026505</v>
      </c>
      <c r="O24" s="6">
        <v>26448765353</v>
      </c>
      <c r="Q24" s="6">
        <v>-2211738848</v>
      </c>
    </row>
    <row r="25" spans="1:17" ht="18.75" x14ac:dyDescent="0.45">
      <c r="A25" s="14" t="s">
        <v>59</v>
      </c>
      <c r="C25" s="6">
        <v>3000000</v>
      </c>
      <c r="E25" s="6">
        <v>7518000150</v>
      </c>
      <c r="G25" s="6">
        <v>11649819847</v>
      </c>
      <c r="I25" s="6">
        <v>-4131819697</v>
      </c>
      <c r="K25" s="6">
        <v>3000000</v>
      </c>
      <c r="M25" s="6">
        <v>7518000150</v>
      </c>
      <c r="O25" s="6">
        <v>9391845064</v>
      </c>
      <c r="Q25" s="6">
        <v>-1873844914</v>
      </c>
    </row>
    <row r="26" spans="1:17" ht="18.75" x14ac:dyDescent="0.45">
      <c r="A26" s="14" t="s">
        <v>47</v>
      </c>
      <c r="C26" s="6">
        <v>800000</v>
      </c>
      <c r="E26" s="6">
        <v>9487213200</v>
      </c>
      <c r="G26" s="6">
        <v>11009238056</v>
      </c>
      <c r="I26" s="6">
        <v>-1522024856</v>
      </c>
      <c r="K26" s="6">
        <v>800000</v>
      </c>
      <c r="M26" s="6">
        <v>9487213200</v>
      </c>
      <c r="O26" s="6">
        <v>11354968821</v>
      </c>
      <c r="Q26" s="6">
        <v>-1867755621</v>
      </c>
    </row>
    <row r="27" spans="1:17" ht="18.75" x14ac:dyDescent="0.45">
      <c r="A27" s="14" t="s">
        <v>30</v>
      </c>
      <c r="C27" s="6">
        <v>1450000</v>
      </c>
      <c r="E27" s="6">
        <v>2248541100</v>
      </c>
      <c r="G27" s="6">
        <v>-1438479801</v>
      </c>
      <c r="I27" s="6">
        <v>3687020901</v>
      </c>
      <c r="K27" s="6">
        <v>1450000</v>
      </c>
      <c r="M27" s="6">
        <v>2248541100</v>
      </c>
      <c r="O27" s="6">
        <v>3997032301</v>
      </c>
      <c r="Q27" s="6">
        <v>-1748491201</v>
      </c>
    </row>
    <row r="28" spans="1:17" ht="18.75" x14ac:dyDescent="0.45">
      <c r="A28" s="14" t="s">
        <v>49</v>
      </c>
      <c r="C28" s="6">
        <v>1400000</v>
      </c>
      <c r="E28" s="6">
        <v>12789447300</v>
      </c>
      <c r="G28" s="6">
        <v>14867333093</v>
      </c>
      <c r="I28" s="6">
        <v>-2077885793</v>
      </c>
      <c r="K28" s="6">
        <v>1400000</v>
      </c>
      <c r="M28" s="6">
        <v>12789447300</v>
      </c>
      <c r="O28" s="6">
        <v>14385369699</v>
      </c>
      <c r="Q28" s="6">
        <v>-1595922399</v>
      </c>
    </row>
    <row r="29" spans="1:17" ht="18.75" x14ac:dyDescent="0.45">
      <c r="A29" s="14" t="s">
        <v>39</v>
      </c>
      <c r="C29" s="6">
        <v>9100000</v>
      </c>
      <c r="E29" s="6">
        <v>61240438350</v>
      </c>
      <c r="G29" s="6">
        <v>69166112897</v>
      </c>
      <c r="I29" s="6">
        <v>-7925674547</v>
      </c>
      <c r="K29" s="6">
        <v>9100000</v>
      </c>
      <c r="M29" s="6">
        <v>61240438350</v>
      </c>
      <c r="O29" s="6">
        <v>62515757379</v>
      </c>
      <c r="Q29" s="6">
        <v>-1275319029</v>
      </c>
    </row>
    <row r="30" spans="1:17" ht="18.75" x14ac:dyDescent="0.45">
      <c r="A30" s="14" t="s">
        <v>52</v>
      </c>
      <c r="C30" s="6">
        <v>5100000</v>
      </c>
      <c r="E30" s="6">
        <v>10012568625</v>
      </c>
      <c r="G30" s="6">
        <v>13058908931</v>
      </c>
      <c r="I30" s="6">
        <v>-3046340306</v>
      </c>
      <c r="K30" s="6">
        <v>5100000</v>
      </c>
      <c r="M30" s="6">
        <v>10012568625</v>
      </c>
      <c r="O30" s="6">
        <v>10807527261</v>
      </c>
      <c r="Q30" s="6">
        <v>-794958636</v>
      </c>
    </row>
    <row r="31" spans="1:17" ht="18.75" x14ac:dyDescent="0.45">
      <c r="A31" s="14" t="s">
        <v>32</v>
      </c>
      <c r="C31" s="6">
        <v>350000</v>
      </c>
      <c r="E31" s="6">
        <v>8729250075</v>
      </c>
      <c r="G31" s="6">
        <v>9926563109</v>
      </c>
      <c r="I31" s="6">
        <v>-1197313034</v>
      </c>
      <c r="K31" s="6">
        <v>350000</v>
      </c>
      <c r="M31" s="6">
        <v>8729250075</v>
      </c>
      <c r="O31" s="6">
        <v>9356708412</v>
      </c>
      <c r="Q31" s="6">
        <v>-627458337</v>
      </c>
    </row>
    <row r="32" spans="1:17" ht="18.75" x14ac:dyDescent="0.45">
      <c r="A32" s="14" t="s">
        <v>26</v>
      </c>
      <c r="C32" s="6">
        <v>5000000</v>
      </c>
      <c r="E32" s="6">
        <v>16406795250</v>
      </c>
      <c r="G32" s="6">
        <v>18321696159</v>
      </c>
      <c r="I32" s="6">
        <v>-1914900909</v>
      </c>
      <c r="K32" s="6">
        <v>5000000</v>
      </c>
      <c r="M32" s="6">
        <v>16406795250</v>
      </c>
      <c r="O32" s="6">
        <v>16785329728</v>
      </c>
      <c r="Q32" s="6">
        <v>-378534478</v>
      </c>
    </row>
    <row r="33" spans="1:17" ht="18.75" x14ac:dyDescent="0.45">
      <c r="A33" s="14" t="s">
        <v>36</v>
      </c>
      <c r="C33" s="6">
        <v>3250000</v>
      </c>
      <c r="E33" s="6">
        <v>3537575437</v>
      </c>
      <c r="G33" s="6">
        <v>3889717650</v>
      </c>
      <c r="I33" s="6">
        <v>-352142213</v>
      </c>
      <c r="K33" s="6">
        <v>3250000</v>
      </c>
      <c r="M33" s="6">
        <v>3537575437</v>
      </c>
      <c r="O33" s="6">
        <v>3903619200</v>
      </c>
      <c r="Q33" s="6">
        <v>-366043763</v>
      </c>
    </row>
    <row r="34" spans="1:17" ht="18.75" x14ac:dyDescent="0.45">
      <c r="A34" s="14" t="s">
        <v>51</v>
      </c>
      <c r="C34" s="6">
        <v>600000</v>
      </c>
      <c r="E34" s="6">
        <v>9775487700</v>
      </c>
      <c r="G34" s="6">
        <v>10895840580</v>
      </c>
      <c r="I34" s="6">
        <v>-1120352880</v>
      </c>
      <c r="K34" s="6">
        <v>600000</v>
      </c>
      <c r="M34" s="6">
        <v>9775487700</v>
      </c>
      <c r="O34" s="6">
        <v>9977571542</v>
      </c>
      <c r="Q34" s="6">
        <v>-202083842</v>
      </c>
    </row>
    <row r="35" spans="1:17" ht="18.75" x14ac:dyDescent="0.45">
      <c r="A35" s="14" t="s">
        <v>45</v>
      </c>
      <c r="C35" s="6">
        <v>175000</v>
      </c>
      <c r="E35" s="6">
        <v>7045329375</v>
      </c>
      <c r="G35" s="6">
        <v>8036894250</v>
      </c>
      <c r="I35" s="6">
        <v>-991564875</v>
      </c>
      <c r="K35" s="6">
        <v>175000</v>
      </c>
      <c r="M35" s="6">
        <v>7045329375</v>
      </c>
      <c r="O35" s="6">
        <v>7181514900</v>
      </c>
      <c r="Q35" s="6">
        <v>-136185525</v>
      </c>
    </row>
    <row r="36" spans="1:17" ht="18.75" x14ac:dyDescent="0.45">
      <c r="A36" s="14" t="s">
        <v>38</v>
      </c>
      <c r="C36" s="6">
        <v>1875000</v>
      </c>
      <c r="E36" s="6">
        <v>6038853750</v>
      </c>
      <c r="G36" s="6">
        <v>6504814687</v>
      </c>
      <c r="I36" s="6">
        <v>-465960937</v>
      </c>
      <c r="K36" s="6">
        <v>1875000</v>
      </c>
      <c r="M36" s="6">
        <v>6038853750</v>
      </c>
      <c r="O36" s="6">
        <v>6098945898</v>
      </c>
      <c r="Q36" s="6">
        <v>-60092148</v>
      </c>
    </row>
    <row r="37" spans="1:17" ht="18.75" x14ac:dyDescent="0.45">
      <c r="A37" s="14" t="s">
        <v>35</v>
      </c>
      <c r="C37" s="6">
        <v>750000</v>
      </c>
      <c r="E37" s="6">
        <v>2299237650</v>
      </c>
      <c r="G37" s="6">
        <v>2730903862</v>
      </c>
      <c r="I37" s="6">
        <v>-431666212</v>
      </c>
      <c r="K37" s="6">
        <v>750000</v>
      </c>
      <c r="M37" s="6">
        <v>2299237650</v>
      </c>
      <c r="O37" s="6">
        <v>2327157600</v>
      </c>
      <c r="Q37" s="6">
        <v>-27919950</v>
      </c>
    </row>
    <row r="38" spans="1:17" ht="18.75" x14ac:dyDescent="0.45">
      <c r="A38" s="14" t="s">
        <v>62</v>
      </c>
      <c r="C38" s="6">
        <v>17187</v>
      </c>
      <c r="E38" s="6">
        <v>38474829</v>
      </c>
      <c r="G38" s="6">
        <v>540165604</v>
      </c>
      <c r="I38" s="6">
        <v>-501690775</v>
      </c>
      <c r="K38" s="6">
        <v>17187</v>
      </c>
      <c r="M38" s="6">
        <v>38474829</v>
      </c>
      <c r="O38" s="6">
        <v>41652251</v>
      </c>
      <c r="Q38" s="6">
        <v>-3177422</v>
      </c>
    </row>
    <row r="39" spans="1:17" ht="18.75" x14ac:dyDescent="0.45">
      <c r="A39" s="14" t="s">
        <v>20</v>
      </c>
      <c r="C39" s="6">
        <v>-17000000</v>
      </c>
      <c r="E39" s="6">
        <v>-33991245</v>
      </c>
      <c r="G39" s="6">
        <v>-34000000</v>
      </c>
      <c r="I39" s="6">
        <v>8755</v>
      </c>
      <c r="K39" s="6">
        <v>-17000000</v>
      </c>
      <c r="M39" s="6">
        <v>-33991245</v>
      </c>
      <c r="O39" s="6">
        <v>-34000000</v>
      </c>
      <c r="Q39" s="6">
        <v>8755</v>
      </c>
    </row>
    <row r="40" spans="1:17" ht="18.75" x14ac:dyDescent="0.45">
      <c r="A40" s="14" t="s">
        <v>19</v>
      </c>
      <c r="C40" s="6">
        <v>-62444000</v>
      </c>
      <c r="E40" s="6">
        <v>-62427921</v>
      </c>
      <c r="G40" s="6">
        <v>-62444000</v>
      </c>
      <c r="I40" s="6">
        <v>16079</v>
      </c>
      <c r="K40" s="6">
        <v>-62444000</v>
      </c>
      <c r="M40" s="6">
        <v>-62427921</v>
      </c>
      <c r="O40" s="6">
        <v>-62444000</v>
      </c>
      <c r="Q40" s="6">
        <v>16079</v>
      </c>
    </row>
    <row r="41" spans="1:17" ht="18.75" x14ac:dyDescent="0.45">
      <c r="A41" s="14" t="s">
        <v>18</v>
      </c>
      <c r="C41" s="6">
        <v>-5939000</v>
      </c>
      <c r="E41" s="6">
        <v>-106874473</v>
      </c>
      <c r="G41" s="6">
        <v>-133841000</v>
      </c>
      <c r="I41" s="6">
        <v>26966527</v>
      </c>
      <c r="K41" s="6">
        <v>-5939000</v>
      </c>
      <c r="M41" s="6">
        <v>-106874473</v>
      </c>
      <c r="O41" s="6">
        <v>-133841000</v>
      </c>
      <c r="Q41" s="6">
        <v>26966527</v>
      </c>
    </row>
    <row r="42" spans="1:17" ht="18.75" x14ac:dyDescent="0.45">
      <c r="A42" s="14" t="s">
        <v>64</v>
      </c>
      <c r="C42" s="6">
        <v>100000</v>
      </c>
      <c r="E42" s="6">
        <v>3146168250</v>
      </c>
      <c r="G42" s="6">
        <v>3563669250</v>
      </c>
      <c r="I42" s="6">
        <v>-417501000</v>
      </c>
      <c r="K42" s="6">
        <v>100000</v>
      </c>
      <c r="M42" s="6">
        <v>3146168250</v>
      </c>
      <c r="O42" s="6">
        <v>2552366400</v>
      </c>
      <c r="Q42" s="6">
        <v>593801850</v>
      </c>
    </row>
    <row r="43" spans="1:17" ht="18.75" x14ac:dyDescent="0.45">
      <c r="A43" s="14" t="s">
        <v>63</v>
      </c>
      <c r="C43" s="6">
        <v>2000000</v>
      </c>
      <c r="E43" s="6">
        <v>11690028000</v>
      </c>
      <c r="G43" s="6">
        <v>12377910600</v>
      </c>
      <c r="I43" s="6">
        <v>-687882600</v>
      </c>
      <c r="K43" s="6">
        <v>2000000</v>
      </c>
      <c r="M43" s="6">
        <v>11690028000</v>
      </c>
      <c r="O43" s="6">
        <v>10437525000</v>
      </c>
      <c r="Q43" s="6">
        <v>1252503000</v>
      </c>
    </row>
    <row r="44" spans="1:17" ht="18.75" x14ac:dyDescent="0.45">
      <c r="A44" s="14" t="s">
        <v>58</v>
      </c>
      <c r="C44" s="6">
        <v>650001</v>
      </c>
      <c r="E44" s="6">
        <v>23170347097</v>
      </c>
      <c r="G44" s="6">
        <v>30728857114</v>
      </c>
      <c r="I44" s="6">
        <v>-7558510017</v>
      </c>
      <c r="K44" s="6">
        <v>650001</v>
      </c>
      <c r="M44" s="6">
        <v>23170347097</v>
      </c>
      <c r="O44" s="6">
        <v>21657087198</v>
      </c>
      <c r="Q44" s="6">
        <v>1513259899</v>
      </c>
    </row>
    <row r="45" spans="1:17" ht="18.75" x14ac:dyDescent="0.45">
      <c r="A45" s="14" t="s">
        <v>29</v>
      </c>
      <c r="C45" s="6">
        <v>39313066</v>
      </c>
      <c r="E45" s="6">
        <v>39352707330</v>
      </c>
      <c r="G45" s="6">
        <v>48728331000</v>
      </c>
      <c r="I45" s="6">
        <v>-9375623670</v>
      </c>
      <c r="K45" s="6">
        <v>39313066</v>
      </c>
      <c r="M45" s="6">
        <v>39352707330</v>
      </c>
      <c r="O45" s="6">
        <v>37820235342</v>
      </c>
      <c r="Q45" s="6">
        <v>1532471988</v>
      </c>
    </row>
    <row r="46" spans="1:17" ht="18.75" x14ac:dyDescent="0.45">
      <c r="A46" s="14" t="s">
        <v>60</v>
      </c>
      <c r="C46" s="6">
        <v>120000</v>
      </c>
      <c r="E46" s="6">
        <v>31994890920</v>
      </c>
      <c r="G46" s="6">
        <v>32010398100</v>
      </c>
      <c r="I46" s="6">
        <v>-15507180</v>
      </c>
      <c r="K46" s="6">
        <v>120000</v>
      </c>
      <c r="M46" s="6">
        <v>31994890920</v>
      </c>
      <c r="O46" s="6">
        <v>25691355258</v>
      </c>
      <c r="Q46" s="6">
        <v>6303535662</v>
      </c>
    </row>
    <row r="47" spans="1:17" ht="18.75" x14ac:dyDescent="0.45">
      <c r="A47" s="14" t="s">
        <v>65</v>
      </c>
      <c r="C47" s="6">
        <v>700000</v>
      </c>
      <c r="E47" s="6">
        <v>40741139250</v>
      </c>
      <c r="G47" s="6">
        <v>34078978062</v>
      </c>
      <c r="I47" s="6">
        <v>6662161188</v>
      </c>
      <c r="K47" s="6">
        <v>700000</v>
      </c>
      <c r="M47" s="6">
        <v>40741139250</v>
      </c>
      <c r="O47" s="6">
        <v>31964666269</v>
      </c>
      <c r="Q47" s="6">
        <v>8776472981</v>
      </c>
    </row>
    <row r="48" spans="1:17" ht="19.5" thickBot="1" x14ac:dyDescent="0.5">
      <c r="A48" s="7" t="s">
        <v>68</v>
      </c>
      <c r="C48" s="7">
        <v>118808218</v>
      </c>
      <c r="E48" s="7">
        <f>SUM(E9:E47)</f>
        <v>609581999134</v>
      </c>
      <c r="G48" s="7">
        <f>SUM(G9:G47)</f>
        <v>696478726780</v>
      </c>
      <c r="I48" s="7">
        <f>SUM(I9:I47)</f>
        <v>-86896727646</v>
      </c>
      <c r="K48" s="7">
        <f>SUM(K9:K47)</f>
        <v>118808218</v>
      </c>
      <c r="M48" s="7">
        <f>SUM(M9:M47)</f>
        <v>609581999134</v>
      </c>
      <c r="O48" s="7">
        <f>SUM(O9:O47)</f>
        <v>696104823924</v>
      </c>
      <c r="Q48" s="7">
        <f>SUM(Q9:Q47)</f>
        <v>-86522824790</v>
      </c>
    </row>
    <row r="49" spans="3:17" ht="19.5" thickTop="1" x14ac:dyDescent="0.45">
      <c r="C49" s="8"/>
      <c r="E49" s="8"/>
      <c r="G49" s="8"/>
      <c r="I49" s="8"/>
      <c r="K49" s="8"/>
      <c r="M49" s="8"/>
      <c r="O49" s="8"/>
      <c r="Q49" s="8"/>
    </row>
  </sheetData>
  <sortState xmlns:xlrd2="http://schemas.microsoft.com/office/spreadsheetml/2017/richdata2" ref="A9:Q47">
    <sortCondition ref="Q9:Q47"/>
  </sortState>
  <mergeCells count="6">
    <mergeCell ref="A1:Q1"/>
    <mergeCell ref="A2:Q2"/>
    <mergeCell ref="A3:Q3"/>
    <mergeCell ref="A5:Q5"/>
    <mergeCell ref="C7:I7"/>
    <mergeCell ref="K7:Q7"/>
  </mergeCells>
  <pageMargins left="0.17" right="0.17" top="0.42" bottom="0.41" header="0.3" footer="0.3"/>
  <pageSetup paperSize="9" scale="7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2"/>
  <sheetViews>
    <sheetView rightToLeft="1" view="pageBreakPreview" zoomScale="60" zoomScaleNormal="100" workbookViewId="0">
      <selection activeCell="I7" sqref="I7:M7"/>
    </sheetView>
  </sheetViews>
  <sheetFormatPr defaultRowHeight="18" x14ac:dyDescent="0.45"/>
  <cols>
    <col min="1" max="1" width="38.42578125" style="1" bestFit="1" customWidth="1"/>
    <col min="2" max="2" width="1.42578125" style="1" customWidth="1"/>
    <col min="3" max="3" width="12" style="1" bestFit="1" customWidth="1"/>
    <col min="4" max="4" width="1.42578125" style="1" customWidth="1"/>
    <col min="5" max="5" width="8.7109375" style="1" bestFit="1" customWidth="1"/>
    <col min="6" max="6" width="1.42578125" style="1" customWidth="1"/>
    <col min="7" max="7" width="12" style="1" bestFit="1" customWidth="1"/>
    <col min="8" max="8" width="1.42578125" style="1" customWidth="1"/>
    <col min="9" max="9" width="15.42578125" style="1" bestFit="1" customWidth="1"/>
    <col min="10" max="10" width="1.42578125" style="1" customWidth="1"/>
    <col min="11" max="11" width="11.85546875" style="1" bestFit="1" customWidth="1"/>
    <col min="12" max="12" width="1.42578125" style="1" customWidth="1"/>
    <col min="13" max="13" width="15.42578125" style="1" bestFit="1" customWidth="1"/>
    <col min="14" max="14" width="1.42578125" style="1" customWidth="1"/>
    <col min="15" max="15" width="15.5703125" style="1" bestFit="1" customWidth="1"/>
    <col min="16" max="16" width="1.42578125" style="1" customWidth="1"/>
    <col min="17" max="17" width="11.85546875" style="1" bestFit="1" customWidth="1"/>
    <col min="18" max="18" width="1.42578125" style="1" customWidth="1"/>
    <col min="19" max="19" width="15.5703125" style="1" bestFit="1" customWidth="1"/>
    <col min="20" max="16384" width="9.140625" style="1"/>
  </cols>
  <sheetData>
    <row r="1" spans="1:19" ht="20.100000000000001" customHeight="1" x14ac:dyDescent="0.4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20.100000000000001" customHeight="1" x14ac:dyDescent="0.45">
      <c r="A2" s="19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ht="20.100000000000001" customHeight="1" x14ac:dyDescent="0.45">
      <c r="A3" s="19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5" spans="1:19" ht="21" x14ac:dyDescent="0.45">
      <c r="A5" s="20" t="s">
        <v>143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7" spans="1:19" ht="21" x14ac:dyDescent="0.45">
      <c r="I7" s="21" t="str">
        <f>'7'!I7:M7</f>
        <v>تغییرات طی مرداد ماه</v>
      </c>
      <c r="J7" s="22"/>
      <c r="K7" s="22"/>
      <c r="L7" s="22"/>
      <c r="M7" s="22"/>
      <c r="O7" s="21" t="str">
        <f>'7'!O7:S7</f>
        <v>از ابتدای سال مالی تا 1404/05/31</v>
      </c>
      <c r="P7" s="22"/>
      <c r="Q7" s="22"/>
      <c r="R7" s="22"/>
      <c r="S7" s="22"/>
    </row>
    <row r="8" spans="1:19" ht="42" x14ac:dyDescent="0.45">
      <c r="A8" s="12" t="s">
        <v>95</v>
      </c>
      <c r="C8" s="4" t="s">
        <v>144</v>
      </c>
      <c r="E8" s="4" t="s">
        <v>70</v>
      </c>
      <c r="G8" s="4" t="s">
        <v>77</v>
      </c>
      <c r="I8" s="4" t="s">
        <v>145</v>
      </c>
      <c r="K8" s="4" t="s">
        <v>111</v>
      </c>
      <c r="M8" s="4" t="s">
        <v>146</v>
      </c>
      <c r="O8" s="4" t="s">
        <v>145</v>
      </c>
      <c r="Q8" s="4" t="s">
        <v>111</v>
      </c>
      <c r="S8" s="4" t="s">
        <v>146</v>
      </c>
    </row>
    <row r="9" spans="1:19" ht="18.75" x14ac:dyDescent="0.45">
      <c r="A9" s="5" t="s">
        <v>147</v>
      </c>
      <c r="C9" s="9" t="s">
        <v>148</v>
      </c>
      <c r="E9" s="9" t="s">
        <v>149</v>
      </c>
      <c r="G9" s="9" t="s">
        <v>92</v>
      </c>
      <c r="I9" s="6">
        <v>1995670433</v>
      </c>
      <c r="K9" s="6">
        <v>-9656205</v>
      </c>
      <c r="M9" s="6">
        <v>1986014228</v>
      </c>
      <c r="O9" s="6">
        <v>8198377987</v>
      </c>
      <c r="Q9" s="6">
        <v>-461576</v>
      </c>
      <c r="S9" s="6">
        <v>8197916411</v>
      </c>
    </row>
    <row r="10" spans="1:19" ht="18.75" x14ac:dyDescent="0.45">
      <c r="A10" s="5" t="s">
        <v>150</v>
      </c>
      <c r="C10" s="9" t="s">
        <v>151</v>
      </c>
      <c r="E10" s="9" t="s">
        <v>149</v>
      </c>
      <c r="G10" s="9" t="s">
        <v>85</v>
      </c>
      <c r="I10" s="6">
        <v>493656</v>
      </c>
      <c r="K10" s="6">
        <v>0</v>
      </c>
      <c r="M10" s="6">
        <v>493656</v>
      </c>
      <c r="O10" s="6">
        <v>21041703</v>
      </c>
      <c r="Q10" s="6">
        <v>0</v>
      </c>
      <c r="S10" s="6">
        <v>21041703</v>
      </c>
    </row>
    <row r="11" spans="1:19" ht="18.75" x14ac:dyDescent="0.45">
      <c r="A11" s="7" t="s">
        <v>68</v>
      </c>
      <c r="I11" s="7">
        <f>SUM(I9:$I$10)</f>
        <v>1996164089</v>
      </c>
      <c r="K11" s="7">
        <f>SUM(K9:$K$10)</f>
        <v>-9656205</v>
      </c>
      <c r="M11" s="7">
        <f>SUM(M9:$M$10)</f>
        <v>1986507884</v>
      </c>
      <c r="O11" s="7">
        <f>SUM(O9:$O$10)</f>
        <v>8219419690</v>
      </c>
      <c r="Q11" s="7">
        <f>SUM(Q9:$Q$10)</f>
        <v>-461576</v>
      </c>
      <c r="S11" s="7">
        <f>SUM(S9:$S$10)</f>
        <v>8218958114</v>
      </c>
    </row>
    <row r="12" spans="1:19" ht="18.75" x14ac:dyDescent="0.45">
      <c r="I12" s="8"/>
      <c r="K12" s="8"/>
      <c r="M12" s="8"/>
      <c r="O12" s="8"/>
      <c r="Q12" s="8"/>
      <c r="S12" s="8"/>
    </row>
  </sheetData>
  <mergeCells count="6">
    <mergeCell ref="A1:S1"/>
    <mergeCell ref="A2:S2"/>
    <mergeCell ref="A3:S3"/>
    <mergeCell ref="A5:S5"/>
    <mergeCell ref="I7:M7"/>
    <mergeCell ref="O7:S7"/>
  </mergeCells>
  <pageMargins left="0.17" right="0.17" top="0.75" bottom="0.7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'1'!Print_Titles</vt:lpstr>
      <vt:lpstr>'4'!Print_Titles</vt:lpstr>
      <vt:lpstr>'7'!Print_Titles</vt:lpstr>
      <vt:lpstr>'8'!Print_Titles</vt:lpstr>
      <vt:lpstr>'9'!Print_Titles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Reza Ahmadi</cp:lastModifiedBy>
  <cp:lastPrinted>2025-08-31T15:06:19Z</cp:lastPrinted>
  <dcterms:created xsi:type="dcterms:W3CDTF">2025-08-31T12:12:28Z</dcterms:created>
  <dcterms:modified xsi:type="dcterms:W3CDTF">2025-08-31T15:06:28Z</dcterms:modified>
</cp:coreProperties>
</file>