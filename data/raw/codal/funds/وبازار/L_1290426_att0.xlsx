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ranjbar\Desktop\"/>
    </mc:Choice>
  </mc:AlternateContent>
  <xr:revisionPtr revIDLastSave="0" documentId="13_ncr:1_{4381D033-5903-4BD3-AA62-5FD4F8E581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" sheetId="17" r:id="rId1"/>
    <sheet name="1" sheetId="2" r:id="rId2"/>
    <sheet name="2" sheetId="3" r:id="rId3"/>
    <sheet name="3" sheetId="6" r:id="rId4"/>
    <sheet name="4" sheetId="8" r:id="rId5"/>
    <sheet name="5" sheetId="13" r:id="rId6"/>
    <sheet name="6" sheetId="14" r:id="rId7"/>
    <sheet name="7" sheetId="15" r:id="rId8"/>
    <sheet name="8" sheetId="16" r:id="rId9"/>
    <sheet name="9" sheetId="9" r:id="rId10"/>
    <sheet name="10" sheetId="19" r:id="rId11"/>
    <sheet name="11" sheetId="10" r:id="rId12"/>
    <sheet name="12" sheetId="11" r:id="rId13"/>
    <sheet name="13" sheetId="12" r:id="rId14"/>
  </sheets>
  <definedNames>
    <definedName name="_xlnm.Print_Area" localSheetId="0">'0'!$A$1:$J$29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8" i="12" l="1"/>
  <c r="M124" i="12" s="1"/>
  <c r="Q33" i="12"/>
  <c r="Q42" i="12" s="1"/>
  <c r="Q66" i="12" s="1"/>
  <c r="Q75" i="12" s="1"/>
  <c r="Q99" i="12" s="1"/>
  <c r="Q108" i="12" s="1"/>
  <c r="Q124" i="12" s="1"/>
  <c r="O33" i="12"/>
  <c r="O42" i="12" s="1"/>
  <c r="M33" i="12"/>
  <c r="M42" i="12" s="1"/>
  <c r="M66" i="12" s="1"/>
  <c r="M75" i="12" s="1"/>
  <c r="M99" i="12" s="1"/>
  <c r="I33" i="12"/>
  <c r="I42" i="12" s="1"/>
  <c r="I66" i="12" s="1"/>
  <c r="I75" i="12" s="1"/>
  <c r="I99" i="12" s="1"/>
  <c r="I108" i="12" s="1"/>
  <c r="I124" i="12" s="1"/>
  <c r="G33" i="12"/>
  <c r="G42" i="12" s="1"/>
  <c r="E33" i="12"/>
  <c r="E42" i="12" s="1"/>
  <c r="E66" i="12" s="1"/>
  <c r="E75" i="12" s="1"/>
  <c r="E99" i="12" s="1"/>
  <c r="E108" i="12" s="1"/>
  <c r="E124" i="12" s="1"/>
  <c r="Q153" i="11"/>
  <c r="M153" i="11"/>
  <c r="Q133" i="11"/>
  <c r="O133" i="11"/>
  <c r="O153" i="11" s="1"/>
  <c r="Q31" i="11"/>
  <c r="Q40" i="11" s="1"/>
  <c r="Q62" i="11" s="1"/>
  <c r="Q71" i="11" s="1"/>
  <c r="Q93" i="11" s="1"/>
  <c r="Q102" i="11" s="1"/>
  <c r="Q124" i="11" s="1"/>
  <c r="O31" i="11"/>
  <c r="O40" i="11" s="1"/>
  <c r="O62" i="11" s="1"/>
  <c r="O71" i="11" s="1"/>
  <c r="O93" i="11" s="1"/>
  <c r="O102" i="11" s="1"/>
  <c r="O124" i="11" s="1"/>
  <c r="M31" i="11"/>
  <c r="M40" i="11" s="1"/>
  <c r="M62" i="11" s="1"/>
  <c r="M71" i="11" s="1"/>
  <c r="M93" i="11" s="1"/>
  <c r="M102" i="11" s="1"/>
  <c r="M124" i="11" s="1"/>
  <c r="M133" i="11" s="1"/>
  <c r="I31" i="11"/>
  <c r="I40" i="11" s="1"/>
  <c r="I62" i="11" s="1"/>
  <c r="I71" i="11" s="1"/>
  <c r="I93" i="11" s="1"/>
  <c r="I102" i="11" s="1"/>
  <c r="I124" i="11" s="1"/>
  <c r="I133" i="11" s="1"/>
  <c r="I153" i="11" s="1"/>
  <c r="G31" i="11"/>
  <c r="G40" i="11" s="1"/>
  <c r="G62" i="11" s="1"/>
  <c r="G71" i="11" s="1"/>
  <c r="G93" i="11" s="1"/>
  <c r="G102" i="11" s="1"/>
  <c r="G124" i="11" s="1"/>
  <c r="G133" i="11" s="1"/>
  <c r="G153" i="11" s="1"/>
  <c r="E31" i="11"/>
  <c r="E40" i="11" s="1"/>
  <c r="E62" i="11" s="1"/>
  <c r="E71" i="11" s="1"/>
  <c r="E93" i="11" s="1"/>
  <c r="E102" i="11" s="1"/>
  <c r="E124" i="11" s="1"/>
  <c r="E133" i="11" s="1"/>
  <c r="E153" i="11" s="1"/>
  <c r="S10" i="19"/>
  <c r="Q10" i="19"/>
  <c r="O10" i="19"/>
  <c r="M10" i="19"/>
  <c r="K10" i="19"/>
  <c r="I10" i="19"/>
  <c r="S58" i="9"/>
  <c r="Q58" i="9"/>
  <c r="O58" i="9"/>
  <c r="M58" i="9"/>
  <c r="K58" i="9"/>
  <c r="I58" i="9"/>
  <c r="S41" i="9"/>
  <c r="Q41" i="9"/>
  <c r="O41" i="9"/>
  <c r="M41" i="9"/>
  <c r="K41" i="9"/>
  <c r="I41" i="9"/>
  <c r="S32" i="9"/>
  <c r="Q32" i="9"/>
  <c r="O32" i="9"/>
  <c r="K32" i="9"/>
  <c r="I32" i="9"/>
  <c r="M10" i="9"/>
  <c r="M32" i="9" s="1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9" i="9"/>
  <c r="E11" i="8"/>
  <c r="E10" i="8"/>
  <c r="E9" i="8"/>
  <c r="E8" i="8"/>
  <c r="U155" i="13"/>
  <c r="S155" i="13"/>
  <c r="Q155" i="13"/>
  <c r="O155" i="13"/>
  <c r="M155" i="13"/>
  <c r="K155" i="13"/>
  <c r="I155" i="13"/>
  <c r="G155" i="13"/>
  <c r="E155" i="13"/>
  <c r="C155" i="13"/>
  <c r="U126" i="13"/>
  <c r="Q126" i="13"/>
  <c r="O126" i="13"/>
  <c r="G126" i="13"/>
  <c r="E126" i="13"/>
  <c r="C126" i="13"/>
  <c r="Q87" i="13"/>
  <c r="Q117" i="13" s="1"/>
  <c r="K87" i="13"/>
  <c r="K117" i="13" s="1"/>
  <c r="K126" i="13" s="1"/>
  <c r="M48" i="13"/>
  <c r="M78" i="13" s="1"/>
  <c r="M87" i="13" s="1"/>
  <c r="M117" i="13" s="1"/>
  <c r="M126" i="13" s="1"/>
  <c r="I49" i="13"/>
  <c r="S49" i="13"/>
  <c r="U39" i="13"/>
  <c r="U48" i="13" s="1"/>
  <c r="U78" i="13" s="1"/>
  <c r="U87" i="13" s="1"/>
  <c r="U117" i="13" s="1"/>
  <c r="Q39" i="13"/>
  <c r="Q48" i="13" s="1"/>
  <c r="Q78" i="13" s="1"/>
  <c r="O39" i="13"/>
  <c r="O48" i="13" s="1"/>
  <c r="O78" i="13" s="1"/>
  <c r="O87" i="13" s="1"/>
  <c r="O117" i="13" s="1"/>
  <c r="M39" i="13"/>
  <c r="K39" i="13"/>
  <c r="K48" i="13" s="1"/>
  <c r="K78" i="13" s="1"/>
  <c r="G39" i="13"/>
  <c r="G48" i="13" s="1"/>
  <c r="G78" i="13" s="1"/>
  <c r="G87" i="13" s="1"/>
  <c r="G117" i="13" s="1"/>
  <c r="E39" i="13"/>
  <c r="E48" i="13" s="1"/>
  <c r="E78" i="13" s="1"/>
  <c r="E87" i="13" s="1"/>
  <c r="E117" i="13" s="1"/>
  <c r="C39" i="13"/>
  <c r="C48" i="13" s="1"/>
  <c r="C78" i="13" s="1"/>
  <c r="C87" i="13" s="1"/>
  <c r="C117" i="13" s="1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S88" i="13"/>
  <c r="S89" i="13"/>
  <c r="S90" i="13"/>
  <c r="S91" i="13"/>
  <c r="S92" i="13"/>
  <c r="S93" i="13"/>
  <c r="S94" i="13"/>
  <c r="S95" i="13"/>
  <c r="S96" i="13"/>
  <c r="S97" i="13"/>
  <c r="S98" i="13"/>
  <c r="S99" i="13"/>
  <c r="S100" i="13"/>
  <c r="S101" i="13"/>
  <c r="S102" i="13"/>
  <c r="S103" i="13"/>
  <c r="S104" i="13"/>
  <c r="S105" i="13"/>
  <c r="S106" i="13"/>
  <c r="S107" i="13"/>
  <c r="S108" i="13"/>
  <c r="S109" i="13"/>
  <c r="S110" i="13"/>
  <c r="S111" i="13"/>
  <c r="S112" i="13"/>
  <c r="S113" i="13"/>
  <c r="S114" i="13"/>
  <c r="S115" i="13"/>
  <c r="S116" i="13"/>
  <c r="S127" i="13"/>
  <c r="S128" i="13"/>
  <c r="S129" i="13"/>
  <c r="S130" i="13"/>
  <c r="S131" i="13"/>
  <c r="S132" i="13"/>
  <c r="S133" i="13"/>
  <c r="S134" i="13"/>
  <c r="S135" i="13"/>
  <c r="S136" i="13"/>
  <c r="S137" i="13"/>
  <c r="S138" i="13"/>
  <c r="S139" i="13"/>
  <c r="S140" i="13"/>
  <c r="S141" i="13"/>
  <c r="S142" i="13"/>
  <c r="S143" i="13"/>
  <c r="S144" i="13"/>
  <c r="S145" i="13"/>
  <c r="S146" i="13"/>
  <c r="S147" i="13"/>
  <c r="S148" i="13"/>
  <c r="S149" i="13"/>
  <c r="S150" i="13"/>
  <c r="S151" i="13"/>
  <c r="S152" i="13"/>
  <c r="S153" i="13"/>
  <c r="S154" i="13"/>
  <c r="S9" i="13"/>
  <c r="I150" i="13"/>
  <c r="I134" i="13"/>
  <c r="I133" i="13"/>
  <c r="I132" i="13"/>
  <c r="I110" i="13"/>
  <c r="I129" i="13"/>
  <c r="I109" i="13"/>
  <c r="I153" i="13"/>
  <c r="I152" i="13"/>
  <c r="I149" i="13"/>
  <c r="I144" i="13"/>
  <c r="I143" i="13"/>
  <c r="I142" i="13"/>
  <c r="I141" i="13"/>
  <c r="I140" i="13"/>
  <c r="I137" i="13"/>
  <c r="I135" i="13"/>
  <c r="I131" i="13"/>
  <c r="I130" i="13"/>
  <c r="I128" i="13"/>
  <c r="I127" i="13"/>
  <c r="I104" i="13"/>
  <c r="I105" i="13"/>
  <c r="I106" i="13"/>
  <c r="I107" i="13"/>
  <c r="I108" i="13"/>
  <c r="I111" i="13"/>
  <c r="I112" i="13"/>
  <c r="I113" i="13"/>
  <c r="I114" i="13"/>
  <c r="I103" i="13"/>
  <c r="I102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15" i="13"/>
  <c r="I116" i="13"/>
  <c r="I136" i="13"/>
  <c r="I138" i="13"/>
  <c r="I139" i="13"/>
  <c r="I145" i="13"/>
  <c r="I146" i="13"/>
  <c r="I147" i="13"/>
  <c r="I148" i="13"/>
  <c r="I151" i="13"/>
  <c r="I154" i="13"/>
  <c r="I9" i="13"/>
  <c r="W77" i="2"/>
  <c r="U77" i="2"/>
  <c r="S77" i="2"/>
  <c r="M77" i="2"/>
  <c r="J77" i="2"/>
  <c r="G77" i="2"/>
  <c r="E77" i="2"/>
  <c r="W52" i="2"/>
  <c r="U52" i="2"/>
  <c r="S52" i="2"/>
  <c r="M52" i="2"/>
  <c r="J52" i="2"/>
  <c r="G52" i="2"/>
  <c r="E52" i="2"/>
  <c r="W41" i="2"/>
  <c r="U41" i="2"/>
  <c r="S41" i="2"/>
  <c r="M41" i="2"/>
  <c r="J41" i="2"/>
  <c r="G41" i="2"/>
  <c r="E41" i="2"/>
  <c r="O66" i="12" l="1"/>
  <c r="O75" i="12" s="1"/>
  <c r="O99" i="12" s="1"/>
  <c r="O108" i="12" s="1"/>
  <c r="O124" i="12" s="1"/>
  <c r="G66" i="12"/>
  <c r="G75" i="12" s="1"/>
  <c r="G99" i="12" s="1"/>
  <c r="G108" i="12" s="1"/>
  <c r="G124" i="12" s="1"/>
  <c r="G9" i="8"/>
  <c r="G8" i="8"/>
  <c r="I39" i="13"/>
  <c r="S39" i="13"/>
  <c r="E10" i="16"/>
  <c r="C10" i="16"/>
  <c r="I11" i="15"/>
  <c r="E11" i="15"/>
  <c r="G10" i="15" s="1"/>
  <c r="K10" i="15"/>
  <c r="K9" i="15"/>
  <c r="K11" i="15" s="1"/>
  <c r="Q10" i="14"/>
  <c r="O10" i="14"/>
  <c r="M10" i="14"/>
  <c r="K10" i="14"/>
  <c r="I10" i="14"/>
  <c r="G10" i="14"/>
  <c r="E10" i="14"/>
  <c r="C10" i="14"/>
  <c r="S11" i="10"/>
  <c r="Q11" i="10"/>
  <c r="O11" i="10"/>
  <c r="M11" i="10"/>
  <c r="K11" i="10"/>
  <c r="I11" i="10"/>
  <c r="E12" i="8"/>
  <c r="S12" i="6"/>
  <c r="Q12" i="6"/>
  <c r="O12" i="6"/>
  <c r="M12" i="6"/>
  <c r="K12" i="6"/>
  <c r="G10" i="8" l="1"/>
  <c r="G11" i="8"/>
  <c r="G12" i="8"/>
  <c r="I12" i="8"/>
  <c r="S48" i="13"/>
  <c r="S78" i="13" s="1"/>
  <c r="S87" i="13" s="1"/>
  <c r="S117" i="13" s="1"/>
  <c r="S126" i="13" s="1"/>
  <c r="I48" i="13"/>
  <c r="I78" i="13" s="1"/>
  <c r="I87" i="13" s="1"/>
  <c r="I117" i="13" s="1"/>
  <c r="I126" i="13" s="1"/>
  <c r="G9" i="15"/>
  <c r="G11" i="15" s="1"/>
</calcChain>
</file>

<file path=xl/sharedStrings.xml><?xml version="1.0" encoding="utf-8"?>
<sst xmlns="http://schemas.openxmlformats.org/spreadsheetml/2006/main" count="1018" uniqueCount="323">
  <si>
    <t>‫سرمایه گذاری قابل معامله شاخصی بازار آشنا</t>
  </si>
  <si>
    <t>‫صورت وضعیت پورتفوی</t>
  </si>
  <si>
    <t>‫برای ماه منتهی به 1403/09/30</t>
  </si>
  <si>
    <t>‫1- سرمایه گذاری ها</t>
  </si>
  <si>
    <t>‫1-1- سرمایه گذاری در سهام و حق تقدم سهام</t>
  </si>
  <si>
    <t>‫1403/08/30</t>
  </si>
  <si>
    <t>‫تغییرات طی دوره</t>
  </si>
  <si>
    <t>‫1403/09/30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</si>
  <si>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</si>
  <si>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</si>
  <si>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</si>
  <si>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</si>
  <si>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</si>
  <si>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</si>
  <si>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</si>
  <si>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</si>
  <si>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</si>
  <si>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‫آلومينيوم ايران</t>
  </si>
  <si>
    <t>‫اختيارخ خودرو-4000-1403/10/05</t>
  </si>
  <si>
    <t>‫اختيارخ خودرو-4000-1403/11/03</t>
  </si>
  <si>
    <t>‫اختيارخ ذوب-400-1403/09/28</t>
  </si>
  <si>
    <t>‫اختيارخ ذوب-600-1403/11/24</t>
  </si>
  <si>
    <t>‫اختيارخ ذوب-700-1403/11/24</t>
  </si>
  <si>
    <t>‫اختيارخ شستا-1350-1403/10/12</t>
  </si>
  <si>
    <t>‫اختيارخ شستا-1450-1403/10/12</t>
  </si>
  <si>
    <t>‫اختيارخ شستا-1550-1403/11/10</t>
  </si>
  <si>
    <t>‫اختيارخ شستا-1650-1403/11/10</t>
  </si>
  <si>
    <t>‫اختيارخ وبملت-2600-1403/11/24</t>
  </si>
  <si>
    <t>‫اختيارف خودرو-3250-1403/11/03</t>
  </si>
  <si>
    <t>‫ارتباطات سیار</t>
  </si>
  <si>
    <t>‫ايران خودرو</t>
  </si>
  <si>
    <t>‫بانك تجارت</t>
  </si>
  <si>
    <t>‫بانك صادرات</t>
  </si>
  <si>
    <t>‫بانك ملت</t>
  </si>
  <si>
    <t>‫بين المللي توسعه ص. معادن غدير</t>
  </si>
  <si>
    <t>‫توسعه معادن وص.معدني خاورميانه</t>
  </si>
  <si>
    <t>‫توسعه‌معادن‌وفلزات‌</t>
  </si>
  <si>
    <t>‫توليدي برنا باطري</t>
  </si>
  <si>
    <t>‫دارويي تامين</t>
  </si>
  <si>
    <t>‫ذوب آهن  اصفهان</t>
  </si>
  <si>
    <t>‫زرین معدن آسیا</t>
  </si>
  <si>
    <t>‫سايپا</t>
  </si>
  <si>
    <t>‫سرمايه گذاري تامين اجتماعي</t>
  </si>
  <si>
    <t>‫سرمايه گذاري جامي</t>
  </si>
  <si>
    <t>‫سرمايه گذاري صدرتامين</t>
  </si>
  <si>
    <t>‫سرمايه گذاري غدير</t>
  </si>
  <si>
    <t>‫سرمايه گذاري ملي ايران</t>
  </si>
  <si>
    <t>‫سيمان سپاهان</t>
  </si>
  <si>
    <t>‫صبا فولاد خليج فارس</t>
  </si>
  <si>
    <t>‫صنايع شيميايي كيمياگران امروز</t>
  </si>
  <si>
    <t>‫صنايع پتروشيمي خليج فارس</t>
  </si>
  <si>
    <t>‫صندوق بازنشستگي</t>
  </si>
  <si>
    <t>‫صنعتی صبانور</t>
  </si>
  <si>
    <t>‫فولاد آلياژي ايران</t>
  </si>
  <si>
    <t>‫فولاد اميركبير</t>
  </si>
  <si>
    <t>‫فولاد خوزستان</t>
  </si>
  <si>
    <t>‫فولاد مباركه</t>
  </si>
  <si>
    <t>‫قند چهار محال</t>
  </si>
  <si>
    <t>‫كاني كربن طبس</t>
  </si>
  <si>
    <t>‫كشتيراني ايران</t>
  </si>
  <si>
    <t>‫مخابرات</t>
  </si>
  <si>
    <t>‫ملي مس</t>
  </si>
  <si>
    <t>‫مپنا</t>
  </si>
  <si>
    <t>‫نفت اصفهان</t>
  </si>
  <si>
    <t>‫نفت بهران</t>
  </si>
  <si>
    <t>‫نفت تبريز</t>
  </si>
  <si>
    <t>‫نفت تهران</t>
  </si>
  <si>
    <t>‫نفت و گاز پارسیان</t>
  </si>
  <si>
    <t>‫پتروشيمي بوعلي سينا</t>
  </si>
  <si>
    <t>‫پتروشيمي جم</t>
  </si>
  <si>
    <t>‫پتروشيمي شيراز</t>
  </si>
  <si>
    <t>‫پتروشيمي نوري</t>
  </si>
  <si>
    <t>‫پتروشيمي پارس</t>
  </si>
  <si>
    <t>‫پتروشيمی پردیس</t>
  </si>
  <si>
    <t>‫پتروشیمی تامین</t>
  </si>
  <si>
    <t>‫پست بانك ايران</t>
  </si>
  <si>
    <t>‫پست بانك ايران (تقدم)</t>
  </si>
  <si>
    <t>‫چادرملو</t>
  </si>
  <si>
    <t>‫گروه دارویی سبحان</t>
  </si>
  <si>
    <t>‫گسترش سوخت سبززاگرس(سهامي عام)</t>
  </si>
  <si>
    <t>‫گسترش سوخت سبززاگرس(سهامي عام) (تقدم)</t>
  </si>
  <si>
    <t>‫گل گهر</t>
  </si>
  <si>
    <t>‫جمع</t>
  </si>
  <si>
    <t>‫نام سهام</t>
  </si>
  <si>
    <t>‫قیمت اعمال</t>
  </si>
  <si>
    <t>‫تاریخ اعمال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</si>
  <si>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</si>
  <si>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</si>
  <si>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</si>
  <si>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</si>
  <si>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‫اختيار معامله خرید</t>
  </si>
  <si>
    <t>‫موقعیت فروش</t>
  </si>
  <si>
    <t>‫10,469,000</t>
  </si>
  <si>
    <t>‫4000</t>
  </si>
  <si>
    <t>‫1403/11/03</t>
  </si>
  <si>
    <t>‫20,900,000</t>
  </si>
  <si>
    <t>‫400</t>
  </si>
  <si>
    <t>‫1403/09/28</t>
  </si>
  <si>
    <t>‫12,000,000</t>
  </si>
  <si>
    <t>‫600</t>
  </si>
  <si>
    <t>‫1403/11/24</t>
  </si>
  <si>
    <t>‫11,000,000</t>
  </si>
  <si>
    <t>‫700</t>
  </si>
  <si>
    <t>‫25,000,000</t>
  </si>
  <si>
    <t>‫1350</t>
  </si>
  <si>
    <t>‫1403/10/12</t>
  </si>
  <si>
    <t>‫3,692,000</t>
  </si>
  <si>
    <t>‫1450</t>
  </si>
  <si>
    <t>‫2,000,000</t>
  </si>
  <si>
    <t>‫1550</t>
  </si>
  <si>
    <t>‫1403/11/10</t>
  </si>
  <si>
    <t>‫1650</t>
  </si>
  <si>
    <t>‫اختيار معامله فروش</t>
  </si>
  <si>
    <t>‫10,000,000</t>
  </si>
  <si>
    <t>‫3250</t>
  </si>
  <si>
    <t>‫تاریخ سررسید</t>
  </si>
  <si>
    <t>‫مشخصات حساب بانکی</t>
  </si>
  <si>
    <t>‫سپرده‌های بانکی</t>
  </si>
  <si>
    <t>‫شماره حساب</t>
  </si>
  <si>
    <t>‫نوع سپرده</t>
  </si>
  <si>
    <t>‫تاریخ افتتاح حساب</t>
  </si>
  <si>
    <t>‫نرخ سود علی الحساب</t>
  </si>
  <si>
    <t>‫مبلغ</t>
  </si>
  <si>
    <t>‫افزایش</t>
  </si>
  <si>
    <t>‫کاهش</t>
  </si>
  <si>
    <t>‫سپرده بانکی نزد بانک پاسارگاد</t>
  </si>
  <si>
    <t>‫415.8100.14938708.1</t>
  </si>
  <si>
    <t>‫کوتاه مدت</t>
  </si>
  <si>
    <t>‫1400/08/09</t>
  </si>
  <si>
    <t>‫0</t>
  </si>
  <si>
    <t>‫سپرده بانکی نزد بانک گردشگري</t>
  </si>
  <si>
    <t>‫132-711270160-1</t>
  </si>
  <si>
    <t>‫جاري</t>
  </si>
  <si>
    <t>‫1401/09/22</t>
  </si>
  <si>
    <t>‫132.9967.1270160.1</t>
  </si>
  <si>
    <t>‫1403/05/03</t>
  </si>
  <si>
    <t>‫23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</si>
  <si>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</si>
  <si>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</si>
  <si>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</si>
  <si>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</si>
  <si>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</si>
  <si>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</si>
  <si>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</si>
  <si>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</si>
  <si>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‫2-2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</si>
  <si>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</si>
  <si>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</si>
  <si>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</si>
  <si>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</si>
  <si>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</si>
  <si>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</si>
  <si>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</si>
  <si>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</si>
  <si>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</si>
  <si>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</si>
  <si>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</si>
  <si>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‫1403/04/30</t>
  </si>
  <si>
    <t>‫آنتي بيوتيك سازي ايران</t>
  </si>
  <si>
    <t>‫1403/02/24</t>
  </si>
  <si>
    <t>‫اقتصاد نوين</t>
  </si>
  <si>
    <t>‫1403/04/13</t>
  </si>
  <si>
    <t>‫1403/03/31</t>
  </si>
  <si>
    <t>‫1403/03/30</t>
  </si>
  <si>
    <t>‫بانك پاسارگاد</t>
  </si>
  <si>
    <t>‫1403/04/31</t>
  </si>
  <si>
    <t>‫1403/03/23</t>
  </si>
  <si>
    <t>‫1403/04/19</t>
  </si>
  <si>
    <t>‫1403/06/18</t>
  </si>
  <si>
    <t>‫1403/07/28</t>
  </si>
  <si>
    <t>‫1403/05/30</t>
  </si>
  <si>
    <t>‫1403/01/28</t>
  </si>
  <si>
    <t>‫1403/09/14</t>
  </si>
  <si>
    <t>‫1403/07/30</t>
  </si>
  <si>
    <t>‫1403/07/11</t>
  </si>
  <si>
    <t>‫مبين انرژي خليج فارس</t>
  </si>
  <si>
    <t>‫1403/07/08</t>
  </si>
  <si>
    <t>‫1403/05/16</t>
  </si>
  <si>
    <t>‫نشاسته و گلوكز آردينه</t>
  </si>
  <si>
    <t>‫1403/03/09</t>
  </si>
  <si>
    <t>‫1403/04/28</t>
  </si>
  <si>
    <t>‫نفت بندر عباس</t>
  </si>
  <si>
    <t>‫1403/04/24</t>
  </si>
  <si>
    <t>‫1403/04/17</t>
  </si>
  <si>
    <t>‫1403/04/11</t>
  </si>
  <si>
    <t>‫پتروشيمي شازند</t>
  </si>
  <si>
    <t>‫1403/04/29</t>
  </si>
  <si>
    <t>‫1403/04/16</t>
  </si>
  <si>
    <t>‫1403/09/07</t>
  </si>
  <si>
    <t>‫1403/04/06</t>
  </si>
  <si>
    <t>‫گروه بهمن</t>
  </si>
  <si>
    <t>‫1403/04/20</t>
  </si>
  <si>
    <t>‫تاریخ دریافت سود</t>
  </si>
  <si>
    <t>‫درآمد سود</t>
  </si>
  <si>
    <t>‫خالص درآمد</t>
  </si>
  <si>
    <t>‫كوتاه مدت-1.1270160.9967.132-گردشگري</t>
  </si>
  <si>
    <t>‫1403/09/03</t>
  </si>
  <si>
    <t>‫-</t>
  </si>
  <si>
    <t>‫كوتاه مدت-1.14938708.8100.415-پاسارگاد</t>
  </si>
  <si>
    <t>‫1403/09/01</t>
  </si>
  <si>
    <t>‫اجاره تابان فردا آشنا14060627</t>
  </si>
  <si>
    <t>‫1403/12/27</t>
  </si>
  <si>
    <t>‫1406/06/27</t>
  </si>
  <si>
    <t>‫سود(زیان) حاصل از فروش اوراق بهادار</t>
  </si>
  <si>
    <t>‫ارزش دفتری</t>
  </si>
  <si>
    <t>‫سود و زیان ناشی از فروش</t>
  </si>
  <si>
    <t>‫اختيارخ خساپا-2200-1403/08/30</t>
  </si>
  <si>
    <t>‫اختيارخ خساپا-2400-1403/06/28</t>
  </si>
  <si>
    <t>‫اختيارخ خساپا-2400-1403/07/25</t>
  </si>
  <si>
    <t>‫اختيارخ خساپا-2400-1403/08/30</t>
  </si>
  <si>
    <t>‫اختيارخ خساپا-2600-1403/07/25</t>
  </si>
  <si>
    <t>‫اختيارخ خساپا-2600-1403/08/30</t>
  </si>
  <si>
    <t>‫اختيارخ خودرو-2200-1403/06/07</t>
  </si>
  <si>
    <t>‫اختيارخ خودرو-2400-1403/06/07</t>
  </si>
  <si>
    <t>‫اختيارخ خودرو-2400-1403/09/07</t>
  </si>
  <si>
    <t>‫اختيارخ خودرو-2600-1403/09/07</t>
  </si>
  <si>
    <t>‫اختيارخ خودرو-2800-1403/09/07</t>
  </si>
  <si>
    <t>‫اختيارخ خودرو-2800-1403/10/05</t>
  </si>
  <si>
    <t>‫اختيارخ خگستر-3500-1403/08/02</t>
  </si>
  <si>
    <t>‫اختيارخ خگستر-3750-1403/08/02</t>
  </si>
  <si>
    <t>‫اختيارخ خگستر-4000-1403/08/02</t>
  </si>
  <si>
    <t>‫اختيارخ ذوب-400-1403/07/22</t>
  </si>
  <si>
    <t>‫اختيارخ ذوب-500-1403/09/28</t>
  </si>
  <si>
    <t>‫اختيارخ شستا-1050-1403/09/14</t>
  </si>
  <si>
    <t>‫اختيارخ شستا-1100-1403/05/03</t>
  </si>
  <si>
    <t>‫اختيارخ شستا-1150-1403/10/12</t>
  </si>
  <si>
    <t>‫اختيارخ شستا-1200-1403/07/11</t>
  </si>
  <si>
    <t>‫اختيارخ شستا-950-1403/08/09</t>
  </si>
  <si>
    <t>‫اختيارخ شپنا-4390-1403/06/21</t>
  </si>
  <si>
    <t>‫اختيارخ فولاد-4500-1403/09/21</t>
  </si>
  <si>
    <t>‫اختيارخ فولاد-4600-1403/07/18</t>
  </si>
  <si>
    <t>‫اختيارخ فولاد-5100-1403/05/31</t>
  </si>
  <si>
    <t>‫اختيارخ وبصادر-1900-1403/09/21</t>
  </si>
  <si>
    <t>‫اختيارخ وبملت-2200-1403/07/25</t>
  </si>
  <si>
    <t>‫اختيارخ وبملت-2400-1403/07/25</t>
  </si>
  <si>
    <t>‫اختيارخ وتجارت-1400-1403/08/16</t>
  </si>
  <si>
    <t>‫اختيارف خودرو-2600-1403/07/04</t>
  </si>
  <si>
    <t>‫اختيارف خودرو-2600-1403/08/02</t>
  </si>
  <si>
    <t>‫ايران ترانسفو</t>
  </si>
  <si>
    <t>‫بانك پارسيان</t>
  </si>
  <si>
    <t>‫تجلي توسعه معادن و فلزات</t>
  </si>
  <si>
    <t>‫دكترعبيدي</t>
  </si>
  <si>
    <t>‫زامياد</t>
  </si>
  <si>
    <t>‫سرمايه گذاري اميد</t>
  </si>
  <si>
    <t>‫سرمايه گذاري رنا</t>
  </si>
  <si>
    <t>‫فروشگاههاي زنجيره اي افق كوروش</t>
  </si>
  <si>
    <t>‫كشت وصنعت شريف آباد</t>
  </si>
  <si>
    <t>‫مس شهيد باهنر</t>
  </si>
  <si>
    <t>‫پاکشو</t>
  </si>
  <si>
    <t>‫پلي پروپيلن جم - جم پيلن</t>
  </si>
  <si>
    <t>‫گروه مالي داتام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</si>
  <si>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</si>
  <si>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</si>
  <si>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</si>
  <si>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</si>
  <si>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</si>
  <si>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</si>
  <si>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</si>
  <si>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</si>
  <si>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‫بانك اقتصاد نوين</t>
  </si>
  <si>
    <t>‫بانك صادرات ايران</t>
  </si>
  <si>
    <t>‫توسعه معدني و صنعتي صبانور</t>
  </si>
  <si>
    <t>‫ذوب آهن اصفهان</t>
  </si>
  <si>
    <t>‫س. نفت و گاز و پتروشيمي تامين</t>
  </si>
  <si>
    <t>‫سرمايه گذاري توسعه معادن و فلزات (هلدينگ)</t>
  </si>
  <si>
    <t>‫سرمايه گذاري دارويي تامين</t>
  </si>
  <si>
    <t>‫سرمايه گذاري صندوق بازنشستگي كشوري (هلدينگ)</t>
  </si>
  <si>
    <t>‫سرمايه گذاري غدير (هلدينگ)</t>
  </si>
  <si>
    <t>‫سرمايه گذاري گروه صنعتي رنا</t>
  </si>
  <si>
    <t>‫شركت ارتباطات سيار ايران</t>
  </si>
  <si>
    <t>‫شركت زرين معدن آسيا</t>
  </si>
  <si>
    <t>‫شركت مخابرات ايران</t>
  </si>
  <si>
    <t>‫شركت پالايش نفت بندر عباس</t>
  </si>
  <si>
    <t>‫شركت گسترش نفت و گاز پارسيان</t>
  </si>
  <si>
    <t>‫فرآورده هاي غذايي و قند چهار محال</t>
  </si>
  <si>
    <t>‫فولاد اميركبير كاشان</t>
  </si>
  <si>
    <t>‫فولاد مباركه اصفهان</t>
  </si>
  <si>
    <t>‫كشتيراني جمهوري اسلامي ايران</t>
  </si>
  <si>
    <t>‫لابراتوار دكتر عبيدي</t>
  </si>
  <si>
    <t>‫معدني و صنعتي چادر ملو</t>
  </si>
  <si>
    <t>‫معدني و صنعتي گل گهر</t>
  </si>
  <si>
    <t>‫ملي صنايع مس ايران</t>
  </si>
  <si>
    <t>‫پالايش نفت اصفهان</t>
  </si>
  <si>
    <t>‫پالايش نفت تبريز</t>
  </si>
  <si>
    <t>‫پالايش نفت تهران</t>
  </si>
  <si>
    <t>‫پتروشيمي پرديس</t>
  </si>
  <si>
    <t>‫گروه دارويي سبحان</t>
  </si>
  <si>
    <t>‫گروه صنعتي پاكشو</t>
  </si>
  <si>
    <t>‫گروه مديريت سرمايه گذاري اميد</t>
  </si>
  <si>
    <t>‫گروه مپنا</t>
  </si>
  <si>
    <t>‫2-2- درآمد حاصل از سرمایه گذاری در اوراق بهادار با درآمد ثابت:</t>
  </si>
  <si>
    <t>‫درآمد سود اوراق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</si>
  <si>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</si>
  <si>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</si>
  <si>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</si>
  <si>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</si>
  <si>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‫سپرده بانکی کوتاه مدت - پاسارگاد</t>
  </si>
  <si>
    <t>‫سپرده بانکی کوتاه مدت - گردشگري</t>
  </si>
  <si>
    <t>رکن صندوق</t>
  </si>
  <si>
    <t>شرکت</t>
  </si>
  <si>
    <t>نماینده</t>
  </si>
  <si>
    <t xml:space="preserve">امضا </t>
  </si>
  <si>
    <t>مدیر صندوق</t>
  </si>
  <si>
    <t>شرکت سبدگردان سهم آشنا</t>
  </si>
  <si>
    <t>علی اسماعیلی</t>
  </si>
  <si>
    <t>نقل به صفحه بعد</t>
  </si>
  <si>
    <t>نقل از صفحه قبل</t>
  </si>
  <si>
    <t>نام اوراق اختیار معامله</t>
  </si>
  <si>
    <t>-</t>
  </si>
  <si>
    <t>‫1-2- سرمایه گذاری در سپرده بانکی</t>
  </si>
  <si>
    <t>‫2-1</t>
  </si>
  <si>
    <t>‫2-3</t>
  </si>
  <si>
    <t>‫2-4</t>
  </si>
  <si>
    <t>‫2-1- درآمد حاصل از سرمایه گذاری در سهام و حق تقدم سهام:</t>
  </si>
  <si>
    <t>‫اختيارخ شستا-1100-1403/08/09</t>
  </si>
  <si>
    <t>‫اختيارخ شستا-1200-1403/09/14</t>
  </si>
  <si>
    <t>‫اختيارخ شستا-1300-1403/10/12</t>
  </si>
  <si>
    <t>‫اختيارخ فولاد-5500-1403/05/31</t>
  </si>
  <si>
    <t>‫2-3- درآمد حاصل از سرمایه گذاری در سپرده بانکی و گواهی سپرده:</t>
  </si>
  <si>
    <t>‫2-4- سایر درآمدها:</t>
  </si>
  <si>
    <t>تعدیل کارمزد کارگزاری</t>
  </si>
  <si>
    <t>‫سود اوراق بهادار با درآمد ثابت</t>
  </si>
  <si>
    <t>‫سود سپرده های بانکی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</si>
</sst>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b/>
      <u/>
      <sz val="16"/>
      <name val="B Zar"/>
      <charset val="178"/>
    </font>
    <font>
      <b/>
      <sz val="12"/>
      <name val="B Zar"/>
      <charset val="178"/>
    </font>
    <font>
      <sz val="12"/>
      <name val="B Zar"/>
      <charset val="178"/>
    </font>
    <font>
      <b/>
      <sz val="12"/>
      <color indexed="8"/>
      <name val="B Zar"/>
      <charset val="178"/>
    </font>
    <font>
      <sz val="9"/>
      <color rgb="FF000000"/>
      <name val="Yekan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6"/>
  </cellStyleXfs>
  <cellXfs count="49">
    <xf numFmtId="0" fontId="0" fillId="0" borderId="0" xfId="0"/>
    <xf numFmtId="0" fontId="3" fillId="2" borderId="6" xfId="1" applyFont="1"/>
    <xf numFmtId="0" fontId="3" fillId="0" borderId="0" xfId="0" applyFont="1"/>
    <xf numFmtId="37" fontId="8" fillId="0" borderId="1" xfId="0" applyNumberFormat="1" applyFont="1" applyBorder="1" applyAlignment="1">
      <alignment horizontal="center" vertical="center"/>
    </xf>
    <xf numFmtId="37" fontId="8" fillId="0" borderId="0" xfId="0" applyNumberFormat="1" applyFont="1" applyAlignment="1">
      <alignment horizontal="right" vertical="center" wrapText="1"/>
    </xf>
    <xf numFmtId="3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37" fontId="8" fillId="0" borderId="3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37" fontId="8" fillId="0" borderId="4" xfId="0" applyNumberFormat="1" applyFont="1" applyBorder="1" applyAlignment="1">
      <alignment horizontal="center" vertical="center"/>
    </xf>
    <xf numFmtId="37" fontId="8" fillId="0" borderId="6" xfId="0" applyNumberFormat="1" applyFont="1" applyBorder="1" applyAlignment="1">
      <alignment horizontal="center" vertical="center"/>
    </xf>
    <xf numFmtId="10" fontId="8" fillId="0" borderId="9" xfId="0" applyNumberFormat="1" applyFont="1" applyBorder="1" applyAlignment="1">
      <alignment horizontal="center" vertical="center"/>
    </xf>
    <xf numFmtId="37" fontId="8" fillId="0" borderId="9" xfId="0" applyNumberFormat="1" applyFont="1" applyBorder="1" applyAlignment="1">
      <alignment horizontal="center" vertical="center"/>
    </xf>
    <xf numFmtId="10" fontId="8" fillId="0" borderId="10" xfId="0" applyNumberFormat="1" applyFont="1" applyBorder="1" applyAlignment="1">
      <alignment horizontal="center" vertical="center"/>
    </xf>
    <xf numFmtId="37" fontId="7" fillId="0" borderId="1" xfId="0" applyNumberFormat="1" applyFont="1" applyBorder="1" applyAlignment="1">
      <alignment horizontal="center" vertical="center"/>
    </xf>
    <xf numFmtId="37" fontId="7" fillId="0" borderId="1" xfId="0" applyNumberFormat="1" applyFont="1" applyBorder="1" applyAlignment="1">
      <alignment horizontal="center" vertical="center" wrapText="1"/>
    </xf>
    <xf numFmtId="37" fontId="8" fillId="0" borderId="0" xfId="0" applyNumberFormat="1" applyFont="1" applyAlignment="1">
      <alignment horizontal="center" vertical="center" wrapText="1"/>
    </xf>
    <xf numFmtId="3" fontId="10" fillId="0" borderId="0" xfId="0" applyNumberFormat="1" applyFont="1"/>
    <xf numFmtId="3" fontId="3" fillId="0" borderId="0" xfId="0" applyNumberFormat="1" applyFont="1"/>
    <xf numFmtId="37" fontId="7" fillId="0" borderId="0" xfId="0" applyNumberFormat="1" applyFont="1" applyAlignment="1">
      <alignment horizontal="right" vertical="center"/>
    </xf>
    <xf numFmtId="37" fontId="7" fillId="0" borderId="11" xfId="0" applyNumberFormat="1" applyFont="1" applyBorder="1" applyAlignment="1">
      <alignment horizontal="center" vertical="center"/>
    </xf>
    <xf numFmtId="37" fontId="8" fillId="0" borderId="0" xfId="0" applyNumberFormat="1" applyFont="1" applyFill="1" applyAlignment="1">
      <alignment horizontal="center" vertical="center"/>
    </xf>
    <xf numFmtId="37" fontId="7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/>
    <xf numFmtId="0" fontId="3" fillId="2" borderId="6" xfId="0" applyNumberFormat="1" applyFont="1" applyFill="1" applyBorder="1" applyAlignment="1"/>
    <xf numFmtId="9" fontId="8" fillId="0" borderId="3" xfId="0" applyNumberFormat="1" applyFont="1" applyBorder="1" applyAlignment="1">
      <alignment horizontal="center" vertical="center"/>
    </xf>
    <xf numFmtId="37" fontId="3" fillId="0" borderId="0" xfId="0" applyNumberFormat="1" applyFont="1" applyAlignment="1">
      <alignment horizontal="center" vertical="center" wrapText="1"/>
    </xf>
    <xf numFmtId="37" fontId="7" fillId="0" borderId="12" xfId="0" applyNumberFormat="1" applyFont="1" applyBorder="1" applyAlignment="1">
      <alignment horizontal="center" vertical="center"/>
    </xf>
    <xf numFmtId="0" fontId="5" fillId="2" borderId="6" xfId="1" applyFont="1" applyAlignment="1">
      <alignment horizontal="center" vertical="center" wrapText="1" readingOrder="2"/>
    </xf>
    <xf numFmtId="37" fontId="2" fillId="2" borderId="6" xfId="1" applyNumberFormat="1" applyFont="1" applyAlignment="1">
      <alignment horizontal="center" vertical="center"/>
    </xf>
    <xf numFmtId="0" fontId="3" fillId="2" borderId="6" xfId="1" applyFont="1"/>
    <xf numFmtId="0" fontId="4" fillId="3" borderId="6" xfId="1" applyFont="1" applyFill="1" applyAlignment="1">
      <alignment horizontal="center" vertical="center" wrapText="1" readingOrder="2"/>
    </xf>
    <xf numFmtId="37" fontId="7" fillId="0" borderId="1" xfId="0" applyNumberFormat="1" applyFont="1" applyBorder="1" applyAlignment="1">
      <alignment horizontal="center" vertical="center"/>
    </xf>
    <xf numFmtId="0" fontId="3" fillId="2" borderId="2" xfId="0" applyNumberFormat="1" applyFont="1" applyFill="1" applyBorder="1"/>
    <xf numFmtId="0" fontId="8" fillId="0" borderId="0" xfId="0" applyFont="1" applyAlignment="1">
      <alignment horizontal="center" vertical="center"/>
    </xf>
    <xf numFmtId="37" fontId="8" fillId="0" borderId="1" xfId="0" applyNumberFormat="1" applyFont="1" applyBorder="1" applyAlignment="1">
      <alignment horizontal="center" vertical="center"/>
    </xf>
    <xf numFmtId="0" fontId="3" fillId="0" borderId="0" xfId="0" applyFont="1"/>
    <xf numFmtId="37" fontId="8" fillId="0" borderId="0" xfId="0" applyNumberFormat="1" applyFont="1" applyAlignment="1">
      <alignment horizontal="center" vertical="center" wrapText="1"/>
    </xf>
    <xf numFmtId="37" fontId="6" fillId="0" borderId="0" xfId="0" applyNumberFormat="1" applyFont="1" applyAlignment="1">
      <alignment horizontal="center" vertical="center"/>
    </xf>
    <xf numFmtId="37" fontId="7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center" vertical="center"/>
    </xf>
    <xf numFmtId="37" fontId="9" fillId="0" borderId="1" xfId="0" applyNumberFormat="1" applyFont="1" applyBorder="1" applyAlignment="1">
      <alignment horizontal="center" vertical="center"/>
    </xf>
    <xf numFmtId="0" fontId="9" fillId="2" borderId="2" xfId="0" applyNumberFormat="1" applyFont="1" applyFill="1" applyBorder="1"/>
    <xf numFmtId="37" fontId="7" fillId="0" borderId="12" xfId="0" applyNumberFormat="1" applyFont="1" applyBorder="1" applyAlignment="1">
      <alignment horizontal="center" vertical="center"/>
    </xf>
    <xf numFmtId="37" fontId="8" fillId="0" borderId="5" xfId="0" applyNumberFormat="1" applyFont="1" applyBorder="1" applyAlignment="1">
      <alignment horizontal="center" vertical="center"/>
    </xf>
    <xf numFmtId="0" fontId="3" fillId="2" borderId="7" xfId="0" applyNumberFormat="1" applyFont="1" applyFill="1" applyBorder="1"/>
    <xf numFmtId="0" fontId="3" fillId="2" borderId="8" xfId="0" applyNumberFormat="1" applyFont="1" applyFill="1" applyBorder="1"/>
    <xf numFmtId="37" fontId="7" fillId="0" borderId="13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AC2DA9C7-B4C2-44D7-9E23-FF62107B0A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270330</xdr:colOff>
      <xdr:row>6</xdr:row>
      <xdr:rowOff>76200</xdr:rowOff>
    </xdr:from>
    <xdr:to>
      <xdr:col>6</xdr:col>
      <xdr:colOff>235378</xdr:colOff>
      <xdr:row>13</xdr:row>
      <xdr:rowOff>155575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04F757-96E5-40D5-829D-EF0249129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2649408" y="1545771"/>
          <a:ext cx="1720370" cy="179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13610</xdr:rowOff>
    </xdr:from>
    <xdr:to>
      <xdr:col>0</xdr:col>
      <xdr:colOff>898072</xdr:colOff>
      <xdr:row>3</xdr:row>
      <xdr:rowOff>215267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5D71D5-4F88-428B-8F80-37D1757E7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2042964" y="13610"/>
          <a:ext cx="898072" cy="936443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41</xdr:row>
      <xdr:rowOff>13610</xdr:rowOff>
    </xdr:from>
    <xdr:ext cx="898072" cy="963657"/>
    <xdr:pic>
      <xdr:nvPicPr>
        <xdr:cNvPr id="3" name="Picture 2">
          <a:extLst>
            <a:ext uri="{FF2B5EF4-FFF2-40B4-BE49-F238E27FC236}">
              <a16:creationId xmlns:a16="http://schemas.microsoft.com/office/drawing/2014/main" id="{07436043-058B-4E88-A5F1-8BE3D459B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3670678" y="13610"/>
          <a:ext cx="898072" cy="96365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</xdr:colOff>
      <xdr:row>0</xdr:row>
      <xdr:rowOff>0</xdr:rowOff>
    </xdr:from>
    <xdr:to>
      <xdr:col>0</xdr:col>
      <xdr:colOff>913947</xdr:colOff>
      <xdr:row>3</xdr:row>
      <xdr:rowOff>201657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92729E-6E8F-46EF-BCE7-0B90C0FA0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0368678" y="0"/>
          <a:ext cx="898072" cy="963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869922</xdr:colOff>
      <xdr:row>3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F2FD3A-BAE7-42AA-947B-312403A34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092703" y="1"/>
          <a:ext cx="869921" cy="933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898072</xdr:colOff>
      <xdr:row>3</xdr:row>
      <xdr:rowOff>220707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9C29A6-E778-4F4F-88B3-743F0433F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9026703" y="0"/>
          <a:ext cx="898072" cy="9636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869921</xdr:colOff>
      <xdr:row>3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EF8827-FD92-4909-92CA-6C84B78D4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302379" y="9525"/>
          <a:ext cx="869921" cy="95250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39</xdr:row>
      <xdr:rowOff>9525</xdr:rowOff>
    </xdr:from>
    <xdr:ext cx="869921" cy="971550"/>
    <xdr:pic>
      <xdr:nvPicPr>
        <xdr:cNvPr id="3" name="Picture 2">
          <a:extLst>
            <a:ext uri="{FF2B5EF4-FFF2-40B4-BE49-F238E27FC236}">
              <a16:creationId xmlns:a16="http://schemas.microsoft.com/office/drawing/2014/main" id="{0F41F335-8725-4950-B589-BB5BEFD8F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778329" y="9525"/>
          <a:ext cx="869921" cy="9715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9525</xdr:rowOff>
    </xdr:from>
    <xdr:ext cx="869921" cy="971550"/>
    <xdr:pic>
      <xdr:nvPicPr>
        <xdr:cNvPr id="4" name="Picture 3">
          <a:extLst>
            <a:ext uri="{FF2B5EF4-FFF2-40B4-BE49-F238E27FC236}">
              <a16:creationId xmlns:a16="http://schemas.microsoft.com/office/drawing/2014/main" id="{C37E4756-4D4C-4166-B409-D58013C3B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778329" y="10725150"/>
          <a:ext cx="869921" cy="9715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9525</xdr:rowOff>
    </xdr:from>
    <xdr:ext cx="869921" cy="971550"/>
    <xdr:pic>
      <xdr:nvPicPr>
        <xdr:cNvPr id="5" name="Picture 4">
          <a:extLst>
            <a:ext uri="{FF2B5EF4-FFF2-40B4-BE49-F238E27FC236}">
              <a16:creationId xmlns:a16="http://schemas.microsoft.com/office/drawing/2014/main" id="{8FD4CB87-EB2E-4421-808E-173B30A7C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778329" y="21440775"/>
          <a:ext cx="869921" cy="9715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839414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6AFF90-DB37-4690-A6D2-8E55CC92C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018561" y="0"/>
          <a:ext cx="839414" cy="8477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839414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7EBC31-F4FC-4030-A2F7-4B48D9090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285261" y="0"/>
          <a:ext cx="839414" cy="8667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3</xdr:row>
      <xdr:rowOff>81285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7FBD2F-C81A-4F2D-AFA3-1DB66C5D7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9467575" y="1"/>
          <a:ext cx="781050" cy="82423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781050</xdr:colOff>
      <xdr:row>3</xdr:row>
      <xdr:rowOff>100334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BCA69C-D55D-40F8-BE15-FBC2FA932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714975" y="0"/>
          <a:ext cx="781050" cy="843284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32</xdr:row>
      <xdr:rowOff>0</xdr:rowOff>
    </xdr:from>
    <xdr:ext cx="781050" cy="862334"/>
    <xdr:pic>
      <xdr:nvPicPr>
        <xdr:cNvPr id="3" name="Picture 2">
          <a:extLst>
            <a:ext uri="{FF2B5EF4-FFF2-40B4-BE49-F238E27FC236}">
              <a16:creationId xmlns:a16="http://schemas.microsoft.com/office/drawing/2014/main" id="{9B95CBF2-287E-4DEB-ABF9-3CC286A59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3803575" y="0"/>
          <a:ext cx="781050" cy="862334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781050</xdr:colOff>
      <xdr:row>3</xdr:row>
      <xdr:rowOff>119384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CFA42C-FC20-4905-BF6B-DEC62D24C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686275" y="0"/>
          <a:ext cx="781050" cy="86233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819150</xdr:colOff>
      <xdr:row>3</xdr:row>
      <xdr:rowOff>147959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7BD907-9ABD-491B-B4FA-5C492A66B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972150" y="9525"/>
          <a:ext cx="819150" cy="88138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819150</xdr:colOff>
      <xdr:row>3</xdr:row>
      <xdr:rowOff>138434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34074-3D3C-402C-92D8-44E71A2FD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336975" y="0"/>
          <a:ext cx="819150" cy="900434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31</xdr:row>
      <xdr:rowOff>0</xdr:rowOff>
    </xdr:from>
    <xdr:ext cx="819150" cy="900434"/>
    <xdr:pic>
      <xdr:nvPicPr>
        <xdr:cNvPr id="3" name="Picture 2">
          <a:extLst>
            <a:ext uri="{FF2B5EF4-FFF2-40B4-BE49-F238E27FC236}">
              <a16:creationId xmlns:a16="http://schemas.microsoft.com/office/drawing/2014/main" id="{814879B8-90E2-4CAB-9E2F-FE8F7D60A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336975" y="0"/>
          <a:ext cx="819150" cy="90043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819150" cy="900434"/>
    <xdr:pic>
      <xdr:nvPicPr>
        <xdr:cNvPr id="4" name="Picture 3">
          <a:extLst>
            <a:ext uri="{FF2B5EF4-FFF2-40B4-BE49-F238E27FC236}">
              <a16:creationId xmlns:a16="http://schemas.microsoft.com/office/drawing/2014/main" id="{E2D123D8-E778-46D6-B17C-0565B4A8F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336975" y="8556625"/>
          <a:ext cx="819150" cy="90043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819150" cy="900434"/>
    <xdr:pic>
      <xdr:nvPicPr>
        <xdr:cNvPr id="5" name="Picture 4">
          <a:extLst>
            <a:ext uri="{FF2B5EF4-FFF2-40B4-BE49-F238E27FC236}">
              <a16:creationId xmlns:a16="http://schemas.microsoft.com/office/drawing/2014/main" id="{D1A6E0D2-9806-4F66-9FBD-C692F27C3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336975" y="17113250"/>
          <a:ext cx="819150" cy="90043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819150" cy="900434"/>
    <xdr:pic>
      <xdr:nvPicPr>
        <xdr:cNvPr id="6" name="Picture 5">
          <a:extLst>
            <a:ext uri="{FF2B5EF4-FFF2-40B4-BE49-F238E27FC236}">
              <a16:creationId xmlns:a16="http://schemas.microsoft.com/office/drawing/2014/main" id="{EF990D99-9061-4D18-AB54-2A703A14B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336975" y="25669875"/>
          <a:ext cx="819150" cy="900434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0</xdr:col>
      <xdr:colOff>819150</xdr:colOff>
      <xdr:row>3</xdr:row>
      <xdr:rowOff>165651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CC493F-2E77-4291-BCA5-68AAF0CE1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3741136" y="3"/>
          <a:ext cx="819150" cy="900434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33</xdr:row>
      <xdr:rowOff>3</xdr:rowOff>
    </xdr:from>
    <xdr:ext cx="819150" cy="927648"/>
    <xdr:pic>
      <xdr:nvPicPr>
        <xdr:cNvPr id="3" name="Picture 2">
          <a:extLst>
            <a:ext uri="{FF2B5EF4-FFF2-40B4-BE49-F238E27FC236}">
              <a16:creationId xmlns:a16="http://schemas.microsoft.com/office/drawing/2014/main" id="{1DD4C714-40B6-4443-B535-F4C518FBC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5241850" y="3"/>
          <a:ext cx="819150" cy="92764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3</xdr:rowOff>
    </xdr:from>
    <xdr:ext cx="819150" cy="927648"/>
    <xdr:pic>
      <xdr:nvPicPr>
        <xdr:cNvPr id="4" name="Picture 3">
          <a:extLst>
            <a:ext uri="{FF2B5EF4-FFF2-40B4-BE49-F238E27FC236}">
              <a16:creationId xmlns:a16="http://schemas.microsoft.com/office/drawing/2014/main" id="{294FA488-D1D9-4921-B3BA-9664C54E7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5241850" y="9096378"/>
          <a:ext cx="819150" cy="92764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3</xdr:rowOff>
    </xdr:from>
    <xdr:ext cx="819150" cy="927648"/>
    <xdr:pic>
      <xdr:nvPicPr>
        <xdr:cNvPr id="5" name="Picture 4">
          <a:extLst>
            <a:ext uri="{FF2B5EF4-FFF2-40B4-BE49-F238E27FC236}">
              <a16:creationId xmlns:a16="http://schemas.microsoft.com/office/drawing/2014/main" id="{8226950D-7314-45EB-B694-4ABFA1CDD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5241850" y="18192753"/>
          <a:ext cx="819150" cy="9276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63C3-D223-4E12-BB5D-4D6E36F28837}">
  <sheetPr>
    <pageSetUpPr fitToPage="1"/>
  </sheetPr>
  <dimension ref="A18:J25"/>
  <sheetViews>
    <sheetView rightToLeft="1" tabSelected="1" view="pageBreakPreview" zoomScale="70" zoomScaleNormal="100" zoomScaleSheetLayoutView="70" workbookViewId="0">
      <selection activeCell="C22" sqref="C22"/>
    </sheetView>
  </sheetViews>
  <sheetFormatPr defaultColWidth="8.85546875" defaultRowHeight="19.5"/>
  <cols>
    <col min="1" max="16384" width="8.85546875" style="1"/>
  </cols>
  <sheetData>
    <row r="18" spans="1:10" ht="40.15" customHeight="1">
      <c r="A18" s="30" t="s">
        <v>0</v>
      </c>
      <c r="B18" s="31"/>
      <c r="C18" s="31"/>
      <c r="D18" s="31"/>
      <c r="E18" s="31"/>
      <c r="F18" s="31"/>
      <c r="G18" s="31"/>
      <c r="H18" s="31"/>
      <c r="I18" s="31"/>
      <c r="J18" s="31"/>
    </row>
    <row r="19" spans="1:10" ht="40.15" customHeight="1">
      <c r="A19" s="30" t="s">
        <v>1</v>
      </c>
      <c r="B19" s="31"/>
      <c r="C19" s="31"/>
      <c r="D19" s="31"/>
      <c r="E19" s="31"/>
      <c r="F19" s="31"/>
      <c r="G19" s="31"/>
      <c r="H19" s="31"/>
      <c r="I19" s="31"/>
      <c r="J19" s="31"/>
    </row>
    <row r="20" spans="1:10" ht="40.15" customHeight="1">
      <c r="A20" s="30" t="s">
        <v>2</v>
      </c>
      <c r="B20" s="31"/>
      <c r="C20" s="31"/>
      <c r="D20" s="31"/>
      <c r="E20" s="31"/>
      <c r="F20" s="31"/>
      <c r="G20" s="31"/>
      <c r="H20" s="31"/>
      <c r="I20" s="31"/>
      <c r="J20" s="31"/>
    </row>
    <row r="24" spans="1:10" ht="43.5" customHeight="1">
      <c r="B24" s="32" t="s">
        <v>298</v>
      </c>
      <c r="C24" s="32"/>
      <c r="D24" s="32" t="s">
        <v>299</v>
      </c>
      <c r="E24" s="32"/>
      <c r="F24" s="32" t="s">
        <v>300</v>
      </c>
      <c r="G24" s="32"/>
      <c r="H24" s="32" t="s">
        <v>301</v>
      </c>
      <c r="I24" s="32"/>
    </row>
    <row r="25" spans="1:10" ht="39.75" customHeight="1">
      <c r="B25" s="29" t="s">
        <v>302</v>
      </c>
      <c r="C25" s="29"/>
      <c r="D25" s="29" t="s">
        <v>303</v>
      </c>
      <c r="E25" s="29"/>
      <c r="F25" s="29" t="s">
        <v>304</v>
      </c>
      <c r="G25" s="29"/>
      <c r="H25" s="29"/>
      <c r="I25" s="29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9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78"/>
  <sheetViews>
    <sheetView rightToLeft="1" view="pageBreakPreview" zoomScale="60" zoomScaleNormal="70" workbookViewId="0">
      <selection activeCell="Q29" sqref="Q29"/>
    </sheetView>
  </sheetViews>
  <sheetFormatPr defaultRowHeight="19.5"/>
  <cols>
    <col min="1" max="1" width="36.28515625" style="2" customWidth="1"/>
    <col min="2" max="2" width="1.42578125" style="2" customWidth="1"/>
    <col min="3" max="3" width="12.7109375" style="2" customWidth="1"/>
    <col min="4" max="4" width="1.42578125" style="2" customWidth="1"/>
    <col min="5" max="5" width="17" style="2" customWidth="1"/>
    <col min="6" max="6" width="1.42578125" style="2" customWidth="1"/>
    <col min="7" max="7" width="17" style="2" customWidth="1"/>
    <col min="8" max="8" width="1.42578125" style="2" customWidth="1"/>
    <col min="9" max="9" width="11.85546875" style="2" bestFit="1" customWidth="1"/>
    <col min="10" max="10" width="17" style="2" customWidth="1"/>
    <col min="11" max="11" width="1.42578125" style="2" customWidth="1"/>
    <col min="12" max="12" width="11.85546875" style="2" bestFit="1" customWidth="1"/>
    <col min="13" max="13" width="17" style="2" customWidth="1"/>
    <col min="14" max="14" width="1.42578125" style="2" customWidth="1"/>
    <col min="15" max="15" width="12.7109375" style="2" customWidth="1"/>
    <col min="16" max="16" width="1.42578125" style="2" customWidth="1"/>
    <col min="17" max="17" width="11.42578125" style="2" customWidth="1"/>
    <col min="18" max="18" width="1.42578125" style="2" customWidth="1"/>
    <col min="19" max="19" width="17" style="2" customWidth="1"/>
    <col min="20" max="20" width="1.42578125" style="2" customWidth="1"/>
    <col min="21" max="21" width="17.85546875" style="2" bestFit="1" customWidth="1"/>
    <col min="22" max="22" width="1.42578125" style="2" customWidth="1"/>
    <col min="23" max="23" width="8.5703125" style="2" customWidth="1"/>
    <col min="24" max="16384" width="9.140625" style="2"/>
  </cols>
  <sheetData>
    <row r="1" spans="1:23" ht="20.100000000000001" customHeight="1">
      <c r="A1" s="3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pans="1:23" ht="20.100000000000001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3" spans="1:23" ht="20.100000000000001" customHeight="1">
      <c r="A3" s="39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</row>
    <row r="5" spans="1:23" ht="21">
      <c r="A5" s="40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6" spans="1:23" ht="21">
      <c r="A6" s="40" t="s">
        <v>4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</row>
    <row r="8" spans="1:23" ht="21">
      <c r="C8" s="33" t="s">
        <v>5</v>
      </c>
      <c r="D8" s="34"/>
      <c r="E8" s="34"/>
      <c r="F8" s="34"/>
      <c r="G8" s="34"/>
      <c r="I8" s="33" t="s">
        <v>6</v>
      </c>
      <c r="J8" s="34"/>
      <c r="K8" s="34"/>
      <c r="L8" s="34"/>
      <c r="M8" s="34"/>
      <c r="O8" s="33" t="s">
        <v>7</v>
      </c>
      <c r="P8" s="34"/>
      <c r="Q8" s="34"/>
      <c r="R8" s="34"/>
      <c r="S8" s="34"/>
      <c r="T8" s="34"/>
      <c r="U8" s="34"/>
      <c r="V8" s="34"/>
      <c r="W8" s="34"/>
    </row>
    <row r="9" spans="1:23" ht="21">
      <c r="A9" s="35" t="s">
        <v>8</v>
      </c>
      <c r="C9" s="35" t="s">
        <v>9</v>
      </c>
      <c r="E9" s="35" t="s">
        <v>10</v>
      </c>
      <c r="G9" s="35" t="s">
        <v>11</v>
      </c>
      <c r="I9" s="35" t="s">
        <v>12</v>
      </c>
      <c r="J9" s="37"/>
      <c r="L9" s="35" t="s">
        <v>13</v>
      </c>
      <c r="M9" s="37"/>
      <c r="O9" s="35" t="s">
        <v>9</v>
      </c>
      <c r="Q9" s="38" t="s">
        <v>14</v>
      </c>
      <c r="S9" s="35" t="s">
        <v>10</v>
      </c>
      <c r="U9" s="35" t="s">
        <v>11</v>
      </c>
      <c r="W9" s="38" t="s">
        <v>15</v>
      </c>
    </row>
    <row r="10" spans="1:23" ht="21">
      <c r="A10" s="36"/>
      <c r="C10" s="36"/>
      <c r="E10" s="36"/>
      <c r="G10" s="36"/>
      <c r="I10" s="3" t="s">
        <v>9</v>
      </c>
      <c r="J10" s="3" t="s">
        <v>10</v>
      </c>
      <c r="L10" s="3" t="s">
        <v>9</v>
      </c>
      <c r="M10" s="3" t="s">
        <v>16</v>
      </c>
      <c r="O10" s="36"/>
      <c r="Q10" s="36"/>
      <c r="S10" s="36"/>
      <c r="U10" s="36"/>
      <c r="W10" s="36"/>
    </row>
    <row r="11" spans="1:23" ht="21">
      <c r="A11" s="4" t="s">
        <v>17</v>
      </c>
      <c r="C11" s="5">
        <v>467651</v>
      </c>
      <c r="E11" s="5">
        <v>2921674505</v>
      </c>
      <c r="G11" s="5">
        <v>2807805598</v>
      </c>
      <c r="I11" s="5">
        <v>0</v>
      </c>
      <c r="J11" s="5">
        <v>0</v>
      </c>
      <c r="L11" s="5">
        <v>0</v>
      </c>
      <c r="M11" s="5">
        <v>0</v>
      </c>
      <c r="N11" s="6"/>
      <c r="O11" s="5">
        <v>467651</v>
      </c>
      <c r="Q11" s="5">
        <v>6170</v>
      </c>
      <c r="S11" s="5">
        <v>2921674505</v>
      </c>
      <c r="U11" s="5">
        <v>2858941131</v>
      </c>
      <c r="W11" s="7">
        <v>2.4880055300625621E-3</v>
      </c>
    </row>
    <row r="12" spans="1:23" ht="21">
      <c r="A12" s="4" t="s">
        <v>29</v>
      </c>
      <c r="C12" s="5">
        <v>2000000</v>
      </c>
      <c r="E12" s="5">
        <v>8799272430</v>
      </c>
      <c r="G12" s="5">
        <v>8151210000</v>
      </c>
      <c r="I12" s="5">
        <v>0</v>
      </c>
      <c r="J12" s="5">
        <v>0</v>
      </c>
      <c r="L12" s="5">
        <v>0</v>
      </c>
      <c r="M12" s="5">
        <v>0</v>
      </c>
      <c r="N12" s="6"/>
      <c r="O12" s="5">
        <v>2000000</v>
      </c>
      <c r="Q12" s="5">
        <v>4504</v>
      </c>
      <c r="S12" s="5">
        <v>8799272430</v>
      </c>
      <c r="U12" s="5">
        <v>9081640800</v>
      </c>
      <c r="W12" s="7">
        <v>7.9033360594376618E-3</v>
      </c>
    </row>
    <row r="13" spans="1:23" ht="21">
      <c r="A13" s="4" t="s">
        <v>30</v>
      </c>
      <c r="C13" s="5">
        <v>7726948</v>
      </c>
      <c r="E13" s="5">
        <v>17704787532</v>
      </c>
      <c r="G13" s="5">
        <v>22735679072</v>
      </c>
      <c r="I13" s="5">
        <v>0</v>
      </c>
      <c r="J13" s="5">
        <v>0</v>
      </c>
      <c r="L13" s="5">
        <v>0</v>
      </c>
      <c r="M13" s="5">
        <v>0</v>
      </c>
      <c r="N13" s="6"/>
      <c r="O13" s="5">
        <v>7726948</v>
      </c>
      <c r="Q13" s="5">
        <v>3360</v>
      </c>
      <c r="S13" s="5">
        <v>17704787532</v>
      </c>
      <c r="U13" s="5">
        <v>26499355675</v>
      </c>
      <c r="W13" s="7">
        <v>2.30611756036521E-2</v>
      </c>
    </row>
    <row r="14" spans="1:23" ht="21">
      <c r="A14" s="4" t="s">
        <v>31</v>
      </c>
      <c r="C14" s="5">
        <v>10000000</v>
      </c>
      <c r="E14" s="5">
        <v>14560081342</v>
      </c>
      <c r="G14" s="5">
        <v>14413725000</v>
      </c>
      <c r="I14" s="5">
        <v>0</v>
      </c>
      <c r="J14" s="5">
        <v>0</v>
      </c>
      <c r="L14" s="5">
        <v>0</v>
      </c>
      <c r="M14" s="5">
        <v>0</v>
      </c>
      <c r="N14" s="6"/>
      <c r="O14" s="5">
        <v>10000000</v>
      </c>
      <c r="Q14" s="5">
        <v>1907</v>
      </c>
      <c r="S14" s="5">
        <v>14560081342</v>
      </c>
      <c r="U14" s="5">
        <v>19185165000</v>
      </c>
      <c r="W14" s="7">
        <v>1.669597044079979E-2</v>
      </c>
    </row>
    <row r="15" spans="1:23" ht="21">
      <c r="A15" s="4" t="s">
        <v>32</v>
      </c>
      <c r="C15" s="5">
        <v>1339175</v>
      </c>
      <c r="E15" s="5">
        <v>2842458949</v>
      </c>
      <c r="G15" s="5">
        <v>2324287263</v>
      </c>
      <c r="I15" s="5">
        <v>0</v>
      </c>
      <c r="J15" s="5">
        <v>0</v>
      </c>
      <c r="L15" s="5">
        <v>0</v>
      </c>
      <c r="M15" s="5">
        <v>0</v>
      </c>
      <c r="N15" s="6"/>
      <c r="O15" s="5">
        <v>1339175</v>
      </c>
      <c r="Q15" s="5">
        <v>2221</v>
      </c>
      <c r="S15" s="5">
        <v>2842458949</v>
      </c>
      <c r="U15" s="5">
        <v>2949954510</v>
      </c>
      <c r="W15" s="7">
        <v>2.5672103054971917E-3</v>
      </c>
    </row>
    <row r="16" spans="1:23" ht="21">
      <c r="A16" s="4" t="s">
        <v>33</v>
      </c>
      <c r="C16" s="5">
        <v>13700000</v>
      </c>
      <c r="E16" s="5">
        <v>18987288916</v>
      </c>
      <c r="G16" s="5">
        <v>31499555805</v>
      </c>
      <c r="I16" s="5">
        <v>1200000</v>
      </c>
      <c r="J16" s="5">
        <v>3727055487</v>
      </c>
      <c r="L16" s="5">
        <v>0</v>
      </c>
      <c r="M16" s="5">
        <v>0</v>
      </c>
      <c r="O16" s="5">
        <v>14900000</v>
      </c>
      <c r="Q16" s="5">
        <v>3208</v>
      </c>
      <c r="S16" s="5">
        <v>22714344403</v>
      </c>
      <c r="U16" s="5">
        <v>48018380490</v>
      </c>
      <c r="W16" s="7">
        <v>4.1788197353325722E-2</v>
      </c>
    </row>
    <row r="17" spans="1:23" ht="21">
      <c r="A17" s="4" t="s">
        <v>34</v>
      </c>
      <c r="C17" s="5">
        <v>1700000</v>
      </c>
      <c r="E17" s="5">
        <v>8016464339</v>
      </c>
      <c r="G17" s="5">
        <v>7824167550</v>
      </c>
      <c r="I17" s="5">
        <v>0</v>
      </c>
      <c r="J17" s="5">
        <v>0</v>
      </c>
      <c r="L17" s="5">
        <v>0</v>
      </c>
      <c r="M17" s="5">
        <v>0</v>
      </c>
      <c r="N17" s="6"/>
      <c r="O17" s="5">
        <v>1700000</v>
      </c>
      <c r="Q17" s="5">
        <v>5300</v>
      </c>
      <c r="S17" s="5">
        <v>8016464339</v>
      </c>
      <c r="U17" s="5">
        <v>9023985900</v>
      </c>
      <c r="W17" s="7">
        <v>7.8531616404963981E-3</v>
      </c>
    </row>
    <row r="18" spans="1:23" ht="21">
      <c r="A18" s="4" t="s">
        <v>35</v>
      </c>
      <c r="C18" s="5">
        <v>600000</v>
      </c>
      <c r="E18" s="5">
        <v>2624395015</v>
      </c>
      <c r="G18" s="5">
        <v>3083543100</v>
      </c>
      <c r="I18" s="5">
        <v>0</v>
      </c>
      <c r="J18" s="5">
        <v>0</v>
      </c>
      <c r="L18" s="5">
        <v>108187</v>
      </c>
      <c r="M18" s="5">
        <v>548470783</v>
      </c>
      <c r="O18" s="5">
        <v>491813</v>
      </c>
      <c r="Q18" s="5">
        <v>5860</v>
      </c>
      <c r="S18" s="5">
        <v>2151185976</v>
      </c>
      <c r="U18" s="5">
        <v>2835542933</v>
      </c>
      <c r="W18" s="7">
        <v>2.4676431499539744E-3</v>
      </c>
    </row>
    <row r="19" spans="1:23" ht="21">
      <c r="A19" s="4" t="s">
        <v>36</v>
      </c>
      <c r="C19" s="5">
        <v>5800000</v>
      </c>
      <c r="E19" s="5">
        <v>16350923338</v>
      </c>
      <c r="G19" s="5">
        <v>19389342870</v>
      </c>
      <c r="I19" s="5">
        <v>0</v>
      </c>
      <c r="J19" s="5">
        <v>0</v>
      </c>
      <c r="L19" s="5">
        <v>0</v>
      </c>
      <c r="M19" s="5">
        <v>0</v>
      </c>
      <c r="N19" s="6"/>
      <c r="O19" s="5">
        <v>5800000</v>
      </c>
      <c r="Q19" s="5">
        <v>3885</v>
      </c>
      <c r="S19" s="5">
        <v>16350923338</v>
      </c>
      <c r="U19" s="5">
        <v>22652610210</v>
      </c>
      <c r="W19" s="7">
        <v>1.9713529202022476E-2</v>
      </c>
    </row>
    <row r="20" spans="1:23" ht="21">
      <c r="A20" s="4" t="s">
        <v>37</v>
      </c>
      <c r="C20" s="5">
        <v>0</v>
      </c>
      <c r="E20" s="5">
        <v>0</v>
      </c>
      <c r="G20" s="5">
        <v>0</v>
      </c>
      <c r="H20" s="6"/>
      <c r="I20" s="5">
        <v>1600000</v>
      </c>
      <c r="J20" s="5">
        <v>9228371760</v>
      </c>
      <c r="L20" s="5">
        <v>0</v>
      </c>
      <c r="M20" s="5">
        <v>0</v>
      </c>
      <c r="O20" s="5">
        <v>1600000</v>
      </c>
      <c r="Q20" s="5">
        <v>6580</v>
      </c>
      <c r="S20" s="5">
        <v>9228371760</v>
      </c>
      <c r="U20" s="5">
        <v>10465358400</v>
      </c>
      <c r="W20" s="7">
        <v>9.1075221140279883E-3</v>
      </c>
    </row>
    <row r="21" spans="1:23" ht="21">
      <c r="A21" s="4" t="s">
        <v>38</v>
      </c>
      <c r="C21" s="5">
        <v>510000</v>
      </c>
      <c r="E21" s="5">
        <v>12009588844</v>
      </c>
      <c r="G21" s="5">
        <v>10367444475</v>
      </c>
      <c r="I21" s="5">
        <v>0</v>
      </c>
      <c r="J21" s="5">
        <v>0</v>
      </c>
      <c r="L21" s="5">
        <v>0</v>
      </c>
      <c r="M21" s="5">
        <v>0</v>
      </c>
      <c r="N21" s="6"/>
      <c r="O21" s="5">
        <v>510000</v>
      </c>
      <c r="Q21" s="5">
        <v>26260</v>
      </c>
      <c r="S21" s="5">
        <v>12009588844</v>
      </c>
      <c r="U21" s="5">
        <v>13236869205</v>
      </c>
      <c r="W21" s="7">
        <v>1.1519441035582077E-2</v>
      </c>
    </row>
    <row r="22" spans="1:23" ht="21">
      <c r="A22" s="4" t="s">
        <v>39</v>
      </c>
      <c r="C22" s="5">
        <v>20900000</v>
      </c>
      <c r="E22" s="5">
        <v>9072722186</v>
      </c>
      <c r="G22" s="5">
        <v>8684219610</v>
      </c>
      <c r="I22" s="5">
        <v>13600000</v>
      </c>
      <c r="J22" s="5">
        <v>6962454950</v>
      </c>
      <c r="L22" s="5">
        <v>10000000</v>
      </c>
      <c r="M22" s="5">
        <v>4274415175</v>
      </c>
      <c r="O22" s="5">
        <v>24500000</v>
      </c>
      <c r="Q22" s="5">
        <v>523</v>
      </c>
      <c r="S22" s="5">
        <v>11694161736</v>
      </c>
      <c r="U22" s="5">
        <v>12956447700</v>
      </c>
      <c r="W22" s="7">
        <v>1.1275403042766034E-2</v>
      </c>
    </row>
    <row r="23" spans="1:23" ht="21">
      <c r="A23" s="4" t="s">
        <v>40</v>
      </c>
      <c r="C23" s="5">
        <v>3100000</v>
      </c>
      <c r="E23" s="5">
        <v>9513211197</v>
      </c>
      <c r="G23" s="5">
        <v>9614451600</v>
      </c>
      <c r="I23" s="5">
        <v>0</v>
      </c>
      <c r="J23" s="5">
        <v>0</v>
      </c>
      <c r="L23" s="5">
        <v>3100000</v>
      </c>
      <c r="M23" s="5">
        <v>10009874853</v>
      </c>
      <c r="O23" s="5">
        <v>0</v>
      </c>
      <c r="Q23" s="5">
        <v>0</v>
      </c>
      <c r="S23" s="5">
        <v>0</v>
      </c>
      <c r="U23" s="5">
        <v>0</v>
      </c>
      <c r="W23" s="7">
        <v>0</v>
      </c>
    </row>
    <row r="24" spans="1:23" ht="21">
      <c r="A24" s="4" t="s">
        <v>41</v>
      </c>
      <c r="C24" s="5">
        <v>0</v>
      </c>
      <c r="E24" s="5">
        <v>0</v>
      </c>
      <c r="G24" s="5">
        <v>0</v>
      </c>
      <c r="H24" s="6"/>
      <c r="I24" s="5">
        <v>1800000</v>
      </c>
      <c r="J24" s="5">
        <v>4942036712</v>
      </c>
      <c r="L24" s="5">
        <v>0</v>
      </c>
      <c r="M24" s="5">
        <v>0</v>
      </c>
      <c r="O24" s="5">
        <v>1800000</v>
      </c>
      <c r="Q24" s="5">
        <v>2816</v>
      </c>
      <c r="S24" s="5">
        <v>4942036712</v>
      </c>
      <c r="U24" s="5">
        <v>5065479990</v>
      </c>
      <c r="W24" s="7">
        <v>4.4082552420843298E-3</v>
      </c>
    </row>
    <row r="25" spans="1:23" ht="21">
      <c r="A25" s="4" t="s">
        <v>42</v>
      </c>
      <c r="C25" s="5">
        <v>25000000</v>
      </c>
      <c r="E25" s="5">
        <v>28608629149</v>
      </c>
      <c r="G25" s="5">
        <v>27460631250</v>
      </c>
      <c r="I25" s="5">
        <v>7600000</v>
      </c>
      <c r="J25" s="5">
        <v>10855624447</v>
      </c>
      <c r="L25" s="5">
        <v>0</v>
      </c>
      <c r="M25" s="5">
        <v>0</v>
      </c>
      <c r="O25" s="5">
        <v>32600000</v>
      </c>
      <c r="Q25" s="5">
        <v>1400</v>
      </c>
      <c r="S25" s="5">
        <v>39464253596</v>
      </c>
      <c r="U25" s="5">
        <v>46016562600</v>
      </c>
      <c r="W25" s="7">
        <v>4.0046106924637503E-2</v>
      </c>
    </row>
    <row r="26" spans="1:23" ht="21">
      <c r="A26" s="4" t="s">
        <v>43</v>
      </c>
      <c r="C26" s="5">
        <v>33191778</v>
      </c>
      <c r="E26" s="5">
        <v>41809888041</v>
      </c>
      <c r="G26" s="5">
        <v>39758115740</v>
      </c>
      <c r="I26" s="5">
        <v>1200000</v>
      </c>
      <c r="J26" s="5">
        <v>1439234578</v>
      </c>
      <c r="L26" s="5">
        <v>9522258</v>
      </c>
      <c r="M26" s="5">
        <v>11748090778</v>
      </c>
      <c r="O26" s="5">
        <v>24869520</v>
      </c>
      <c r="Q26" s="5">
        <v>1209</v>
      </c>
      <c r="S26" s="5">
        <v>31274478451</v>
      </c>
      <c r="U26" s="5">
        <v>29888349544</v>
      </c>
      <c r="W26" s="7">
        <v>2.6010461755784527E-2</v>
      </c>
    </row>
    <row r="27" spans="1:23" ht="21">
      <c r="A27" s="4" t="s">
        <v>44</v>
      </c>
      <c r="C27" s="5">
        <v>888004</v>
      </c>
      <c r="E27" s="5">
        <v>8268927676</v>
      </c>
      <c r="G27" s="5">
        <v>8906648596</v>
      </c>
      <c r="I27" s="5">
        <v>0</v>
      </c>
      <c r="J27" s="5">
        <v>0</v>
      </c>
      <c r="L27" s="5">
        <v>0</v>
      </c>
      <c r="M27" s="5">
        <v>0</v>
      </c>
      <c r="N27" s="6"/>
      <c r="O27" s="5">
        <v>888004</v>
      </c>
      <c r="Q27" s="5">
        <v>11330</v>
      </c>
      <c r="S27" s="5">
        <v>8268927676</v>
      </c>
      <c r="U27" s="5">
        <v>10054185085</v>
      </c>
      <c r="W27" s="7">
        <v>8.7496968092528847E-3</v>
      </c>
    </row>
    <row r="28" spans="1:23" ht="21">
      <c r="A28" s="4" t="s">
        <v>45</v>
      </c>
      <c r="C28" s="5">
        <v>3279048</v>
      </c>
      <c r="E28" s="5">
        <v>19971482566</v>
      </c>
      <c r="G28" s="5">
        <v>25554775289</v>
      </c>
      <c r="I28" s="5">
        <v>1000000</v>
      </c>
      <c r="J28" s="5">
        <v>9929205731</v>
      </c>
      <c r="L28" s="5">
        <v>0</v>
      </c>
      <c r="M28" s="5">
        <v>0</v>
      </c>
      <c r="O28" s="5">
        <v>4279048</v>
      </c>
      <c r="Q28" s="5">
        <v>10550</v>
      </c>
      <c r="S28" s="5">
        <v>29900688297</v>
      </c>
      <c r="U28" s="5">
        <v>45088029243</v>
      </c>
      <c r="W28" s="7">
        <v>3.923804686981032E-2</v>
      </c>
    </row>
    <row r="29" spans="1:23" ht="21">
      <c r="A29" s="4" t="s">
        <v>46</v>
      </c>
      <c r="C29" s="5">
        <v>1200000</v>
      </c>
      <c r="E29" s="5">
        <v>8660029020</v>
      </c>
      <c r="G29" s="5">
        <v>8409663000</v>
      </c>
      <c r="I29" s="5">
        <v>300000</v>
      </c>
      <c r="J29" s="5">
        <v>2195035104</v>
      </c>
      <c r="L29" s="5">
        <v>0</v>
      </c>
      <c r="M29" s="5">
        <v>0</v>
      </c>
      <c r="O29" s="5">
        <v>1500000</v>
      </c>
      <c r="Q29" s="5">
        <v>9010</v>
      </c>
      <c r="S29" s="5">
        <v>10855064124</v>
      </c>
      <c r="U29" s="5">
        <v>13688068500</v>
      </c>
      <c r="W29" s="7">
        <v>1.1912099117606897E-2</v>
      </c>
    </row>
    <row r="30" spans="1:23" ht="21">
      <c r="A30" s="4" t="s">
        <v>47</v>
      </c>
      <c r="C30" s="5">
        <v>1183146</v>
      </c>
      <c r="E30" s="5">
        <v>11365470572</v>
      </c>
      <c r="G30" s="5">
        <v>10784894600</v>
      </c>
      <c r="I30" s="5">
        <v>0</v>
      </c>
      <c r="J30" s="5">
        <v>0</v>
      </c>
      <c r="L30" s="5">
        <v>0</v>
      </c>
      <c r="M30" s="5">
        <v>0</v>
      </c>
      <c r="N30" s="6"/>
      <c r="O30" s="5">
        <v>1183146</v>
      </c>
      <c r="Q30" s="5">
        <v>8650</v>
      </c>
      <c r="S30" s="5">
        <v>11365470572</v>
      </c>
      <c r="U30" s="5">
        <v>10326213150</v>
      </c>
      <c r="W30" s="7">
        <v>8.9864303756469165E-3</v>
      </c>
    </row>
    <row r="31" spans="1:23" ht="21">
      <c r="A31" s="4" t="s">
        <v>48</v>
      </c>
      <c r="C31" s="5">
        <v>0</v>
      </c>
      <c r="E31" s="5">
        <v>0</v>
      </c>
      <c r="G31" s="5">
        <v>0</v>
      </c>
      <c r="H31" s="6"/>
      <c r="I31" s="5">
        <v>2400000</v>
      </c>
      <c r="J31" s="5">
        <v>11429569715</v>
      </c>
      <c r="L31" s="5">
        <v>0</v>
      </c>
      <c r="M31" s="5">
        <v>0</v>
      </c>
      <c r="O31" s="5">
        <v>2400000</v>
      </c>
      <c r="Q31" s="5">
        <v>4902</v>
      </c>
      <c r="S31" s="5">
        <v>11429569715</v>
      </c>
      <c r="U31" s="5">
        <v>11806928280</v>
      </c>
      <c r="W31" s="7">
        <v>1.0275028938219875E-2</v>
      </c>
    </row>
    <row r="32" spans="1:23" ht="21">
      <c r="A32" s="4" t="s">
        <v>49</v>
      </c>
      <c r="C32" s="5">
        <v>7800000</v>
      </c>
      <c r="E32" s="5">
        <v>25845245830</v>
      </c>
      <c r="G32" s="5">
        <v>28688283000</v>
      </c>
      <c r="I32" s="5">
        <v>0</v>
      </c>
      <c r="J32" s="5">
        <v>0</v>
      </c>
      <c r="L32" s="5">
        <v>1800000</v>
      </c>
      <c r="M32" s="5">
        <v>7014732990</v>
      </c>
      <c r="O32" s="5">
        <v>9506493</v>
      </c>
      <c r="Q32" s="5">
        <v>2572</v>
      </c>
      <c r="S32" s="5">
        <v>19880958331</v>
      </c>
      <c r="U32" s="5">
        <v>24305218331</v>
      </c>
      <c r="W32" s="7">
        <v>2.1151718362159573E-2</v>
      </c>
    </row>
    <row r="33" spans="1:23" ht="21">
      <c r="A33" s="4" t="s">
        <v>50</v>
      </c>
      <c r="C33" s="5">
        <v>11399204</v>
      </c>
      <c r="E33" s="5">
        <v>71901725476</v>
      </c>
      <c r="G33" s="5">
        <v>84645399159</v>
      </c>
      <c r="I33" s="5">
        <v>0</v>
      </c>
      <c r="J33" s="5">
        <v>0</v>
      </c>
      <c r="L33" s="5">
        <v>0</v>
      </c>
      <c r="M33" s="5">
        <v>0</v>
      </c>
      <c r="N33" s="6"/>
      <c r="O33" s="5">
        <v>11399204</v>
      </c>
      <c r="Q33" s="5">
        <v>9090</v>
      </c>
      <c r="S33" s="5">
        <v>71901725476</v>
      </c>
      <c r="U33" s="5">
        <v>103682115436</v>
      </c>
      <c r="W33" s="7">
        <v>9.0229796541184168E-2</v>
      </c>
    </row>
    <row r="34" spans="1:23" ht="21">
      <c r="A34" s="4" t="s">
        <v>51</v>
      </c>
      <c r="C34" s="5">
        <v>1092665</v>
      </c>
      <c r="E34" s="5">
        <v>20222828436</v>
      </c>
      <c r="G34" s="5">
        <v>19540083942</v>
      </c>
      <c r="I34" s="5">
        <v>0</v>
      </c>
      <c r="J34" s="5">
        <v>0</v>
      </c>
      <c r="L34" s="5">
        <v>0</v>
      </c>
      <c r="M34" s="5">
        <v>0</v>
      </c>
      <c r="N34" s="6"/>
      <c r="O34" s="5">
        <v>1092665</v>
      </c>
      <c r="Q34" s="5">
        <v>22920</v>
      </c>
      <c r="S34" s="5">
        <v>20222828436</v>
      </c>
      <c r="U34" s="5">
        <v>24916593976</v>
      </c>
      <c r="W34" s="7">
        <v>2.1683770585695046E-2</v>
      </c>
    </row>
    <row r="35" spans="1:23" ht="21">
      <c r="A35" s="4" t="s">
        <v>52</v>
      </c>
      <c r="C35" s="5">
        <v>3800000</v>
      </c>
      <c r="E35" s="5">
        <v>22878313850</v>
      </c>
      <c r="G35" s="5">
        <v>22475470500</v>
      </c>
      <c r="I35" s="5">
        <v>0</v>
      </c>
      <c r="J35" s="5">
        <v>0</v>
      </c>
      <c r="L35" s="5">
        <v>0</v>
      </c>
      <c r="M35" s="5">
        <v>0</v>
      </c>
      <c r="N35" s="6"/>
      <c r="O35" s="5">
        <v>3800000</v>
      </c>
      <c r="Q35" s="5">
        <v>6870</v>
      </c>
      <c r="S35" s="5">
        <v>22878313850</v>
      </c>
      <c r="U35" s="5">
        <v>26139538800</v>
      </c>
      <c r="W35" s="7">
        <v>2.2748043456542553E-2</v>
      </c>
    </row>
    <row r="36" spans="1:23" ht="21">
      <c r="A36" s="4" t="s">
        <v>53</v>
      </c>
      <c r="C36" s="5">
        <v>0</v>
      </c>
      <c r="E36" s="5">
        <v>0</v>
      </c>
      <c r="G36" s="5">
        <v>0</v>
      </c>
      <c r="H36" s="6"/>
      <c r="I36" s="5">
        <v>1000000</v>
      </c>
      <c r="J36" s="5">
        <v>5194816255</v>
      </c>
      <c r="L36" s="5">
        <v>1000000</v>
      </c>
      <c r="M36" s="5">
        <v>5513404647</v>
      </c>
      <c r="O36" s="5">
        <v>0</v>
      </c>
      <c r="Q36" s="5">
        <v>0</v>
      </c>
      <c r="S36" s="5">
        <v>0</v>
      </c>
      <c r="U36" s="5">
        <v>0</v>
      </c>
      <c r="W36" s="7">
        <v>0</v>
      </c>
    </row>
    <row r="37" spans="1:23" ht="21">
      <c r="A37" s="4" t="s">
        <v>54</v>
      </c>
      <c r="C37" s="5">
        <v>0</v>
      </c>
      <c r="E37" s="5">
        <v>0</v>
      </c>
      <c r="G37" s="5">
        <v>0</v>
      </c>
      <c r="H37" s="6"/>
      <c r="I37" s="5">
        <v>800000</v>
      </c>
      <c r="J37" s="5">
        <v>3238202253</v>
      </c>
      <c r="L37" s="5">
        <v>0</v>
      </c>
      <c r="M37" s="5">
        <v>0</v>
      </c>
      <c r="O37" s="5">
        <v>800000</v>
      </c>
      <c r="Q37" s="5">
        <v>4134</v>
      </c>
      <c r="S37" s="5">
        <v>3238202253</v>
      </c>
      <c r="U37" s="5">
        <v>3308198400</v>
      </c>
      <c r="W37" s="7">
        <v>2.8789735558021608E-3</v>
      </c>
    </row>
    <row r="38" spans="1:23" ht="21">
      <c r="A38" s="4" t="s">
        <v>55</v>
      </c>
      <c r="C38" s="5">
        <v>4500000</v>
      </c>
      <c r="E38" s="5">
        <v>16025515173</v>
      </c>
      <c r="G38" s="5">
        <v>11268053775</v>
      </c>
      <c r="I38" s="5">
        <v>0</v>
      </c>
      <c r="J38" s="5">
        <v>0</v>
      </c>
      <c r="L38" s="5">
        <v>0</v>
      </c>
      <c r="M38" s="5">
        <v>0</v>
      </c>
      <c r="N38" s="6"/>
      <c r="O38" s="5">
        <v>4500000</v>
      </c>
      <c r="Q38" s="5">
        <v>3265</v>
      </c>
      <c r="S38" s="5">
        <v>16025515173</v>
      </c>
      <c r="U38" s="5">
        <v>14681124450</v>
      </c>
      <c r="W38" s="7">
        <v>1.277631023006073E-2</v>
      </c>
    </row>
    <row r="39" spans="1:23" ht="21">
      <c r="A39" s="4" t="s">
        <v>56</v>
      </c>
      <c r="C39" s="5">
        <v>10449752</v>
      </c>
      <c r="E39" s="5">
        <v>42751866700</v>
      </c>
      <c r="G39" s="5">
        <v>48499592230</v>
      </c>
      <c r="I39" s="5">
        <v>1200000</v>
      </c>
      <c r="J39" s="5">
        <v>6614132206</v>
      </c>
      <c r="L39" s="5">
        <v>0</v>
      </c>
      <c r="M39" s="5">
        <v>0</v>
      </c>
      <c r="O39" s="5">
        <v>11649752</v>
      </c>
      <c r="Q39" s="5">
        <v>5720</v>
      </c>
      <c r="S39" s="5">
        <v>49365998906</v>
      </c>
      <c r="U39" s="5">
        <v>67050724299</v>
      </c>
      <c r="W39" s="7">
        <v>5.8351174510634658E-2</v>
      </c>
    </row>
    <row r="40" spans="1:23" ht="21">
      <c r="A40" s="4" t="s">
        <v>57</v>
      </c>
      <c r="C40" s="5">
        <v>0</v>
      </c>
      <c r="E40" s="5">
        <v>0</v>
      </c>
      <c r="G40" s="5">
        <v>0</v>
      </c>
      <c r="H40" s="6"/>
      <c r="I40" s="5">
        <v>100000</v>
      </c>
      <c r="J40" s="5">
        <v>564512104</v>
      </c>
      <c r="L40" s="5">
        <v>0</v>
      </c>
      <c r="M40" s="5">
        <v>0</v>
      </c>
      <c r="O40" s="5">
        <v>100000</v>
      </c>
      <c r="Q40" s="5">
        <v>5340</v>
      </c>
      <c r="S40" s="5">
        <v>564512104</v>
      </c>
      <c r="U40" s="5">
        <v>539769150</v>
      </c>
      <c r="W40" s="7">
        <v>4.6973637043286456E-4</v>
      </c>
    </row>
    <row r="41" spans="1:23" ht="21">
      <c r="A41" s="4" t="s">
        <v>305</v>
      </c>
      <c r="C41" s="5"/>
      <c r="E41" s="13">
        <f>SUM(E11:E40)</f>
        <v>441712791082</v>
      </c>
      <c r="G41" s="13">
        <f>SUM(G11:G40)</f>
        <v>476887043024</v>
      </c>
      <c r="H41" s="6"/>
      <c r="I41" s="5"/>
      <c r="J41" s="13">
        <f>SUM(J11:J40)</f>
        <v>76320251302</v>
      </c>
      <c r="L41" s="5"/>
      <c r="M41" s="13">
        <f>SUM(M11:M40)</f>
        <v>39108989226</v>
      </c>
      <c r="O41" s="5"/>
      <c r="Q41" s="5"/>
      <c r="S41" s="13">
        <f>SUM(S11:S40)</f>
        <v>480571858826</v>
      </c>
      <c r="U41" s="13">
        <f>SUM(U11:U40)</f>
        <v>616321351188</v>
      </c>
      <c r="W41" s="12">
        <f>SUM(W11:W40)</f>
        <v>0.53635624512317892</v>
      </c>
    </row>
    <row r="42" spans="1:23" ht="20.100000000000001" customHeight="1">
      <c r="A42" s="39" t="s">
        <v>0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</row>
    <row r="43" spans="1:23" ht="20.100000000000001" customHeight="1">
      <c r="A43" s="39" t="s">
        <v>1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</row>
    <row r="44" spans="1:23" ht="20.100000000000001" customHeight="1">
      <c r="A44" s="39" t="s">
        <v>2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</row>
    <row r="46" spans="1:23" ht="21">
      <c r="A46" s="40" t="s">
        <v>3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</row>
    <row r="47" spans="1:23" ht="21">
      <c r="A47" s="40" t="s">
        <v>4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</row>
    <row r="49" spans="1:23" ht="21">
      <c r="C49" s="33" t="s">
        <v>5</v>
      </c>
      <c r="D49" s="34"/>
      <c r="E49" s="34"/>
      <c r="F49" s="34"/>
      <c r="G49" s="34"/>
      <c r="I49" s="33" t="s">
        <v>6</v>
      </c>
      <c r="J49" s="34"/>
      <c r="K49" s="34"/>
      <c r="L49" s="34"/>
      <c r="M49" s="34"/>
      <c r="O49" s="33" t="s">
        <v>7</v>
      </c>
      <c r="P49" s="34"/>
      <c r="Q49" s="34"/>
      <c r="R49" s="34"/>
      <c r="S49" s="34"/>
      <c r="T49" s="34"/>
      <c r="U49" s="34"/>
      <c r="V49" s="34"/>
      <c r="W49" s="34"/>
    </row>
    <row r="50" spans="1:23" ht="21">
      <c r="A50" s="35" t="s">
        <v>8</v>
      </c>
      <c r="C50" s="35" t="s">
        <v>9</v>
      </c>
      <c r="E50" s="35" t="s">
        <v>10</v>
      </c>
      <c r="G50" s="35" t="s">
        <v>11</v>
      </c>
      <c r="I50" s="35" t="s">
        <v>12</v>
      </c>
      <c r="J50" s="37"/>
      <c r="L50" s="35" t="s">
        <v>13</v>
      </c>
      <c r="M50" s="37"/>
      <c r="O50" s="35" t="s">
        <v>9</v>
      </c>
      <c r="Q50" s="38" t="s">
        <v>14</v>
      </c>
      <c r="S50" s="35" t="s">
        <v>10</v>
      </c>
      <c r="U50" s="35" t="s">
        <v>11</v>
      </c>
      <c r="W50" s="38" t="s">
        <v>15</v>
      </c>
    </row>
    <row r="51" spans="1:23" ht="21">
      <c r="A51" s="36"/>
      <c r="C51" s="36"/>
      <c r="E51" s="36"/>
      <c r="G51" s="36"/>
      <c r="I51" s="3" t="s">
        <v>9</v>
      </c>
      <c r="J51" s="3" t="s">
        <v>10</v>
      </c>
      <c r="L51" s="3" t="s">
        <v>9</v>
      </c>
      <c r="M51" s="3" t="s">
        <v>16</v>
      </c>
      <c r="O51" s="36"/>
      <c r="Q51" s="36"/>
      <c r="S51" s="36"/>
      <c r="U51" s="36"/>
      <c r="W51" s="36"/>
    </row>
    <row r="52" spans="1:23" ht="21">
      <c r="A52" s="4" t="s">
        <v>306</v>
      </c>
      <c r="C52" s="11"/>
      <c r="E52" s="11">
        <f>E41</f>
        <v>441712791082</v>
      </c>
      <c r="G52" s="11">
        <f>G41</f>
        <v>476887043024</v>
      </c>
      <c r="I52" s="11"/>
      <c r="J52" s="11">
        <f>J41</f>
        <v>76320251302</v>
      </c>
      <c r="L52" s="11"/>
      <c r="M52" s="11">
        <f>M41</f>
        <v>39108989226</v>
      </c>
      <c r="O52" s="11"/>
      <c r="Q52" s="11"/>
      <c r="S52" s="11">
        <f>S41</f>
        <v>480571858826</v>
      </c>
      <c r="U52" s="11">
        <f>U41</f>
        <v>616321351188</v>
      </c>
      <c r="W52" s="7">
        <f>W41</f>
        <v>0.53635624512317892</v>
      </c>
    </row>
    <row r="53" spans="1:23" ht="21">
      <c r="A53" s="4" t="s">
        <v>58</v>
      </c>
      <c r="C53" s="5">
        <v>0</v>
      </c>
      <c r="E53" s="5">
        <v>0</v>
      </c>
      <c r="G53" s="5">
        <v>0</v>
      </c>
      <c r="H53" s="6"/>
      <c r="I53" s="5">
        <v>400000</v>
      </c>
      <c r="J53" s="5">
        <v>5084714240</v>
      </c>
      <c r="L53" s="5">
        <v>200000</v>
      </c>
      <c r="M53" s="5">
        <v>3632258743</v>
      </c>
      <c r="O53" s="5">
        <v>200000</v>
      </c>
      <c r="Q53" s="5">
        <v>18270</v>
      </c>
      <c r="S53" s="5">
        <v>2542357120</v>
      </c>
      <c r="U53" s="5">
        <v>3632258700</v>
      </c>
      <c r="W53" s="7">
        <v>3.1609883932996077E-3</v>
      </c>
    </row>
    <row r="54" spans="1:23" ht="21">
      <c r="A54" s="4" t="s">
        <v>59</v>
      </c>
      <c r="C54" s="5">
        <v>1341844</v>
      </c>
      <c r="E54" s="5">
        <v>11432747846</v>
      </c>
      <c r="G54" s="5">
        <v>11684613847</v>
      </c>
      <c r="I54" s="5">
        <v>0</v>
      </c>
      <c r="J54" s="5">
        <v>0</v>
      </c>
      <c r="L54" s="5">
        <v>0</v>
      </c>
      <c r="M54" s="5">
        <v>0</v>
      </c>
      <c r="N54" s="6"/>
      <c r="O54" s="5">
        <v>1341844</v>
      </c>
      <c r="Q54" s="5">
        <v>10890</v>
      </c>
      <c r="S54" s="5">
        <v>11432747846</v>
      </c>
      <c r="U54" s="5">
        <v>14859200714</v>
      </c>
      <c r="W54" s="7">
        <v>1.2931281846929913E-2</v>
      </c>
    </row>
    <row r="55" spans="1:23" ht="21">
      <c r="A55" s="4" t="s">
        <v>60</v>
      </c>
      <c r="C55" s="5">
        <v>1250000</v>
      </c>
      <c r="E55" s="5">
        <v>8819935931</v>
      </c>
      <c r="G55" s="5">
        <v>9915648750</v>
      </c>
      <c r="I55" s="5">
        <v>0</v>
      </c>
      <c r="J55" s="5">
        <v>0</v>
      </c>
      <c r="L55" s="5">
        <v>0</v>
      </c>
      <c r="M55" s="5">
        <v>0</v>
      </c>
      <c r="N55" s="6"/>
      <c r="O55" s="5">
        <v>1250000</v>
      </c>
      <c r="Q55" s="5">
        <v>9400</v>
      </c>
      <c r="S55" s="5">
        <v>8819935931</v>
      </c>
      <c r="U55" s="5">
        <v>11667661875</v>
      </c>
      <c r="W55" s="7">
        <v>1.0153831764191063E-2</v>
      </c>
    </row>
    <row r="56" spans="1:23" ht="21">
      <c r="A56" s="4" t="s">
        <v>61</v>
      </c>
      <c r="C56" s="5">
        <v>12320000</v>
      </c>
      <c r="E56" s="5">
        <v>67389428873</v>
      </c>
      <c r="G56" s="5">
        <v>79725990960</v>
      </c>
      <c r="I56" s="5">
        <v>0</v>
      </c>
      <c r="J56" s="5">
        <v>0</v>
      </c>
      <c r="L56" s="5">
        <v>0</v>
      </c>
      <c r="M56" s="5">
        <v>0</v>
      </c>
      <c r="N56" s="6"/>
      <c r="O56" s="5">
        <v>12320000</v>
      </c>
      <c r="Q56" s="5">
        <v>7740</v>
      </c>
      <c r="S56" s="5">
        <v>67389428873</v>
      </c>
      <c r="U56" s="5">
        <v>96626431440</v>
      </c>
      <c r="W56" s="7">
        <v>8.4089557901754167E-2</v>
      </c>
    </row>
    <row r="57" spans="1:23" ht="21">
      <c r="A57" s="4" t="s">
        <v>62</v>
      </c>
      <c r="C57" s="5">
        <v>910000</v>
      </c>
      <c r="E57" s="5">
        <v>13303123191</v>
      </c>
      <c r="G57" s="5">
        <v>11732473935</v>
      </c>
      <c r="I57" s="5">
        <v>0</v>
      </c>
      <c r="J57" s="5">
        <v>0</v>
      </c>
      <c r="L57" s="5">
        <v>910000</v>
      </c>
      <c r="M57" s="5">
        <v>12151267250</v>
      </c>
      <c r="O57" s="5">
        <v>0</v>
      </c>
      <c r="Q57" s="5">
        <v>0</v>
      </c>
      <c r="S57" s="5">
        <v>0</v>
      </c>
      <c r="U57" s="5">
        <v>0</v>
      </c>
      <c r="W57" s="7">
        <v>0</v>
      </c>
    </row>
    <row r="58" spans="1:23" ht="21">
      <c r="A58" s="4" t="s">
        <v>63</v>
      </c>
      <c r="C58" s="5">
        <v>10000000</v>
      </c>
      <c r="E58" s="5">
        <v>37019592698</v>
      </c>
      <c r="G58" s="5">
        <v>36998541000</v>
      </c>
      <c r="I58" s="5">
        <v>0</v>
      </c>
      <c r="J58" s="5">
        <v>0</v>
      </c>
      <c r="L58" s="5">
        <v>0</v>
      </c>
      <c r="M58" s="5">
        <v>0</v>
      </c>
      <c r="N58" s="6"/>
      <c r="O58" s="5">
        <v>10000000</v>
      </c>
      <c r="Q58" s="5">
        <v>4767</v>
      </c>
      <c r="S58" s="5">
        <v>37019592698</v>
      </c>
      <c r="U58" s="5">
        <v>47843626500</v>
      </c>
      <c r="W58" s="7">
        <v>4.1636116959362375E-2</v>
      </c>
    </row>
    <row r="59" spans="1:23" ht="21">
      <c r="A59" s="4" t="s">
        <v>64</v>
      </c>
      <c r="C59" s="5">
        <v>500000</v>
      </c>
      <c r="E59" s="5">
        <v>8492517918</v>
      </c>
      <c r="G59" s="5">
        <v>6525938250</v>
      </c>
      <c r="I59" s="5">
        <v>0</v>
      </c>
      <c r="J59" s="5">
        <v>0</v>
      </c>
      <c r="L59" s="5">
        <v>0</v>
      </c>
      <c r="M59" s="5">
        <v>0</v>
      </c>
      <c r="N59" s="6"/>
      <c r="O59" s="5">
        <v>500000</v>
      </c>
      <c r="Q59" s="5">
        <v>16170</v>
      </c>
      <c r="S59" s="5">
        <v>8492517918</v>
      </c>
      <c r="U59" s="5">
        <v>8091567000</v>
      </c>
      <c r="W59" s="7">
        <v>7.0417201755497557E-3</v>
      </c>
    </row>
    <row r="60" spans="1:23" ht="21">
      <c r="A60" s="4" t="s">
        <v>65</v>
      </c>
      <c r="C60" s="5">
        <v>650000</v>
      </c>
      <c r="E60" s="5">
        <v>10060967998</v>
      </c>
      <c r="G60" s="5">
        <v>7475753025</v>
      </c>
      <c r="I60" s="5">
        <v>0</v>
      </c>
      <c r="J60" s="5">
        <v>0</v>
      </c>
      <c r="L60" s="5">
        <v>200000</v>
      </c>
      <c r="M60" s="5">
        <v>3027876325</v>
      </c>
      <c r="O60" s="5">
        <v>450000</v>
      </c>
      <c r="Q60" s="5">
        <v>16310</v>
      </c>
      <c r="S60" s="5">
        <v>6965285537</v>
      </c>
      <c r="U60" s="5">
        <v>7447919625</v>
      </c>
      <c r="W60" s="7">
        <v>6.4815833434037524E-3</v>
      </c>
    </row>
    <row r="61" spans="1:23" ht="21">
      <c r="A61" s="4" t="s">
        <v>66</v>
      </c>
      <c r="C61" s="5">
        <v>8288661</v>
      </c>
      <c r="E61" s="5">
        <v>21827637733</v>
      </c>
      <c r="G61" s="5">
        <v>18769224418</v>
      </c>
      <c r="I61" s="5">
        <v>0</v>
      </c>
      <c r="J61" s="5">
        <v>0</v>
      </c>
      <c r="L61" s="5">
        <v>3600000</v>
      </c>
      <c r="M61" s="5">
        <v>10073840397</v>
      </c>
      <c r="O61" s="5">
        <v>4688661</v>
      </c>
      <c r="Q61" s="5">
        <v>2908</v>
      </c>
      <c r="S61" s="5">
        <v>12347277052</v>
      </c>
      <c r="U61" s="5">
        <v>13744591464</v>
      </c>
      <c r="W61" s="7">
        <v>1.196128846448874E-2</v>
      </c>
    </row>
    <row r="62" spans="1:23" ht="21">
      <c r="A62" s="4" t="s">
        <v>67</v>
      </c>
      <c r="C62" s="5">
        <v>607000</v>
      </c>
      <c r="E62" s="5">
        <v>21314456002</v>
      </c>
      <c r="G62" s="5">
        <v>26705968371</v>
      </c>
      <c r="I62" s="5">
        <v>0</v>
      </c>
      <c r="J62" s="5">
        <v>0</v>
      </c>
      <c r="L62" s="5">
        <v>0</v>
      </c>
      <c r="M62" s="5">
        <v>0</v>
      </c>
      <c r="N62" s="6"/>
      <c r="O62" s="5">
        <v>607000</v>
      </c>
      <c r="Q62" s="5">
        <v>60320</v>
      </c>
      <c r="S62" s="5">
        <v>21314456002</v>
      </c>
      <c r="U62" s="5">
        <v>36426554689</v>
      </c>
      <c r="W62" s="7">
        <v>3.170036225113107E-2</v>
      </c>
    </row>
    <row r="63" spans="1:23" ht="21">
      <c r="A63" s="4" t="s">
        <v>68</v>
      </c>
      <c r="C63" s="5">
        <v>200000</v>
      </c>
      <c r="E63" s="5">
        <v>11554712809</v>
      </c>
      <c r="G63" s="5">
        <v>12851078400</v>
      </c>
      <c r="I63" s="5">
        <v>0</v>
      </c>
      <c r="J63" s="5">
        <v>0</v>
      </c>
      <c r="L63" s="5">
        <v>0</v>
      </c>
      <c r="M63" s="5">
        <v>0</v>
      </c>
      <c r="N63" s="6"/>
      <c r="O63" s="5">
        <v>200000</v>
      </c>
      <c r="Q63" s="5">
        <v>61970</v>
      </c>
      <c r="S63" s="5">
        <v>11554712809</v>
      </c>
      <c r="U63" s="5">
        <v>12362005800</v>
      </c>
      <c r="W63" s="7">
        <v>1.0758087481957833E-2</v>
      </c>
    </row>
    <row r="64" spans="1:23" ht="21">
      <c r="A64" s="4" t="s">
        <v>69</v>
      </c>
      <c r="C64" s="5">
        <v>285000</v>
      </c>
      <c r="E64" s="5">
        <v>12204019862</v>
      </c>
      <c r="G64" s="5">
        <v>13731756997</v>
      </c>
      <c r="I64" s="5">
        <v>0</v>
      </c>
      <c r="J64" s="5">
        <v>0</v>
      </c>
      <c r="L64" s="5">
        <v>0</v>
      </c>
      <c r="M64" s="5">
        <v>0</v>
      </c>
      <c r="N64" s="6"/>
      <c r="O64" s="5">
        <v>285000</v>
      </c>
      <c r="Q64" s="5">
        <v>52020</v>
      </c>
      <c r="S64" s="5">
        <v>12204019862</v>
      </c>
      <c r="U64" s="5">
        <v>14533508025</v>
      </c>
      <c r="W64" s="7">
        <v>1.2647846416047322E-2</v>
      </c>
    </row>
    <row r="65" spans="1:23" ht="21">
      <c r="A65" s="4" t="s">
        <v>70</v>
      </c>
      <c r="C65" s="5">
        <v>0</v>
      </c>
      <c r="E65" s="5">
        <v>0</v>
      </c>
      <c r="G65" s="5">
        <v>0</v>
      </c>
      <c r="H65" s="6"/>
      <c r="I65" s="5">
        <v>100000</v>
      </c>
      <c r="J65" s="5">
        <v>3261023424</v>
      </c>
      <c r="L65" s="5">
        <v>0</v>
      </c>
      <c r="M65" s="5">
        <v>0</v>
      </c>
      <c r="O65" s="5">
        <v>100000</v>
      </c>
      <c r="Q65" s="5">
        <v>33510</v>
      </c>
      <c r="S65" s="5">
        <v>3261023424</v>
      </c>
      <c r="U65" s="5">
        <v>3332055600</v>
      </c>
      <c r="W65" s="7">
        <v>2.89973538432958E-3</v>
      </c>
    </row>
    <row r="66" spans="1:23" ht="21">
      <c r="A66" s="4" t="s">
        <v>71</v>
      </c>
      <c r="C66" s="5">
        <v>113500</v>
      </c>
      <c r="E66" s="5">
        <v>17986494619</v>
      </c>
      <c r="G66" s="5">
        <v>23659334347</v>
      </c>
      <c r="I66" s="5">
        <v>0</v>
      </c>
      <c r="J66" s="5">
        <v>0</v>
      </c>
      <c r="L66" s="5">
        <v>0</v>
      </c>
      <c r="M66" s="5">
        <v>0</v>
      </c>
      <c r="N66" s="6"/>
      <c r="O66" s="5">
        <v>113500</v>
      </c>
      <c r="Q66" s="5">
        <v>218360</v>
      </c>
      <c r="S66" s="5">
        <v>17986494619</v>
      </c>
      <c r="U66" s="5">
        <v>24609318111</v>
      </c>
      <c r="W66" s="7">
        <v>2.1416362473270098E-2</v>
      </c>
    </row>
    <row r="67" spans="1:23" ht="21">
      <c r="A67" s="4" t="s">
        <v>72</v>
      </c>
      <c r="C67" s="5">
        <v>3000000</v>
      </c>
      <c r="E67" s="5">
        <v>6520206627</v>
      </c>
      <c r="G67" s="5">
        <v>8001108450</v>
      </c>
      <c r="I67" s="5">
        <v>0</v>
      </c>
      <c r="J67" s="5">
        <v>0</v>
      </c>
      <c r="L67" s="5">
        <v>0</v>
      </c>
      <c r="M67" s="5">
        <v>0</v>
      </c>
      <c r="N67" s="6"/>
      <c r="O67" s="5">
        <v>3000000</v>
      </c>
      <c r="Q67" s="5">
        <v>2866</v>
      </c>
      <c r="S67" s="5">
        <v>6520206627</v>
      </c>
      <c r="U67" s="5">
        <v>8499127500</v>
      </c>
      <c r="W67" s="7">
        <v>7.3964014128931705E-3</v>
      </c>
    </row>
    <row r="68" spans="1:23" ht="21">
      <c r="A68" s="4" t="s">
        <v>73</v>
      </c>
      <c r="C68" s="5">
        <v>128000</v>
      </c>
      <c r="E68" s="5">
        <v>17760573980</v>
      </c>
      <c r="G68" s="5">
        <v>29268649152</v>
      </c>
      <c r="I68" s="5">
        <v>0</v>
      </c>
      <c r="J68" s="5">
        <v>0</v>
      </c>
      <c r="L68" s="5">
        <v>0</v>
      </c>
      <c r="M68" s="5">
        <v>0</v>
      </c>
      <c r="N68" s="6"/>
      <c r="O68" s="5">
        <v>128000</v>
      </c>
      <c r="Q68" s="5">
        <v>206590</v>
      </c>
      <c r="S68" s="5">
        <v>17760573980</v>
      </c>
      <c r="U68" s="5">
        <v>26592825600</v>
      </c>
      <c r="W68" s="7">
        <v>2.3142518198563521E-2</v>
      </c>
    </row>
    <row r="69" spans="1:23" ht="21">
      <c r="A69" s="4" t="s">
        <v>74</v>
      </c>
      <c r="C69" s="5">
        <v>1218099</v>
      </c>
      <c r="E69" s="5">
        <v>13852230236</v>
      </c>
      <c r="G69" s="5">
        <v>18235420743</v>
      </c>
      <c r="I69" s="5">
        <v>0</v>
      </c>
      <c r="J69" s="5">
        <v>0</v>
      </c>
      <c r="L69" s="5">
        <v>0</v>
      </c>
      <c r="M69" s="5">
        <v>0</v>
      </c>
      <c r="N69" s="6"/>
      <c r="O69" s="5">
        <v>1218099</v>
      </c>
      <c r="Q69" s="5">
        <v>19630</v>
      </c>
      <c r="S69" s="5">
        <v>13852230236</v>
      </c>
      <c r="U69" s="5">
        <v>23817445286</v>
      </c>
      <c r="W69" s="7">
        <v>2.0727231820545838E-2</v>
      </c>
    </row>
    <row r="70" spans="1:23" ht="21">
      <c r="A70" s="4" t="s">
        <v>75</v>
      </c>
      <c r="C70" s="5">
        <v>0</v>
      </c>
      <c r="E70" s="5">
        <v>0</v>
      </c>
      <c r="G70" s="5">
        <v>0</v>
      </c>
      <c r="H70" s="6"/>
      <c r="I70" s="5">
        <v>3600000</v>
      </c>
      <c r="J70" s="5">
        <v>18665305264</v>
      </c>
      <c r="L70" s="5">
        <v>3600000</v>
      </c>
      <c r="M70" s="5">
        <v>19830303592</v>
      </c>
      <c r="O70" s="5">
        <v>3600000</v>
      </c>
      <c r="Q70" s="5">
        <v>5260</v>
      </c>
      <c r="S70" s="5">
        <v>18948298801</v>
      </c>
      <c r="U70" s="5">
        <v>18787545000</v>
      </c>
      <c r="W70" s="7">
        <v>1.63499399653428E-2</v>
      </c>
    </row>
    <row r="71" spans="1:23" ht="21">
      <c r="A71" s="4" t="s">
        <v>76</v>
      </c>
      <c r="C71" s="5">
        <v>0</v>
      </c>
      <c r="E71" s="5">
        <v>0</v>
      </c>
      <c r="G71" s="5">
        <v>0</v>
      </c>
      <c r="H71" s="6"/>
      <c r="I71" s="5">
        <v>3600000</v>
      </c>
      <c r="J71" s="5">
        <v>15631292338</v>
      </c>
      <c r="L71" s="5">
        <v>0</v>
      </c>
      <c r="M71" s="5">
        <v>0</v>
      </c>
      <c r="O71" s="5">
        <v>0</v>
      </c>
      <c r="Q71" s="5">
        <v>0</v>
      </c>
      <c r="S71" s="5">
        <v>0</v>
      </c>
      <c r="U71" s="5">
        <v>0</v>
      </c>
      <c r="W71" s="7">
        <v>0</v>
      </c>
    </row>
    <row r="72" spans="1:23" ht="21">
      <c r="A72" s="4" t="s">
        <v>77</v>
      </c>
      <c r="C72" s="5">
        <v>7147863</v>
      </c>
      <c r="E72" s="5">
        <v>26168893286</v>
      </c>
      <c r="G72" s="5">
        <v>21919952969</v>
      </c>
      <c r="I72" s="5">
        <v>0</v>
      </c>
      <c r="J72" s="5">
        <v>0</v>
      </c>
      <c r="L72" s="5">
        <v>1947863</v>
      </c>
      <c r="M72" s="5">
        <v>7222105289</v>
      </c>
      <c r="O72" s="5">
        <v>5200000</v>
      </c>
      <c r="Q72" s="5">
        <v>3926</v>
      </c>
      <c r="S72" s="5">
        <v>19037612373</v>
      </c>
      <c r="U72" s="5">
        <v>20671070940</v>
      </c>
      <c r="W72" s="7">
        <v>1.7989086327582563E-2</v>
      </c>
    </row>
    <row r="73" spans="1:23" ht="21">
      <c r="A73" s="4" t="s">
        <v>78</v>
      </c>
      <c r="C73" s="5">
        <v>0</v>
      </c>
      <c r="E73" s="5">
        <v>0</v>
      </c>
      <c r="G73" s="5">
        <v>0</v>
      </c>
      <c r="H73" s="6"/>
      <c r="I73" s="5">
        <v>1000000</v>
      </c>
      <c r="J73" s="5">
        <v>5765345250</v>
      </c>
      <c r="L73" s="5">
        <v>1000000</v>
      </c>
      <c r="M73" s="5">
        <v>6390747535</v>
      </c>
      <c r="O73" s="5">
        <v>0</v>
      </c>
      <c r="Q73" s="5">
        <v>0</v>
      </c>
      <c r="S73" s="5">
        <v>0</v>
      </c>
      <c r="U73" s="5">
        <v>0</v>
      </c>
      <c r="W73" s="7">
        <v>0</v>
      </c>
    </row>
    <row r="74" spans="1:23" ht="21">
      <c r="A74" s="4" t="s">
        <v>79</v>
      </c>
      <c r="C74" s="5">
        <v>0</v>
      </c>
      <c r="E74" s="5">
        <v>0</v>
      </c>
      <c r="G74" s="5">
        <v>0</v>
      </c>
      <c r="H74" s="6"/>
      <c r="I74" s="5">
        <v>20000000</v>
      </c>
      <c r="J74" s="5">
        <v>29820000000</v>
      </c>
      <c r="L74" s="5">
        <v>20000000</v>
      </c>
      <c r="M74" s="5">
        <v>31392394649</v>
      </c>
      <c r="O74" s="5">
        <v>0</v>
      </c>
      <c r="Q74" s="5">
        <v>0</v>
      </c>
      <c r="S74" s="5">
        <v>0</v>
      </c>
      <c r="U74" s="5">
        <v>0</v>
      </c>
      <c r="W74" s="7">
        <v>0</v>
      </c>
    </row>
    <row r="75" spans="1:23" ht="21">
      <c r="A75" s="4" t="s">
        <v>80</v>
      </c>
      <c r="C75" s="5">
        <v>0</v>
      </c>
      <c r="E75" s="5">
        <v>0</v>
      </c>
      <c r="G75" s="5">
        <v>0</v>
      </c>
      <c r="H75" s="6"/>
      <c r="I75" s="5">
        <v>20000000</v>
      </c>
      <c r="J75" s="5">
        <v>29847672960</v>
      </c>
      <c r="L75" s="5">
        <v>20000000</v>
      </c>
      <c r="M75" s="5">
        <v>29820000000</v>
      </c>
      <c r="O75" s="5">
        <v>0</v>
      </c>
      <c r="Q75" s="5">
        <v>0</v>
      </c>
      <c r="S75" s="5">
        <v>0</v>
      </c>
      <c r="U75" s="5">
        <v>0</v>
      </c>
      <c r="W75" s="7">
        <v>0</v>
      </c>
    </row>
    <row r="76" spans="1:23" ht="21">
      <c r="A76" s="4" t="s">
        <v>81</v>
      </c>
      <c r="C76" s="5">
        <v>6286264</v>
      </c>
      <c r="E76" s="5">
        <v>16102955538</v>
      </c>
      <c r="G76" s="5">
        <v>19371468261</v>
      </c>
      <c r="I76" s="5">
        <v>0</v>
      </c>
      <c r="J76" s="5">
        <v>0</v>
      </c>
      <c r="L76" s="5">
        <v>0</v>
      </c>
      <c r="M76" s="5">
        <v>0</v>
      </c>
      <c r="N76" s="6"/>
      <c r="O76" s="5">
        <v>6286264</v>
      </c>
      <c r="Q76" s="5">
        <v>3738</v>
      </c>
      <c r="S76" s="5">
        <v>16102955538</v>
      </c>
      <c r="U76" s="5">
        <v>23545707228</v>
      </c>
      <c r="W76" s="7">
        <v>2.0490750633961916E-2</v>
      </c>
    </row>
    <row r="77" spans="1:23" ht="21.75" thickBot="1">
      <c r="A77" s="8" t="s">
        <v>82</v>
      </c>
      <c r="C77" s="11"/>
      <c r="E77" s="8">
        <f>SUM(E52:E76)</f>
        <v>763523286229</v>
      </c>
      <c r="G77" s="8">
        <f>SUM(G52:G76)</f>
        <v>833459964899</v>
      </c>
      <c r="I77" s="11"/>
      <c r="J77" s="8">
        <f>SUM(J52:J76)</f>
        <v>184395604778</v>
      </c>
      <c r="L77" s="11"/>
      <c r="M77" s="8">
        <f>SUM(M52:M76)</f>
        <v>162649783006</v>
      </c>
      <c r="O77" s="11"/>
      <c r="Q77" s="11"/>
      <c r="S77" s="8">
        <f>SUM(S52:S76)</f>
        <v>794123586072</v>
      </c>
      <c r="U77" s="8">
        <f>SUM(U52:U76)</f>
        <v>1033411772285</v>
      </c>
      <c r="W77" s="14">
        <f>SUM(W52:W76)</f>
        <v>0.89933093633778394</v>
      </c>
    </row>
    <row r="78" spans="1:23" ht="21.75" thickTop="1">
      <c r="C78" s="11"/>
      <c r="E78" s="10"/>
      <c r="G78" s="10"/>
      <c r="I78" s="11"/>
      <c r="J78" s="10"/>
      <c r="L78" s="11"/>
      <c r="M78" s="10"/>
      <c r="O78" s="11"/>
      <c r="Q78" s="11"/>
      <c r="S78" s="10"/>
      <c r="U78" s="10"/>
      <c r="W78" s="10"/>
    </row>
  </sheetData>
  <mergeCells count="38"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  <mergeCell ref="A42:W42"/>
    <mergeCell ref="A43:W43"/>
    <mergeCell ref="A44:W44"/>
    <mergeCell ref="A46:W46"/>
    <mergeCell ref="A47:W47"/>
    <mergeCell ref="C49:G49"/>
    <mergeCell ref="I49:M49"/>
    <mergeCell ref="O49:W49"/>
    <mergeCell ref="A50:A51"/>
    <mergeCell ref="C50:C51"/>
    <mergeCell ref="E50:E51"/>
    <mergeCell ref="G50:G51"/>
    <mergeCell ref="I50:J50"/>
    <mergeCell ref="L50:M50"/>
    <mergeCell ref="O50:O51"/>
    <mergeCell ref="Q50:Q51"/>
    <mergeCell ref="S50:S51"/>
    <mergeCell ref="U50:U51"/>
    <mergeCell ref="W50:W51"/>
  </mergeCells>
  <pageMargins left="0.7" right="0.7" top="0.75" bottom="0.75" header="0.3" footer="0.3"/>
  <pageSetup paperSize="9" scale="58" fitToHeight="0" orientation="landscape" r:id="rId1"/>
  <rowBreaks count="1" manualBreakCount="1">
    <brk id="41" max="2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27"/>
  <sheetViews>
    <sheetView rightToLeft="1" view="pageBreakPreview" zoomScale="60" zoomScaleNormal="100" workbookViewId="0">
      <selection activeCell="A3" sqref="A3:Y3"/>
    </sheetView>
  </sheetViews>
  <sheetFormatPr defaultRowHeight="19.5"/>
  <cols>
    <col min="1" max="1" width="17" style="2" customWidth="1"/>
    <col min="2" max="2" width="1.42578125" style="2" customWidth="1"/>
    <col min="3" max="3" width="12.7109375" style="2" customWidth="1"/>
    <col min="4" max="4" width="1.42578125" style="2" customWidth="1"/>
    <col min="5" max="5" width="5.140625" style="2" customWidth="1"/>
    <col min="6" max="6" width="1.42578125" style="2" hidden="1" customWidth="1"/>
    <col min="7" max="7" width="17" style="2" hidden="1" customWidth="1"/>
    <col min="8" max="8" width="1.42578125" style="2" customWidth="1"/>
    <col min="9" max="9" width="13.5703125" style="2" bestFit="1" customWidth="1"/>
    <col min="10" max="10" width="17" style="2" customWidth="1"/>
    <col min="11" max="11" width="1.42578125" style="2" customWidth="1"/>
    <col min="12" max="12" width="11.42578125" style="2" customWidth="1"/>
    <col min="13" max="13" width="17" style="2" customWidth="1"/>
    <col min="14" max="14" width="1.42578125" style="2" customWidth="1"/>
    <col min="15" max="15" width="12.7109375" style="2" customWidth="1"/>
    <col min="16" max="16" width="1.42578125" style="2" customWidth="1"/>
    <col min="17" max="17" width="14.28515625" style="2" bestFit="1" customWidth="1"/>
    <col min="18" max="18" width="1.42578125" style="2" customWidth="1"/>
    <col min="19" max="19" width="17" style="2" customWidth="1"/>
    <col min="20" max="20" width="1.42578125" style="2" customWidth="1"/>
    <col min="21" max="21" width="17" style="2" customWidth="1"/>
    <col min="22" max="22" width="1.42578125" style="2" customWidth="1"/>
    <col min="23" max="23" width="9.28515625" style="2" bestFit="1" customWidth="1"/>
    <col min="24" max="24" width="1.42578125" style="2" customWidth="1"/>
    <col min="25" max="25" width="12.85546875" style="2" customWidth="1"/>
    <col min="26" max="16384" width="9.140625" style="2"/>
  </cols>
  <sheetData>
    <row r="1" spans="1:25" ht="20.100000000000001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spans="1:25" ht="20.100000000000001" customHeight="1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spans="1:25" ht="20.100000000000001" customHeight="1">
      <c r="A3" s="39" t="s">
        <v>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</row>
    <row r="5" spans="1:25" ht="21">
      <c r="A5" s="40" t="s">
        <v>86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7" spans="1:25" ht="21">
      <c r="A7" s="42" t="s">
        <v>307</v>
      </c>
      <c r="B7" s="43"/>
      <c r="C7" s="43"/>
      <c r="D7" s="43"/>
      <c r="E7" s="43"/>
      <c r="F7" s="43"/>
      <c r="G7" s="43"/>
      <c r="I7" s="33" t="s">
        <v>5</v>
      </c>
      <c r="J7" s="34"/>
      <c r="K7" s="34"/>
      <c r="L7" s="34"/>
      <c r="M7" s="34"/>
      <c r="N7" s="34"/>
      <c r="O7" s="34"/>
      <c r="Q7" s="33" t="s">
        <v>7</v>
      </c>
      <c r="R7" s="34"/>
      <c r="S7" s="34"/>
      <c r="T7" s="34"/>
      <c r="U7" s="34"/>
      <c r="V7" s="34"/>
      <c r="W7" s="34"/>
      <c r="X7" s="34"/>
      <c r="Y7" s="34"/>
    </row>
    <row r="8" spans="1:25" ht="21">
      <c r="A8" s="35"/>
      <c r="B8" s="37"/>
      <c r="C8" s="37"/>
      <c r="D8" s="37"/>
      <c r="E8" s="37"/>
      <c r="F8" s="37"/>
      <c r="G8" s="37"/>
      <c r="I8" s="35" t="s">
        <v>87</v>
      </c>
      <c r="J8" s="35" t="s">
        <v>88</v>
      </c>
      <c r="L8" s="35" t="s">
        <v>89</v>
      </c>
      <c r="M8" s="35" t="s">
        <v>84</v>
      </c>
      <c r="O8" s="35" t="s">
        <v>85</v>
      </c>
      <c r="Q8" s="35" t="s">
        <v>87</v>
      </c>
      <c r="S8" s="35" t="s">
        <v>88</v>
      </c>
      <c r="U8" s="35" t="s">
        <v>89</v>
      </c>
      <c r="W8" s="35" t="s">
        <v>84</v>
      </c>
      <c r="X8" s="6"/>
      <c r="Y8" s="35" t="s">
        <v>85</v>
      </c>
    </row>
    <row r="9" spans="1:25">
      <c r="A9" s="37"/>
      <c r="B9" s="37"/>
      <c r="C9" s="37"/>
      <c r="D9" s="37"/>
      <c r="E9" s="37"/>
      <c r="F9" s="37"/>
      <c r="G9" s="37"/>
      <c r="I9" s="37"/>
      <c r="J9" s="37"/>
      <c r="L9" s="37"/>
      <c r="M9" s="37"/>
      <c r="O9" s="37"/>
      <c r="Q9" s="37"/>
      <c r="S9" s="37"/>
      <c r="U9" s="37"/>
      <c r="W9" s="37"/>
      <c r="Y9" s="37"/>
    </row>
    <row r="10" spans="1:25" ht="21">
      <c r="A10" s="35" t="s">
        <v>19</v>
      </c>
      <c r="B10" s="37"/>
      <c r="C10" s="37"/>
      <c r="D10" s="37"/>
      <c r="E10" s="37"/>
      <c r="F10" s="37"/>
      <c r="G10" s="37"/>
      <c r="I10" s="41" t="s">
        <v>308</v>
      </c>
      <c r="J10" s="41" t="s">
        <v>308</v>
      </c>
      <c r="L10" s="41" t="s">
        <v>308</v>
      </c>
      <c r="M10" s="41" t="s">
        <v>308</v>
      </c>
      <c r="O10" s="41" t="s">
        <v>308</v>
      </c>
      <c r="Q10" s="35" t="s">
        <v>90</v>
      </c>
      <c r="S10" s="35" t="s">
        <v>91</v>
      </c>
      <c r="U10" s="35" t="s">
        <v>92</v>
      </c>
      <c r="W10" s="35" t="s">
        <v>93</v>
      </c>
      <c r="X10" s="6"/>
      <c r="Y10" s="35" t="s">
        <v>94</v>
      </c>
    </row>
    <row r="11" spans="1:25" ht="19.5" customHeight="1">
      <c r="A11" s="37"/>
      <c r="B11" s="37"/>
      <c r="C11" s="37"/>
      <c r="D11" s="37"/>
      <c r="E11" s="37"/>
      <c r="F11" s="37"/>
      <c r="G11" s="37"/>
      <c r="I11" s="37"/>
      <c r="J11" s="37"/>
      <c r="L11" s="37"/>
      <c r="M11" s="37"/>
      <c r="O11" s="37"/>
      <c r="Q11" s="35"/>
      <c r="S11" s="37"/>
      <c r="U11" s="37"/>
      <c r="W11" s="37"/>
      <c r="Y11" s="37"/>
    </row>
    <row r="12" spans="1:25" ht="21">
      <c r="A12" s="35" t="s">
        <v>20</v>
      </c>
      <c r="B12" s="37"/>
      <c r="C12" s="37"/>
      <c r="D12" s="37"/>
      <c r="E12" s="37"/>
      <c r="F12" s="37"/>
      <c r="G12" s="37"/>
      <c r="I12" s="35" t="s">
        <v>90</v>
      </c>
      <c r="J12" s="35" t="s">
        <v>91</v>
      </c>
      <c r="L12" s="35" t="s">
        <v>95</v>
      </c>
      <c r="M12" s="35" t="s">
        <v>96</v>
      </c>
      <c r="O12" s="35" t="s">
        <v>97</v>
      </c>
      <c r="Q12" s="41" t="s">
        <v>308</v>
      </c>
      <c r="S12" s="41" t="s">
        <v>308</v>
      </c>
      <c r="U12" s="41" t="s">
        <v>308</v>
      </c>
      <c r="W12" s="41" t="s">
        <v>308</v>
      </c>
      <c r="X12" s="6"/>
      <c r="Y12" s="41" t="s">
        <v>308</v>
      </c>
    </row>
    <row r="13" spans="1:25">
      <c r="A13" s="37"/>
      <c r="B13" s="37"/>
      <c r="C13" s="37"/>
      <c r="D13" s="37"/>
      <c r="E13" s="37"/>
      <c r="F13" s="37"/>
      <c r="G13" s="37"/>
      <c r="I13" s="37"/>
      <c r="J13" s="37"/>
      <c r="L13" s="37"/>
      <c r="M13" s="37"/>
      <c r="O13" s="37"/>
      <c r="Q13" s="37"/>
      <c r="S13" s="37"/>
      <c r="U13" s="37"/>
      <c r="W13" s="37"/>
      <c r="Y13" s="37"/>
    </row>
    <row r="14" spans="1:25" ht="21">
      <c r="A14" s="35" t="s">
        <v>21</v>
      </c>
      <c r="B14" s="37"/>
      <c r="C14" s="37"/>
      <c r="D14" s="37"/>
      <c r="E14" s="37"/>
      <c r="F14" s="37"/>
      <c r="G14" s="37"/>
      <c r="I14" s="41" t="s">
        <v>308</v>
      </c>
      <c r="J14" s="41" t="s">
        <v>308</v>
      </c>
      <c r="L14" s="41" t="s">
        <v>308</v>
      </c>
      <c r="M14" s="41" t="s">
        <v>308</v>
      </c>
      <c r="O14" s="41" t="s">
        <v>308</v>
      </c>
      <c r="Q14" s="35" t="s">
        <v>90</v>
      </c>
      <c r="S14" s="35" t="s">
        <v>91</v>
      </c>
      <c r="U14" s="35" t="s">
        <v>98</v>
      </c>
      <c r="W14" s="35" t="s">
        <v>99</v>
      </c>
      <c r="X14" s="6"/>
      <c r="Y14" s="35" t="s">
        <v>100</v>
      </c>
    </row>
    <row r="15" spans="1:25" ht="19.5" customHeight="1">
      <c r="A15" s="37"/>
      <c r="B15" s="37"/>
      <c r="C15" s="37"/>
      <c r="D15" s="37"/>
      <c r="E15" s="37"/>
      <c r="F15" s="37"/>
      <c r="G15" s="37"/>
      <c r="I15" s="37"/>
      <c r="J15" s="37"/>
      <c r="L15" s="37"/>
      <c r="M15" s="37"/>
      <c r="O15" s="37"/>
      <c r="Q15" s="35"/>
      <c r="S15" s="37"/>
      <c r="U15" s="37"/>
      <c r="W15" s="37"/>
      <c r="Y15" s="37"/>
    </row>
    <row r="16" spans="1:25" ht="21">
      <c r="A16" s="35" t="s">
        <v>22</v>
      </c>
      <c r="B16" s="37"/>
      <c r="C16" s="37"/>
      <c r="D16" s="37"/>
      <c r="E16" s="37"/>
      <c r="F16" s="37"/>
      <c r="G16" s="37"/>
      <c r="I16" s="41" t="s">
        <v>308</v>
      </c>
      <c r="J16" s="41" t="s">
        <v>308</v>
      </c>
      <c r="L16" s="41" t="s">
        <v>308</v>
      </c>
      <c r="M16" s="41" t="s">
        <v>308</v>
      </c>
      <c r="O16" s="41" t="s">
        <v>308</v>
      </c>
      <c r="Q16" s="35" t="s">
        <v>90</v>
      </c>
      <c r="S16" s="35" t="s">
        <v>91</v>
      </c>
      <c r="U16" s="35" t="s">
        <v>101</v>
      </c>
      <c r="W16" s="35" t="s">
        <v>102</v>
      </c>
      <c r="X16" s="6"/>
      <c r="Y16" s="35" t="s">
        <v>100</v>
      </c>
    </row>
    <row r="17" spans="1:25">
      <c r="A17" s="37"/>
      <c r="B17" s="37"/>
      <c r="C17" s="37"/>
      <c r="D17" s="37"/>
      <c r="E17" s="37"/>
      <c r="F17" s="37"/>
      <c r="G17" s="37"/>
      <c r="I17" s="37"/>
      <c r="J17" s="37"/>
      <c r="L17" s="37"/>
      <c r="M17" s="37"/>
      <c r="O17" s="37"/>
      <c r="Q17" s="37"/>
      <c r="S17" s="37"/>
      <c r="U17" s="37"/>
      <c r="W17" s="37"/>
      <c r="Y17" s="37"/>
    </row>
    <row r="18" spans="1:25" ht="21">
      <c r="A18" s="35" t="s">
        <v>23</v>
      </c>
      <c r="B18" s="37"/>
      <c r="C18" s="37"/>
      <c r="D18" s="37"/>
      <c r="E18" s="37"/>
      <c r="F18" s="37"/>
      <c r="G18" s="37"/>
      <c r="I18" s="41" t="s">
        <v>308</v>
      </c>
      <c r="J18" s="41" t="s">
        <v>308</v>
      </c>
      <c r="L18" s="41" t="s">
        <v>308</v>
      </c>
      <c r="M18" s="41" t="s">
        <v>308</v>
      </c>
      <c r="O18" s="41" t="s">
        <v>308</v>
      </c>
      <c r="Q18" s="35" t="s">
        <v>90</v>
      </c>
      <c r="S18" s="35" t="s">
        <v>91</v>
      </c>
      <c r="U18" s="35" t="s">
        <v>103</v>
      </c>
      <c r="W18" s="35" t="s">
        <v>104</v>
      </c>
      <c r="X18" s="6"/>
      <c r="Y18" s="35" t="s">
        <v>105</v>
      </c>
    </row>
    <row r="19" spans="1:25">
      <c r="A19" s="37"/>
      <c r="B19" s="37"/>
      <c r="C19" s="37"/>
      <c r="D19" s="37"/>
      <c r="E19" s="37"/>
      <c r="F19" s="37"/>
      <c r="G19" s="37"/>
      <c r="I19" s="37"/>
      <c r="J19" s="37"/>
      <c r="L19" s="37"/>
      <c r="M19" s="37"/>
      <c r="O19" s="37"/>
      <c r="Q19" s="37"/>
      <c r="S19" s="37"/>
      <c r="U19" s="37"/>
      <c r="W19" s="37"/>
      <c r="Y19" s="37"/>
    </row>
    <row r="20" spans="1:25" ht="21">
      <c r="A20" s="35" t="s">
        <v>24</v>
      </c>
      <c r="B20" s="37"/>
      <c r="C20" s="37"/>
      <c r="D20" s="37"/>
      <c r="E20" s="37"/>
      <c r="F20" s="37"/>
      <c r="G20" s="37"/>
      <c r="I20" s="41" t="s">
        <v>308</v>
      </c>
      <c r="J20" s="41" t="s">
        <v>308</v>
      </c>
      <c r="L20" s="41" t="s">
        <v>308</v>
      </c>
      <c r="M20" s="41" t="s">
        <v>308</v>
      </c>
      <c r="O20" s="41" t="s">
        <v>308</v>
      </c>
      <c r="Q20" s="35" t="s">
        <v>90</v>
      </c>
      <c r="S20" s="35" t="s">
        <v>91</v>
      </c>
      <c r="U20" s="35" t="s">
        <v>106</v>
      </c>
      <c r="W20" s="35" t="s">
        <v>107</v>
      </c>
      <c r="X20" s="6"/>
      <c r="Y20" s="35" t="s">
        <v>105</v>
      </c>
    </row>
    <row r="21" spans="1:25">
      <c r="A21" s="37"/>
      <c r="B21" s="37"/>
      <c r="C21" s="37"/>
      <c r="D21" s="37"/>
      <c r="E21" s="37"/>
      <c r="F21" s="37"/>
      <c r="G21" s="37"/>
      <c r="I21" s="37"/>
      <c r="J21" s="37"/>
      <c r="L21" s="37"/>
      <c r="M21" s="37"/>
      <c r="O21" s="37"/>
      <c r="Q21" s="37"/>
      <c r="S21" s="37"/>
      <c r="U21" s="37"/>
      <c r="W21" s="37"/>
      <c r="Y21" s="37"/>
    </row>
    <row r="22" spans="1:25" ht="21">
      <c r="A22" s="35" t="s">
        <v>25</v>
      </c>
      <c r="B22" s="37"/>
      <c r="C22" s="37"/>
      <c r="D22" s="37"/>
      <c r="E22" s="37"/>
      <c r="F22" s="37"/>
      <c r="G22" s="37"/>
      <c r="I22" s="41" t="s">
        <v>308</v>
      </c>
      <c r="J22" s="41" t="s">
        <v>308</v>
      </c>
      <c r="L22" s="41" t="s">
        <v>308</v>
      </c>
      <c r="M22" s="41" t="s">
        <v>308</v>
      </c>
      <c r="O22" s="41" t="s">
        <v>308</v>
      </c>
      <c r="Q22" s="35" t="s">
        <v>90</v>
      </c>
      <c r="S22" s="35" t="s">
        <v>91</v>
      </c>
      <c r="U22" s="35" t="s">
        <v>108</v>
      </c>
      <c r="W22" s="35" t="s">
        <v>109</v>
      </c>
      <c r="X22" s="6"/>
      <c r="Y22" s="35" t="s">
        <v>110</v>
      </c>
    </row>
    <row r="23" spans="1:25">
      <c r="A23" s="37"/>
      <c r="B23" s="37"/>
      <c r="C23" s="37"/>
      <c r="D23" s="37"/>
      <c r="E23" s="37"/>
      <c r="F23" s="37"/>
      <c r="G23" s="37"/>
      <c r="I23" s="37"/>
      <c r="J23" s="37"/>
      <c r="L23" s="37"/>
      <c r="M23" s="37"/>
      <c r="O23" s="37"/>
      <c r="Q23" s="37"/>
      <c r="S23" s="37"/>
      <c r="U23" s="37"/>
      <c r="W23" s="37"/>
      <c r="Y23" s="37"/>
    </row>
    <row r="24" spans="1:25" ht="21">
      <c r="A24" s="35" t="s">
        <v>26</v>
      </c>
      <c r="B24" s="37"/>
      <c r="C24" s="37"/>
      <c r="D24" s="37"/>
      <c r="E24" s="37"/>
      <c r="F24" s="37"/>
      <c r="G24" s="37"/>
      <c r="I24" s="41" t="s">
        <v>308</v>
      </c>
      <c r="J24" s="41" t="s">
        <v>308</v>
      </c>
      <c r="L24" s="41" t="s">
        <v>308</v>
      </c>
      <c r="M24" s="41" t="s">
        <v>308</v>
      </c>
      <c r="O24" s="41" t="s">
        <v>308</v>
      </c>
      <c r="Q24" s="35" t="s">
        <v>90</v>
      </c>
      <c r="S24" s="35" t="s">
        <v>91</v>
      </c>
      <c r="U24" s="35" t="s">
        <v>108</v>
      </c>
      <c r="W24" s="35" t="s">
        <v>111</v>
      </c>
      <c r="X24" s="6"/>
      <c r="Y24" s="35" t="s">
        <v>110</v>
      </c>
    </row>
    <row r="25" spans="1:25">
      <c r="A25" s="37"/>
      <c r="B25" s="37"/>
      <c r="C25" s="37"/>
      <c r="D25" s="37"/>
      <c r="E25" s="37"/>
      <c r="F25" s="37"/>
      <c r="G25" s="37"/>
      <c r="I25" s="37"/>
      <c r="J25" s="37"/>
      <c r="L25" s="37"/>
      <c r="M25" s="37"/>
      <c r="O25" s="37"/>
      <c r="Q25" s="37"/>
      <c r="S25" s="37"/>
      <c r="U25" s="37"/>
      <c r="W25" s="37"/>
      <c r="Y25" s="37"/>
    </row>
    <row r="26" spans="1:25" ht="21">
      <c r="A26" s="35" t="s">
        <v>28</v>
      </c>
      <c r="B26" s="37"/>
      <c r="C26" s="37"/>
      <c r="D26" s="37"/>
      <c r="E26" s="37"/>
      <c r="F26" s="37"/>
      <c r="G26" s="37"/>
      <c r="I26" s="41" t="s">
        <v>308</v>
      </c>
      <c r="J26" s="41" t="s">
        <v>308</v>
      </c>
      <c r="L26" s="41" t="s">
        <v>308</v>
      </c>
      <c r="M26" s="41" t="s">
        <v>308</v>
      </c>
      <c r="O26" s="41" t="s">
        <v>308</v>
      </c>
      <c r="Q26" s="35" t="s">
        <v>112</v>
      </c>
      <c r="S26" s="35" t="s">
        <v>91</v>
      </c>
      <c r="U26" s="35" t="s">
        <v>113</v>
      </c>
      <c r="W26" s="35" t="s">
        <v>114</v>
      </c>
      <c r="X26" s="6"/>
      <c r="Y26" s="35" t="s">
        <v>94</v>
      </c>
    </row>
    <row r="27" spans="1:25">
      <c r="A27" s="37"/>
      <c r="B27" s="37"/>
      <c r="C27" s="37"/>
      <c r="D27" s="37"/>
      <c r="E27" s="37"/>
      <c r="F27" s="37"/>
      <c r="G27" s="37"/>
      <c r="I27" s="37"/>
      <c r="J27" s="37"/>
      <c r="L27" s="37"/>
      <c r="M27" s="37"/>
      <c r="O27" s="37"/>
      <c r="Q27" s="37"/>
      <c r="S27" s="37"/>
      <c r="U27" s="37"/>
      <c r="W27" s="37"/>
      <c r="Y27" s="37"/>
    </row>
  </sheetData>
  <mergeCells count="117">
    <mergeCell ref="A5:W5"/>
    <mergeCell ref="A1:Y1"/>
    <mergeCell ref="A2:Y2"/>
    <mergeCell ref="A3:Y3"/>
    <mergeCell ref="A7:G7"/>
    <mergeCell ref="I7:O7"/>
    <mergeCell ref="Q7:Y7"/>
    <mergeCell ref="A8:G9"/>
    <mergeCell ref="I8:I9"/>
    <mergeCell ref="J8:J9"/>
    <mergeCell ref="L8:L9"/>
    <mergeCell ref="M8:M9"/>
    <mergeCell ref="O8:O9"/>
    <mergeCell ref="Q8:Q9"/>
    <mergeCell ref="S8:S9"/>
    <mergeCell ref="U8:U9"/>
    <mergeCell ref="W8:W9"/>
    <mergeCell ref="Y8:Y9"/>
    <mergeCell ref="Y10:Y11"/>
    <mergeCell ref="A12:G13"/>
    <mergeCell ref="I12:I13"/>
    <mergeCell ref="J12:J13"/>
    <mergeCell ref="L12:L13"/>
    <mergeCell ref="M12:M13"/>
    <mergeCell ref="O12:O13"/>
    <mergeCell ref="Q12:Q13"/>
    <mergeCell ref="S12:S13"/>
    <mergeCell ref="U12:U13"/>
    <mergeCell ref="W12:W13"/>
    <mergeCell ref="Y12:Y13"/>
    <mergeCell ref="O10:O11"/>
    <mergeCell ref="Q10:Q11"/>
    <mergeCell ref="S10:S11"/>
    <mergeCell ref="U10:U11"/>
    <mergeCell ref="W10:W11"/>
    <mergeCell ref="A10:G11"/>
    <mergeCell ref="I10:I11"/>
    <mergeCell ref="J10:J11"/>
    <mergeCell ref="L10:L11"/>
    <mergeCell ref="M10:M11"/>
    <mergeCell ref="Y14:Y15"/>
    <mergeCell ref="A16:G17"/>
    <mergeCell ref="I16:I17"/>
    <mergeCell ref="J16:J17"/>
    <mergeCell ref="L16:L17"/>
    <mergeCell ref="M16:M17"/>
    <mergeCell ref="O16:O17"/>
    <mergeCell ref="Q16:Q17"/>
    <mergeCell ref="S16:S17"/>
    <mergeCell ref="U16:U17"/>
    <mergeCell ref="W16:W17"/>
    <mergeCell ref="Y16:Y17"/>
    <mergeCell ref="O14:O15"/>
    <mergeCell ref="Q14:Q15"/>
    <mergeCell ref="S14:S15"/>
    <mergeCell ref="U14:U15"/>
    <mergeCell ref="W14:W15"/>
    <mergeCell ref="A14:G15"/>
    <mergeCell ref="I14:I15"/>
    <mergeCell ref="J14:J15"/>
    <mergeCell ref="L14:L15"/>
    <mergeCell ref="M14:M15"/>
    <mergeCell ref="Y18:Y19"/>
    <mergeCell ref="A20:G21"/>
    <mergeCell ref="I20:I21"/>
    <mergeCell ref="J20:J21"/>
    <mergeCell ref="L20:L21"/>
    <mergeCell ref="M20:M21"/>
    <mergeCell ref="O20:O21"/>
    <mergeCell ref="Q20:Q21"/>
    <mergeCell ref="S20:S21"/>
    <mergeCell ref="U20:U21"/>
    <mergeCell ref="W20:W21"/>
    <mergeCell ref="Y20:Y21"/>
    <mergeCell ref="O18:O19"/>
    <mergeCell ref="Q18:Q19"/>
    <mergeCell ref="S18:S19"/>
    <mergeCell ref="U18:U19"/>
    <mergeCell ref="W18:W19"/>
    <mergeCell ref="A18:G19"/>
    <mergeCell ref="I18:I19"/>
    <mergeCell ref="J18:J19"/>
    <mergeCell ref="L18:L19"/>
    <mergeCell ref="M18:M19"/>
    <mergeCell ref="Y22:Y23"/>
    <mergeCell ref="A24:G25"/>
    <mergeCell ref="I24:I25"/>
    <mergeCell ref="J24:J25"/>
    <mergeCell ref="L24:L25"/>
    <mergeCell ref="M24:M25"/>
    <mergeCell ref="O24:O25"/>
    <mergeCell ref="Q24:Q25"/>
    <mergeCell ref="S24:S25"/>
    <mergeCell ref="U24:U25"/>
    <mergeCell ref="W24:W25"/>
    <mergeCell ref="Y24:Y25"/>
    <mergeCell ref="O22:O23"/>
    <mergeCell ref="Q22:Q23"/>
    <mergeCell ref="S22:S23"/>
    <mergeCell ref="U22:U23"/>
    <mergeCell ref="W22:W23"/>
    <mergeCell ref="A22:G23"/>
    <mergeCell ref="I22:I23"/>
    <mergeCell ref="J22:J23"/>
    <mergeCell ref="L22:L23"/>
    <mergeCell ref="M22:M23"/>
    <mergeCell ref="Y26:Y27"/>
    <mergeCell ref="O26:O27"/>
    <mergeCell ref="Q26:Q27"/>
    <mergeCell ref="S26:S27"/>
    <mergeCell ref="U26:U27"/>
    <mergeCell ref="W26:W27"/>
    <mergeCell ref="A26:G27"/>
    <mergeCell ref="I26:I27"/>
    <mergeCell ref="J26:J27"/>
    <mergeCell ref="L26:L27"/>
    <mergeCell ref="M26:M27"/>
  </mergeCells>
  <pageMargins left="0.7" right="0.7" top="0.75" bottom="0.75" header="0.3" footer="0.3"/>
  <pageSetup paperSize="9" scale="68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17"/>
  <sheetViews>
    <sheetView rightToLeft="1" view="pageBreakPreview" zoomScale="60" zoomScaleNormal="100" workbookViewId="0">
      <selection activeCell="A5" sqref="A5:S5"/>
    </sheetView>
  </sheetViews>
  <sheetFormatPr defaultRowHeight="19.5"/>
  <cols>
    <col min="1" max="1" width="27.42578125" style="2" customWidth="1"/>
    <col min="2" max="2" width="1.42578125" style="2" customWidth="1"/>
    <col min="3" max="3" width="20.28515625" style="2" customWidth="1"/>
    <col min="4" max="4" width="1.42578125" style="2" customWidth="1"/>
    <col min="5" max="5" width="10" style="2" customWidth="1"/>
    <col min="6" max="6" width="1.42578125" style="2" customWidth="1"/>
    <col min="7" max="7" width="11.42578125" style="2" customWidth="1"/>
    <col min="8" max="8" width="1.42578125" style="2" customWidth="1"/>
    <col min="9" max="9" width="11.42578125" style="2" customWidth="1"/>
    <col min="10" max="10" width="1.42578125" style="2" customWidth="1"/>
    <col min="11" max="11" width="18.42578125" style="2" customWidth="1"/>
    <col min="12" max="12" width="1.42578125" style="2" customWidth="1"/>
    <col min="13" max="13" width="18.42578125" style="2" customWidth="1"/>
    <col min="14" max="14" width="1.42578125" style="2" customWidth="1"/>
    <col min="15" max="15" width="18.42578125" style="2" customWidth="1"/>
    <col min="16" max="16" width="1.42578125" style="2" customWidth="1"/>
    <col min="17" max="17" width="18.42578125" style="2" customWidth="1"/>
    <col min="18" max="18" width="1.42578125" style="2" customWidth="1"/>
    <col min="19" max="19" width="13.28515625" style="2" customWidth="1"/>
    <col min="20" max="16384" width="9.140625" style="2"/>
  </cols>
  <sheetData>
    <row r="1" spans="1:19" ht="20.100000000000001" customHeight="1">
      <c r="A1" s="3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ht="20.100000000000001" customHeight="1">
      <c r="A2" s="39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ht="20.100000000000001" customHeight="1">
      <c r="A3" s="39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5" spans="1:19" ht="21">
      <c r="A5" s="40" t="s">
        <v>309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</row>
    <row r="7" spans="1:19" ht="21">
      <c r="C7" s="33" t="s">
        <v>116</v>
      </c>
      <c r="D7" s="34"/>
      <c r="E7" s="34"/>
      <c r="F7" s="34"/>
      <c r="G7" s="34"/>
      <c r="H7" s="34"/>
      <c r="I7" s="34"/>
      <c r="K7" s="15" t="s">
        <v>5</v>
      </c>
      <c r="M7" s="33" t="s">
        <v>6</v>
      </c>
      <c r="N7" s="34"/>
      <c r="O7" s="34"/>
      <c r="Q7" s="33" t="s">
        <v>7</v>
      </c>
      <c r="R7" s="34"/>
      <c r="S7" s="34"/>
    </row>
    <row r="8" spans="1:19" ht="42">
      <c r="A8" s="15" t="s">
        <v>117</v>
      </c>
      <c r="C8" s="15" t="s">
        <v>118</v>
      </c>
      <c r="E8" s="15" t="s">
        <v>119</v>
      </c>
      <c r="G8" s="16" t="s">
        <v>120</v>
      </c>
      <c r="I8" s="16" t="s">
        <v>121</v>
      </c>
      <c r="K8" s="15" t="s">
        <v>122</v>
      </c>
      <c r="M8" s="15" t="s">
        <v>123</v>
      </c>
      <c r="O8" s="15" t="s">
        <v>124</v>
      </c>
      <c r="Q8" s="15" t="s">
        <v>122</v>
      </c>
      <c r="S8" s="16" t="s">
        <v>15</v>
      </c>
    </row>
    <row r="9" spans="1:19" ht="21">
      <c r="A9" s="4" t="s">
        <v>125</v>
      </c>
      <c r="C9" s="6" t="s">
        <v>126</v>
      </c>
      <c r="E9" s="17" t="s">
        <v>127</v>
      </c>
      <c r="G9" s="6" t="s">
        <v>128</v>
      </c>
      <c r="I9" s="6">
        <v>10</v>
      </c>
      <c r="K9" s="5">
        <v>14475666217</v>
      </c>
      <c r="M9" s="5">
        <v>56012648405</v>
      </c>
      <c r="O9" s="5">
        <v>64368582306</v>
      </c>
      <c r="Q9" s="5">
        <v>6119732316</v>
      </c>
      <c r="S9" s="7">
        <v>5.325722757846661E-3</v>
      </c>
    </row>
    <row r="10" spans="1:19" ht="21">
      <c r="A10" s="4" t="s">
        <v>130</v>
      </c>
      <c r="C10" s="6" t="s">
        <v>131</v>
      </c>
      <c r="E10" s="17" t="s">
        <v>132</v>
      </c>
      <c r="G10" s="6" t="s">
        <v>133</v>
      </c>
      <c r="I10" s="6" t="s">
        <v>129</v>
      </c>
      <c r="K10" s="5">
        <v>156818</v>
      </c>
      <c r="M10" s="5">
        <v>0</v>
      </c>
      <c r="N10" s="5"/>
      <c r="O10" s="5">
        <v>0</v>
      </c>
      <c r="P10" s="6"/>
      <c r="Q10" s="5">
        <v>156818</v>
      </c>
      <c r="S10" s="7">
        <v>1.3647152331425565E-7</v>
      </c>
    </row>
    <row r="11" spans="1:19" ht="21">
      <c r="A11" s="4" t="s">
        <v>130</v>
      </c>
      <c r="C11" s="6" t="s">
        <v>134</v>
      </c>
      <c r="E11" s="17" t="s">
        <v>127</v>
      </c>
      <c r="G11" s="6" t="s">
        <v>135</v>
      </c>
      <c r="I11" s="6" t="s">
        <v>136</v>
      </c>
      <c r="K11" s="5">
        <v>98196944889</v>
      </c>
      <c r="M11" s="5">
        <v>1748182742</v>
      </c>
      <c r="N11" s="5"/>
      <c r="O11" s="5">
        <v>51002320000</v>
      </c>
      <c r="Q11" s="5">
        <v>48942807631</v>
      </c>
      <c r="S11" s="7">
        <v>4.2592683956428123E-2</v>
      </c>
    </row>
    <row r="12" spans="1:19" ht="21.75" thickBot="1">
      <c r="A12" s="8" t="s">
        <v>82</v>
      </c>
      <c r="K12" s="8">
        <f>SUM(K9:$K$11)</f>
        <v>112672767924</v>
      </c>
      <c r="M12" s="8">
        <f>SUM(M9:$M$11)</f>
        <v>57760831147</v>
      </c>
      <c r="O12" s="8">
        <f>SUM(O9:$O$11)</f>
        <v>115370902306</v>
      </c>
      <c r="Q12" s="8">
        <f>SUM(Q9:$Q$11)</f>
        <v>55062696765</v>
      </c>
      <c r="S12" s="9">
        <f>SUM(S9:$S$11)</f>
        <v>4.79185431857981E-2</v>
      </c>
    </row>
    <row r="13" spans="1:19" ht="21.75" thickTop="1">
      <c r="K13" s="10"/>
      <c r="M13" s="10"/>
      <c r="O13" s="10"/>
      <c r="Q13" s="10"/>
      <c r="S13" s="10"/>
    </row>
    <row r="15" spans="1:19">
      <c r="K15" s="18"/>
      <c r="Q15" s="18"/>
    </row>
    <row r="17" spans="11:17">
      <c r="K17" s="19"/>
      <c r="Q17" s="19"/>
    </row>
  </sheetData>
  <mergeCells count="7">
    <mergeCell ref="A1:S1"/>
    <mergeCell ref="A2:S2"/>
    <mergeCell ref="A3:S3"/>
    <mergeCell ref="A5:S5"/>
    <mergeCell ref="C7:I7"/>
    <mergeCell ref="M7:O7"/>
    <mergeCell ref="Q7:S7"/>
  </mergeCells>
  <pageMargins left="0.7" right="0.7" top="0.75" bottom="0.75" header="0.3" footer="0.3"/>
  <pageSetup paperSize="9" scale="72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13"/>
  <sheetViews>
    <sheetView rightToLeft="1" view="pageBreakPreview" zoomScale="60" zoomScaleNormal="100" workbookViewId="0">
      <selection activeCell="K1" sqref="K1:M1048576"/>
    </sheetView>
  </sheetViews>
  <sheetFormatPr defaultRowHeight="19.5"/>
  <cols>
    <col min="1" max="1" width="54.5703125" style="2" bestFit="1" customWidth="1"/>
    <col min="2" max="2" width="1.42578125" style="2" customWidth="1"/>
    <col min="3" max="3" width="11.42578125" style="2" customWidth="1"/>
    <col min="4" max="4" width="1.42578125" style="2" customWidth="1"/>
    <col min="5" max="5" width="21.28515625" style="2" customWidth="1"/>
    <col min="6" max="6" width="1.42578125" style="2" customWidth="1"/>
    <col min="7" max="7" width="11.42578125" style="2" customWidth="1"/>
    <col min="8" max="8" width="1.42578125" style="2" customWidth="1"/>
    <col min="9" max="9" width="11.42578125" style="2" customWidth="1"/>
    <col min="10" max="16384" width="9.140625" style="2"/>
  </cols>
  <sheetData>
    <row r="1" spans="1:9" ht="20.100000000000001" customHeight="1">
      <c r="A1" s="39" t="s">
        <v>0</v>
      </c>
      <c r="B1" s="37"/>
      <c r="C1" s="37"/>
      <c r="D1" s="37"/>
      <c r="E1" s="37"/>
      <c r="F1" s="37"/>
      <c r="G1" s="37"/>
      <c r="H1" s="37"/>
      <c r="I1" s="37"/>
    </row>
    <row r="2" spans="1:9" ht="20.100000000000001" customHeight="1">
      <c r="A2" s="39" t="s">
        <v>137</v>
      </c>
      <c r="B2" s="37"/>
      <c r="C2" s="37"/>
      <c r="D2" s="37"/>
      <c r="E2" s="37"/>
      <c r="F2" s="37"/>
      <c r="G2" s="37"/>
      <c r="H2" s="37"/>
      <c r="I2" s="37"/>
    </row>
    <row r="3" spans="1:9" ht="20.100000000000001" customHeight="1">
      <c r="A3" s="39" t="s">
        <v>2</v>
      </c>
      <c r="B3" s="37"/>
      <c r="C3" s="37"/>
      <c r="D3" s="37"/>
      <c r="E3" s="37"/>
      <c r="F3" s="37"/>
      <c r="G3" s="37"/>
      <c r="H3" s="37"/>
      <c r="I3" s="37"/>
    </row>
    <row r="5" spans="1:9" ht="21">
      <c r="A5" s="40" t="s">
        <v>138</v>
      </c>
      <c r="B5" s="37"/>
      <c r="C5" s="37"/>
      <c r="D5" s="37"/>
      <c r="E5" s="37"/>
      <c r="F5" s="37"/>
      <c r="G5" s="37"/>
      <c r="H5" s="37"/>
      <c r="I5" s="37"/>
    </row>
    <row r="7" spans="1:9" ht="63">
      <c r="A7" s="15" t="s">
        <v>139</v>
      </c>
      <c r="C7" s="15" t="s">
        <v>140</v>
      </c>
      <c r="E7" s="15" t="s">
        <v>122</v>
      </c>
      <c r="G7" s="16" t="s">
        <v>141</v>
      </c>
      <c r="I7" s="16" t="s">
        <v>142</v>
      </c>
    </row>
    <row r="8" spans="1:9" ht="21">
      <c r="A8" s="20" t="s">
        <v>143</v>
      </c>
      <c r="C8" s="6" t="s">
        <v>310</v>
      </c>
      <c r="E8" s="5">
        <f>'5'!$S$155</f>
        <v>210893369303</v>
      </c>
      <c r="G8" s="7">
        <f>E8/$E$12</f>
        <v>0.93253503037403762</v>
      </c>
      <c r="I8" s="7">
        <v>0.1835308406283481</v>
      </c>
    </row>
    <row r="9" spans="1:9" ht="21">
      <c r="A9" s="20" t="s">
        <v>144</v>
      </c>
      <c r="C9" s="6" t="s">
        <v>145</v>
      </c>
      <c r="E9" s="5">
        <f>'6'!$Q$10</f>
        <v>3380671363</v>
      </c>
      <c r="G9" s="7">
        <f t="shared" ref="G9:G11" si="0">E9/$E$12</f>
        <v>1.4948760516270048E-2</v>
      </c>
      <c r="I9" s="7">
        <v>2.9420434563219204E-3</v>
      </c>
    </row>
    <row r="10" spans="1:9" ht="21">
      <c r="A10" s="20" t="s">
        <v>146</v>
      </c>
      <c r="C10" s="6" t="s">
        <v>311</v>
      </c>
      <c r="E10" s="5">
        <f>'7'!$I$11</f>
        <v>11351920221</v>
      </c>
      <c r="G10" s="7">
        <f t="shared" si="0"/>
        <v>5.0196283093587514E-2</v>
      </c>
      <c r="I10" s="7">
        <v>9.8790562633229058E-3</v>
      </c>
    </row>
    <row r="11" spans="1:9" ht="21">
      <c r="A11" s="20" t="s">
        <v>147</v>
      </c>
      <c r="C11" s="6" t="s">
        <v>312</v>
      </c>
      <c r="E11" s="5">
        <f>'8'!$E$10</f>
        <v>524652692</v>
      </c>
      <c r="G11" s="7">
        <f t="shared" si="0"/>
        <v>2.3199260161048639E-3</v>
      </c>
      <c r="I11" s="7">
        <v>4.5658120935201946E-4</v>
      </c>
    </row>
    <row r="12" spans="1:9" ht="21.75" thickBot="1">
      <c r="A12" s="21" t="s">
        <v>82</v>
      </c>
      <c r="E12" s="8">
        <f>SUM(E8:$E$11)</f>
        <v>226150613579</v>
      </c>
      <c r="G12" s="26">
        <f>SUM(G8:$G$11)</f>
        <v>1</v>
      </c>
      <c r="I12" s="9">
        <f>SUM(I8:$I$11)</f>
        <v>0.19680852155734496</v>
      </c>
    </row>
    <row r="13" spans="1:9" ht="21.75" thickTop="1">
      <c r="E13" s="10"/>
      <c r="G13" s="10"/>
      <c r="I13" s="10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5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156"/>
  <sheetViews>
    <sheetView rightToLeft="1" view="pageBreakPreview" topLeftCell="A114" zoomScale="60" zoomScaleNormal="100" workbookViewId="0">
      <selection activeCell="E151" sqref="E151:E154"/>
    </sheetView>
  </sheetViews>
  <sheetFormatPr defaultRowHeight="19.5"/>
  <cols>
    <col min="1" max="1" width="42.5703125" style="2" customWidth="1"/>
    <col min="2" max="2" width="1.42578125" style="2" customWidth="1"/>
    <col min="3" max="3" width="17" style="2" customWidth="1"/>
    <col min="4" max="4" width="1.42578125" style="2" customWidth="1"/>
    <col min="5" max="5" width="17" style="2" customWidth="1"/>
    <col min="6" max="6" width="1.42578125" style="2" customWidth="1"/>
    <col min="7" max="7" width="17" style="2" customWidth="1"/>
    <col min="8" max="8" width="1.42578125" style="2" customWidth="1"/>
    <col min="9" max="9" width="17" style="2" customWidth="1"/>
    <col min="10" max="10" width="1.42578125" style="2" customWidth="1"/>
    <col min="11" max="11" width="13.42578125" style="2" customWidth="1"/>
    <col min="12" max="12" width="1.42578125" style="2" customWidth="1"/>
    <col min="13" max="13" width="17" style="2" customWidth="1"/>
    <col min="14" max="14" width="1.42578125" style="2" customWidth="1"/>
    <col min="15" max="15" width="17" style="2" customWidth="1"/>
    <col min="16" max="16" width="1.42578125" style="2" customWidth="1"/>
    <col min="17" max="17" width="17" style="2" customWidth="1"/>
    <col min="18" max="18" width="1.42578125" style="2" customWidth="1"/>
    <col min="19" max="19" width="17" style="2" customWidth="1"/>
    <col min="20" max="20" width="1.42578125" style="2" customWidth="1"/>
    <col min="21" max="21" width="14.5703125" style="2" customWidth="1"/>
    <col min="22" max="16384" width="9.140625" style="2"/>
  </cols>
  <sheetData>
    <row r="1" spans="1:21" ht="20.100000000000001" customHeight="1">
      <c r="A1" s="3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1" ht="20.100000000000001" customHeight="1">
      <c r="A2" s="39" t="s">
        <v>137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3" spans="1:21" ht="20.100000000000001" customHeight="1">
      <c r="A3" s="39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</row>
    <row r="5" spans="1:21" ht="21">
      <c r="A5" s="40" t="s">
        <v>313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40"/>
      <c r="U5" s="37"/>
    </row>
    <row r="7" spans="1:21" ht="21">
      <c r="C7" s="33" t="s">
        <v>150</v>
      </c>
      <c r="D7" s="34"/>
      <c r="E7" s="34"/>
      <c r="F7" s="34"/>
      <c r="G7" s="34"/>
      <c r="H7" s="34"/>
      <c r="I7" s="34"/>
      <c r="J7" s="34"/>
      <c r="K7" s="34"/>
      <c r="M7" s="33" t="s">
        <v>7</v>
      </c>
      <c r="N7" s="34"/>
      <c r="O7" s="34"/>
      <c r="P7" s="34"/>
      <c r="Q7" s="34"/>
      <c r="R7" s="34"/>
      <c r="S7" s="34"/>
      <c r="T7" s="34"/>
      <c r="U7" s="34"/>
    </row>
    <row r="8" spans="1:21" ht="42">
      <c r="A8" s="15" t="s">
        <v>254</v>
      </c>
      <c r="C8" s="16" t="s">
        <v>148</v>
      </c>
      <c r="E8" s="16" t="s">
        <v>255</v>
      </c>
      <c r="G8" s="16" t="s">
        <v>256</v>
      </c>
      <c r="I8" s="16" t="s">
        <v>257</v>
      </c>
      <c r="K8" s="16" t="s">
        <v>258</v>
      </c>
      <c r="M8" s="16" t="s">
        <v>148</v>
      </c>
      <c r="O8" s="16" t="s">
        <v>255</v>
      </c>
      <c r="Q8" s="16" t="s">
        <v>256</v>
      </c>
      <c r="S8" s="16" t="s">
        <v>257</v>
      </c>
      <c r="U8" s="16" t="s">
        <v>258</v>
      </c>
    </row>
    <row r="9" spans="1:21" ht="21">
      <c r="A9" s="17" t="s">
        <v>17</v>
      </c>
      <c r="C9" s="5">
        <v>0</v>
      </c>
      <c r="E9" s="5">
        <v>51135533</v>
      </c>
      <c r="G9" s="5">
        <v>0</v>
      </c>
      <c r="I9" s="5">
        <f>C9+E9+G9</f>
        <v>51135533</v>
      </c>
      <c r="K9" s="7">
        <v>2.829150623544363E-4</v>
      </c>
      <c r="M9" s="5">
        <v>140295300</v>
      </c>
      <c r="O9" s="5">
        <v>-62733374</v>
      </c>
      <c r="Q9" s="5">
        <v>0</v>
      </c>
      <c r="S9" s="5">
        <f>M9+O9+Q9</f>
        <v>77561926</v>
      </c>
      <c r="U9" s="7">
        <v>3.4296579952857701E-4</v>
      </c>
    </row>
    <row r="10" spans="1:21" ht="21">
      <c r="A10" s="17" t="s">
        <v>158</v>
      </c>
      <c r="C10" s="5">
        <v>0</v>
      </c>
      <c r="E10" s="5">
        <v>0</v>
      </c>
      <c r="G10" s="5">
        <v>0</v>
      </c>
      <c r="I10" s="5">
        <f t="shared" ref="I10:I93" si="0">C10+E10+G10</f>
        <v>0</v>
      </c>
      <c r="K10" s="7">
        <v>0</v>
      </c>
      <c r="M10" s="5">
        <v>616627200</v>
      </c>
      <c r="O10" s="5">
        <v>0</v>
      </c>
      <c r="Q10" s="5">
        <v>2743890294</v>
      </c>
      <c r="S10" s="5">
        <f t="shared" ref="S10:S93" si="1">M10+O10+Q10</f>
        <v>3360517494</v>
      </c>
      <c r="U10" s="7">
        <v>1.4859643495179323E-2</v>
      </c>
    </row>
    <row r="11" spans="1:21" ht="21">
      <c r="A11" s="17" t="s">
        <v>238</v>
      </c>
      <c r="C11" s="5">
        <v>0</v>
      </c>
      <c r="E11" s="5">
        <v>0</v>
      </c>
      <c r="G11" s="5">
        <v>0</v>
      </c>
      <c r="I11" s="5">
        <f t="shared" si="0"/>
        <v>0</v>
      </c>
      <c r="K11" s="7">
        <v>0</v>
      </c>
      <c r="M11" s="5">
        <v>0</v>
      </c>
      <c r="O11" s="5">
        <v>0</v>
      </c>
      <c r="Q11" s="5">
        <v>295769908</v>
      </c>
      <c r="S11" s="5">
        <f t="shared" si="1"/>
        <v>295769908</v>
      </c>
      <c r="U11" s="7">
        <v>1.3078448177487711E-3</v>
      </c>
    </row>
    <row r="12" spans="1:21" ht="21">
      <c r="A12" s="17" t="s">
        <v>30</v>
      </c>
      <c r="C12" s="5">
        <v>0</v>
      </c>
      <c r="E12" s="5">
        <v>3763676603</v>
      </c>
      <c r="G12" s="5">
        <v>0</v>
      </c>
      <c r="I12" s="5">
        <f t="shared" si="0"/>
        <v>3763676603</v>
      </c>
      <c r="K12" s="7">
        <v>2.0823109457364569E-2</v>
      </c>
      <c r="M12" s="5">
        <v>0</v>
      </c>
      <c r="O12" s="5">
        <v>5023356119</v>
      </c>
      <c r="Q12" s="5">
        <v>-666318163</v>
      </c>
      <c r="S12" s="5">
        <f t="shared" si="1"/>
        <v>4357037956</v>
      </c>
      <c r="U12" s="7">
        <v>1.9266089474826824E-2</v>
      </c>
    </row>
    <row r="13" spans="1:21" ht="21">
      <c r="A13" s="17" t="s">
        <v>259</v>
      </c>
      <c r="C13" s="5">
        <v>0</v>
      </c>
      <c r="E13" s="5">
        <v>0</v>
      </c>
      <c r="G13" s="5">
        <v>0</v>
      </c>
      <c r="I13" s="5">
        <f t="shared" si="0"/>
        <v>0</v>
      </c>
      <c r="K13" s="7">
        <v>0</v>
      </c>
      <c r="M13" s="5">
        <v>229600000</v>
      </c>
      <c r="O13" s="5">
        <v>0</v>
      </c>
      <c r="Q13" s="5">
        <v>2059608054</v>
      </c>
      <c r="S13" s="5">
        <f t="shared" si="1"/>
        <v>2289208054</v>
      </c>
      <c r="U13" s="7">
        <v>1.0122493225959447E-2</v>
      </c>
    </row>
    <row r="14" spans="1:21" ht="21">
      <c r="A14" s="17" t="s">
        <v>31</v>
      </c>
      <c r="C14" s="5">
        <v>0</v>
      </c>
      <c r="E14" s="5">
        <v>4771440000</v>
      </c>
      <c r="G14" s="5">
        <v>0</v>
      </c>
      <c r="I14" s="5">
        <f t="shared" si="0"/>
        <v>4771440000</v>
      </c>
      <c r="K14" s="7">
        <v>2.6398712713534278E-2</v>
      </c>
      <c r="M14" s="5">
        <v>660000000</v>
      </c>
      <c r="O14" s="5">
        <v>2975523000</v>
      </c>
      <c r="Q14" s="5">
        <v>-1069344414</v>
      </c>
      <c r="S14" s="5">
        <f t="shared" si="1"/>
        <v>2566178586</v>
      </c>
      <c r="U14" s="7">
        <v>1.1347210362989222E-2</v>
      </c>
    </row>
    <row r="15" spans="1:21" ht="21">
      <c r="A15" s="17" t="s">
        <v>260</v>
      </c>
      <c r="C15" s="5">
        <v>0</v>
      </c>
      <c r="E15" s="5">
        <v>625667247</v>
      </c>
      <c r="G15" s="5">
        <v>0</v>
      </c>
      <c r="I15" s="5">
        <f t="shared" si="0"/>
        <v>625667247</v>
      </c>
      <c r="K15" s="7">
        <v>3.4615985756544965E-3</v>
      </c>
      <c r="M15" s="5">
        <v>22765975</v>
      </c>
      <c r="O15" s="5">
        <v>516011551</v>
      </c>
      <c r="Q15" s="5">
        <v>534832494</v>
      </c>
      <c r="S15" s="5">
        <f t="shared" si="1"/>
        <v>1073610020</v>
      </c>
      <c r="U15" s="7">
        <v>4.7473230472795573E-3</v>
      </c>
    </row>
    <row r="16" spans="1:21" ht="21">
      <c r="A16" s="17" t="s">
        <v>33</v>
      </c>
      <c r="C16" s="5">
        <v>0</v>
      </c>
      <c r="E16" s="5">
        <v>12791769198</v>
      </c>
      <c r="G16" s="5">
        <v>0</v>
      </c>
      <c r="I16" s="5">
        <f t="shared" si="0"/>
        <v>12791769198</v>
      </c>
      <c r="K16" s="7">
        <v>7.0772395787401451E-2</v>
      </c>
      <c r="M16" s="5">
        <v>1090603045</v>
      </c>
      <c r="O16" s="5">
        <v>12297583282</v>
      </c>
      <c r="Q16" s="5">
        <v>-329309615</v>
      </c>
      <c r="S16" s="5">
        <f t="shared" si="1"/>
        <v>13058876712</v>
      </c>
      <c r="U16" s="7">
        <v>5.7744157777569818E-2</v>
      </c>
    </row>
    <row r="17" spans="1:21" ht="21">
      <c r="A17" s="17" t="s">
        <v>239</v>
      </c>
      <c r="C17" s="5">
        <v>0</v>
      </c>
      <c r="E17" s="5">
        <v>0</v>
      </c>
      <c r="G17" s="5">
        <v>0</v>
      </c>
      <c r="I17" s="5">
        <f t="shared" si="0"/>
        <v>0</v>
      </c>
      <c r="K17" s="7">
        <v>0</v>
      </c>
      <c r="M17" s="5">
        <v>0</v>
      </c>
      <c r="O17" s="5">
        <v>0</v>
      </c>
      <c r="Q17" s="5">
        <v>2311509516</v>
      </c>
      <c r="S17" s="5">
        <f t="shared" si="1"/>
        <v>2311509516</v>
      </c>
      <c r="U17" s="7">
        <v>1.022110654231116E-2</v>
      </c>
    </row>
    <row r="18" spans="1:21" ht="21">
      <c r="A18" s="17" t="s">
        <v>164</v>
      </c>
      <c r="C18" s="5">
        <v>0</v>
      </c>
      <c r="E18" s="5">
        <v>0</v>
      </c>
      <c r="G18" s="5">
        <v>0</v>
      </c>
      <c r="I18" s="5">
        <f t="shared" si="0"/>
        <v>0</v>
      </c>
      <c r="K18" s="7">
        <v>0</v>
      </c>
      <c r="M18" s="5">
        <v>369600000</v>
      </c>
      <c r="O18" s="5">
        <v>0</v>
      </c>
      <c r="Q18" s="5">
        <v>-1609168012</v>
      </c>
      <c r="S18" s="5">
        <f t="shared" si="1"/>
        <v>-1239568012</v>
      </c>
      <c r="U18" s="7">
        <v>-5.4811613923257752E-3</v>
      </c>
    </row>
    <row r="19" spans="1:21" ht="21">
      <c r="A19" s="17" t="s">
        <v>34</v>
      </c>
      <c r="C19" s="5">
        <v>0</v>
      </c>
      <c r="E19" s="5">
        <v>1199818350</v>
      </c>
      <c r="G19" s="5">
        <v>0</v>
      </c>
      <c r="I19" s="5">
        <f t="shared" si="0"/>
        <v>1199818350</v>
      </c>
      <c r="K19" s="7">
        <v>6.6381763010908068E-3</v>
      </c>
      <c r="M19" s="5">
        <v>0</v>
      </c>
      <c r="O19" s="5">
        <v>1007521561</v>
      </c>
      <c r="Q19" s="5">
        <v>1127860371</v>
      </c>
      <c r="S19" s="5">
        <f t="shared" si="1"/>
        <v>2135381932</v>
      </c>
      <c r="U19" s="7">
        <v>9.4422999708292116E-3</v>
      </c>
    </row>
    <row r="20" spans="1:21" ht="21">
      <c r="A20" s="17" t="s">
        <v>240</v>
      </c>
      <c r="C20" s="5">
        <v>0</v>
      </c>
      <c r="E20" s="5">
        <v>0</v>
      </c>
      <c r="G20" s="5">
        <v>0</v>
      </c>
      <c r="I20" s="5">
        <f t="shared" si="0"/>
        <v>0</v>
      </c>
      <c r="K20" s="7">
        <v>0</v>
      </c>
      <c r="M20" s="5">
        <v>0</v>
      </c>
      <c r="O20" s="5">
        <v>0</v>
      </c>
      <c r="Q20" s="5">
        <v>24909200024</v>
      </c>
      <c r="S20" s="5">
        <f t="shared" si="1"/>
        <v>24909200024</v>
      </c>
      <c r="U20" s="7">
        <v>0.11014429556388801</v>
      </c>
    </row>
    <row r="21" spans="1:21" ht="21">
      <c r="A21" s="17" t="s">
        <v>35</v>
      </c>
      <c r="C21" s="5">
        <v>0</v>
      </c>
      <c r="E21" s="5">
        <v>496065835</v>
      </c>
      <c r="G21" s="5">
        <v>-192312302</v>
      </c>
      <c r="I21" s="5">
        <f t="shared" si="0"/>
        <v>303753533</v>
      </c>
      <c r="K21" s="7">
        <v>1.6805623152314718E-3</v>
      </c>
      <c r="M21" s="5">
        <v>612146750</v>
      </c>
      <c r="O21" s="5">
        <v>-546946024</v>
      </c>
      <c r="Q21" s="5">
        <v>-8320934696</v>
      </c>
      <c r="S21" s="5">
        <f t="shared" si="1"/>
        <v>-8255733970</v>
      </c>
      <c r="U21" s="7">
        <v>-3.6505467923995123E-2</v>
      </c>
    </row>
    <row r="22" spans="1:21" ht="21">
      <c r="A22" s="17" t="s">
        <v>261</v>
      </c>
      <c r="C22" s="5">
        <v>0</v>
      </c>
      <c r="E22" s="5">
        <v>3664068300</v>
      </c>
      <c r="G22" s="5">
        <v>0</v>
      </c>
      <c r="I22" s="5">
        <f t="shared" si="0"/>
        <v>3664068300</v>
      </c>
      <c r="K22" s="7">
        <v>2.0272011471268198E-2</v>
      </c>
      <c r="M22" s="5">
        <v>0</v>
      </c>
      <c r="O22" s="5">
        <v>3261224950</v>
      </c>
      <c r="Q22" s="5">
        <v>0</v>
      </c>
      <c r="S22" s="5">
        <f t="shared" si="1"/>
        <v>3261224950</v>
      </c>
      <c r="U22" s="7">
        <v>1.44205885555149E-2</v>
      </c>
    </row>
    <row r="23" spans="1:21" ht="21">
      <c r="A23" s="17" t="s">
        <v>37</v>
      </c>
      <c r="C23" s="5">
        <v>0</v>
      </c>
      <c r="E23" s="5">
        <v>1236986640</v>
      </c>
      <c r="G23" s="5">
        <v>0</v>
      </c>
      <c r="I23" s="5">
        <f t="shared" si="0"/>
        <v>1236986640</v>
      </c>
      <c r="K23" s="7">
        <v>6.8438154812467617E-3</v>
      </c>
      <c r="M23" s="5">
        <v>0</v>
      </c>
      <c r="O23" s="5">
        <v>1236986640</v>
      </c>
      <c r="Q23" s="5">
        <v>0</v>
      </c>
      <c r="S23" s="5">
        <f t="shared" si="1"/>
        <v>1236986640</v>
      </c>
      <c r="U23" s="7">
        <v>5.4697469992399115E-3</v>
      </c>
    </row>
    <row r="24" spans="1:21" ht="21">
      <c r="A24" s="17" t="s">
        <v>262</v>
      </c>
      <c r="C24" s="5">
        <v>0</v>
      </c>
      <c r="E24" s="5">
        <v>1650788540</v>
      </c>
      <c r="G24" s="5">
        <v>-41015400</v>
      </c>
      <c r="I24" s="5">
        <f t="shared" si="0"/>
        <v>1609773140</v>
      </c>
      <c r="K24" s="7">
        <v>8.9063131165484626E-3</v>
      </c>
      <c r="M24" s="5">
        <v>0</v>
      </c>
      <c r="O24" s="5">
        <v>1262285964</v>
      </c>
      <c r="Q24" s="5">
        <v>-41015400</v>
      </c>
      <c r="S24" s="5">
        <f t="shared" si="1"/>
        <v>1221270564</v>
      </c>
      <c r="U24" s="7">
        <v>5.4002531528546133E-3</v>
      </c>
    </row>
    <row r="25" spans="1:21" ht="21">
      <c r="A25" s="17" t="s">
        <v>242</v>
      </c>
      <c r="C25" s="5">
        <v>0</v>
      </c>
      <c r="E25" s="5">
        <v>0</v>
      </c>
      <c r="G25" s="5">
        <v>0</v>
      </c>
      <c r="I25" s="5">
        <f t="shared" si="0"/>
        <v>0</v>
      </c>
      <c r="K25" s="7">
        <v>0</v>
      </c>
      <c r="M25" s="5">
        <v>0</v>
      </c>
      <c r="O25" s="5">
        <v>0</v>
      </c>
      <c r="Q25" s="5">
        <v>2310926465</v>
      </c>
      <c r="S25" s="5">
        <f t="shared" si="1"/>
        <v>2310926465</v>
      </c>
      <c r="U25" s="7">
        <v>1.0218528388793145E-2</v>
      </c>
    </row>
    <row r="26" spans="1:21" ht="21">
      <c r="A26" s="17" t="s">
        <v>263</v>
      </c>
      <c r="C26" s="5">
        <v>0</v>
      </c>
      <c r="E26" s="5">
        <v>5582024543</v>
      </c>
      <c r="G26" s="5">
        <v>0</v>
      </c>
      <c r="I26" s="5">
        <f t="shared" si="0"/>
        <v>5582024543</v>
      </c>
      <c r="K26" s="7">
        <v>3.0883394168333769E-2</v>
      </c>
      <c r="M26" s="5">
        <v>2036198000</v>
      </c>
      <c r="O26" s="5">
        <v>1628487214</v>
      </c>
      <c r="Q26" s="5">
        <v>-2884761030</v>
      </c>
      <c r="S26" s="5">
        <f t="shared" si="1"/>
        <v>779924184</v>
      </c>
      <c r="U26" s="7">
        <v>3.4486936456069052E-3</v>
      </c>
    </row>
    <row r="27" spans="1:21" ht="21">
      <c r="A27" s="17" t="s">
        <v>41</v>
      </c>
      <c r="C27" s="5">
        <v>0</v>
      </c>
      <c r="E27" s="5">
        <v>123443278</v>
      </c>
      <c r="G27" s="5">
        <v>0</v>
      </c>
      <c r="I27" s="5">
        <f t="shared" si="0"/>
        <v>123443278</v>
      </c>
      <c r="K27" s="7">
        <v>6.82968586493584E-4</v>
      </c>
      <c r="M27" s="5">
        <v>0</v>
      </c>
      <c r="O27" s="5">
        <v>123443278</v>
      </c>
      <c r="Q27" s="5">
        <v>-2173594980</v>
      </c>
      <c r="S27" s="5">
        <f t="shared" si="1"/>
        <v>-2050151702</v>
      </c>
      <c r="U27" s="7">
        <v>-9.0654262199639409E-3</v>
      </c>
    </row>
    <row r="28" spans="1:21" ht="21">
      <c r="A28" s="17" t="s">
        <v>42</v>
      </c>
      <c r="C28" s="5">
        <v>0</v>
      </c>
      <c r="E28" s="5">
        <v>7700306903</v>
      </c>
      <c r="G28" s="5">
        <v>0</v>
      </c>
      <c r="I28" s="5">
        <f t="shared" si="0"/>
        <v>7700306903</v>
      </c>
      <c r="K28" s="7">
        <v>4.2603111374834822E-2</v>
      </c>
      <c r="M28" s="5">
        <v>7251254850</v>
      </c>
      <c r="O28" s="5">
        <v>4856874086</v>
      </c>
      <c r="Q28" s="5">
        <v>-5161445666</v>
      </c>
      <c r="S28" s="5">
        <f t="shared" si="1"/>
        <v>6946683270</v>
      </c>
      <c r="U28" s="7">
        <v>3.0717065764552312E-2</v>
      </c>
    </row>
    <row r="29" spans="1:21" ht="21">
      <c r="A29" s="17" t="s">
        <v>264</v>
      </c>
      <c r="C29" s="5">
        <v>0</v>
      </c>
      <c r="E29" s="5">
        <v>3263267340</v>
      </c>
      <c r="G29" s="5">
        <v>0</v>
      </c>
      <c r="I29" s="5">
        <f t="shared" si="0"/>
        <v>3263267340</v>
      </c>
      <c r="K29" s="7">
        <v>1.8054519603331317E-2</v>
      </c>
      <c r="M29" s="5">
        <v>2088000000</v>
      </c>
      <c r="O29" s="5">
        <v>2719638468</v>
      </c>
      <c r="Q29" s="5">
        <v>-1058802300</v>
      </c>
      <c r="S29" s="5">
        <f t="shared" si="1"/>
        <v>3748836168</v>
      </c>
      <c r="U29" s="7">
        <v>1.6576723399825924E-2</v>
      </c>
    </row>
    <row r="30" spans="1:21" ht="21">
      <c r="A30" s="17" t="s">
        <v>43</v>
      </c>
      <c r="C30" s="5">
        <v>0</v>
      </c>
      <c r="E30" s="5">
        <v>665643394</v>
      </c>
      <c r="G30" s="5">
        <v>-156234246</v>
      </c>
      <c r="I30" s="5">
        <f t="shared" si="0"/>
        <v>509409148</v>
      </c>
      <c r="K30" s="7">
        <v>2.8183830775820851E-3</v>
      </c>
      <c r="M30" s="5">
        <v>0</v>
      </c>
      <c r="O30" s="5">
        <v>-1386128907</v>
      </c>
      <c r="Q30" s="5">
        <v>-156234246</v>
      </c>
      <c r="S30" s="5">
        <f t="shared" si="1"/>
        <v>-1542363153</v>
      </c>
      <c r="U30" s="7">
        <v>-6.8200706095418772E-3</v>
      </c>
    </row>
    <row r="31" spans="1:21" ht="21">
      <c r="A31" s="17" t="s">
        <v>265</v>
      </c>
      <c r="C31" s="5">
        <v>0</v>
      </c>
      <c r="E31" s="5">
        <v>2869424730</v>
      </c>
      <c r="G31" s="5">
        <v>0</v>
      </c>
      <c r="I31" s="5">
        <f t="shared" si="0"/>
        <v>2869424730</v>
      </c>
      <c r="K31" s="7">
        <v>1.5875525858101678E-2</v>
      </c>
      <c r="M31" s="5">
        <v>930000000</v>
      </c>
      <c r="O31" s="5">
        <v>1227280361</v>
      </c>
      <c r="Q31" s="5">
        <v>-728288941</v>
      </c>
      <c r="S31" s="5">
        <f t="shared" si="1"/>
        <v>1428991420</v>
      </c>
      <c r="U31" s="7">
        <v>6.3187598626647896E-3</v>
      </c>
    </row>
    <row r="32" spans="1:21" ht="21">
      <c r="A32" s="17" t="s">
        <v>44</v>
      </c>
      <c r="C32" s="5">
        <v>0</v>
      </c>
      <c r="E32" s="5">
        <v>1147536489</v>
      </c>
      <c r="G32" s="5">
        <v>0</v>
      </c>
      <c r="I32" s="5">
        <f t="shared" si="0"/>
        <v>1147536489</v>
      </c>
      <c r="K32" s="7">
        <v>6.3489190058784745E-3</v>
      </c>
      <c r="M32" s="5">
        <v>273603800</v>
      </c>
      <c r="O32" s="5">
        <v>1722537244</v>
      </c>
      <c r="Q32" s="5">
        <v>-158383982</v>
      </c>
      <c r="S32" s="5">
        <f t="shared" si="1"/>
        <v>1837757062</v>
      </c>
      <c r="U32" s="7">
        <v>8.126252822913637E-3</v>
      </c>
    </row>
    <row r="33" spans="1:21" ht="21">
      <c r="A33" s="17" t="s">
        <v>266</v>
      </c>
      <c r="C33" s="5">
        <v>0</v>
      </c>
      <c r="E33" s="5">
        <v>5376510034</v>
      </c>
      <c r="G33" s="5">
        <v>0</v>
      </c>
      <c r="I33" s="5">
        <f t="shared" si="0"/>
        <v>5376510034</v>
      </c>
      <c r="K33" s="7">
        <v>2.9746354096247762E-2</v>
      </c>
      <c r="M33" s="5">
        <v>3190581800</v>
      </c>
      <c r="O33" s="5">
        <v>4693765540</v>
      </c>
      <c r="Q33" s="5">
        <v>0</v>
      </c>
      <c r="S33" s="5">
        <f t="shared" si="1"/>
        <v>7884347340</v>
      </c>
      <c r="U33" s="7">
        <v>3.486325867183996E-2</v>
      </c>
    </row>
    <row r="34" spans="1:21" ht="21">
      <c r="A34" s="17" t="s">
        <v>267</v>
      </c>
      <c r="C34" s="5">
        <v>0</v>
      </c>
      <c r="E34" s="5">
        <v>9604048223</v>
      </c>
      <c r="G34" s="5">
        <v>0</v>
      </c>
      <c r="I34" s="5">
        <f t="shared" si="0"/>
        <v>9604048223</v>
      </c>
      <c r="K34" s="7">
        <v>5.3135847862680115E-2</v>
      </c>
      <c r="M34" s="5">
        <v>7366293000</v>
      </c>
      <c r="O34" s="5">
        <v>8958507278</v>
      </c>
      <c r="Q34" s="5">
        <v>-4246775433</v>
      </c>
      <c r="S34" s="5">
        <f t="shared" si="1"/>
        <v>12078024845</v>
      </c>
      <c r="U34" s="7">
        <v>5.3406995691306615E-2</v>
      </c>
    </row>
    <row r="35" spans="1:21" ht="21">
      <c r="A35" s="17" t="s">
        <v>46</v>
      </c>
      <c r="C35" s="5">
        <v>0</v>
      </c>
      <c r="E35" s="5">
        <v>3083370396</v>
      </c>
      <c r="G35" s="5">
        <v>0</v>
      </c>
      <c r="I35" s="5">
        <f t="shared" si="0"/>
        <v>3083370396</v>
      </c>
      <c r="K35" s="7">
        <v>1.7059212580147802E-2</v>
      </c>
      <c r="M35" s="5">
        <v>0</v>
      </c>
      <c r="O35" s="5">
        <v>2833004376</v>
      </c>
      <c r="Q35" s="5">
        <v>0</v>
      </c>
      <c r="S35" s="5">
        <f t="shared" si="1"/>
        <v>2833004376</v>
      </c>
      <c r="U35" s="7">
        <v>1.2527069156106276E-2</v>
      </c>
    </row>
    <row r="36" spans="1:21" ht="21">
      <c r="A36" s="17" t="s">
        <v>268</v>
      </c>
      <c r="C36" s="5">
        <v>0</v>
      </c>
      <c r="E36" s="5">
        <v>0</v>
      </c>
      <c r="G36" s="5">
        <v>0</v>
      </c>
      <c r="I36" s="5">
        <f t="shared" si="0"/>
        <v>0</v>
      </c>
      <c r="K36" s="7">
        <v>0</v>
      </c>
      <c r="M36" s="5">
        <v>0</v>
      </c>
      <c r="O36" s="5">
        <v>0</v>
      </c>
      <c r="Q36" s="5">
        <v>527339148</v>
      </c>
      <c r="S36" s="5">
        <f t="shared" si="1"/>
        <v>527339148</v>
      </c>
      <c r="U36" s="7">
        <v>2.3318050729753486E-3</v>
      </c>
    </row>
    <row r="37" spans="1:21" ht="21">
      <c r="A37" s="17" t="s">
        <v>47</v>
      </c>
      <c r="C37" s="5">
        <v>1632741480</v>
      </c>
      <c r="E37" s="5">
        <v>-458681450</v>
      </c>
      <c r="G37" s="5">
        <v>0</v>
      </c>
      <c r="I37" s="5">
        <f t="shared" si="0"/>
        <v>1174060030</v>
      </c>
      <c r="K37" s="7">
        <v>6.4956645038842442E-3</v>
      </c>
      <c r="M37" s="5">
        <v>1632741480</v>
      </c>
      <c r="O37" s="5">
        <v>-1039257422</v>
      </c>
      <c r="Q37" s="5">
        <v>0</v>
      </c>
      <c r="S37" s="5">
        <f t="shared" si="1"/>
        <v>593484058</v>
      </c>
      <c r="U37" s="7">
        <v>2.6242867468174317E-3</v>
      </c>
    </row>
    <row r="38" spans="1:21" ht="21">
      <c r="A38" s="17" t="s">
        <v>269</v>
      </c>
      <c r="C38" s="5">
        <v>0</v>
      </c>
      <c r="E38" s="5">
        <v>930430800</v>
      </c>
      <c r="G38" s="5">
        <v>0</v>
      </c>
      <c r="I38" s="5">
        <f t="shared" si="0"/>
        <v>930430800</v>
      </c>
      <c r="K38" s="7">
        <v>5.1477489791391844E-3</v>
      </c>
      <c r="M38" s="5">
        <v>1181400000</v>
      </c>
      <c r="O38" s="5">
        <v>282368370</v>
      </c>
      <c r="Q38" s="5">
        <v>-1271313720</v>
      </c>
      <c r="S38" s="5">
        <f t="shared" si="1"/>
        <v>192454650</v>
      </c>
      <c r="U38" s="7">
        <v>8.5100211294704636E-4</v>
      </c>
    </row>
    <row r="39" spans="1:21" ht="21">
      <c r="A39" s="17" t="s">
        <v>305</v>
      </c>
      <c r="C39" s="13">
        <f>SUM(C9:C38)</f>
        <v>1632741480</v>
      </c>
      <c r="E39" s="13">
        <f>SUM(E9:E38)</f>
        <v>70138740926</v>
      </c>
      <c r="G39" s="13">
        <f>SUM(G9:G38)</f>
        <v>-389561948</v>
      </c>
      <c r="I39" s="13">
        <f>SUM(I9:I38)</f>
        <v>71381920458</v>
      </c>
      <c r="K39" s="12">
        <f>SUM(K9:K38)</f>
        <v>0.39493125997834977</v>
      </c>
      <c r="M39" s="13">
        <f>SUM(M9:M38)</f>
        <v>29691711200</v>
      </c>
      <c r="O39" s="13">
        <f>SUM(O9:O38)</f>
        <v>53591333555</v>
      </c>
      <c r="Q39" s="13">
        <f>SUM(Q9:Q38)</f>
        <v>6945245676</v>
      </c>
      <c r="S39" s="13">
        <f>SUM(S9:S38)</f>
        <v>90228290431</v>
      </c>
      <c r="U39" s="12">
        <f>SUM(U9:U38)</f>
        <v>0.39897433397624199</v>
      </c>
    </row>
    <row r="40" spans="1:21" ht="20.100000000000001" customHeight="1">
      <c r="A40" s="39" t="s">
        <v>0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</row>
    <row r="41" spans="1:21" ht="20.100000000000001" customHeight="1">
      <c r="A41" s="39" t="s">
        <v>137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</row>
    <row r="42" spans="1:21" ht="20.100000000000001" customHeight="1">
      <c r="A42" s="39" t="s">
        <v>2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</row>
    <row r="44" spans="1:21" ht="21">
      <c r="A44" s="40" t="s">
        <v>313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40"/>
      <c r="U44" s="37"/>
    </row>
    <row r="46" spans="1:21" ht="21">
      <c r="C46" s="33" t="s">
        <v>150</v>
      </c>
      <c r="D46" s="34"/>
      <c r="E46" s="34"/>
      <c r="F46" s="34"/>
      <c r="G46" s="34"/>
      <c r="H46" s="34"/>
      <c r="I46" s="34"/>
      <c r="J46" s="34"/>
      <c r="K46" s="34"/>
      <c r="M46" s="33" t="s">
        <v>7</v>
      </c>
      <c r="N46" s="34"/>
      <c r="O46" s="34"/>
      <c r="P46" s="34"/>
      <c r="Q46" s="34"/>
      <c r="R46" s="34"/>
      <c r="S46" s="34"/>
      <c r="T46" s="34"/>
      <c r="U46" s="34"/>
    </row>
    <row r="47" spans="1:21" ht="42">
      <c r="A47" s="15" t="s">
        <v>254</v>
      </c>
      <c r="C47" s="16" t="s">
        <v>148</v>
      </c>
      <c r="E47" s="16" t="s">
        <v>255</v>
      </c>
      <c r="G47" s="16" t="s">
        <v>256</v>
      </c>
      <c r="I47" s="16" t="s">
        <v>257</v>
      </c>
      <c r="K47" s="16" t="s">
        <v>258</v>
      </c>
      <c r="M47" s="16" t="s">
        <v>148</v>
      </c>
      <c r="O47" s="16" t="s">
        <v>255</v>
      </c>
      <c r="Q47" s="16" t="s">
        <v>256</v>
      </c>
      <c r="S47" s="16" t="s">
        <v>257</v>
      </c>
      <c r="U47" s="16" t="s">
        <v>258</v>
      </c>
    </row>
    <row r="48" spans="1:21" ht="21">
      <c r="A48" s="17" t="s">
        <v>306</v>
      </c>
      <c r="C48" s="5">
        <f>C39</f>
        <v>1632741480</v>
      </c>
      <c r="E48" s="5">
        <f>E39</f>
        <v>70138740926</v>
      </c>
      <c r="G48" s="5">
        <f>G39</f>
        <v>-389561948</v>
      </c>
      <c r="I48" s="5">
        <f>I39</f>
        <v>71381920458</v>
      </c>
      <c r="K48" s="7">
        <f>K39</f>
        <v>0.39493125997834977</v>
      </c>
      <c r="M48" s="5">
        <f>M39</f>
        <v>29691711200</v>
      </c>
      <c r="O48" s="5">
        <f>O39</f>
        <v>53591333555</v>
      </c>
      <c r="Q48" s="5">
        <f>Q39</f>
        <v>6945245676</v>
      </c>
      <c r="S48" s="5">
        <f>S39</f>
        <v>90228290431</v>
      </c>
      <c r="U48" s="7">
        <f>U39</f>
        <v>0.39897433397624199</v>
      </c>
    </row>
    <row r="49" spans="1:21" ht="21">
      <c r="A49" s="17" t="s">
        <v>270</v>
      </c>
      <c r="C49" s="5">
        <v>0</v>
      </c>
      <c r="E49" s="5">
        <v>-101240403</v>
      </c>
      <c r="G49" s="5">
        <v>556578753</v>
      </c>
      <c r="I49" s="5">
        <f t="shared" si="0"/>
        <v>455338350</v>
      </c>
      <c r="K49" s="7">
        <v>2.5192282181280118E-3</v>
      </c>
      <c r="M49" s="5">
        <v>0</v>
      </c>
      <c r="O49" s="5">
        <v>0</v>
      </c>
      <c r="Q49" s="5">
        <v>735268273</v>
      </c>
      <c r="S49" s="5">
        <f t="shared" si="1"/>
        <v>735268273</v>
      </c>
      <c r="U49" s="7">
        <v>3.2512327132959672E-3</v>
      </c>
    </row>
    <row r="50" spans="1:21" ht="21">
      <c r="A50" s="17" t="s">
        <v>271</v>
      </c>
      <c r="C50" s="5">
        <v>0</v>
      </c>
      <c r="E50" s="5">
        <v>1752013125</v>
      </c>
      <c r="G50" s="5">
        <v>0</v>
      </c>
      <c r="I50" s="5">
        <f t="shared" si="0"/>
        <v>1752013125</v>
      </c>
      <c r="K50" s="7">
        <v>9.6932773245008673E-3</v>
      </c>
      <c r="M50" s="5">
        <v>621215130</v>
      </c>
      <c r="O50" s="5">
        <v>-3280365000</v>
      </c>
      <c r="Q50" s="5">
        <v>-6939629287</v>
      </c>
      <c r="S50" s="5">
        <f t="shared" si="1"/>
        <v>-9598779157</v>
      </c>
      <c r="U50" s="7">
        <v>-4.2444187990880289E-2</v>
      </c>
    </row>
    <row r="51" spans="1:21" ht="21">
      <c r="A51" s="17" t="s">
        <v>272</v>
      </c>
      <c r="C51" s="5">
        <v>0</v>
      </c>
      <c r="E51" s="5">
        <v>0</v>
      </c>
      <c r="G51" s="5">
        <v>0</v>
      </c>
      <c r="I51" s="5">
        <f t="shared" si="0"/>
        <v>0</v>
      </c>
      <c r="K51" s="7">
        <v>0</v>
      </c>
      <c r="M51" s="5">
        <v>3861186000</v>
      </c>
      <c r="O51" s="5">
        <v>0</v>
      </c>
      <c r="Q51" s="5">
        <v>-9026772751</v>
      </c>
      <c r="S51" s="5">
        <f t="shared" si="1"/>
        <v>-5165586751</v>
      </c>
      <c r="U51" s="7">
        <v>-2.2841356338816798E-2</v>
      </c>
    </row>
    <row r="52" spans="1:21" ht="21">
      <c r="A52" s="17" t="s">
        <v>273</v>
      </c>
      <c r="C52" s="5">
        <v>0</v>
      </c>
      <c r="E52" s="5">
        <v>9720586318</v>
      </c>
      <c r="G52" s="5">
        <v>0</v>
      </c>
      <c r="I52" s="5">
        <f t="shared" si="0"/>
        <v>9720586318</v>
      </c>
      <c r="K52" s="7">
        <v>5.3780612480926922E-2</v>
      </c>
      <c r="M52" s="5">
        <v>0</v>
      </c>
      <c r="O52" s="5">
        <v>15112098687</v>
      </c>
      <c r="Q52" s="5">
        <v>0</v>
      </c>
      <c r="S52" s="5">
        <f t="shared" si="1"/>
        <v>15112098687</v>
      </c>
      <c r="U52" s="7">
        <v>6.682316022866315E-2</v>
      </c>
    </row>
    <row r="53" spans="1:21" ht="21">
      <c r="A53" s="17" t="s">
        <v>48</v>
      </c>
      <c r="C53" s="5">
        <v>0</v>
      </c>
      <c r="E53" s="5">
        <v>377358565</v>
      </c>
      <c r="G53" s="5">
        <v>0</v>
      </c>
      <c r="I53" s="5">
        <f t="shared" si="0"/>
        <v>377358565</v>
      </c>
      <c r="K53" s="7">
        <v>2.0877932757043054E-3</v>
      </c>
      <c r="M53" s="5">
        <v>0</v>
      </c>
      <c r="O53" s="5">
        <v>377358565</v>
      </c>
      <c r="Q53" s="5">
        <v>0</v>
      </c>
      <c r="S53" s="5">
        <f t="shared" si="1"/>
        <v>377358565</v>
      </c>
      <c r="U53" s="7">
        <v>1.6686161449134399E-3</v>
      </c>
    </row>
    <row r="54" spans="1:21" ht="21">
      <c r="A54" s="17" t="s">
        <v>49</v>
      </c>
      <c r="C54" s="5">
        <v>0</v>
      </c>
      <c r="E54" s="5">
        <v>1581222830</v>
      </c>
      <c r="G54" s="5">
        <v>1092432828</v>
      </c>
      <c r="I54" s="5">
        <f t="shared" si="0"/>
        <v>2673655658</v>
      </c>
      <c r="K54" s="7">
        <v>1.4792403888649434E-2</v>
      </c>
      <c r="M54" s="5">
        <v>0</v>
      </c>
      <c r="O54" s="5">
        <v>4424260000</v>
      </c>
      <c r="Q54" s="5">
        <v>1092432828</v>
      </c>
      <c r="S54" s="5">
        <f t="shared" si="1"/>
        <v>5516692828</v>
      </c>
      <c r="U54" s="7">
        <v>2.4393888394527316E-2</v>
      </c>
    </row>
    <row r="55" spans="1:21" ht="21">
      <c r="A55" s="17" t="s">
        <v>50</v>
      </c>
      <c r="C55" s="5">
        <v>0</v>
      </c>
      <c r="E55" s="5">
        <v>19036716277</v>
      </c>
      <c r="G55" s="5">
        <v>0</v>
      </c>
      <c r="I55" s="5">
        <f t="shared" si="0"/>
        <v>19036716277</v>
      </c>
      <c r="K55" s="7">
        <v>0.10532350904665778</v>
      </c>
      <c r="M55" s="5">
        <v>6155570160</v>
      </c>
      <c r="O55" s="5">
        <v>18836424108</v>
      </c>
      <c r="Q55" s="5">
        <v>0</v>
      </c>
      <c r="S55" s="5">
        <f t="shared" si="1"/>
        <v>24991994268</v>
      </c>
      <c r="U55" s="7">
        <v>0.11051039779412174</v>
      </c>
    </row>
    <row r="56" spans="1:21" ht="21">
      <c r="A56" s="17" t="s">
        <v>274</v>
      </c>
      <c r="C56" s="5">
        <v>0</v>
      </c>
      <c r="E56" s="5">
        <v>-24742954</v>
      </c>
      <c r="G56" s="5">
        <v>0</v>
      </c>
      <c r="I56" s="5">
        <f t="shared" si="0"/>
        <v>-24742954</v>
      </c>
      <c r="K56" s="7">
        <v>-1.3689413140062409E-4</v>
      </c>
      <c r="M56" s="5">
        <v>0</v>
      </c>
      <c r="O56" s="5">
        <v>-24742954</v>
      </c>
      <c r="Q56" s="5">
        <v>0</v>
      </c>
      <c r="S56" s="5">
        <f t="shared" si="1"/>
        <v>-24742954</v>
      </c>
      <c r="U56" s="7">
        <v>-1.0940918358975257E-4</v>
      </c>
    </row>
    <row r="57" spans="1:21" ht="21">
      <c r="A57" s="17" t="s">
        <v>245</v>
      </c>
      <c r="C57" s="5">
        <v>0</v>
      </c>
      <c r="E57" s="5">
        <v>0</v>
      </c>
      <c r="G57" s="5">
        <v>0</v>
      </c>
      <c r="I57" s="5">
        <f t="shared" si="0"/>
        <v>0</v>
      </c>
      <c r="K57" s="7">
        <v>0</v>
      </c>
      <c r="M57" s="5">
        <v>0</v>
      </c>
      <c r="O57" s="5">
        <v>0</v>
      </c>
      <c r="Q57" s="5">
        <v>3589617595</v>
      </c>
      <c r="S57" s="5">
        <f t="shared" si="1"/>
        <v>3589617595</v>
      </c>
      <c r="U57" s="7">
        <v>1.5872685632780995E-2</v>
      </c>
    </row>
    <row r="58" spans="1:21" ht="21">
      <c r="A58" s="17" t="s">
        <v>53</v>
      </c>
      <c r="C58" s="5">
        <v>0</v>
      </c>
      <c r="E58" s="5">
        <v>0</v>
      </c>
      <c r="G58" s="5">
        <v>351589245</v>
      </c>
      <c r="I58" s="5">
        <f t="shared" si="0"/>
        <v>351589245</v>
      </c>
      <c r="K58" s="7">
        <v>1.9452206193357599E-3</v>
      </c>
      <c r="M58" s="5">
        <v>0</v>
      </c>
      <c r="O58" s="5">
        <v>0</v>
      </c>
      <c r="Q58" s="5">
        <v>351589245</v>
      </c>
      <c r="S58" s="5">
        <f t="shared" si="1"/>
        <v>351589245</v>
      </c>
      <c r="U58" s="7">
        <v>1.5546685433916862E-3</v>
      </c>
    </row>
    <row r="59" spans="1:21" ht="21">
      <c r="A59" s="17" t="s">
        <v>275</v>
      </c>
      <c r="C59" s="5">
        <v>0</v>
      </c>
      <c r="E59" s="5">
        <v>69996147</v>
      </c>
      <c r="G59" s="5">
        <v>0</v>
      </c>
      <c r="I59" s="5">
        <f t="shared" si="0"/>
        <v>69996147</v>
      </c>
      <c r="K59" s="7">
        <v>3.8726425894642166E-4</v>
      </c>
      <c r="M59" s="5">
        <v>0</v>
      </c>
      <c r="O59" s="5">
        <v>69996147</v>
      </c>
      <c r="Q59" s="5">
        <v>0</v>
      </c>
      <c r="S59" s="5">
        <f t="shared" si="1"/>
        <v>69996147</v>
      </c>
      <c r="U59" s="7">
        <v>3.0951119650864274E-4</v>
      </c>
    </row>
    <row r="60" spans="1:21" ht="21">
      <c r="A60" s="17" t="s">
        <v>55</v>
      </c>
      <c r="C60" s="5">
        <v>0</v>
      </c>
      <c r="E60" s="5">
        <v>3413070675</v>
      </c>
      <c r="G60" s="5">
        <v>0</v>
      </c>
      <c r="I60" s="5">
        <f t="shared" si="0"/>
        <v>3413070675</v>
      </c>
      <c r="K60" s="7">
        <v>1.8883329187899988E-2</v>
      </c>
      <c r="M60" s="5">
        <v>1147500000</v>
      </c>
      <c r="O60" s="5">
        <v>-1230136874</v>
      </c>
      <c r="Q60" s="5">
        <v>3724158520</v>
      </c>
      <c r="S60" s="5">
        <f t="shared" si="1"/>
        <v>3641521646</v>
      </c>
      <c r="U60" s="7">
        <v>1.6102196621845231E-2</v>
      </c>
    </row>
    <row r="61" spans="1:21" ht="21">
      <c r="A61" s="17" t="s">
        <v>276</v>
      </c>
      <c r="C61" s="5">
        <v>0</v>
      </c>
      <c r="E61" s="5">
        <v>11936999863</v>
      </c>
      <c r="G61" s="5">
        <v>0</v>
      </c>
      <c r="I61" s="5">
        <f t="shared" si="0"/>
        <v>11936999863</v>
      </c>
      <c r="K61" s="7">
        <v>6.6043255295012621E-2</v>
      </c>
      <c r="M61" s="5">
        <v>8240000000</v>
      </c>
      <c r="O61" s="5">
        <v>11133934245</v>
      </c>
      <c r="Q61" s="5">
        <v>-2963839943</v>
      </c>
      <c r="S61" s="5">
        <f t="shared" si="1"/>
        <v>16410094302</v>
      </c>
      <c r="U61" s="7">
        <v>7.2562678660465132E-2</v>
      </c>
    </row>
    <row r="62" spans="1:21" ht="21">
      <c r="A62" s="17" t="s">
        <v>58</v>
      </c>
      <c r="C62" s="5">
        <v>0</v>
      </c>
      <c r="E62" s="5">
        <v>1089901580</v>
      </c>
      <c r="G62" s="5">
        <v>1111642880</v>
      </c>
      <c r="I62" s="5">
        <f t="shared" si="0"/>
        <v>2201544460</v>
      </c>
      <c r="K62" s="7">
        <v>1.2180377354763542E-2</v>
      </c>
      <c r="M62" s="5">
        <v>0</v>
      </c>
      <c r="O62" s="5">
        <v>1089901580</v>
      </c>
      <c r="Q62" s="5">
        <v>1111642880</v>
      </c>
      <c r="S62" s="5">
        <f t="shared" si="1"/>
        <v>2201544460</v>
      </c>
      <c r="U62" s="7">
        <v>9.7348595485059163E-3</v>
      </c>
    </row>
    <row r="63" spans="1:21" ht="21">
      <c r="A63" s="17" t="s">
        <v>246</v>
      </c>
      <c r="C63" s="5">
        <v>0</v>
      </c>
      <c r="E63" s="5">
        <v>0</v>
      </c>
      <c r="G63" s="5">
        <v>0</v>
      </c>
      <c r="I63" s="5">
        <f t="shared" si="0"/>
        <v>0</v>
      </c>
      <c r="K63" s="7">
        <v>0</v>
      </c>
      <c r="M63" s="5">
        <v>0</v>
      </c>
      <c r="O63" s="5">
        <v>0</v>
      </c>
      <c r="Q63" s="5">
        <v>264688441</v>
      </c>
      <c r="S63" s="5">
        <f t="shared" si="1"/>
        <v>264688441</v>
      </c>
      <c r="U63" s="7">
        <v>1.1704077951021688E-3</v>
      </c>
    </row>
    <row r="64" spans="1:21" ht="21">
      <c r="A64" s="17" t="s">
        <v>277</v>
      </c>
      <c r="C64" s="5">
        <v>0</v>
      </c>
      <c r="E64" s="5">
        <v>3174586867</v>
      </c>
      <c r="G64" s="5">
        <v>0</v>
      </c>
      <c r="I64" s="5">
        <f t="shared" si="0"/>
        <v>3174586867</v>
      </c>
      <c r="K64" s="7">
        <v>1.7563881487788143E-2</v>
      </c>
      <c r="M64" s="5">
        <v>1476028400</v>
      </c>
      <c r="O64" s="5">
        <v>2782954470</v>
      </c>
      <c r="Q64" s="5">
        <v>-936644980</v>
      </c>
      <c r="S64" s="5">
        <f t="shared" si="1"/>
        <v>3322337890</v>
      </c>
      <c r="U64" s="7">
        <v>1.4690819703831692E-2</v>
      </c>
    </row>
    <row r="65" spans="1:21" ht="21">
      <c r="A65" s="17" t="s">
        <v>278</v>
      </c>
      <c r="C65" s="5">
        <v>0</v>
      </c>
      <c r="E65" s="5">
        <v>0</v>
      </c>
      <c r="G65" s="5">
        <v>0</v>
      </c>
      <c r="I65" s="5">
        <f t="shared" si="0"/>
        <v>0</v>
      </c>
      <c r="K65" s="7">
        <v>0</v>
      </c>
      <c r="M65" s="5">
        <v>0</v>
      </c>
      <c r="O65" s="5">
        <v>0</v>
      </c>
      <c r="Q65" s="5">
        <v>-543685264</v>
      </c>
      <c r="S65" s="5">
        <f t="shared" si="1"/>
        <v>-543685264</v>
      </c>
      <c r="U65" s="7">
        <v>-2.4040848503383665E-3</v>
      </c>
    </row>
    <row r="66" spans="1:21" ht="21">
      <c r="A66" s="17" t="s">
        <v>175</v>
      </c>
      <c r="C66" s="5">
        <v>0</v>
      </c>
      <c r="E66" s="5">
        <v>0</v>
      </c>
      <c r="G66" s="5">
        <v>0</v>
      </c>
      <c r="I66" s="5">
        <f t="shared" si="0"/>
        <v>0</v>
      </c>
      <c r="K66" s="7">
        <v>0</v>
      </c>
      <c r="M66" s="5">
        <v>2957254200</v>
      </c>
      <c r="O66" s="5">
        <v>0</v>
      </c>
      <c r="Q66" s="5">
        <v>-864294806</v>
      </c>
      <c r="S66" s="5">
        <f t="shared" si="1"/>
        <v>2092959394</v>
      </c>
      <c r="U66" s="7">
        <v>9.2547146385206572E-3</v>
      </c>
    </row>
    <row r="67" spans="1:21" ht="21">
      <c r="A67" s="17" t="s">
        <v>247</v>
      </c>
      <c r="C67" s="5">
        <v>0</v>
      </c>
      <c r="E67" s="5">
        <v>0</v>
      </c>
      <c r="G67" s="5">
        <v>0</v>
      </c>
      <c r="I67" s="5">
        <f t="shared" si="0"/>
        <v>0</v>
      </c>
      <c r="K67" s="7">
        <v>0</v>
      </c>
      <c r="M67" s="5">
        <v>0</v>
      </c>
      <c r="O67" s="5">
        <v>0</v>
      </c>
      <c r="Q67" s="5">
        <v>90012655</v>
      </c>
      <c r="S67" s="5">
        <f t="shared" si="1"/>
        <v>90012655</v>
      </c>
      <c r="U67" s="7">
        <v>3.980208303461284E-4</v>
      </c>
    </row>
    <row r="68" spans="1:21" ht="21">
      <c r="A68" s="17" t="s">
        <v>279</v>
      </c>
      <c r="C68" s="5">
        <v>0</v>
      </c>
      <c r="E68" s="5">
        <v>6569023461</v>
      </c>
      <c r="G68" s="5">
        <v>-552571500</v>
      </c>
      <c r="I68" s="5">
        <f t="shared" si="0"/>
        <v>6016451961</v>
      </c>
      <c r="K68" s="7">
        <v>3.3286929495753681E-2</v>
      </c>
      <c r="M68" s="5">
        <v>3439675060</v>
      </c>
      <c r="O68" s="5">
        <v>-199549090</v>
      </c>
      <c r="Q68" s="5">
        <v>-2050911518</v>
      </c>
      <c r="S68" s="5">
        <f t="shared" si="1"/>
        <v>1189214452</v>
      </c>
      <c r="U68" s="7">
        <v>5.2585064138443204E-3</v>
      </c>
    </row>
    <row r="69" spans="1:21" ht="21">
      <c r="A69" s="17" t="s">
        <v>280</v>
      </c>
      <c r="C69" s="5">
        <v>0</v>
      </c>
      <c r="E69" s="5">
        <v>4174238967</v>
      </c>
      <c r="G69" s="5">
        <v>0</v>
      </c>
      <c r="I69" s="5">
        <f t="shared" si="0"/>
        <v>4174238967</v>
      </c>
      <c r="K69" s="7">
        <v>2.3094607767775156E-2</v>
      </c>
      <c r="M69" s="5">
        <v>1973847300</v>
      </c>
      <c r="O69" s="5">
        <v>-4490296972</v>
      </c>
      <c r="Q69" s="5">
        <v>85922324</v>
      </c>
      <c r="S69" s="5">
        <f t="shared" si="1"/>
        <v>-2430527348</v>
      </c>
      <c r="U69" s="7">
        <v>-1.0747383389923711E-2</v>
      </c>
    </row>
    <row r="70" spans="1:21" ht="21">
      <c r="A70" s="17" t="s">
        <v>281</v>
      </c>
      <c r="C70" s="5">
        <v>0</v>
      </c>
      <c r="E70" s="5">
        <v>16900440480</v>
      </c>
      <c r="G70" s="5">
        <v>0</v>
      </c>
      <c r="I70" s="5">
        <f t="shared" si="0"/>
        <v>16900440480</v>
      </c>
      <c r="K70" s="7">
        <v>9.3504240431338412E-2</v>
      </c>
      <c r="M70" s="5">
        <v>4262400000</v>
      </c>
      <c r="O70" s="5">
        <v>17250095378</v>
      </c>
      <c r="Q70" s="5">
        <v>-250307537</v>
      </c>
      <c r="S70" s="5">
        <f t="shared" si="1"/>
        <v>21262187841</v>
      </c>
      <c r="U70" s="7">
        <v>9.4017820710323177E-2</v>
      </c>
    </row>
    <row r="71" spans="1:21" ht="21">
      <c r="A71" s="17" t="s">
        <v>178</v>
      </c>
      <c r="C71" s="5">
        <v>0</v>
      </c>
      <c r="E71" s="5">
        <v>0</v>
      </c>
      <c r="G71" s="5">
        <v>0</v>
      </c>
      <c r="I71" s="5">
        <f t="shared" si="0"/>
        <v>0</v>
      </c>
      <c r="K71" s="7">
        <v>0</v>
      </c>
      <c r="M71" s="5">
        <v>772875000</v>
      </c>
      <c r="O71" s="5">
        <v>0</v>
      </c>
      <c r="Q71" s="5">
        <v>2443155390</v>
      </c>
      <c r="S71" s="5">
        <f t="shared" si="1"/>
        <v>3216030390</v>
      </c>
      <c r="U71" s="7">
        <v>1.4220745807866496E-2</v>
      </c>
    </row>
    <row r="72" spans="1:21" ht="21">
      <c r="A72" s="17" t="s">
        <v>64</v>
      </c>
      <c r="C72" s="5">
        <v>0</v>
      </c>
      <c r="E72" s="5">
        <v>1565628750</v>
      </c>
      <c r="G72" s="5">
        <v>0</v>
      </c>
      <c r="I72" s="5">
        <f t="shared" si="0"/>
        <v>1565628750</v>
      </c>
      <c r="K72" s="7">
        <v>8.6620776091284359E-3</v>
      </c>
      <c r="M72" s="5">
        <v>2512500760</v>
      </c>
      <c r="O72" s="5">
        <v>551764964</v>
      </c>
      <c r="Q72" s="5">
        <v>-4495866151</v>
      </c>
      <c r="S72" s="5">
        <f t="shared" si="1"/>
        <v>-1431600427</v>
      </c>
      <c r="U72" s="7">
        <v>-6.3302964530755363E-3</v>
      </c>
    </row>
    <row r="73" spans="1:21" ht="21">
      <c r="A73" s="17" t="s">
        <v>282</v>
      </c>
      <c r="C73" s="5">
        <v>0</v>
      </c>
      <c r="E73" s="5">
        <v>10845085500</v>
      </c>
      <c r="G73" s="5">
        <v>0</v>
      </c>
      <c r="I73" s="5">
        <f t="shared" si="0"/>
        <v>10845085500</v>
      </c>
      <c r="K73" s="7">
        <v>6.000207410513729E-2</v>
      </c>
      <c r="M73" s="5">
        <v>4425879400</v>
      </c>
      <c r="O73" s="5">
        <v>-62838827</v>
      </c>
      <c r="Q73" s="5">
        <v>-2901163873</v>
      </c>
      <c r="S73" s="5">
        <f t="shared" si="1"/>
        <v>1461876700</v>
      </c>
      <c r="U73" s="7">
        <v>6.4641730431977372E-3</v>
      </c>
    </row>
    <row r="74" spans="1:21" ht="21">
      <c r="A74" s="17" t="s">
        <v>283</v>
      </c>
      <c r="C74" s="5">
        <v>0</v>
      </c>
      <c r="E74" s="5">
        <v>2584530000</v>
      </c>
      <c r="G74" s="5">
        <v>433636600</v>
      </c>
      <c r="I74" s="5">
        <f t="shared" si="0"/>
        <v>3018166600</v>
      </c>
      <c r="K74" s="7">
        <v>1.6698462727181843E-2</v>
      </c>
      <c r="M74" s="5">
        <v>2711538480</v>
      </c>
      <c r="O74" s="5">
        <v>1570101975</v>
      </c>
      <c r="Q74" s="5">
        <v>-2146638642</v>
      </c>
      <c r="S74" s="5">
        <f t="shared" si="1"/>
        <v>2135001813</v>
      </c>
      <c r="U74" s="7">
        <v>9.4406191485047249E-3</v>
      </c>
    </row>
    <row r="75" spans="1:21" ht="21">
      <c r="A75" s="17" t="s">
        <v>284</v>
      </c>
      <c r="C75" s="5">
        <v>0</v>
      </c>
      <c r="E75" s="5">
        <v>6182602018</v>
      </c>
      <c r="G75" s="5">
        <v>-1073096672</v>
      </c>
      <c r="I75" s="5">
        <f t="shared" si="0"/>
        <v>5109505346</v>
      </c>
      <c r="K75" s="7">
        <v>2.826911031833609E-2</v>
      </c>
      <c r="M75" s="5">
        <v>2155051860</v>
      </c>
      <c r="O75" s="5">
        <v>-851776740</v>
      </c>
      <c r="Q75" s="5">
        <v>-3991232432</v>
      </c>
      <c r="S75" s="5">
        <f t="shared" si="1"/>
        <v>-2687957312</v>
      </c>
      <c r="U75" s="7">
        <v>-1.1885695419796109E-2</v>
      </c>
    </row>
    <row r="76" spans="1:21" ht="21">
      <c r="A76" s="17" t="s">
        <v>68</v>
      </c>
      <c r="C76" s="5">
        <v>0</v>
      </c>
      <c r="E76" s="5">
        <v>-489072600</v>
      </c>
      <c r="G76" s="5">
        <v>0</v>
      </c>
      <c r="I76" s="5">
        <f t="shared" si="0"/>
        <v>-489072600</v>
      </c>
      <c r="K76" s="7">
        <v>-2.7058680531372634E-3</v>
      </c>
      <c r="M76" s="5">
        <v>0</v>
      </c>
      <c r="O76" s="5">
        <v>807292991</v>
      </c>
      <c r="Q76" s="5">
        <v>1064326375</v>
      </c>
      <c r="S76" s="5">
        <f t="shared" si="1"/>
        <v>1871619366</v>
      </c>
      <c r="U76" s="7">
        <v>8.2759862393483943E-3</v>
      </c>
    </row>
    <row r="77" spans="1:21" ht="21">
      <c r="A77" s="17" t="s">
        <v>69</v>
      </c>
      <c r="C77" s="5">
        <v>0</v>
      </c>
      <c r="E77" s="5">
        <v>801751028</v>
      </c>
      <c r="G77" s="5">
        <v>0</v>
      </c>
      <c r="I77" s="5">
        <f t="shared" si="0"/>
        <v>801751028</v>
      </c>
      <c r="K77" s="7">
        <v>4.435808698412382E-3</v>
      </c>
      <c r="M77" s="5">
        <v>1864000000</v>
      </c>
      <c r="O77" s="5">
        <v>2329488163</v>
      </c>
      <c r="Q77" s="5">
        <v>2663767254</v>
      </c>
      <c r="S77" s="5">
        <f t="shared" si="1"/>
        <v>6857255417</v>
      </c>
      <c r="U77" s="7">
        <v>3.0321630830351876E-2</v>
      </c>
    </row>
    <row r="78" spans="1:21" ht="21">
      <c r="A78" s="17" t="s">
        <v>305</v>
      </c>
      <c r="C78" s="13">
        <f>SUM(C48:C77)</f>
        <v>1632741480</v>
      </c>
      <c r="E78" s="13">
        <f>SUM(E48:E77)</f>
        <v>171299437420</v>
      </c>
      <c r="G78" s="13">
        <f>SUM(G48:G77)</f>
        <v>1530650186</v>
      </c>
      <c r="I78" s="13">
        <f>SUM(I48:I77)</f>
        <v>174462829086</v>
      </c>
      <c r="K78" s="12">
        <f>SUM(K48:K77)</f>
        <v>0.96524196138518903</v>
      </c>
      <c r="M78" s="13">
        <f>SUM(M48:M77)</f>
        <v>78268232950</v>
      </c>
      <c r="O78" s="13">
        <f>SUM(O48:O77)</f>
        <v>119787298371</v>
      </c>
      <c r="Q78" s="13">
        <f>SUM(Q48:Q77)</f>
        <v>-12949159728</v>
      </c>
      <c r="S78" s="13">
        <f>SUM(S48:S77)</f>
        <v>185106371593</v>
      </c>
      <c r="U78" s="12">
        <f>SUM(U48:U77)</f>
        <v>0.81850926099007792</v>
      </c>
    </row>
    <row r="79" spans="1:21" ht="20.100000000000001" customHeight="1">
      <c r="A79" s="39" t="s">
        <v>0</v>
      </c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</row>
    <row r="80" spans="1:21" ht="20.100000000000001" customHeight="1">
      <c r="A80" s="39" t="s">
        <v>137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</row>
    <row r="81" spans="1:21" ht="20.100000000000001" customHeight="1">
      <c r="A81" s="39" t="s">
        <v>2</v>
      </c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</row>
    <row r="83" spans="1:21" ht="21">
      <c r="A83" s="40" t="s">
        <v>313</v>
      </c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40"/>
      <c r="U83" s="37"/>
    </row>
    <row r="85" spans="1:21" ht="21">
      <c r="C85" s="33" t="s">
        <v>150</v>
      </c>
      <c r="D85" s="34"/>
      <c r="E85" s="34"/>
      <c r="F85" s="34"/>
      <c r="G85" s="34"/>
      <c r="H85" s="34"/>
      <c r="I85" s="34"/>
      <c r="J85" s="34"/>
      <c r="K85" s="34"/>
      <c r="M85" s="33" t="s">
        <v>7</v>
      </c>
      <c r="N85" s="34"/>
      <c r="O85" s="34"/>
      <c r="P85" s="34"/>
      <c r="Q85" s="34"/>
      <c r="R85" s="34"/>
      <c r="S85" s="34"/>
      <c r="T85" s="34"/>
      <c r="U85" s="34"/>
    </row>
    <row r="86" spans="1:21" ht="42">
      <c r="A86" s="15" t="s">
        <v>254</v>
      </c>
      <c r="C86" s="16" t="s">
        <v>148</v>
      </c>
      <c r="E86" s="16" t="s">
        <v>255</v>
      </c>
      <c r="G86" s="16" t="s">
        <v>256</v>
      </c>
      <c r="I86" s="16" t="s">
        <v>257</v>
      </c>
      <c r="K86" s="16" t="s">
        <v>258</v>
      </c>
      <c r="M86" s="16" t="s">
        <v>148</v>
      </c>
      <c r="O86" s="16" t="s">
        <v>255</v>
      </c>
      <c r="Q86" s="16" t="s">
        <v>256</v>
      </c>
      <c r="S86" s="16" t="s">
        <v>257</v>
      </c>
      <c r="U86" s="16" t="s">
        <v>258</v>
      </c>
    </row>
    <row r="87" spans="1:21" ht="21">
      <c r="A87" s="17" t="s">
        <v>306</v>
      </c>
      <c r="C87" s="5">
        <f>C78</f>
        <v>1632741480</v>
      </c>
      <c r="E87" s="5">
        <f>E78</f>
        <v>171299437420</v>
      </c>
      <c r="G87" s="5">
        <f>G78</f>
        <v>1530650186</v>
      </c>
      <c r="I87" s="5">
        <f>I78</f>
        <v>174462829086</v>
      </c>
      <c r="K87" s="7">
        <f>K78</f>
        <v>0.96524196138518903</v>
      </c>
      <c r="M87" s="5">
        <f>M78</f>
        <v>78268232950</v>
      </c>
      <c r="O87" s="5">
        <f>O78</f>
        <v>119787298371</v>
      </c>
      <c r="Q87" s="5">
        <f>Q78</f>
        <v>-12949159728</v>
      </c>
      <c r="S87" s="5">
        <f>S78</f>
        <v>185106371593</v>
      </c>
      <c r="U87" s="7">
        <f>U78</f>
        <v>0.81850926099007792</v>
      </c>
    </row>
    <row r="88" spans="1:21" ht="21">
      <c r="A88" s="17" t="s">
        <v>185</v>
      </c>
      <c r="C88" s="5">
        <v>0</v>
      </c>
      <c r="E88" s="5">
        <v>0</v>
      </c>
      <c r="G88" s="5">
        <v>0</v>
      </c>
      <c r="I88" s="5">
        <f t="shared" si="0"/>
        <v>0</v>
      </c>
      <c r="K88" s="7">
        <v>0</v>
      </c>
      <c r="M88" s="5">
        <v>425600000</v>
      </c>
      <c r="O88" s="5">
        <v>0</v>
      </c>
      <c r="Q88" s="5">
        <v>-2112709377</v>
      </c>
      <c r="S88" s="5">
        <f t="shared" si="1"/>
        <v>-1687109377</v>
      </c>
      <c r="U88" s="7">
        <v>-7.4601140819396941E-3</v>
      </c>
    </row>
    <row r="89" spans="1:21" ht="21">
      <c r="A89" s="17" t="s">
        <v>70</v>
      </c>
      <c r="C89" s="5">
        <v>0</v>
      </c>
      <c r="E89" s="5">
        <v>71032176</v>
      </c>
      <c r="G89" s="5">
        <v>0</v>
      </c>
      <c r="I89" s="5">
        <f t="shared" si="0"/>
        <v>71032176</v>
      </c>
      <c r="K89" s="7">
        <v>3.929962459218191E-4</v>
      </c>
      <c r="M89" s="5">
        <v>0</v>
      </c>
      <c r="O89" s="5">
        <v>71032176</v>
      </c>
      <c r="Q89" s="5">
        <v>0</v>
      </c>
      <c r="S89" s="5">
        <f t="shared" si="1"/>
        <v>71032176</v>
      </c>
      <c r="U89" s="7">
        <v>3.1409234260240779E-4</v>
      </c>
    </row>
    <row r="90" spans="1:21" ht="21">
      <c r="A90" s="17" t="s">
        <v>71</v>
      </c>
      <c r="C90" s="5">
        <v>0</v>
      </c>
      <c r="E90" s="5">
        <v>949983764</v>
      </c>
      <c r="G90" s="5">
        <v>0</v>
      </c>
      <c r="I90" s="5">
        <f t="shared" si="0"/>
        <v>949983764</v>
      </c>
      <c r="K90" s="7">
        <v>5.2559287067128471E-3</v>
      </c>
      <c r="M90" s="5">
        <v>3509680000</v>
      </c>
      <c r="O90" s="5">
        <v>4988717267</v>
      </c>
      <c r="Q90" s="5">
        <v>5777609211</v>
      </c>
      <c r="S90" s="5">
        <f t="shared" si="1"/>
        <v>14276006478</v>
      </c>
      <c r="U90" s="7">
        <v>6.3126101017687661E-2</v>
      </c>
    </row>
    <row r="91" spans="1:21" ht="21">
      <c r="A91" s="17" t="s">
        <v>72</v>
      </c>
      <c r="C91" s="5">
        <v>0</v>
      </c>
      <c r="E91" s="5">
        <v>498019050</v>
      </c>
      <c r="G91" s="5">
        <v>0</v>
      </c>
      <c r="I91" s="5">
        <f t="shared" si="0"/>
        <v>498019050</v>
      </c>
      <c r="K91" s="7">
        <v>2.7553656394751404E-3</v>
      </c>
      <c r="M91" s="5">
        <v>0</v>
      </c>
      <c r="O91" s="5">
        <v>1978920873</v>
      </c>
      <c r="Q91" s="5">
        <v>0</v>
      </c>
      <c r="S91" s="5">
        <f t="shared" si="1"/>
        <v>1978920873</v>
      </c>
      <c r="U91" s="7">
        <v>8.7504554671867553E-3</v>
      </c>
    </row>
    <row r="92" spans="1:21" ht="21">
      <c r="A92" s="17" t="s">
        <v>285</v>
      </c>
      <c r="C92" s="5">
        <v>4736000000</v>
      </c>
      <c r="E92" s="5">
        <v>-2675823552</v>
      </c>
      <c r="G92" s="5">
        <v>0</v>
      </c>
      <c r="I92" s="5">
        <f t="shared" si="0"/>
        <v>2060176448</v>
      </c>
      <c r="K92" s="7">
        <v>1.1398237469179428E-2</v>
      </c>
      <c r="M92" s="5">
        <v>9245477500</v>
      </c>
      <c r="O92" s="5">
        <v>4429168704</v>
      </c>
      <c r="Q92" s="5">
        <v>562923426</v>
      </c>
      <c r="S92" s="5">
        <f t="shared" si="1"/>
        <v>14237569630</v>
      </c>
      <c r="U92" s="7">
        <v>6.2956139736611696E-2</v>
      </c>
    </row>
    <row r="93" spans="1:21" ht="21">
      <c r="A93" s="17" t="s">
        <v>75</v>
      </c>
      <c r="C93" s="5">
        <v>0</v>
      </c>
      <c r="E93" s="5">
        <v>-160753801</v>
      </c>
      <c r="G93" s="5">
        <v>1000701199</v>
      </c>
      <c r="I93" s="5">
        <f t="shared" si="0"/>
        <v>839947398</v>
      </c>
      <c r="K93" s="7">
        <v>4.6471358865002258E-3</v>
      </c>
      <c r="M93" s="5">
        <v>0</v>
      </c>
      <c r="O93" s="5">
        <v>-160753801</v>
      </c>
      <c r="Q93" s="5">
        <v>1000701199</v>
      </c>
      <c r="S93" s="5">
        <f t="shared" si="1"/>
        <v>839947398</v>
      </c>
      <c r="U93" s="7">
        <v>3.7141062087217625E-3</v>
      </c>
    </row>
    <row r="94" spans="1:21" ht="21">
      <c r="A94" s="17" t="s">
        <v>249</v>
      </c>
      <c r="C94" s="5">
        <v>0</v>
      </c>
      <c r="E94" s="5">
        <v>0</v>
      </c>
      <c r="G94" s="5">
        <v>0</v>
      </c>
      <c r="I94" s="5">
        <f t="shared" ref="I94:I154" si="2">C94+E94+G94</f>
        <v>0</v>
      </c>
      <c r="K94" s="7">
        <v>0</v>
      </c>
      <c r="M94" s="5">
        <v>0</v>
      </c>
      <c r="O94" s="5">
        <v>0</v>
      </c>
      <c r="Q94" s="5">
        <v>-318900341</v>
      </c>
      <c r="S94" s="5">
        <f t="shared" ref="S94:S154" si="3">M94+O94+Q94</f>
        <v>-318900341</v>
      </c>
      <c r="U94" s="7">
        <v>-1.4101237045222529E-3</v>
      </c>
    </row>
    <row r="95" spans="1:21" ht="21">
      <c r="A95" s="17" t="s">
        <v>190</v>
      </c>
      <c r="C95" s="5">
        <v>0</v>
      </c>
      <c r="E95" s="5">
        <v>0</v>
      </c>
      <c r="G95" s="5">
        <v>0</v>
      </c>
      <c r="I95" s="5">
        <f t="shared" si="2"/>
        <v>0</v>
      </c>
      <c r="K95" s="7">
        <v>0</v>
      </c>
      <c r="M95" s="5">
        <v>178500000</v>
      </c>
      <c r="O95" s="5">
        <v>0</v>
      </c>
      <c r="Q95" s="5">
        <v>-3240818970</v>
      </c>
      <c r="S95" s="5">
        <f t="shared" si="3"/>
        <v>-3062318970</v>
      </c>
      <c r="U95" s="7">
        <v>-1.3541059745700209E-2</v>
      </c>
    </row>
    <row r="96" spans="1:21" ht="21">
      <c r="A96" s="17" t="s">
        <v>286</v>
      </c>
      <c r="C96" s="5">
        <v>0</v>
      </c>
      <c r="E96" s="5">
        <v>0</v>
      </c>
      <c r="G96" s="5">
        <v>663654750</v>
      </c>
      <c r="I96" s="5">
        <f t="shared" si="2"/>
        <v>663654750</v>
      </c>
      <c r="K96" s="7">
        <v>3.671770175507271E-3</v>
      </c>
      <c r="M96" s="5">
        <v>0</v>
      </c>
      <c r="O96" s="5">
        <v>0</v>
      </c>
      <c r="Q96" s="5">
        <v>663654750</v>
      </c>
      <c r="S96" s="5">
        <f t="shared" si="3"/>
        <v>663654750</v>
      </c>
      <c r="U96" s="7">
        <v>2.9345697519771222E-3</v>
      </c>
    </row>
    <row r="97" spans="1:21" ht="21">
      <c r="A97" s="17" t="s">
        <v>287</v>
      </c>
      <c r="C97" s="5">
        <v>0</v>
      </c>
      <c r="E97" s="5">
        <v>0</v>
      </c>
      <c r="G97" s="5">
        <v>0</v>
      </c>
      <c r="I97" s="5">
        <f t="shared" si="2"/>
        <v>0</v>
      </c>
      <c r="K97" s="7">
        <v>0</v>
      </c>
      <c r="M97" s="5">
        <v>0</v>
      </c>
      <c r="O97" s="5">
        <v>0</v>
      </c>
      <c r="Q97" s="5">
        <v>-471040044</v>
      </c>
      <c r="S97" s="5">
        <f t="shared" si="3"/>
        <v>-471040044</v>
      </c>
      <c r="U97" s="7">
        <v>-2.0828598983015983E-3</v>
      </c>
    </row>
    <row r="98" spans="1:21" ht="21">
      <c r="A98" s="17" t="s">
        <v>250</v>
      </c>
      <c r="C98" s="5">
        <v>0</v>
      </c>
      <c r="E98" s="5">
        <v>0</v>
      </c>
      <c r="G98" s="5">
        <v>0</v>
      </c>
      <c r="I98" s="5">
        <f t="shared" si="2"/>
        <v>0</v>
      </c>
      <c r="K98" s="7">
        <v>0</v>
      </c>
      <c r="M98" s="5">
        <v>0</v>
      </c>
      <c r="O98" s="5">
        <v>0</v>
      </c>
      <c r="Q98" s="5">
        <v>937550</v>
      </c>
      <c r="S98" s="5">
        <f t="shared" si="3"/>
        <v>937550</v>
      </c>
      <c r="U98" s="7">
        <v>4.1456885089214696E-6</v>
      </c>
    </row>
    <row r="99" spans="1:21" ht="21">
      <c r="A99" s="17" t="s">
        <v>288</v>
      </c>
      <c r="C99" s="5">
        <v>0</v>
      </c>
      <c r="E99" s="5">
        <v>0</v>
      </c>
      <c r="G99" s="5">
        <v>0</v>
      </c>
      <c r="I99" s="5">
        <f t="shared" si="2"/>
        <v>0</v>
      </c>
      <c r="K99" s="7">
        <v>0</v>
      </c>
      <c r="M99" s="5">
        <v>0</v>
      </c>
      <c r="O99" s="5">
        <v>0</v>
      </c>
      <c r="Q99" s="5">
        <v>-309749722</v>
      </c>
      <c r="S99" s="5">
        <f t="shared" si="3"/>
        <v>-309749722</v>
      </c>
      <c r="U99" s="7">
        <v>-1.3696612054151991E-3</v>
      </c>
    </row>
    <row r="100" spans="1:21" ht="21">
      <c r="A100" s="17" t="s">
        <v>289</v>
      </c>
      <c r="C100" s="5">
        <v>0</v>
      </c>
      <c r="E100" s="5">
        <v>944458042</v>
      </c>
      <c r="G100" s="5">
        <v>-452931977</v>
      </c>
      <c r="I100" s="5">
        <f t="shared" si="2"/>
        <v>491526065</v>
      </c>
      <c r="K100" s="7">
        <v>2.7194422189420753E-3</v>
      </c>
      <c r="M100" s="5">
        <v>455000000</v>
      </c>
      <c r="O100" s="5">
        <v>0</v>
      </c>
      <c r="Q100" s="5">
        <v>-8223568350</v>
      </c>
      <c r="S100" s="5">
        <f t="shared" si="3"/>
        <v>-7768568350</v>
      </c>
      <c r="U100" s="7">
        <v>-3.4351303439140335E-2</v>
      </c>
    </row>
    <row r="101" spans="1:21" ht="21">
      <c r="A101" s="17" t="s">
        <v>79</v>
      </c>
      <c r="C101" s="5">
        <v>0</v>
      </c>
      <c r="E101" s="5">
        <v>0</v>
      </c>
      <c r="G101" s="5">
        <v>1732624064</v>
      </c>
      <c r="I101" s="5">
        <f t="shared" si="2"/>
        <v>1732624064</v>
      </c>
      <c r="K101" s="7">
        <v>9.5860044150386948E-3</v>
      </c>
      <c r="M101" s="5">
        <v>4800000</v>
      </c>
      <c r="O101" s="5">
        <v>0</v>
      </c>
      <c r="Q101" s="5">
        <v>1851865940</v>
      </c>
      <c r="S101" s="5">
        <f t="shared" si="3"/>
        <v>1856665940</v>
      </c>
      <c r="U101" s="7">
        <v>8.2098647030706406E-3</v>
      </c>
    </row>
    <row r="102" spans="1:21" ht="21">
      <c r="A102" s="17" t="s">
        <v>206</v>
      </c>
      <c r="C102" s="5">
        <v>0</v>
      </c>
      <c r="E102" s="5">
        <v>0</v>
      </c>
      <c r="G102" s="5">
        <v>0</v>
      </c>
      <c r="I102" s="5">
        <f t="shared" si="2"/>
        <v>0</v>
      </c>
      <c r="K102" s="7">
        <v>0</v>
      </c>
      <c r="M102" s="5">
        <v>0</v>
      </c>
      <c r="O102" s="5">
        <v>-224342217</v>
      </c>
      <c r="Q102" s="5">
        <v>344461780</v>
      </c>
      <c r="S102" s="5">
        <f t="shared" si="3"/>
        <v>120119563</v>
      </c>
      <c r="U102" s="7">
        <v>5.3114851690658476E-4</v>
      </c>
    </row>
    <row r="103" spans="1:21" ht="21">
      <c r="A103" s="17" t="s">
        <v>209</v>
      </c>
      <c r="C103" s="5">
        <v>0</v>
      </c>
      <c r="E103" s="5">
        <v>0</v>
      </c>
      <c r="G103" s="5">
        <v>0</v>
      </c>
      <c r="I103" s="5">
        <f t="shared" ref="I103:I104" si="4">C103+E103+G103</f>
        <v>0</v>
      </c>
      <c r="K103" s="7">
        <v>0</v>
      </c>
      <c r="M103" s="5">
        <v>0</v>
      </c>
      <c r="O103" s="5">
        <v>7738007</v>
      </c>
      <c r="Q103" s="5">
        <v>133594104</v>
      </c>
      <c r="S103" s="5">
        <f t="shared" si="3"/>
        <v>141332111</v>
      </c>
      <c r="U103" s="7">
        <v>6.2494683858387674E-4</v>
      </c>
    </row>
    <row r="104" spans="1:21" ht="21">
      <c r="A104" s="17" t="s">
        <v>207</v>
      </c>
      <c r="C104" s="5">
        <v>0</v>
      </c>
      <c r="E104" s="5">
        <v>0</v>
      </c>
      <c r="G104" s="5">
        <v>0</v>
      </c>
      <c r="I104" s="5">
        <f t="shared" si="4"/>
        <v>0</v>
      </c>
      <c r="K104" s="7">
        <v>0</v>
      </c>
      <c r="M104" s="5">
        <v>0</v>
      </c>
      <c r="O104" s="5">
        <v>-27640881</v>
      </c>
      <c r="Q104" s="5">
        <v>101661689</v>
      </c>
      <c r="S104" s="5">
        <f t="shared" si="3"/>
        <v>74020808</v>
      </c>
      <c r="U104" s="7">
        <v>3.2730757095267711E-4</v>
      </c>
    </row>
    <row r="105" spans="1:21" ht="21">
      <c r="A105" s="17" t="s">
        <v>208</v>
      </c>
      <c r="C105" s="5">
        <v>0</v>
      </c>
      <c r="E105" s="5">
        <v>0</v>
      </c>
      <c r="G105" s="5">
        <v>0</v>
      </c>
      <c r="I105" s="5">
        <f t="shared" ref="I105:I114" si="5">C105+E105+G105</f>
        <v>0</v>
      </c>
      <c r="K105" s="7">
        <v>0</v>
      </c>
      <c r="M105" s="5">
        <v>0</v>
      </c>
      <c r="O105" s="5">
        <v>5440598</v>
      </c>
      <c r="Q105" s="5">
        <v>116747229</v>
      </c>
      <c r="S105" s="5">
        <f t="shared" si="3"/>
        <v>122187827</v>
      </c>
      <c r="U105" s="7">
        <v>5.4029403266384144E-4</v>
      </c>
    </row>
    <row r="106" spans="1:21" ht="21">
      <c r="A106" s="17" t="s">
        <v>210</v>
      </c>
      <c r="C106" s="5">
        <v>0</v>
      </c>
      <c r="E106" s="5">
        <v>0</v>
      </c>
      <c r="G106" s="5">
        <v>0</v>
      </c>
      <c r="I106" s="5">
        <f t="shared" si="5"/>
        <v>0</v>
      </c>
      <c r="K106" s="7">
        <v>0</v>
      </c>
      <c r="M106" s="5">
        <v>0</v>
      </c>
      <c r="O106" s="5">
        <v>-1779542</v>
      </c>
      <c r="Q106" s="5">
        <v>39927467</v>
      </c>
      <c r="S106" s="5">
        <f t="shared" si="3"/>
        <v>38147925</v>
      </c>
      <c r="U106" s="7">
        <v>1.6868371213449743E-4</v>
      </c>
    </row>
    <row r="107" spans="1:21" ht="21">
      <c r="A107" s="17" t="s">
        <v>211</v>
      </c>
      <c r="C107" s="5">
        <v>0</v>
      </c>
      <c r="E107" s="5">
        <v>0</v>
      </c>
      <c r="G107" s="5">
        <v>0</v>
      </c>
      <c r="I107" s="5">
        <f t="shared" si="5"/>
        <v>0</v>
      </c>
      <c r="K107" s="7">
        <v>0</v>
      </c>
      <c r="M107" s="5">
        <v>0</v>
      </c>
      <c r="O107" s="5">
        <v>8787737</v>
      </c>
      <c r="Q107" s="5">
        <v>100161565</v>
      </c>
      <c r="S107" s="5">
        <f t="shared" si="3"/>
        <v>108949302</v>
      </c>
      <c r="U107" s="7">
        <v>4.8175550035349035E-4</v>
      </c>
    </row>
    <row r="108" spans="1:21" ht="21">
      <c r="A108" s="17" t="s">
        <v>235</v>
      </c>
      <c r="C108" s="5">
        <v>0</v>
      </c>
      <c r="E108" s="5">
        <v>0</v>
      </c>
      <c r="G108" s="5">
        <v>0</v>
      </c>
      <c r="I108" s="5">
        <f t="shared" si="5"/>
        <v>0</v>
      </c>
      <c r="K108" s="7">
        <v>0</v>
      </c>
      <c r="M108" s="5">
        <v>0</v>
      </c>
      <c r="O108" s="5">
        <v>13141615</v>
      </c>
      <c r="Q108" s="5">
        <v>260579930</v>
      </c>
      <c r="S108" s="5">
        <f t="shared" si="3"/>
        <v>273721545</v>
      </c>
      <c r="U108" s="7">
        <v>1.2103506626321061E-3</v>
      </c>
    </row>
    <row r="109" spans="1:21" ht="21">
      <c r="A109" s="17" t="s">
        <v>212</v>
      </c>
      <c r="C109" s="5">
        <v>0</v>
      </c>
      <c r="E109" s="5">
        <v>0</v>
      </c>
      <c r="G109" s="5">
        <v>0</v>
      </c>
      <c r="I109" s="5">
        <f t="shared" ref="I109:I110" si="6">C109+E109+G109</f>
        <v>0</v>
      </c>
      <c r="K109" s="7">
        <v>0</v>
      </c>
      <c r="M109" s="5">
        <v>0</v>
      </c>
      <c r="O109" s="5">
        <v>0</v>
      </c>
      <c r="Q109" s="5">
        <v>10759680</v>
      </c>
      <c r="S109" s="5">
        <f t="shared" si="3"/>
        <v>10759680</v>
      </c>
      <c r="U109" s="7">
        <v>4.7577496384909775E-5</v>
      </c>
    </row>
    <row r="110" spans="1:21" ht="21">
      <c r="A110" s="17" t="s">
        <v>213</v>
      </c>
      <c r="C110" s="5">
        <v>0</v>
      </c>
      <c r="E110" s="5">
        <v>0</v>
      </c>
      <c r="G110" s="5">
        <v>0</v>
      </c>
      <c r="I110" s="5">
        <f t="shared" si="6"/>
        <v>0</v>
      </c>
      <c r="K110" s="7">
        <v>0</v>
      </c>
      <c r="M110" s="5">
        <v>0</v>
      </c>
      <c r="O110" s="5">
        <v>0</v>
      </c>
      <c r="Q110" s="5">
        <v>-365759802</v>
      </c>
      <c r="S110" s="5">
        <f t="shared" si="3"/>
        <v>-365759802</v>
      </c>
      <c r="U110" s="7">
        <v>-1.6173283645424693E-3</v>
      </c>
    </row>
    <row r="111" spans="1:21" ht="21">
      <c r="A111" s="17" t="s">
        <v>214</v>
      </c>
      <c r="C111" s="5">
        <v>0</v>
      </c>
      <c r="E111" s="5">
        <v>0</v>
      </c>
      <c r="G111" s="5">
        <v>0</v>
      </c>
      <c r="I111" s="5">
        <f t="shared" si="5"/>
        <v>0</v>
      </c>
      <c r="K111" s="7">
        <v>0</v>
      </c>
      <c r="M111" s="5">
        <v>0</v>
      </c>
      <c r="O111" s="5">
        <v>53886121</v>
      </c>
      <c r="Q111" s="5">
        <v>750737448</v>
      </c>
      <c r="S111" s="5">
        <f t="shared" si="3"/>
        <v>804623569</v>
      </c>
      <c r="U111" s="7">
        <v>3.5579101744020918E-3</v>
      </c>
    </row>
    <row r="112" spans="1:21" ht="21">
      <c r="A112" s="17" t="s">
        <v>215</v>
      </c>
      <c r="C112" s="5">
        <v>0</v>
      </c>
      <c r="E112" s="5">
        <v>0</v>
      </c>
      <c r="G112" s="5">
        <v>0</v>
      </c>
      <c r="I112" s="5">
        <f t="shared" si="5"/>
        <v>0</v>
      </c>
      <c r="K112" s="7">
        <v>0</v>
      </c>
      <c r="M112" s="5">
        <v>0</v>
      </c>
      <c r="O112" s="5">
        <v>-84678189</v>
      </c>
      <c r="Q112" s="5">
        <v>711022568</v>
      </c>
      <c r="S112" s="5">
        <f t="shared" si="3"/>
        <v>626344379</v>
      </c>
      <c r="U112" s="7">
        <v>2.7695895628476923E-3</v>
      </c>
    </row>
    <row r="113" spans="1:21" ht="21">
      <c r="A113" s="17" t="s">
        <v>216</v>
      </c>
      <c r="C113" s="5">
        <v>0</v>
      </c>
      <c r="E113" s="5">
        <v>0</v>
      </c>
      <c r="G113" s="5">
        <v>0</v>
      </c>
      <c r="I113" s="5">
        <f t="shared" si="5"/>
        <v>0</v>
      </c>
      <c r="K113" s="7">
        <v>0</v>
      </c>
      <c r="M113" s="5">
        <v>0</v>
      </c>
      <c r="O113" s="5">
        <v>7698018</v>
      </c>
      <c r="Q113" s="5">
        <v>28948875</v>
      </c>
      <c r="S113" s="5">
        <f t="shared" si="3"/>
        <v>36646893</v>
      </c>
      <c r="U113" s="7">
        <v>1.6204640093624303E-4</v>
      </c>
    </row>
    <row r="114" spans="1:21" ht="21">
      <c r="A114" s="17" t="s">
        <v>217</v>
      </c>
      <c r="C114" s="5">
        <v>0</v>
      </c>
      <c r="E114" s="5">
        <v>0</v>
      </c>
      <c r="G114" s="5">
        <v>0</v>
      </c>
      <c r="I114" s="5">
        <f t="shared" si="5"/>
        <v>0</v>
      </c>
      <c r="K114" s="7">
        <v>0</v>
      </c>
      <c r="M114" s="5">
        <v>0</v>
      </c>
      <c r="O114" s="5">
        <v>51349774</v>
      </c>
      <c r="Q114" s="5">
        <v>118141394</v>
      </c>
      <c r="S114" s="5">
        <f t="shared" si="3"/>
        <v>169491168</v>
      </c>
      <c r="U114" s="7">
        <v>7.4946145543307383E-4</v>
      </c>
    </row>
    <row r="115" spans="1:21" ht="21">
      <c r="A115" s="17" t="s">
        <v>18</v>
      </c>
      <c r="C115" s="5">
        <v>0</v>
      </c>
      <c r="E115" s="22">
        <v>83978370</v>
      </c>
      <c r="G115" s="5">
        <v>157615855</v>
      </c>
      <c r="I115" s="5">
        <f t="shared" si="2"/>
        <v>241594225</v>
      </c>
      <c r="K115" s="7">
        <v>1.3366565521150766E-3</v>
      </c>
      <c r="M115" s="5">
        <v>0</v>
      </c>
      <c r="O115" s="5">
        <v>83978370</v>
      </c>
      <c r="Q115" s="5">
        <v>157615855</v>
      </c>
      <c r="S115" s="5">
        <f t="shared" si="3"/>
        <v>241594225</v>
      </c>
      <c r="U115" s="7">
        <v>1.0682890538150371E-3</v>
      </c>
    </row>
    <row r="116" spans="1:21" ht="21">
      <c r="A116" s="17" t="s">
        <v>19</v>
      </c>
      <c r="C116" s="5">
        <v>0</v>
      </c>
      <c r="E116" s="22">
        <v>-23467407</v>
      </c>
      <c r="G116" s="5">
        <v>0</v>
      </c>
      <c r="I116" s="5">
        <f t="shared" si="2"/>
        <v>-23467407</v>
      </c>
      <c r="K116" s="7">
        <v>-1.2983697490161948E-4</v>
      </c>
      <c r="M116" s="5">
        <v>0</v>
      </c>
      <c r="O116" s="5">
        <v>-23467407</v>
      </c>
      <c r="Q116" s="5">
        <v>0</v>
      </c>
      <c r="S116" s="5">
        <f t="shared" si="3"/>
        <v>-23467407</v>
      </c>
      <c r="U116" s="7">
        <v>-1.037689291601336E-4</v>
      </c>
    </row>
    <row r="117" spans="1:21" ht="21">
      <c r="A117" s="17" t="s">
        <v>305</v>
      </c>
      <c r="C117" s="13">
        <f>SUM(C87:C116)</f>
        <v>6368741480</v>
      </c>
      <c r="E117" s="13">
        <f>SUM(E87:E116)</f>
        <v>170986864062</v>
      </c>
      <c r="G117" s="13">
        <f>SUM(G87:G116)</f>
        <v>4632314077</v>
      </c>
      <c r="I117" s="13">
        <f>SUM(I87:I116)</f>
        <v>181987919619</v>
      </c>
      <c r="K117" s="12">
        <f>SUM(K87:K116)</f>
        <v>1.0068756617196799</v>
      </c>
      <c r="M117" s="13">
        <f>SUM(M87:M116)</f>
        <v>92087290450</v>
      </c>
      <c r="O117" s="13">
        <f>SUM(O87:O116)</f>
        <v>130964495594</v>
      </c>
      <c r="Q117" s="13">
        <f>SUM(Q87:Q116)</f>
        <v>-15259654674</v>
      </c>
      <c r="S117" s="13">
        <f>SUM(S87:S116)</f>
        <v>207792131370</v>
      </c>
      <c r="U117" s="12">
        <f>SUM(U87:U116)</f>
        <v>0.91882187751576938</v>
      </c>
    </row>
    <row r="118" spans="1:21" ht="20.100000000000001" customHeight="1">
      <c r="A118" s="39" t="s">
        <v>0</v>
      </c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</row>
    <row r="119" spans="1:21" ht="20.100000000000001" customHeight="1">
      <c r="A119" s="39" t="s">
        <v>137</v>
      </c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</row>
    <row r="120" spans="1:21" ht="20.100000000000001" customHeight="1">
      <c r="A120" s="39" t="s">
        <v>2</v>
      </c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</row>
    <row r="122" spans="1:21" ht="21">
      <c r="A122" s="40" t="s">
        <v>313</v>
      </c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40"/>
      <c r="U122" s="37"/>
    </row>
    <row r="124" spans="1:21" ht="21">
      <c r="C124" s="33" t="s">
        <v>150</v>
      </c>
      <c r="D124" s="34"/>
      <c r="E124" s="34"/>
      <c r="F124" s="34"/>
      <c r="G124" s="34"/>
      <c r="H124" s="34"/>
      <c r="I124" s="34"/>
      <c r="J124" s="34"/>
      <c r="K124" s="34"/>
      <c r="M124" s="33" t="s">
        <v>7</v>
      </c>
      <c r="N124" s="34"/>
      <c r="O124" s="34"/>
      <c r="P124" s="34"/>
      <c r="Q124" s="34"/>
      <c r="R124" s="34"/>
      <c r="S124" s="34"/>
      <c r="T124" s="34"/>
      <c r="U124" s="34"/>
    </row>
    <row r="125" spans="1:21" ht="42">
      <c r="A125" s="15" t="s">
        <v>254</v>
      </c>
      <c r="C125" s="16" t="s">
        <v>148</v>
      </c>
      <c r="E125" s="16" t="s">
        <v>255</v>
      </c>
      <c r="G125" s="16" t="s">
        <v>256</v>
      </c>
      <c r="I125" s="16" t="s">
        <v>257</v>
      </c>
      <c r="K125" s="16" t="s">
        <v>258</v>
      </c>
      <c r="M125" s="16" t="s">
        <v>148</v>
      </c>
      <c r="O125" s="16" t="s">
        <v>255</v>
      </c>
      <c r="Q125" s="16" t="s">
        <v>256</v>
      </c>
      <c r="S125" s="16" t="s">
        <v>257</v>
      </c>
      <c r="U125" s="16" t="s">
        <v>258</v>
      </c>
    </row>
    <row r="126" spans="1:21" ht="21">
      <c r="A126" s="17" t="s">
        <v>306</v>
      </c>
      <c r="C126" s="5">
        <f>C117</f>
        <v>6368741480</v>
      </c>
      <c r="E126" s="5">
        <f>E117</f>
        <v>170986864062</v>
      </c>
      <c r="G126" s="5">
        <f>G117</f>
        <v>4632314077</v>
      </c>
      <c r="I126" s="5">
        <f>I117</f>
        <v>181987919619</v>
      </c>
      <c r="K126" s="7">
        <f>K117</f>
        <v>1.0068756617196799</v>
      </c>
      <c r="M126" s="5">
        <f>M117</f>
        <v>92087290450</v>
      </c>
      <c r="O126" s="5">
        <f>O117</f>
        <v>130964495594</v>
      </c>
      <c r="Q126" s="5">
        <f>Q117</f>
        <v>-15259654674</v>
      </c>
      <c r="S126" s="5">
        <f>S117</f>
        <v>207792131370</v>
      </c>
      <c r="U126" s="7">
        <f>U117</f>
        <v>0.91882187751576938</v>
      </c>
    </row>
    <row r="127" spans="1:21" ht="21">
      <c r="A127" s="17" t="s">
        <v>218</v>
      </c>
      <c r="C127" s="5">
        <v>0</v>
      </c>
      <c r="E127" s="5">
        <v>0</v>
      </c>
      <c r="G127" s="5">
        <v>0</v>
      </c>
      <c r="I127" s="5">
        <f t="shared" si="2"/>
        <v>0</v>
      </c>
      <c r="K127" s="7">
        <v>0</v>
      </c>
      <c r="M127" s="5">
        <v>0</v>
      </c>
      <c r="O127" s="5">
        <v>11996910</v>
      </c>
      <c r="Q127" s="5">
        <v>156876184</v>
      </c>
      <c r="S127" s="5">
        <f t="shared" si="3"/>
        <v>168873094</v>
      </c>
      <c r="U127" s="7">
        <v>7.4672843609601108E-4</v>
      </c>
    </row>
    <row r="128" spans="1:21" ht="21">
      <c r="A128" s="17" t="s">
        <v>219</v>
      </c>
      <c r="C128" s="5">
        <v>0</v>
      </c>
      <c r="E128" s="5">
        <v>0</v>
      </c>
      <c r="G128" s="5">
        <v>0</v>
      </c>
      <c r="I128" s="5">
        <f t="shared" si="2"/>
        <v>0</v>
      </c>
      <c r="K128" s="7">
        <v>0</v>
      </c>
      <c r="M128" s="5">
        <v>0</v>
      </c>
      <c r="O128" s="5">
        <v>44988</v>
      </c>
      <c r="Q128" s="5">
        <v>84996712</v>
      </c>
      <c r="S128" s="5">
        <f t="shared" si="3"/>
        <v>85041700</v>
      </c>
      <c r="U128" s="7">
        <v>3.7604010289493569E-4</v>
      </c>
    </row>
    <row r="129" spans="1:21" ht="21">
      <c r="A129" s="17" t="s">
        <v>220</v>
      </c>
      <c r="C129" s="5">
        <v>0</v>
      </c>
      <c r="E129" s="5">
        <v>0</v>
      </c>
      <c r="G129" s="5">
        <v>0</v>
      </c>
      <c r="I129" s="5">
        <f t="shared" ref="I129" si="7">C129+E129+G129</f>
        <v>0</v>
      </c>
      <c r="K129" s="7">
        <v>0</v>
      </c>
      <c r="M129" s="5">
        <v>0</v>
      </c>
      <c r="O129" s="5">
        <v>0</v>
      </c>
      <c r="Q129" s="5">
        <v>147509784</v>
      </c>
      <c r="S129" s="5">
        <f t="shared" si="3"/>
        <v>147509784</v>
      </c>
      <c r="U129" s="7">
        <v>6.5226347019603015E-4</v>
      </c>
    </row>
    <row r="130" spans="1:21" ht="21">
      <c r="A130" s="17" t="s">
        <v>228</v>
      </c>
      <c r="C130" s="5">
        <v>0</v>
      </c>
      <c r="E130" s="5">
        <v>0</v>
      </c>
      <c r="G130" s="5">
        <v>0</v>
      </c>
      <c r="I130" s="5">
        <f t="shared" si="2"/>
        <v>0</v>
      </c>
      <c r="K130" s="7">
        <v>0</v>
      </c>
      <c r="M130" s="5">
        <v>0</v>
      </c>
      <c r="O130" s="5">
        <v>5339838</v>
      </c>
      <c r="Q130" s="5">
        <v>5148118</v>
      </c>
      <c r="S130" s="5">
        <f t="shared" si="3"/>
        <v>10487956</v>
      </c>
      <c r="U130" s="7">
        <v>4.6375978530503956E-5</v>
      </c>
    </row>
    <row r="131" spans="1:21" ht="21">
      <c r="A131" s="17" t="s">
        <v>232</v>
      </c>
      <c r="C131" s="5">
        <v>0</v>
      </c>
      <c r="E131" s="5">
        <v>0</v>
      </c>
      <c r="G131" s="5">
        <v>0</v>
      </c>
      <c r="I131" s="5">
        <f t="shared" si="2"/>
        <v>0</v>
      </c>
      <c r="K131" s="7">
        <v>0</v>
      </c>
      <c r="M131" s="5">
        <v>0</v>
      </c>
      <c r="O131" s="5">
        <v>-3590076</v>
      </c>
      <c r="Q131" s="5">
        <v>70547755</v>
      </c>
      <c r="S131" s="5">
        <f t="shared" si="3"/>
        <v>66957679</v>
      </c>
      <c r="U131" s="7">
        <v>2.9607560174321626E-4</v>
      </c>
    </row>
    <row r="132" spans="1:21" ht="21">
      <c r="A132" s="17" t="s">
        <v>229</v>
      </c>
      <c r="C132" s="5">
        <v>0</v>
      </c>
      <c r="E132" s="5">
        <v>0</v>
      </c>
      <c r="G132" s="5">
        <v>0</v>
      </c>
      <c r="I132" s="5">
        <f t="shared" si="2"/>
        <v>0</v>
      </c>
      <c r="K132" s="7">
        <v>0</v>
      </c>
      <c r="M132" s="5">
        <v>0</v>
      </c>
      <c r="O132" s="5">
        <v>0</v>
      </c>
      <c r="Q132" s="5">
        <v>65983520</v>
      </c>
      <c r="S132" s="5">
        <f t="shared" si="3"/>
        <v>65983520</v>
      </c>
      <c r="U132" s="7">
        <v>2.9176803438983519E-4</v>
      </c>
    </row>
    <row r="133" spans="1:21" ht="21">
      <c r="A133" s="17" t="s">
        <v>230</v>
      </c>
      <c r="C133" s="5">
        <v>0</v>
      </c>
      <c r="E133" s="5">
        <v>0</v>
      </c>
      <c r="G133" s="5">
        <v>0</v>
      </c>
      <c r="I133" s="5">
        <f t="shared" si="2"/>
        <v>0</v>
      </c>
      <c r="K133" s="7">
        <v>0</v>
      </c>
      <c r="M133" s="5">
        <v>0</v>
      </c>
      <c r="O133" s="5">
        <v>0</v>
      </c>
      <c r="Q133" s="5">
        <v>2023213897</v>
      </c>
      <c r="S133" s="5">
        <f t="shared" si="3"/>
        <v>2023213897</v>
      </c>
      <c r="U133" s="7">
        <v>8.9463117741807111E-3</v>
      </c>
    </row>
    <row r="134" spans="1:21" ht="21">
      <c r="A134" s="17" t="s">
        <v>317</v>
      </c>
      <c r="C134" s="5">
        <v>0</v>
      </c>
      <c r="E134" s="5">
        <v>0</v>
      </c>
      <c r="G134" s="5">
        <v>0</v>
      </c>
      <c r="I134" s="5">
        <f t="shared" si="2"/>
        <v>0</v>
      </c>
      <c r="K134" s="7">
        <v>0</v>
      </c>
      <c r="M134" s="5">
        <v>0</v>
      </c>
      <c r="O134" s="5">
        <v>0</v>
      </c>
      <c r="Q134" s="5">
        <v>736509952</v>
      </c>
      <c r="S134" s="5">
        <f t="shared" si="3"/>
        <v>736509952</v>
      </c>
      <c r="U134" s="7">
        <v>3.2567232091223969E-3</v>
      </c>
    </row>
    <row r="135" spans="1:21" ht="21">
      <c r="A135" s="17" t="s">
        <v>221</v>
      </c>
      <c r="C135" s="5">
        <v>0</v>
      </c>
      <c r="E135" s="5">
        <v>0</v>
      </c>
      <c r="G135" s="5">
        <v>0</v>
      </c>
      <c r="I135" s="5">
        <f t="shared" ref="I135" si="8">C135+E135+G135</f>
        <v>0</v>
      </c>
      <c r="K135" s="7">
        <v>0</v>
      </c>
      <c r="M135" s="5">
        <v>0</v>
      </c>
      <c r="O135" s="5">
        <v>-24793613</v>
      </c>
      <c r="Q135" s="5">
        <v>41773444</v>
      </c>
      <c r="S135" s="5">
        <f t="shared" si="3"/>
        <v>16979831</v>
      </c>
      <c r="U135" s="7">
        <v>7.5081958573013224E-5</v>
      </c>
    </row>
    <row r="136" spans="1:21" ht="21">
      <c r="A136" s="17" t="s">
        <v>20</v>
      </c>
      <c r="C136" s="5">
        <v>0</v>
      </c>
      <c r="E136" s="22">
        <v>-230440184</v>
      </c>
      <c r="G136" s="5">
        <v>-1733000489</v>
      </c>
      <c r="I136" s="5">
        <f t="shared" si="2"/>
        <v>-1963440673</v>
      </c>
      <c r="K136" s="7">
        <v>-1.0863032178251304E-2</v>
      </c>
      <c r="M136" s="5">
        <v>0</v>
      </c>
      <c r="O136" s="5">
        <v>-359007532</v>
      </c>
      <c r="Q136" s="5">
        <v>-1711080259</v>
      </c>
      <c r="S136" s="5">
        <f t="shared" si="3"/>
        <v>-2070087791</v>
      </c>
      <c r="U136" s="7">
        <v>-9.1535802545009114E-3</v>
      </c>
    </row>
    <row r="137" spans="1:21" ht="21">
      <c r="A137" s="17" t="s">
        <v>222</v>
      </c>
      <c r="C137" s="5">
        <v>0</v>
      </c>
      <c r="E137" s="5">
        <v>0</v>
      </c>
      <c r="G137" s="5">
        <v>0</v>
      </c>
      <c r="I137" s="5">
        <f t="shared" si="2"/>
        <v>0</v>
      </c>
      <c r="K137" s="7">
        <v>0</v>
      </c>
      <c r="M137" s="5">
        <v>0</v>
      </c>
      <c r="O137" s="5">
        <v>-999743</v>
      </c>
      <c r="Q137" s="5">
        <v>-8844588</v>
      </c>
      <c r="S137" s="5">
        <f t="shared" si="3"/>
        <v>-9844331</v>
      </c>
      <c r="U137" s="7">
        <v>-4.3529976966262497E-5</v>
      </c>
    </row>
    <row r="138" spans="1:21" ht="21">
      <c r="A138" s="17" t="s">
        <v>21</v>
      </c>
      <c r="C138" s="5">
        <v>0</v>
      </c>
      <c r="E138" s="22">
        <v>-105509630</v>
      </c>
      <c r="G138" s="5">
        <v>0</v>
      </c>
      <c r="I138" s="5">
        <f t="shared" si="2"/>
        <v>-105509630</v>
      </c>
      <c r="K138" s="7">
        <v>-5.8374796935124361E-4</v>
      </c>
      <c r="M138" s="5">
        <v>0</v>
      </c>
      <c r="O138" s="5">
        <v>-105509630</v>
      </c>
      <c r="Q138" s="5">
        <v>0</v>
      </c>
      <c r="S138" s="5">
        <f t="shared" si="3"/>
        <v>-105509630</v>
      </c>
      <c r="U138" s="7">
        <v>-4.6654584893771636E-4</v>
      </c>
    </row>
    <row r="139" spans="1:21" ht="21">
      <c r="A139" s="17" t="s">
        <v>22</v>
      </c>
      <c r="C139" s="5">
        <v>0</v>
      </c>
      <c r="E139" s="22">
        <v>256549950</v>
      </c>
      <c r="G139" s="5">
        <v>0</v>
      </c>
      <c r="I139" s="5">
        <f t="shared" si="2"/>
        <v>256549950</v>
      </c>
      <c r="K139" s="7">
        <v>1.4194013603276126E-3</v>
      </c>
      <c r="M139" s="5">
        <v>0</v>
      </c>
      <c r="O139" s="5">
        <v>256549950</v>
      </c>
      <c r="Q139" s="5">
        <v>0</v>
      </c>
      <c r="S139" s="5">
        <f t="shared" si="3"/>
        <v>256549950</v>
      </c>
      <c r="U139" s="7">
        <v>1.1344207558843557E-3</v>
      </c>
    </row>
    <row r="140" spans="1:21" ht="21">
      <c r="A140" s="17" t="s">
        <v>224</v>
      </c>
      <c r="C140" s="5">
        <v>0</v>
      </c>
      <c r="E140" s="5">
        <v>0</v>
      </c>
      <c r="G140" s="5">
        <v>0</v>
      </c>
      <c r="I140" s="5">
        <f t="shared" si="2"/>
        <v>0</v>
      </c>
      <c r="K140" s="7">
        <v>0</v>
      </c>
      <c r="M140" s="5">
        <v>0</v>
      </c>
      <c r="O140" s="5">
        <v>-29992275</v>
      </c>
      <c r="Q140" s="5">
        <v>507100000</v>
      </c>
      <c r="S140" s="5">
        <f t="shared" si="3"/>
        <v>477107725</v>
      </c>
      <c r="U140" s="7">
        <v>2.1096901637781074E-3</v>
      </c>
    </row>
    <row r="141" spans="1:21" ht="21">
      <c r="A141" s="17" t="s">
        <v>314</v>
      </c>
      <c r="C141" s="5">
        <v>0</v>
      </c>
      <c r="E141" s="5">
        <v>0</v>
      </c>
      <c r="G141" s="5">
        <v>0</v>
      </c>
      <c r="I141" s="5">
        <f t="shared" si="2"/>
        <v>0</v>
      </c>
      <c r="K141" s="7">
        <v>0</v>
      </c>
      <c r="M141" s="5">
        <v>0</v>
      </c>
      <c r="O141" s="5">
        <v>45432298</v>
      </c>
      <c r="Q141" s="5">
        <v>681355651</v>
      </c>
      <c r="S141" s="5">
        <f t="shared" si="3"/>
        <v>726787949</v>
      </c>
      <c r="U141" s="7">
        <v>3.2137341460102427E-3</v>
      </c>
    </row>
    <row r="142" spans="1:21" ht="21">
      <c r="A142" s="17" t="s">
        <v>226</v>
      </c>
      <c r="C142" s="5">
        <v>0</v>
      </c>
      <c r="E142" s="5">
        <v>0</v>
      </c>
      <c r="G142" s="5">
        <v>0</v>
      </c>
      <c r="I142" s="5">
        <f t="shared" si="2"/>
        <v>0</v>
      </c>
      <c r="K142" s="7">
        <v>0</v>
      </c>
      <c r="M142" s="5">
        <v>0</v>
      </c>
      <c r="O142" s="5">
        <v>22366239</v>
      </c>
      <c r="Q142" s="5">
        <v>143859698</v>
      </c>
      <c r="S142" s="5">
        <f t="shared" si="3"/>
        <v>166225937</v>
      </c>
      <c r="U142" s="7">
        <v>7.3502315279782855E-4</v>
      </c>
    </row>
    <row r="143" spans="1:21" ht="21">
      <c r="A143" s="17" t="s">
        <v>315</v>
      </c>
      <c r="C143" s="5">
        <v>0</v>
      </c>
      <c r="E143" s="5">
        <v>0</v>
      </c>
      <c r="G143" s="5">
        <v>0</v>
      </c>
      <c r="I143" s="5">
        <f t="shared" si="2"/>
        <v>0</v>
      </c>
      <c r="K143" s="7">
        <v>0</v>
      </c>
      <c r="M143" s="5">
        <v>0</v>
      </c>
      <c r="O143" s="5">
        <v>99974250</v>
      </c>
      <c r="Q143" s="5">
        <v>617621429</v>
      </c>
      <c r="S143" s="5">
        <f t="shared" si="3"/>
        <v>717595679</v>
      </c>
      <c r="U143" s="7">
        <v>3.1730874731822297E-3</v>
      </c>
    </row>
    <row r="144" spans="1:21" ht="21">
      <c r="A144" s="17" t="s">
        <v>316</v>
      </c>
      <c r="C144" s="5">
        <v>0</v>
      </c>
      <c r="E144" s="5">
        <v>0</v>
      </c>
      <c r="G144" s="5">
        <v>0</v>
      </c>
      <c r="I144" s="5">
        <f t="shared" si="2"/>
        <v>0</v>
      </c>
      <c r="K144" s="7">
        <v>0</v>
      </c>
      <c r="M144" s="5">
        <v>0</v>
      </c>
      <c r="O144" s="5">
        <v>-46600998</v>
      </c>
      <c r="Q144" s="5">
        <v>107239978</v>
      </c>
      <c r="S144" s="5">
        <f t="shared" si="3"/>
        <v>60638980</v>
      </c>
      <c r="U144" s="7">
        <v>2.6813537686386734E-4</v>
      </c>
    </row>
    <row r="145" spans="1:21" ht="21">
      <c r="A145" s="17" t="s">
        <v>23</v>
      </c>
      <c r="C145" s="5">
        <v>0</v>
      </c>
      <c r="E145" s="22">
        <v>-2469021500</v>
      </c>
      <c r="G145" s="5">
        <v>0</v>
      </c>
      <c r="I145" s="5">
        <f t="shared" si="2"/>
        <v>-2469021500</v>
      </c>
      <c r="K145" s="7">
        <v>-1.3660234491482544E-2</v>
      </c>
      <c r="M145" s="5">
        <v>0</v>
      </c>
      <c r="O145" s="5">
        <v>-2469021500</v>
      </c>
      <c r="Q145" s="5">
        <v>0</v>
      </c>
      <c r="S145" s="5">
        <f t="shared" si="3"/>
        <v>-2469021500</v>
      </c>
      <c r="U145" s="7">
        <v>-1.091759805965554E-2</v>
      </c>
    </row>
    <row r="146" spans="1:21" ht="21">
      <c r="A146" s="17" t="s">
        <v>24</v>
      </c>
      <c r="C146" s="5">
        <v>0</v>
      </c>
      <c r="E146" s="22">
        <v>214227266</v>
      </c>
      <c r="G146" s="5">
        <v>21073572</v>
      </c>
      <c r="I146" s="5">
        <f t="shared" si="2"/>
        <v>235300838</v>
      </c>
      <c r="K146" s="7">
        <v>1.301837437674134E-3</v>
      </c>
      <c r="M146" s="5">
        <v>0</v>
      </c>
      <c r="O146" s="5">
        <v>214227266</v>
      </c>
      <c r="Q146" s="5">
        <v>21073572</v>
      </c>
      <c r="S146" s="5">
        <f t="shared" si="3"/>
        <v>235300838</v>
      </c>
      <c r="U146" s="7">
        <v>1.04046075434504E-3</v>
      </c>
    </row>
    <row r="147" spans="1:21" ht="21">
      <c r="A147" s="17" t="s">
        <v>25</v>
      </c>
      <c r="C147" s="5">
        <v>0</v>
      </c>
      <c r="E147" s="22">
        <v>19731585</v>
      </c>
      <c r="G147" s="5">
        <v>0</v>
      </c>
      <c r="I147" s="5">
        <f t="shared" si="2"/>
        <v>19731585</v>
      </c>
      <c r="K147" s="7">
        <v>1.0916797524388492E-4</v>
      </c>
      <c r="M147" s="5">
        <v>0</v>
      </c>
      <c r="O147" s="5">
        <v>19731585</v>
      </c>
      <c r="Q147" s="5">
        <v>0</v>
      </c>
      <c r="S147" s="5">
        <f t="shared" si="3"/>
        <v>19731585</v>
      </c>
      <c r="U147" s="7">
        <v>8.7249752223675795E-5</v>
      </c>
    </row>
    <row r="148" spans="1:21" ht="21">
      <c r="A148" s="17" t="s">
        <v>26</v>
      </c>
      <c r="C148" s="5">
        <v>0</v>
      </c>
      <c r="E148" s="22">
        <v>65047380</v>
      </c>
      <c r="G148" s="5">
        <v>0</v>
      </c>
      <c r="I148" s="5">
        <f t="shared" si="2"/>
        <v>65047380</v>
      </c>
      <c r="K148" s="7">
        <v>3.5988445781317494E-4</v>
      </c>
      <c r="M148" s="5">
        <v>0</v>
      </c>
      <c r="O148" s="5">
        <v>65047380</v>
      </c>
      <c r="Q148" s="5">
        <v>0</v>
      </c>
      <c r="S148" s="5">
        <f t="shared" si="3"/>
        <v>65047380</v>
      </c>
      <c r="U148" s="7">
        <v>2.8762858066390938E-4</v>
      </c>
    </row>
    <row r="149" spans="1:21" ht="21">
      <c r="A149" s="17" t="s">
        <v>233</v>
      </c>
      <c r="C149" s="5">
        <v>0</v>
      </c>
      <c r="E149" s="5">
        <v>0</v>
      </c>
      <c r="G149" s="5">
        <v>0</v>
      </c>
      <c r="I149" s="5">
        <f t="shared" si="2"/>
        <v>0</v>
      </c>
      <c r="K149" s="7">
        <v>0</v>
      </c>
      <c r="M149" s="5">
        <v>0</v>
      </c>
      <c r="O149" s="5">
        <v>53354258</v>
      </c>
      <c r="Q149" s="5">
        <v>176369348</v>
      </c>
      <c r="S149" s="5">
        <f t="shared" si="3"/>
        <v>229723606</v>
      </c>
      <c r="U149" s="7">
        <v>1.0157991719078484E-3</v>
      </c>
    </row>
    <row r="150" spans="1:21" ht="21">
      <c r="A150" s="17" t="s">
        <v>234</v>
      </c>
      <c r="C150" s="5">
        <v>0</v>
      </c>
      <c r="E150" s="5">
        <v>0</v>
      </c>
      <c r="G150" s="5">
        <v>0</v>
      </c>
      <c r="I150" s="5">
        <f t="shared" ref="I150" si="9">C150+E150+G150</f>
        <v>0</v>
      </c>
      <c r="K150" s="7">
        <v>0</v>
      </c>
      <c r="M150" s="5">
        <v>0</v>
      </c>
      <c r="O150" s="5">
        <v>0</v>
      </c>
      <c r="Q150" s="5">
        <v>49774611</v>
      </c>
      <c r="S150" s="5">
        <f t="shared" si="3"/>
        <v>49774611</v>
      </c>
      <c r="U150" s="7">
        <v>2.2009496331794163E-4</v>
      </c>
    </row>
    <row r="151" spans="1:21" ht="21">
      <c r="A151" s="17" t="s">
        <v>27</v>
      </c>
      <c r="C151" s="5">
        <v>0</v>
      </c>
      <c r="E151" s="22">
        <v>-2609328</v>
      </c>
      <c r="G151" s="5">
        <v>-10835552</v>
      </c>
      <c r="I151" s="5">
        <f t="shared" si="2"/>
        <v>-13444880</v>
      </c>
      <c r="K151" s="7">
        <v>-7.4385829977520983E-5</v>
      </c>
      <c r="M151" s="5">
        <v>0</v>
      </c>
      <c r="O151" s="5">
        <v>-2609328</v>
      </c>
      <c r="Q151" s="5">
        <v>-10835552</v>
      </c>
      <c r="S151" s="5">
        <f t="shared" si="3"/>
        <v>-13444880</v>
      </c>
      <c r="U151" s="7">
        <v>-5.9450999434513456E-5</v>
      </c>
    </row>
    <row r="152" spans="1:21" ht="21">
      <c r="A152" s="17" t="s">
        <v>236</v>
      </c>
      <c r="C152" s="5">
        <v>0</v>
      </c>
      <c r="E152" s="5">
        <v>0</v>
      </c>
      <c r="G152" s="5">
        <v>0</v>
      </c>
      <c r="I152" s="5">
        <f t="shared" ref="I152:I153" si="10">C152+E152+G152</f>
        <v>0</v>
      </c>
      <c r="K152" s="7">
        <v>0</v>
      </c>
      <c r="M152" s="5">
        <v>0</v>
      </c>
      <c r="O152" s="5">
        <v>-5833792</v>
      </c>
      <c r="Q152" s="5">
        <v>714792729</v>
      </c>
      <c r="S152" s="5">
        <f t="shared" si="3"/>
        <v>708958937</v>
      </c>
      <c r="U152" s="7">
        <v>3.1348972517925232E-3</v>
      </c>
    </row>
    <row r="153" spans="1:21" ht="21">
      <c r="A153" s="17" t="s">
        <v>237</v>
      </c>
      <c r="C153" s="5">
        <v>0</v>
      </c>
      <c r="E153" s="5">
        <v>0</v>
      </c>
      <c r="G153" s="5">
        <v>0</v>
      </c>
      <c r="I153" s="5">
        <f t="shared" si="10"/>
        <v>0</v>
      </c>
      <c r="K153" s="7">
        <v>0</v>
      </c>
      <c r="M153" s="5">
        <v>0</v>
      </c>
      <c r="O153" s="5">
        <v>17377524</v>
      </c>
      <c r="Q153" s="5">
        <v>72735576</v>
      </c>
      <c r="S153" s="5">
        <f t="shared" si="3"/>
        <v>90113100</v>
      </c>
      <c r="U153" s="7">
        <v>3.9846498125251057E-4</v>
      </c>
    </row>
    <row r="154" spans="1:21" ht="21">
      <c r="A154" s="17" t="s">
        <v>28</v>
      </c>
      <c r="C154" s="5">
        <v>0</v>
      </c>
      <c r="E154" s="22">
        <v>644032375</v>
      </c>
      <c r="G154" s="5">
        <v>0</v>
      </c>
      <c r="I154" s="5">
        <f t="shared" si="2"/>
        <v>644032375</v>
      </c>
      <c r="K154" s="7">
        <v>3.5632064210888484E-3</v>
      </c>
      <c r="M154" s="5">
        <v>0</v>
      </c>
      <c r="O154" s="5">
        <v>644032375</v>
      </c>
      <c r="Q154" s="5">
        <v>0</v>
      </c>
      <c r="S154" s="5">
        <f t="shared" si="3"/>
        <v>644032375</v>
      </c>
      <c r="U154" s="7">
        <v>2.8478029080165356E-3</v>
      </c>
    </row>
    <row r="155" spans="1:21" ht="21.75" thickBot="1">
      <c r="A155" s="8" t="s">
        <v>82</v>
      </c>
      <c r="C155" s="8">
        <f>SUM(C126:C154)</f>
        <v>6368741480</v>
      </c>
      <c r="E155" s="8">
        <f>SUM(E126:E154)</f>
        <v>169378871976</v>
      </c>
      <c r="G155" s="8">
        <f>SUM(G126:G154)</f>
        <v>2909551608</v>
      </c>
      <c r="I155" s="8">
        <f>SUM(I126:I154)</f>
        <v>178657165064</v>
      </c>
      <c r="K155" s="14">
        <f>SUM(K126:K154)</f>
        <v>0.98844775890276482</v>
      </c>
      <c r="M155" s="8">
        <f>SUM(M126:M154)</f>
        <v>92087290450</v>
      </c>
      <c r="O155" s="8">
        <f>SUM(O126:O154)</f>
        <v>129372011968</v>
      </c>
      <c r="Q155" s="8">
        <f>SUM(Q126:Q154)</f>
        <v>-10565933115</v>
      </c>
      <c r="S155" s="8">
        <f>SUM(S126:S154)</f>
        <v>210893369303</v>
      </c>
      <c r="U155" s="14">
        <f>SUM(U126:U154)</f>
        <v>0.93253503037403773</v>
      </c>
    </row>
    <row r="156" spans="1:21" ht="21.75" thickTop="1">
      <c r="C156" s="10"/>
      <c r="E156" s="10"/>
      <c r="G156" s="10"/>
      <c r="I156" s="10"/>
      <c r="K156" s="10"/>
      <c r="M156" s="10"/>
      <c r="O156" s="10"/>
      <c r="Q156" s="10"/>
      <c r="S156" s="10"/>
      <c r="U156" s="10"/>
    </row>
  </sheetData>
  <mergeCells count="28">
    <mergeCell ref="A1:U1"/>
    <mergeCell ref="A2:U2"/>
    <mergeCell ref="A3:U3"/>
    <mergeCell ref="C7:K7"/>
    <mergeCell ref="M7:U7"/>
    <mergeCell ref="A5:S5"/>
    <mergeCell ref="T5:U5"/>
    <mergeCell ref="A40:U40"/>
    <mergeCell ref="A41:U41"/>
    <mergeCell ref="A42:U42"/>
    <mergeCell ref="A44:S44"/>
    <mergeCell ref="T44:U44"/>
    <mergeCell ref="C46:K46"/>
    <mergeCell ref="M46:U46"/>
    <mergeCell ref="A79:U79"/>
    <mergeCell ref="A80:U80"/>
    <mergeCell ref="A81:U81"/>
    <mergeCell ref="A83:S83"/>
    <mergeCell ref="T83:U83"/>
    <mergeCell ref="C85:K85"/>
    <mergeCell ref="M85:U85"/>
    <mergeCell ref="A118:U118"/>
    <mergeCell ref="A119:U119"/>
    <mergeCell ref="A120:U120"/>
    <mergeCell ref="A122:S122"/>
    <mergeCell ref="T122:U122"/>
    <mergeCell ref="C124:K124"/>
    <mergeCell ref="M124:U124"/>
  </mergeCells>
  <pageMargins left="0.7" right="0.7" top="0.75" bottom="0.75" header="0.3" footer="0.3"/>
  <pageSetup paperSize="9" scale="59" fitToHeight="0" orientation="landscape" r:id="rId1"/>
  <rowBreaks count="3" manualBreakCount="3">
    <brk id="39" max="20" man="1"/>
    <brk id="78" max="20" man="1"/>
    <brk id="117" max="2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1"/>
  <sheetViews>
    <sheetView rightToLeft="1" view="pageBreakPreview" zoomScale="60" zoomScaleNormal="100" workbookViewId="0">
      <selection activeCell="A5" sqref="A5:Q5"/>
    </sheetView>
  </sheetViews>
  <sheetFormatPr defaultRowHeight="19.5"/>
  <cols>
    <col min="1" max="1" width="25.5703125" style="2" customWidth="1"/>
    <col min="2" max="2" width="1.42578125" style="2" customWidth="1"/>
    <col min="3" max="3" width="17" style="2" customWidth="1"/>
    <col min="4" max="4" width="1.42578125" style="2" customWidth="1"/>
    <col min="5" max="5" width="17" style="2" customWidth="1"/>
    <col min="6" max="6" width="1.42578125" style="2" customWidth="1"/>
    <col min="7" max="7" width="17" style="2" customWidth="1"/>
    <col min="8" max="8" width="1.42578125" style="2" customWidth="1"/>
    <col min="9" max="9" width="17" style="2" customWidth="1"/>
    <col min="10" max="10" width="1.42578125" style="2" customWidth="1"/>
    <col min="11" max="11" width="17" style="2" customWidth="1"/>
    <col min="12" max="12" width="1.42578125" style="2" customWidth="1"/>
    <col min="13" max="13" width="17" style="2" customWidth="1"/>
    <col min="14" max="14" width="1.42578125" style="2" customWidth="1"/>
    <col min="15" max="15" width="17" style="2" customWidth="1"/>
    <col min="16" max="16" width="1.42578125" style="2" customWidth="1"/>
    <col min="17" max="17" width="17" style="2" customWidth="1"/>
    <col min="18" max="16384" width="9.140625" style="2"/>
  </cols>
  <sheetData>
    <row r="1" spans="1:17" ht="20.100000000000001" customHeight="1">
      <c r="A1" s="3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ht="20.100000000000001" customHeight="1">
      <c r="A2" s="39" t="s">
        <v>137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20.100000000000001" customHeight="1">
      <c r="A3" s="39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5" spans="1:17" ht="21">
      <c r="A5" s="40" t="s">
        <v>290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7" spans="1:17" ht="21">
      <c r="C7" s="44" t="s">
        <v>150</v>
      </c>
      <c r="D7" s="44"/>
      <c r="E7" s="44"/>
      <c r="F7" s="44"/>
      <c r="G7" s="44"/>
      <c r="H7" s="44"/>
      <c r="I7" s="44"/>
      <c r="J7" s="25"/>
      <c r="K7" s="44" t="s">
        <v>7</v>
      </c>
      <c r="L7" s="44"/>
      <c r="M7" s="44"/>
      <c r="N7" s="44"/>
      <c r="O7" s="44"/>
      <c r="P7" s="44"/>
      <c r="Q7" s="44"/>
    </row>
    <row r="8" spans="1:17" ht="21">
      <c r="C8" s="16" t="s">
        <v>291</v>
      </c>
      <c r="E8" s="16" t="s">
        <v>255</v>
      </c>
      <c r="G8" s="16" t="s">
        <v>256</v>
      </c>
      <c r="I8" s="16" t="s">
        <v>82</v>
      </c>
      <c r="J8" s="24"/>
      <c r="K8" s="16" t="s">
        <v>291</v>
      </c>
      <c r="M8" s="16" t="s">
        <v>255</v>
      </c>
      <c r="O8" s="16" t="s">
        <v>256</v>
      </c>
      <c r="Q8" s="16" t="s">
        <v>82</v>
      </c>
    </row>
    <row r="9" spans="1:17" ht="21">
      <c r="A9" s="17" t="s">
        <v>200</v>
      </c>
      <c r="C9" s="5">
        <v>0</v>
      </c>
      <c r="E9" s="5">
        <v>0</v>
      </c>
      <c r="G9" s="5">
        <v>0</v>
      </c>
      <c r="I9" s="5">
        <v>0</v>
      </c>
      <c r="K9" s="5">
        <v>3415108863</v>
      </c>
      <c r="M9" s="5">
        <v>0</v>
      </c>
      <c r="O9" s="5">
        <v>-34437500</v>
      </c>
      <c r="Q9" s="5">
        <v>3380671363</v>
      </c>
    </row>
    <row r="10" spans="1:17" ht="21">
      <c r="A10" s="8" t="s">
        <v>82</v>
      </c>
      <c r="C10" s="8">
        <f>SUM(C9:$C$9)</f>
        <v>0</v>
      </c>
      <c r="E10" s="8">
        <f>SUM(E9:$E$9)</f>
        <v>0</v>
      </c>
      <c r="G10" s="8">
        <f>SUM(G9:$G$9)</f>
        <v>0</v>
      </c>
      <c r="I10" s="8">
        <f>SUM(I9:$I$9)</f>
        <v>0</v>
      </c>
      <c r="K10" s="8">
        <f>SUM(K9:$K$9)</f>
        <v>3415108863</v>
      </c>
      <c r="M10" s="8">
        <f>SUM(M9:$M$9)</f>
        <v>0</v>
      </c>
      <c r="O10" s="8">
        <f>SUM(O9:$O$9)</f>
        <v>-34437500</v>
      </c>
      <c r="Q10" s="8">
        <f>SUM(Q9:$Q$9)</f>
        <v>3380671363</v>
      </c>
    </row>
    <row r="11" spans="1:17" ht="21">
      <c r="C11" s="10"/>
      <c r="E11" s="10"/>
      <c r="G11" s="10"/>
      <c r="I11" s="10"/>
      <c r="K11" s="10"/>
      <c r="M11" s="10"/>
      <c r="O11" s="10"/>
      <c r="Q11" s="10"/>
    </row>
  </sheetData>
  <mergeCells count="6">
    <mergeCell ref="K7:Q7"/>
    <mergeCell ref="C7:I7"/>
    <mergeCell ref="A1:Q1"/>
    <mergeCell ref="A2:Q2"/>
    <mergeCell ref="A3:Q3"/>
    <mergeCell ref="A5:Q5"/>
  </mergeCells>
  <pageMargins left="0.7" right="0.7" top="0.75" bottom="0.75" header="0.3" footer="0.3"/>
  <pageSetup paperSize="9" scale="75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12"/>
  <sheetViews>
    <sheetView rightToLeft="1" view="pageBreakPreview" zoomScale="60" zoomScaleNormal="100" workbookViewId="0">
      <selection activeCell="A5" sqref="A5:K5"/>
    </sheetView>
  </sheetViews>
  <sheetFormatPr defaultRowHeight="19.5"/>
  <cols>
    <col min="1" max="1" width="34.140625" style="2" customWidth="1"/>
    <col min="2" max="2" width="1.42578125" style="2" customWidth="1"/>
    <col min="3" max="3" width="18.5703125" style="2" bestFit="1" customWidth="1"/>
    <col min="4" max="4" width="1.42578125" style="2" customWidth="1"/>
    <col min="5" max="5" width="17" style="2" customWidth="1"/>
    <col min="6" max="6" width="1.42578125" style="2" customWidth="1"/>
    <col min="7" max="7" width="14.140625" style="2" customWidth="1"/>
    <col min="8" max="8" width="1.42578125" style="2" customWidth="1"/>
    <col min="9" max="9" width="17" style="2" customWidth="1"/>
    <col min="10" max="10" width="1.42578125" style="2" customWidth="1"/>
    <col min="11" max="11" width="14.140625" style="2" customWidth="1"/>
    <col min="12" max="16384" width="9.140625" style="2"/>
  </cols>
  <sheetData>
    <row r="1" spans="1:11" ht="20.100000000000001" customHeight="1">
      <c r="A1" s="3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0.100000000000001" customHeight="1">
      <c r="A2" s="39" t="s">
        <v>137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20.100000000000001" customHeight="1">
      <c r="A3" s="39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5" spans="1:11" ht="21">
      <c r="A5" s="40" t="s">
        <v>318</v>
      </c>
      <c r="B5" s="37"/>
      <c r="C5" s="37"/>
      <c r="D5" s="37"/>
      <c r="E5" s="37"/>
      <c r="F5" s="37"/>
      <c r="G5" s="37"/>
      <c r="H5" s="37"/>
      <c r="I5" s="37"/>
      <c r="J5" s="37"/>
      <c r="K5" s="37"/>
    </row>
    <row r="7" spans="1:11" ht="21">
      <c r="A7" s="33" t="s">
        <v>292</v>
      </c>
      <c r="B7" s="34"/>
      <c r="C7" s="34"/>
      <c r="E7" s="33" t="s">
        <v>150</v>
      </c>
      <c r="F7" s="34"/>
      <c r="G7" s="34"/>
      <c r="I7" s="33" t="s">
        <v>7</v>
      </c>
      <c r="J7" s="34"/>
      <c r="K7" s="34"/>
    </row>
    <row r="8" spans="1:11" ht="42">
      <c r="A8" s="16" t="s">
        <v>293</v>
      </c>
      <c r="C8" s="16" t="s">
        <v>118</v>
      </c>
      <c r="E8" s="16" t="s">
        <v>294</v>
      </c>
      <c r="G8" s="16" t="s">
        <v>295</v>
      </c>
      <c r="I8" s="16" t="s">
        <v>294</v>
      </c>
      <c r="K8" s="16" t="s">
        <v>295</v>
      </c>
    </row>
    <row r="9" spans="1:11" ht="21">
      <c r="A9" s="17" t="s">
        <v>296</v>
      </c>
      <c r="C9" s="6" t="s">
        <v>126</v>
      </c>
      <c r="E9" s="5">
        <v>3044605</v>
      </c>
      <c r="G9" s="7">
        <f>E9/E11</f>
        <v>1.729968726096522E-3</v>
      </c>
      <c r="I9" s="5">
        <v>204506015</v>
      </c>
      <c r="K9" s="7">
        <f>I9/I11</f>
        <v>1.8015103261709225E-2</v>
      </c>
    </row>
    <row r="10" spans="1:11" ht="21">
      <c r="A10" s="17" t="s">
        <v>297</v>
      </c>
      <c r="C10" s="6" t="s">
        <v>134</v>
      </c>
      <c r="E10" s="5">
        <v>1756874493</v>
      </c>
      <c r="G10" s="7">
        <f>E10/E11</f>
        <v>0.99827003127390346</v>
      </c>
      <c r="I10" s="5">
        <v>11147414206</v>
      </c>
      <c r="K10" s="7">
        <f>I10/I11</f>
        <v>0.98198489673829081</v>
      </c>
    </row>
    <row r="11" spans="1:11" ht="21">
      <c r="A11" s="8" t="s">
        <v>82</v>
      </c>
      <c r="E11" s="8">
        <f>SUM(E9:$E$10)</f>
        <v>1759919098</v>
      </c>
      <c r="G11" s="26">
        <f>SUM(G9:$G$10)</f>
        <v>1</v>
      </c>
      <c r="I11" s="8">
        <f>SUM(I9:$I$10)</f>
        <v>11351920221</v>
      </c>
      <c r="K11" s="26">
        <f>SUM(K9:$K$10)</f>
        <v>1</v>
      </c>
    </row>
    <row r="12" spans="1:11" ht="21">
      <c r="E12" s="10"/>
      <c r="G12" s="10"/>
      <c r="I12" s="10"/>
      <c r="K12" s="10"/>
    </row>
  </sheetData>
  <mergeCells count="7">
    <mergeCell ref="A1:K1"/>
    <mergeCell ref="A2:K2"/>
    <mergeCell ref="A3:K3"/>
    <mergeCell ref="A5:K5"/>
    <mergeCell ref="A7:C7"/>
    <mergeCell ref="E7:G7"/>
    <mergeCell ref="I7:K7"/>
  </mergeCells>
  <pageMargins left="0.7" right="0.7" top="0.75" bottom="0.75" header="0.3" footer="0.3"/>
  <pageSetup paperSize="9" scale="71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1"/>
  <sheetViews>
    <sheetView rightToLeft="1" view="pageBreakPreview" zoomScale="60" zoomScaleNormal="100" workbookViewId="0">
      <selection activeCell="C10" sqref="C10"/>
    </sheetView>
  </sheetViews>
  <sheetFormatPr defaultRowHeight="19.5"/>
  <cols>
    <col min="1" max="1" width="44.42578125" style="2" customWidth="1"/>
    <col min="2" max="2" width="1.42578125" style="2" customWidth="1"/>
    <col min="3" max="3" width="18.42578125" style="2" customWidth="1"/>
    <col min="4" max="4" width="1.42578125" style="2" customWidth="1"/>
    <col min="5" max="5" width="18.42578125" style="2" customWidth="1"/>
    <col min="6" max="16384" width="9.140625" style="2"/>
  </cols>
  <sheetData>
    <row r="1" spans="1:5" ht="20.100000000000001" customHeight="1">
      <c r="A1" s="39" t="s">
        <v>0</v>
      </c>
      <c r="B1" s="37"/>
      <c r="C1" s="37"/>
      <c r="D1" s="37"/>
      <c r="E1" s="37"/>
    </row>
    <row r="2" spans="1:5" ht="20.100000000000001" customHeight="1">
      <c r="A2" s="39" t="s">
        <v>137</v>
      </c>
      <c r="B2" s="37"/>
      <c r="C2" s="37"/>
      <c r="D2" s="37"/>
      <c r="E2" s="37"/>
    </row>
    <row r="3" spans="1:5" ht="20.100000000000001" customHeight="1">
      <c r="A3" s="39" t="s">
        <v>2</v>
      </c>
      <c r="B3" s="37"/>
      <c r="C3" s="37"/>
      <c r="D3" s="37"/>
      <c r="E3" s="37"/>
    </row>
    <row r="5" spans="1:5" ht="21">
      <c r="A5" s="40" t="s">
        <v>319</v>
      </c>
      <c r="B5" s="37"/>
      <c r="C5" s="37"/>
      <c r="D5" s="37"/>
      <c r="E5" s="37"/>
    </row>
    <row r="7" spans="1:5" ht="21">
      <c r="C7" s="15" t="s">
        <v>150</v>
      </c>
      <c r="E7" s="15" t="s">
        <v>7</v>
      </c>
    </row>
    <row r="8" spans="1:5" ht="21">
      <c r="A8" s="16" t="s">
        <v>147</v>
      </c>
      <c r="C8" s="16" t="s">
        <v>122</v>
      </c>
      <c r="E8" s="16" t="s">
        <v>122</v>
      </c>
    </row>
    <row r="9" spans="1:5" ht="21">
      <c r="A9" s="27" t="s">
        <v>320</v>
      </c>
      <c r="C9" s="5">
        <v>331983869</v>
      </c>
      <c r="E9" s="5">
        <v>524652692</v>
      </c>
    </row>
    <row r="10" spans="1:5" ht="21">
      <c r="A10" s="8" t="s">
        <v>82</v>
      </c>
      <c r="C10" s="8">
        <f>SUM(C9:$C$9)</f>
        <v>331983869</v>
      </c>
      <c r="E10" s="8">
        <f>SUM(E9:$E$9)</f>
        <v>524652692</v>
      </c>
    </row>
    <row r="11" spans="1:5" ht="21">
      <c r="C11" s="10"/>
      <c r="E11" s="10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59"/>
  <sheetViews>
    <sheetView rightToLeft="1" view="pageBreakPreview" zoomScale="60" zoomScaleNormal="100" workbookViewId="0">
      <selection activeCell="A5" sqref="A5:S5"/>
    </sheetView>
  </sheetViews>
  <sheetFormatPr defaultRowHeight="19.5"/>
  <cols>
    <col min="1" max="1" width="35.42578125" style="2" customWidth="1"/>
    <col min="2" max="2" width="1.42578125" style="2" customWidth="1"/>
    <col min="3" max="3" width="11.42578125" style="2" customWidth="1"/>
    <col min="4" max="4" width="1.42578125" style="2" customWidth="1"/>
    <col min="5" max="5" width="12.7109375" style="2" customWidth="1"/>
    <col min="6" max="6" width="1.42578125" style="2" customWidth="1"/>
    <col min="7" max="7" width="11.42578125" style="2" customWidth="1"/>
    <col min="8" max="8" width="1.42578125" style="2" customWidth="1"/>
    <col min="9" max="9" width="18.42578125" style="2" customWidth="1"/>
    <col min="10" max="10" width="1.42578125" style="2" customWidth="1"/>
    <col min="11" max="11" width="14.140625" style="2" customWidth="1"/>
    <col min="12" max="12" width="1.42578125" style="2" customWidth="1"/>
    <col min="13" max="13" width="18.42578125" style="2" customWidth="1"/>
    <col min="14" max="14" width="1.42578125" style="2" customWidth="1"/>
    <col min="15" max="15" width="18.42578125" style="2" customWidth="1"/>
    <col min="16" max="16" width="1.42578125" style="2" customWidth="1"/>
    <col min="17" max="17" width="14.7109375" style="2" bestFit="1" customWidth="1"/>
    <col min="18" max="18" width="1.42578125" style="2" customWidth="1"/>
    <col min="19" max="19" width="18.42578125" style="2" customWidth="1"/>
    <col min="20" max="16384" width="9.140625" style="2"/>
  </cols>
  <sheetData>
    <row r="1" spans="1:19" ht="20.100000000000001" customHeight="1">
      <c r="A1" s="3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ht="20.100000000000001" customHeight="1">
      <c r="A2" s="39" t="s">
        <v>137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ht="20.100000000000001" customHeight="1">
      <c r="A3" s="39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5" spans="1:19" ht="21">
      <c r="A5" s="40" t="s">
        <v>148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</row>
    <row r="7" spans="1:19" ht="21">
      <c r="C7" s="33" t="s">
        <v>149</v>
      </c>
      <c r="D7" s="34"/>
      <c r="E7" s="34"/>
      <c r="F7" s="34"/>
      <c r="G7" s="34"/>
      <c r="I7" s="33" t="s">
        <v>150</v>
      </c>
      <c r="J7" s="34"/>
      <c r="K7" s="34"/>
      <c r="L7" s="34"/>
      <c r="M7" s="34"/>
      <c r="O7" s="33" t="s">
        <v>7</v>
      </c>
      <c r="P7" s="34"/>
      <c r="Q7" s="34"/>
      <c r="R7" s="34"/>
      <c r="S7" s="34"/>
    </row>
    <row r="8" spans="1:19" ht="63">
      <c r="A8" s="15" t="s">
        <v>83</v>
      </c>
      <c r="C8" s="16" t="s">
        <v>151</v>
      </c>
      <c r="E8" s="16" t="s">
        <v>152</v>
      </c>
      <c r="G8" s="16" t="s">
        <v>153</v>
      </c>
      <c r="I8" s="16" t="s">
        <v>154</v>
      </c>
      <c r="K8" s="16" t="s">
        <v>155</v>
      </c>
      <c r="M8" s="16" t="s">
        <v>156</v>
      </c>
      <c r="O8" s="16" t="s">
        <v>154</v>
      </c>
      <c r="Q8" s="16" t="s">
        <v>155</v>
      </c>
      <c r="S8" s="16" t="s">
        <v>156</v>
      </c>
    </row>
    <row r="9" spans="1:19" ht="21">
      <c r="A9" s="17" t="s">
        <v>17</v>
      </c>
      <c r="C9" s="6" t="s">
        <v>157</v>
      </c>
      <c r="E9" s="5">
        <v>467651</v>
      </c>
      <c r="G9" s="5">
        <v>300</v>
      </c>
      <c r="I9" s="5">
        <v>0</v>
      </c>
      <c r="K9" s="5">
        <v>0</v>
      </c>
      <c r="L9" s="5"/>
      <c r="M9" s="5">
        <f>I9+K9</f>
        <v>0</v>
      </c>
      <c r="N9" s="6"/>
      <c r="O9" s="5">
        <v>140295300</v>
      </c>
      <c r="Q9" s="5">
        <v>0</v>
      </c>
      <c r="S9" s="5">
        <v>140295300</v>
      </c>
    </row>
    <row r="10" spans="1:19" ht="21">
      <c r="A10" s="17" t="s">
        <v>158</v>
      </c>
      <c r="C10" s="6" t="s">
        <v>159</v>
      </c>
      <c r="E10" s="5">
        <v>321160</v>
      </c>
      <c r="G10" s="5">
        <v>1920</v>
      </c>
      <c r="I10" s="5">
        <v>0</v>
      </c>
      <c r="K10" s="5">
        <v>0</v>
      </c>
      <c r="M10" s="5">
        <f t="shared" ref="M10:M57" si="0">I10+K10</f>
        <v>0</v>
      </c>
      <c r="N10" s="6"/>
      <c r="O10" s="5">
        <v>616627200</v>
      </c>
      <c r="Q10" s="5">
        <v>0</v>
      </c>
      <c r="S10" s="5">
        <v>616627200</v>
      </c>
    </row>
    <row r="11" spans="1:19" ht="21">
      <c r="A11" s="17" t="s">
        <v>29</v>
      </c>
      <c r="C11" s="6" t="s">
        <v>157</v>
      </c>
      <c r="E11" s="5">
        <v>2200000</v>
      </c>
      <c r="G11" s="5">
        <v>537</v>
      </c>
      <c r="I11" s="5">
        <v>0</v>
      </c>
      <c r="K11" s="5">
        <v>0</v>
      </c>
      <c r="M11" s="5">
        <f t="shared" si="0"/>
        <v>0</v>
      </c>
      <c r="N11" s="6"/>
      <c r="O11" s="5">
        <v>1181400000</v>
      </c>
      <c r="Q11" s="5">
        <v>0</v>
      </c>
      <c r="S11" s="5">
        <v>1181400000</v>
      </c>
    </row>
    <row r="12" spans="1:19" ht="21">
      <c r="A12" s="17" t="s">
        <v>160</v>
      </c>
      <c r="C12" s="6" t="s">
        <v>161</v>
      </c>
      <c r="E12" s="5">
        <v>2800000</v>
      </c>
      <c r="G12" s="5">
        <v>82</v>
      </c>
      <c r="I12" s="5">
        <v>0</v>
      </c>
      <c r="K12" s="5">
        <v>0</v>
      </c>
      <c r="M12" s="5">
        <f t="shared" si="0"/>
        <v>0</v>
      </c>
      <c r="N12" s="6"/>
      <c r="O12" s="5">
        <v>229600000</v>
      </c>
      <c r="Q12" s="5">
        <v>0</v>
      </c>
      <c r="S12" s="5">
        <v>229600000</v>
      </c>
    </row>
    <row r="13" spans="1:19" ht="21">
      <c r="A13" s="17" t="s">
        <v>31</v>
      </c>
      <c r="C13" s="6" t="s">
        <v>162</v>
      </c>
      <c r="E13" s="5">
        <v>10000000</v>
      </c>
      <c r="G13" s="5">
        <v>66</v>
      </c>
      <c r="I13" s="5">
        <v>0</v>
      </c>
      <c r="K13" s="5">
        <v>0</v>
      </c>
      <c r="M13" s="5">
        <f t="shared" si="0"/>
        <v>0</v>
      </c>
      <c r="N13" s="6"/>
      <c r="O13" s="5">
        <v>660000000</v>
      </c>
      <c r="Q13" s="5">
        <v>0</v>
      </c>
      <c r="S13" s="5">
        <v>660000000</v>
      </c>
    </row>
    <row r="14" spans="1:19" ht="21">
      <c r="A14" s="17" t="s">
        <v>32</v>
      </c>
      <c r="C14" s="6" t="s">
        <v>163</v>
      </c>
      <c r="E14" s="5">
        <v>1339175</v>
      </c>
      <c r="G14" s="5">
        <v>17</v>
      </c>
      <c r="I14" s="5">
        <v>0</v>
      </c>
      <c r="K14" s="5">
        <v>0</v>
      </c>
      <c r="M14" s="5">
        <f t="shared" si="0"/>
        <v>0</v>
      </c>
      <c r="N14" s="6"/>
      <c r="O14" s="5">
        <v>22765975</v>
      </c>
      <c r="Q14" s="5">
        <v>0</v>
      </c>
      <c r="S14" s="5">
        <v>22765975</v>
      </c>
    </row>
    <row r="15" spans="1:19" ht="21">
      <c r="A15" s="17" t="s">
        <v>33</v>
      </c>
      <c r="C15" s="6" t="s">
        <v>163</v>
      </c>
      <c r="E15" s="5">
        <v>13300000</v>
      </c>
      <c r="G15" s="5">
        <v>82</v>
      </c>
      <c r="I15" s="5">
        <v>0</v>
      </c>
      <c r="K15" s="5">
        <v>0</v>
      </c>
      <c r="M15" s="5">
        <f t="shared" si="0"/>
        <v>0</v>
      </c>
      <c r="N15" s="6"/>
      <c r="O15" s="5">
        <v>1090603045</v>
      </c>
      <c r="Q15" s="5">
        <v>0</v>
      </c>
      <c r="S15" s="5">
        <v>1090603045</v>
      </c>
    </row>
    <row r="16" spans="1:19" ht="21">
      <c r="A16" s="17" t="s">
        <v>164</v>
      </c>
      <c r="C16" s="6" t="s">
        <v>165</v>
      </c>
      <c r="E16" s="5">
        <v>1650000</v>
      </c>
      <c r="G16" s="5">
        <v>224</v>
      </c>
      <c r="I16" s="5">
        <v>0</v>
      </c>
      <c r="K16" s="5">
        <v>0</v>
      </c>
      <c r="M16" s="5">
        <f t="shared" si="0"/>
        <v>0</v>
      </c>
      <c r="N16" s="6"/>
      <c r="O16" s="5">
        <v>369600000</v>
      </c>
      <c r="Q16" s="5">
        <v>0</v>
      </c>
      <c r="S16" s="5">
        <v>369600000</v>
      </c>
    </row>
    <row r="17" spans="1:19" ht="21">
      <c r="A17" s="17" t="s">
        <v>35</v>
      </c>
      <c r="C17" s="6" t="s">
        <v>166</v>
      </c>
      <c r="E17" s="5">
        <v>3221825</v>
      </c>
      <c r="G17" s="5">
        <v>190</v>
      </c>
      <c r="I17" s="5">
        <v>0</v>
      </c>
      <c r="K17" s="5">
        <v>0</v>
      </c>
      <c r="M17" s="5">
        <f t="shared" si="0"/>
        <v>0</v>
      </c>
      <c r="N17" s="6"/>
      <c r="O17" s="5">
        <v>612146750</v>
      </c>
      <c r="Q17" s="5">
        <v>0</v>
      </c>
      <c r="S17" s="5">
        <v>612146750</v>
      </c>
    </row>
    <row r="18" spans="1:19" ht="21">
      <c r="A18" s="17" t="s">
        <v>36</v>
      </c>
      <c r="C18" s="6" t="s">
        <v>167</v>
      </c>
      <c r="E18" s="5">
        <v>5800000</v>
      </c>
      <c r="G18" s="5">
        <v>360</v>
      </c>
      <c r="I18" s="5">
        <v>0</v>
      </c>
      <c r="K18" s="5">
        <v>0</v>
      </c>
      <c r="M18" s="5">
        <f t="shared" si="0"/>
        <v>0</v>
      </c>
      <c r="N18" s="6"/>
      <c r="O18" s="5">
        <v>2088000000</v>
      </c>
      <c r="Q18" s="5">
        <v>0</v>
      </c>
      <c r="S18" s="5">
        <v>2088000000</v>
      </c>
    </row>
    <row r="19" spans="1:19" ht="21">
      <c r="A19" s="17" t="s">
        <v>38</v>
      </c>
      <c r="C19" s="6" t="s">
        <v>168</v>
      </c>
      <c r="E19" s="5">
        <v>310000</v>
      </c>
      <c r="G19" s="5">
        <v>3000</v>
      </c>
      <c r="I19" s="5">
        <v>0</v>
      </c>
      <c r="K19" s="5">
        <v>0</v>
      </c>
      <c r="M19" s="5">
        <f t="shared" si="0"/>
        <v>0</v>
      </c>
      <c r="N19" s="6"/>
      <c r="O19" s="5">
        <v>930000000</v>
      </c>
      <c r="Q19" s="5">
        <v>0</v>
      </c>
      <c r="S19" s="5">
        <v>930000000</v>
      </c>
    </row>
    <row r="20" spans="1:19" ht="21">
      <c r="A20" s="17" t="s">
        <v>42</v>
      </c>
      <c r="C20" s="6" t="s">
        <v>169</v>
      </c>
      <c r="E20" s="5">
        <v>48341699</v>
      </c>
      <c r="G20" s="5">
        <v>150</v>
      </c>
      <c r="I20" s="5">
        <v>0</v>
      </c>
      <c r="K20" s="5">
        <v>0</v>
      </c>
      <c r="M20" s="5">
        <f t="shared" si="0"/>
        <v>0</v>
      </c>
      <c r="N20" s="6"/>
      <c r="O20" s="5">
        <v>7251254850</v>
      </c>
      <c r="Q20" s="5">
        <v>0</v>
      </c>
      <c r="S20" s="5">
        <v>7251254850</v>
      </c>
    </row>
    <row r="21" spans="1:19" ht="21">
      <c r="A21" s="17" t="s">
        <v>44</v>
      </c>
      <c r="C21" s="6" t="s">
        <v>170</v>
      </c>
      <c r="E21" s="5">
        <v>288004</v>
      </c>
      <c r="G21" s="5">
        <v>950</v>
      </c>
      <c r="I21" s="5">
        <v>0</v>
      </c>
      <c r="K21" s="5">
        <v>0</v>
      </c>
      <c r="M21" s="5">
        <f t="shared" si="0"/>
        <v>0</v>
      </c>
      <c r="N21" s="6"/>
      <c r="O21" s="5">
        <v>273603800</v>
      </c>
      <c r="Q21" s="5">
        <v>0</v>
      </c>
      <c r="S21" s="5">
        <v>273603800</v>
      </c>
    </row>
    <row r="22" spans="1:19" ht="21">
      <c r="A22" s="17" t="s">
        <v>45</v>
      </c>
      <c r="C22" s="6" t="s">
        <v>171</v>
      </c>
      <c r="E22" s="5">
        <v>2455431</v>
      </c>
      <c r="G22" s="5">
        <v>3000</v>
      </c>
      <c r="I22" s="5">
        <v>0</v>
      </c>
      <c r="K22" s="5">
        <v>0</v>
      </c>
      <c r="M22" s="5">
        <f t="shared" si="0"/>
        <v>0</v>
      </c>
      <c r="N22" s="6"/>
      <c r="O22" s="5">
        <v>7366293000</v>
      </c>
      <c r="Q22" s="5">
        <v>0</v>
      </c>
      <c r="S22" s="5">
        <v>7366293000</v>
      </c>
    </row>
    <row r="23" spans="1:19" ht="21">
      <c r="A23" s="17" t="s">
        <v>47</v>
      </c>
      <c r="C23" s="6" t="s">
        <v>172</v>
      </c>
      <c r="E23" s="5">
        <v>1183146</v>
      </c>
      <c r="G23" s="5">
        <v>1380</v>
      </c>
      <c r="I23" s="5">
        <v>1632741480</v>
      </c>
      <c r="K23" s="5">
        <v>-217181765</v>
      </c>
      <c r="M23" s="5">
        <f t="shared" si="0"/>
        <v>1415559715</v>
      </c>
      <c r="O23" s="5">
        <v>1632741480</v>
      </c>
      <c r="Q23" s="5">
        <v>-217181765</v>
      </c>
      <c r="S23" s="5">
        <v>1415559715</v>
      </c>
    </row>
    <row r="24" spans="1:19" ht="21">
      <c r="A24" s="17" t="s">
        <v>50</v>
      </c>
      <c r="C24" s="6" t="s">
        <v>173</v>
      </c>
      <c r="E24" s="5">
        <v>11399204</v>
      </c>
      <c r="G24" s="5">
        <v>540</v>
      </c>
      <c r="I24" s="5">
        <v>0</v>
      </c>
      <c r="K24" s="5">
        <v>0</v>
      </c>
      <c r="M24" s="5">
        <f t="shared" si="0"/>
        <v>0</v>
      </c>
      <c r="N24" s="6"/>
      <c r="O24" s="5">
        <v>6155570160</v>
      </c>
      <c r="Q24" s="5">
        <v>-675611359</v>
      </c>
      <c r="S24" s="5">
        <v>5479958801</v>
      </c>
    </row>
    <row r="25" spans="1:19" ht="21">
      <c r="A25" s="17" t="s">
        <v>51</v>
      </c>
      <c r="C25" s="6" t="s">
        <v>157</v>
      </c>
      <c r="E25" s="5">
        <v>1092665</v>
      </c>
      <c r="G25" s="5">
        <v>2920</v>
      </c>
      <c r="I25" s="5">
        <v>0</v>
      </c>
      <c r="K25" s="5">
        <v>0</v>
      </c>
      <c r="M25" s="5">
        <f t="shared" si="0"/>
        <v>0</v>
      </c>
      <c r="N25" s="6"/>
      <c r="O25" s="5">
        <v>3190581800</v>
      </c>
      <c r="Q25" s="5">
        <v>0</v>
      </c>
      <c r="S25" s="5">
        <v>3190581800</v>
      </c>
    </row>
    <row r="26" spans="1:19" ht="21">
      <c r="A26" s="17" t="s">
        <v>55</v>
      </c>
      <c r="C26" s="6" t="s">
        <v>157</v>
      </c>
      <c r="E26" s="5">
        <v>4500000</v>
      </c>
      <c r="G26" s="5">
        <v>255</v>
      </c>
      <c r="I26" s="5">
        <v>0</v>
      </c>
      <c r="K26" s="5">
        <v>0</v>
      </c>
      <c r="M26" s="5">
        <f t="shared" si="0"/>
        <v>0</v>
      </c>
      <c r="N26" s="6"/>
      <c r="O26" s="5">
        <v>1147500000</v>
      </c>
      <c r="Q26" s="5">
        <v>0</v>
      </c>
      <c r="S26" s="5">
        <v>1147500000</v>
      </c>
    </row>
    <row r="27" spans="1:19" ht="21">
      <c r="A27" s="17" t="s">
        <v>56</v>
      </c>
      <c r="C27" s="6" t="s">
        <v>157</v>
      </c>
      <c r="E27" s="5">
        <v>20600000</v>
      </c>
      <c r="G27" s="5">
        <v>400</v>
      </c>
      <c r="I27" s="5">
        <v>0</v>
      </c>
      <c r="K27" s="5">
        <v>0</v>
      </c>
      <c r="M27" s="5">
        <f t="shared" si="0"/>
        <v>0</v>
      </c>
      <c r="N27" s="6"/>
      <c r="O27" s="5">
        <v>8240000000</v>
      </c>
      <c r="Q27" s="5">
        <v>0</v>
      </c>
      <c r="S27" s="5">
        <v>8240000000</v>
      </c>
    </row>
    <row r="28" spans="1:19" ht="21">
      <c r="A28" s="17" t="s">
        <v>59</v>
      </c>
      <c r="C28" s="6" t="s">
        <v>174</v>
      </c>
      <c r="E28" s="5">
        <v>1341844</v>
      </c>
      <c r="G28" s="5">
        <v>1100</v>
      </c>
      <c r="I28" s="5">
        <v>0</v>
      </c>
      <c r="K28" s="5">
        <v>0</v>
      </c>
      <c r="M28" s="5">
        <f t="shared" si="0"/>
        <v>0</v>
      </c>
      <c r="N28" s="6"/>
      <c r="O28" s="5">
        <v>1476028400</v>
      </c>
      <c r="Q28" s="5">
        <v>0</v>
      </c>
      <c r="S28" s="5">
        <v>1476028400</v>
      </c>
    </row>
    <row r="29" spans="1:19" ht="21">
      <c r="A29" s="17" t="s">
        <v>175</v>
      </c>
      <c r="C29" s="6" t="s">
        <v>176</v>
      </c>
      <c r="E29" s="5">
        <v>1642919</v>
      </c>
      <c r="G29" s="5">
        <v>1800</v>
      </c>
      <c r="I29" s="5">
        <v>0</v>
      </c>
      <c r="K29" s="5">
        <v>0</v>
      </c>
      <c r="M29" s="5">
        <f t="shared" si="0"/>
        <v>0</v>
      </c>
      <c r="N29" s="6"/>
      <c r="O29" s="5">
        <v>2957254200</v>
      </c>
      <c r="Q29" s="5">
        <v>-288780076</v>
      </c>
      <c r="S29" s="5">
        <v>2668474124</v>
      </c>
    </row>
    <row r="30" spans="1:19" ht="21">
      <c r="A30" s="17" t="s">
        <v>60</v>
      </c>
      <c r="C30" s="6" t="s">
        <v>165</v>
      </c>
      <c r="E30" s="5">
        <v>1754845</v>
      </c>
      <c r="G30" s="5">
        <v>354</v>
      </c>
      <c r="I30" s="5">
        <v>0</v>
      </c>
      <c r="K30" s="5">
        <v>0</v>
      </c>
      <c r="M30" s="5">
        <f t="shared" si="0"/>
        <v>0</v>
      </c>
      <c r="N30" s="6"/>
      <c r="O30" s="5">
        <v>621215130</v>
      </c>
      <c r="Q30" s="5">
        <v>0</v>
      </c>
      <c r="S30" s="5">
        <v>621215130</v>
      </c>
    </row>
    <row r="31" spans="1:19" ht="21">
      <c r="A31" s="17" t="s">
        <v>61</v>
      </c>
      <c r="C31" s="6" t="s">
        <v>165</v>
      </c>
      <c r="E31" s="5">
        <v>11520000</v>
      </c>
      <c r="G31" s="5">
        <v>370</v>
      </c>
      <c r="I31" s="5">
        <v>0</v>
      </c>
      <c r="K31" s="5">
        <v>0</v>
      </c>
      <c r="M31" s="5">
        <f t="shared" si="0"/>
        <v>0</v>
      </c>
      <c r="N31" s="6"/>
      <c r="O31" s="5">
        <v>4262400000</v>
      </c>
      <c r="Q31" s="5">
        <v>0</v>
      </c>
      <c r="S31" s="5">
        <v>4262400000</v>
      </c>
    </row>
    <row r="32" spans="1:19" ht="21">
      <c r="A32" s="17" t="s">
        <v>305</v>
      </c>
      <c r="C32" s="6"/>
      <c r="E32" s="5"/>
      <c r="G32" s="5"/>
      <c r="I32" s="13">
        <f>SUM(I9:I31)</f>
        <v>1632741480</v>
      </c>
      <c r="K32" s="13">
        <f>SUM(K9:K31)</f>
        <v>-217181765</v>
      </c>
      <c r="M32" s="13">
        <f>SUM(M9:M31)</f>
        <v>1415559715</v>
      </c>
      <c r="N32" s="6"/>
      <c r="O32" s="13">
        <f>SUM(O9:O31)</f>
        <v>52515481090</v>
      </c>
      <c r="Q32" s="13">
        <f>SUM(Q9:Q31)</f>
        <v>-1181573200</v>
      </c>
      <c r="S32" s="13">
        <f>SUM(S9:S31)</f>
        <v>51333907890</v>
      </c>
    </row>
    <row r="33" spans="1:19" ht="20.100000000000001" customHeight="1">
      <c r="A33" s="39" t="s">
        <v>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</row>
    <row r="34" spans="1:19" ht="20.100000000000001" customHeight="1">
      <c r="A34" s="39" t="s">
        <v>137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</row>
    <row r="35" spans="1:19" ht="20.100000000000001" customHeight="1">
      <c r="A35" s="39" t="s">
        <v>2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</row>
    <row r="37" spans="1:19" ht="21">
      <c r="A37" s="40" t="s">
        <v>148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</row>
    <row r="39" spans="1:19" ht="21">
      <c r="C39" s="33" t="s">
        <v>149</v>
      </c>
      <c r="D39" s="34"/>
      <c r="E39" s="34"/>
      <c r="F39" s="34"/>
      <c r="G39" s="34"/>
      <c r="I39" s="33" t="s">
        <v>150</v>
      </c>
      <c r="J39" s="34"/>
      <c r="K39" s="34"/>
      <c r="L39" s="34"/>
      <c r="M39" s="34"/>
      <c r="O39" s="33" t="s">
        <v>7</v>
      </c>
      <c r="P39" s="34"/>
      <c r="Q39" s="34"/>
      <c r="R39" s="34"/>
      <c r="S39" s="34"/>
    </row>
    <row r="40" spans="1:19" ht="63">
      <c r="A40" s="15" t="s">
        <v>83</v>
      </c>
      <c r="C40" s="16" t="s">
        <v>151</v>
      </c>
      <c r="E40" s="16" t="s">
        <v>152</v>
      </c>
      <c r="G40" s="16" t="s">
        <v>153</v>
      </c>
      <c r="I40" s="16" t="s">
        <v>154</v>
      </c>
      <c r="K40" s="16" t="s">
        <v>155</v>
      </c>
      <c r="M40" s="16" t="s">
        <v>156</v>
      </c>
      <c r="O40" s="16" t="s">
        <v>154</v>
      </c>
      <c r="Q40" s="16" t="s">
        <v>155</v>
      </c>
      <c r="S40" s="16" t="s">
        <v>156</v>
      </c>
    </row>
    <row r="41" spans="1:19" ht="21">
      <c r="A41" s="17" t="s">
        <v>306</v>
      </c>
      <c r="C41" s="23"/>
      <c r="E41" s="23"/>
      <c r="G41" s="23"/>
      <c r="I41" s="5">
        <f>I32</f>
        <v>1632741480</v>
      </c>
      <c r="J41" s="5"/>
      <c r="K41" s="5">
        <f>K32</f>
        <v>-217181765</v>
      </c>
      <c r="L41" s="5"/>
      <c r="M41" s="5">
        <f>M32</f>
        <v>1415559715</v>
      </c>
      <c r="N41" s="5"/>
      <c r="O41" s="5">
        <f>O32</f>
        <v>52515481090</v>
      </c>
      <c r="P41" s="5"/>
      <c r="Q41" s="5">
        <f>Q32</f>
        <v>-1181573200</v>
      </c>
      <c r="R41" s="5"/>
      <c r="S41" s="5">
        <f>S32</f>
        <v>51333907890</v>
      </c>
    </row>
    <row r="42" spans="1:19" ht="21">
      <c r="A42" s="17" t="s">
        <v>62</v>
      </c>
      <c r="C42" s="6" t="s">
        <v>177</v>
      </c>
      <c r="E42" s="5">
        <v>910000</v>
      </c>
      <c r="G42" s="5">
        <v>500</v>
      </c>
      <c r="I42" s="5">
        <v>0</v>
      </c>
      <c r="K42" s="5">
        <v>0</v>
      </c>
      <c r="M42" s="5">
        <f t="shared" si="0"/>
        <v>0</v>
      </c>
      <c r="N42" s="6"/>
      <c r="O42" s="5">
        <v>455000000</v>
      </c>
      <c r="Q42" s="5">
        <v>0</v>
      </c>
      <c r="S42" s="5">
        <v>455000000</v>
      </c>
    </row>
    <row r="43" spans="1:19" ht="21">
      <c r="A43" s="17" t="s">
        <v>178</v>
      </c>
      <c r="C43" s="6" t="s">
        <v>179</v>
      </c>
      <c r="E43" s="5">
        <v>572500</v>
      </c>
      <c r="G43" s="5">
        <v>1350</v>
      </c>
      <c r="I43" s="5">
        <v>0</v>
      </c>
      <c r="K43" s="5">
        <v>0</v>
      </c>
      <c r="M43" s="5">
        <f t="shared" si="0"/>
        <v>0</v>
      </c>
      <c r="N43" s="6"/>
      <c r="O43" s="5">
        <v>772875000</v>
      </c>
      <c r="Q43" s="5">
        <v>0</v>
      </c>
      <c r="S43" s="5">
        <v>772875000</v>
      </c>
    </row>
    <row r="44" spans="1:19" ht="21">
      <c r="A44" s="17" t="s">
        <v>63</v>
      </c>
      <c r="C44" s="6" t="s">
        <v>180</v>
      </c>
      <c r="E44" s="5">
        <v>7255540</v>
      </c>
      <c r="G44" s="5">
        <v>610</v>
      </c>
      <c r="I44" s="5">
        <v>0</v>
      </c>
      <c r="K44" s="5">
        <v>0</v>
      </c>
      <c r="M44" s="5">
        <f t="shared" si="0"/>
        <v>0</v>
      </c>
      <c r="N44" s="6"/>
      <c r="O44" s="5">
        <v>4425879400</v>
      </c>
      <c r="Q44" s="5">
        <v>0</v>
      </c>
      <c r="S44" s="5">
        <v>4425879400</v>
      </c>
    </row>
    <row r="45" spans="1:19" ht="21">
      <c r="A45" s="17" t="s">
        <v>181</v>
      </c>
      <c r="C45" s="6" t="s">
        <v>182</v>
      </c>
      <c r="E45" s="5">
        <v>2574124</v>
      </c>
      <c r="G45" s="5">
        <v>1500</v>
      </c>
      <c r="I45" s="5">
        <v>0</v>
      </c>
      <c r="K45" s="5">
        <v>0</v>
      </c>
      <c r="M45" s="5">
        <f t="shared" si="0"/>
        <v>0</v>
      </c>
      <c r="N45" s="6"/>
      <c r="O45" s="5">
        <v>3861186000</v>
      </c>
      <c r="Q45" s="5">
        <v>0</v>
      </c>
      <c r="S45" s="5">
        <v>3861186000</v>
      </c>
    </row>
    <row r="46" spans="1:19" ht="21">
      <c r="A46" s="17" t="s">
        <v>64</v>
      </c>
      <c r="C46" s="6" t="s">
        <v>183</v>
      </c>
      <c r="E46" s="5">
        <v>1631494</v>
      </c>
      <c r="G46" s="5">
        <v>1540</v>
      </c>
      <c r="I46" s="5">
        <v>0</v>
      </c>
      <c r="K46" s="5">
        <v>0</v>
      </c>
      <c r="M46" s="5">
        <f t="shared" si="0"/>
        <v>0</v>
      </c>
      <c r="N46" s="6"/>
      <c r="O46" s="5">
        <v>2512500760</v>
      </c>
      <c r="Q46" s="5">
        <v>0</v>
      </c>
      <c r="S46" s="5">
        <v>2512500760</v>
      </c>
    </row>
    <row r="47" spans="1:19" ht="21">
      <c r="A47" s="17" t="s">
        <v>65</v>
      </c>
      <c r="C47" s="6" t="s">
        <v>180</v>
      </c>
      <c r="E47" s="5">
        <v>1614011</v>
      </c>
      <c r="G47" s="5">
        <v>1680</v>
      </c>
      <c r="I47" s="5">
        <v>0</v>
      </c>
      <c r="K47" s="5">
        <v>0</v>
      </c>
      <c r="M47" s="5">
        <f t="shared" si="0"/>
        <v>0</v>
      </c>
      <c r="N47" s="6"/>
      <c r="O47" s="5">
        <v>2711538480</v>
      </c>
      <c r="Q47" s="5">
        <v>0</v>
      </c>
      <c r="S47" s="5">
        <v>2711538480</v>
      </c>
    </row>
    <row r="48" spans="1:19" ht="21">
      <c r="A48" s="17" t="s">
        <v>66</v>
      </c>
      <c r="C48" s="6" t="s">
        <v>165</v>
      </c>
      <c r="E48" s="5">
        <v>8288661</v>
      </c>
      <c r="G48" s="5">
        <v>260</v>
      </c>
      <c r="I48" s="5">
        <v>0</v>
      </c>
      <c r="K48" s="5">
        <v>0</v>
      </c>
      <c r="M48" s="5">
        <f t="shared" si="0"/>
        <v>0</v>
      </c>
      <c r="N48" s="6"/>
      <c r="O48" s="5">
        <v>2155051860</v>
      </c>
      <c r="Q48" s="5">
        <v>0</v>
      </c>
      <c r="S48" s="5">
        <v>2155051860</v>
      </c>
    </row>
    <row r="49" spans="1:19" ht="21">
      <c r="A49" s="17" t="s">
        <v>69</v>
      </c>
      <c r="C49" s="6" t="s">
        <v>184</v>
      </c>
      <c r="E49" s="5">
        <v>400000</v>
      </c>
      <c r="G49" s="5">
        <v>4660</v>
      </c>
      <c r="I49" s="5">
        <v>0</v>
      </c>
      <c r="K49" s="5">
        <v>0</v>
      </c>
      <c r="M49" s="5">
        <f t="shared" si="0"/>
        <v>0</v>
      </c>
      <c r="N49" s="6"/>
      <c r="O49" s="5">
        <v>1864000000</v>
      </c>
      <c r="Q49" s="5">
        <v>0</v>
      </c>
      <c r="S49" s="5">
        <v>1864000000</v>
      </c>
    </row>
    <row r="50" spans="1:19" ht="21">
      <c r="A50" s="17" t="s">
        <v>185</v>
      </c>
      <c r="C50" s="6" t="s">
        <v>186</v>
      </c>
      <c r="E50" s="5">
        <v>320000</v>
      </c>
      <c r="G50" s="5">
        <v>1330</v>
      </c>
      <c r="I50" s="5">
        <v>0</v>
      </c>
      <c r="K50" s="5">
        <v>0</v>
      </c>
      <c r="M50" s="5">
        <f t="shared" si="0"/>
        <v>0</v>
      </c>
      <c r="N50" s="6"/>
      <c r="O50" s="5">
        <v>425600000</v>
      </c>
      <c r="Q50" s="5">
        <v>0</v>
      </c>
      <c r="S50" s="5">
        <v>425600000</v>
      </c>
    </row>
    <row r="51" spans="1:19" ht="21">
      <c r="A51" s="17" t="s">
        <v>71</v>
      </c>
      <c r="C51" s="6" t="s">
        <v>187</v>
      </c>
      <c r="E51" s="5">
        <v>175484</v>
      </c>
      <c r="G51" s="5">
        <v>20000</v>
      </c>
      <c r="I51" s="5">
        <v>0</v>
      </c>
      <c r="K51" s="5">
        <v>0</v>
      </c>
      <c r="M51" s="5">
        <f t="shared" si="0"/>
        <v>0</v>
      </c>
      <c r="N51" s="6"/>
      <c r="O51" s="5">
        <v>3509680000</v>
      </c>
      <c r="Q51" s="5">
        <v>0</v>
      </c>
      <c r="S51" s="5">
        <v>3509680000</v>
      </c>
    </row>
    <row r="52" spans="1:19" ht="21">
      <c r="A52" s="17" t="s">
        <v>73</v>
      </c>
      <c r="C52" s="6" t="s">
        <v>188</v>
      </c>
      <c r="E52" s="5">
        <v>128000</v>
      </c>
      <c r="G52" s="5">
        <v>37000</v>
      </c>
      <c r="I52" s="5">
        <v>4736000000</v>
      </c>
      <c r="K52" s="5">
        <v>0</v>
      </c>
      <c r="M52" s="5">
        <f t="shared" si="0"/>
        <v>4736000000</v>
      </c>
      <c r="O52" s="5">
        <v>9245477500</v>
      </c>
      <c r="Q52" s="5">
        <v>0</v>
      </c>
      <c r="S52" s="5">
        <v>9245477500</v>
      </c>
    </row>
    <row r="53" spans="1:19" ht="21">
      <c r="A53" s="17" t="s">
        <v>74</v>
      </c>
      <c r="C53" s="6" t="s">
        <v>168</v>
      </c>
      <c r="E53" s="5">
        <v>1018099</v>
      </c>
      <c r="G53" s="5">
        <v>2000</v>
      </c>
      <c r="I53" s="5">
        <v>0</v>
      </c>
      <c r="K53" s="5">
        <v>0</v>
      </c>
      <c r="M53" s="5">
        <f t="shared" si="0"/>
        <v>0</v>
      </c>
      <c r="N53" s="6"/>
      <c r="O53" s="5">
        <v>2036198000</v>
      </c>
      <c r="Q53" s="5">
        <v>0</v>
      </c>
      <c r="S53" s="5">
        <v>2036198000</v>
      </c>
    </row>
    <row r="54" spans="1:19" ht="21">
      <c r="A54" s="17" t="s">
        <v>77</v>
      </c>
      <c r="C54" s="6" t="s">
        <v>189</v>
      </c>
      <c r="E54" s="5">
        <v>5547863</v>
      </c>
      <c r="G54" s="5">
        <v>620</v>
      </c>
      <c r="I54" s="5">
        <v>0</v>
      </c>
      <c r="K54" s="5">
        <v>0</v>
      </c>
      <c r="M54" s="5">
        <f t="shared" si="0"/>
        <v>0</v>
      </c>
      <c r="N54" s="6"/>
      <c r="O54" s="5">
        <v>3439675060</v>
      </c>
      <c r="Q54" s="5">
        <v>0</v>
      </c>
      <c r="S54" s="5">
        <v>3439675060</v>
      </c>
    </row>
    <row r="55" spans="1:19" ht="21">
      <c r="A55" s="17" t="s">
        <v>190</v>
      </c>
      <c r="C55" s="6" t="s">
        <v>157</v>
      </c>
      <c r="E55" s="5">
        <v>2550000</v>
      </c>
      <c r="G55" s="5">
        <v>70</v>
      </c>
      <c r="I55" s="5">
        <v>0</v>
      </c>
      <c r="K55" s="5">
        <v>0</v>
      </c>
      <c r="M55" s="5">
        <f t="shared" si="0"/>
        <v>0</v>
      </c>
      <c r="N55" s="6"/>
      <c r="O55" s="5">
        <v>178500000</v>
      </c>
      <c r="Q55" s="5">
        <v>0</v>
      </c>
      <c r="S55" s="5">
        <v>178500000</v>
      </c>
    </row>
    <row r="56" spans="1:19" ht="21">
      <c r="A56" s="17" t="s">
        <v>79</v>
      </c>
      <c r="C56" s="6" t="s">
        <v>191</v>
      </c>
      <c r="E56" s="5">
        <v>800000</v>
      </c>
      <c r="G56" s="5">
        <v>6</v>
      </c>
      <c r="I56" s="5">
        <v>0</v>
      </c>
      <c r="K56" s="5">
        <v>0</v>
      </c>
      <c r="M56" s="5">
        <f t="shared" si="0"/>
        <v>0</v>
      </c>
      <c r="N56" s="6"/>
      <c r="O56" s="5">
        <v>4800000</v>
      </c>
      <c r="Q56" s="5">
        <v>-240468</v>
      </c>
      <c r="S56" s="5">
        <v>4559532</v>
      </c>
    </row>
    <row r="57" spans="1:19" ht="21">
      <c r="A57" s="17" t="s">
        <v>81</v>
      </c>
      <c r="C57" s="6" t="s">
        <v>189</v>
      </c>
      <c r="E57" s="5">
        <v>5194335</v>
      </c>
      <c r="G57" s="5">
        <v>380</v>
      </c>
      <c r="I57" s="5">
        <v>0</v>
      </c>
      <c r="K57" s="5">
        <v>0</v>
      </c>
      <c r="M57" s="5">
        <f t="shared" si="0"/>
        <v>0</v>
      </c>
      <c r="N57" s="6"/>
      <c r="O57" s="5">
        <v>1973847300</v>
      </c>
      <c r="Q57" s="5">
        <v>-5978374</v>
      </c>
      <c r="S57" s="5">
        <v>1967868926</v>
      </c>
    </row>
    <row r="58" spans="1:19" ht="21">
      <c r="A58" s="8" t="s">
        <v>82</v>
      </c>
      <c r="I58" s="8">
        <f>SUM(I41:I57)</f>
        <v>6368741480</v>
      </c>
      <c r="K58" s="8">
        <f>SUM(K41:K57)</f>
        <v>-217181765</v>
      </c>
      <c r="M58" s="8">
        <f>SUM(M41:M57)</f>
        <v>6151559715</v>
      </c>
      <c r="O58" s="8">
        <f>SUM(O41:O57)</f>
        <v>92087290450</v>
      </c>
      <c r="Q58" s="8">
        <f>SUM(Q41:Q57)</f>
        <v>-1187792042</v>
      </c>
      <c r="S58" s="8">
        <f>SUM(S41:S57)</f>
        <v>90899498408</v>
      </c>
    </row>
    <row r="59" spans="1:19" ht="21">
      <c r="I59" s="10"/>
      <c r="K59" s="10"/>
      <c r="M59" s="10"/>
      <c r="O59" s="10"/>
      <c r="Q59" s="10"/>
      <c r="S59" s="10"/>
    </row>
  </sheetData>
  <mergeCells count="14">
    <mergeCell ref="A1:S1"/>
    <mergeCell ref="A2:S2"/>
    <mergeCell ref="A3:S3"/>
    <mergeCell ref="A5:S5"/>
    <mergeCell ref="C7:G7"/>
    <mergeCell ref="I7:M7"/>
    <mergeCell ref="O7:S7"/>
    <mergeCell ref="A33:S33"/>
    <mergeCell ref="A34:S34"/>
    <mergeCell ref="A35:S35"/>
    <mergeCell ref="A37:S37"/>
    <mergeCell ref="C39:G39"/>
    <mergeCell ref="I39:M39"/>
    <mergeCell ref="O39:S39"/>
  </mergeCells>
  <pageMargins left="0.7" right="0.7" top="0.75" bottom="0.75" header="0.3" footer="0.3"/>
  <pageSetup paperSize="9" scale="70" fitToHeight="0" orientation="landscape" r:id="rId1"/>
  <rowBreaks count="1" manualBreakCount="1">
    <brk id="32" max="18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E966-1659-4AD6-BFB7-9D4239CB13FC}">
  <sheetPr>
    <pageSetUpPr fitToPage="1"/>
  </sheetPr>
  <dimension ref="A1:S11"/>
  <sheetViews>
    <sheetView rightToLeft="1" view="pageBreakPreview" zoomScale="60" zoomScaleNormal="100" workbookViewId="0">
      <selection activeCell="A5" sqref="A5:S5"/>
    </sheetView>
  </sheetViews>
  <sheetFormatPr defaultRowHeight="19.5"/>
  <cols>
    <col min="1" max="1" width="29.28515625" style="2" customWidth="1"/>
    <col min="2" max="2" width="1.42578125" style="2" customWidth="1"/>
    <col min="3" max="3" width="11.42578125" style="2" customWidth="1"/>
    <col min="4" max="4" width="1.42578125" style="2" customWidth="1"/>
    <col min="5" max="5" width="11.42578125" style="2" customWidth="1"/>
    <col min="6" max="6" width="1.42578125" style="2" customWidth="1"/>
    <col min="7" max="7" width="11.42578125" style="2" customWidth="1"/>
    <col min="8" max="8" width="1.42578125" style="2" customWidth="1"/>
    <col min="9" max="9" width="18.42578125" style="2" customWidth="1"/>
    <col min="10" max="10" width="1.42578125" style="2" customWidth="1"/>
    <col min="11" max="11" width="14.140625" style="2" customWidth="1"/>
    <col min="12" max="12" width="1.42578125" style="2" customWidth="1"/>
    <col min="13" max="13" width="18.42578125" style="2" customWidth="1"/>
    <col min="14" max="14" width="1.42578125" style="2" customWidth="1"/>
    <col min="15" max="15" width="18.42578125" style="2" customWidth="1"/>
    <col min="16" max="16" width="1.42578125" style="2" customWidth="1"/>
    <col min="17" max="17" width="14.140625" style="2" customWidth="1"/>
    <col min="18" max="18" width="1.42578125" style="2" customWidth="1"/>
    <col min="19" max="19" width="18.42578125" style="2" customWidth="1"/>
    <col min="20" max="16384" width="9.140625" style="2"/>
  </cols>
  <sheetData>
    <row r="1" spans="1:19" ht="20.100000000000001" customHeight="1">
      <c r="A1" s="3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ht="20.100000000000001" customHeight="1">
      <c r="A2" s="39" t="s">
        <v>137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ht="20.100000000000001" customHeight="1">
      <c r="A3" s="39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5" spans="1:19" ht="21">
      <c r="A5" s="40" t="s">
        <v>321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</row>
    <row r="7" spans="1:19" ht="21">
      <c r="I7" s="33" t="s">
        <v>150</v>
      </c>
      <c r="J7" s="34"/>
      <c r="K7" s="34"/>
      <c r="L7" s="34"/>
      <c r="M7" s="34"/>
      <c r="O7" s="33" t="s">
        <v>7</v>
      </c>
      <c r="P7" s="34"/>
      <c r="Q7" s="34"/>
      <c r="R7" s="34"/>
      <c r="S7" s="34"/>
    </row>
    <row r="8" spans="1:19" ht="42">
      <c r="A8" s="28" t="s">
        <v>139</v>
      </c>
      <c r="C8" s="16" t="s">
        <v>192</v>
      </c>
      <c r="E8" s="16" t="s">
        <v>115</v>
      </c>
      <c r="G8" s="16" t="s">
        <v>121</v>
      </c>
      <c r="I8" s="16" t="s">
        <v>193</v>
      </c>
      <c r="K8" s="16" t="s">
        <v>155</v>
      </c>
      <c r="M8" s="16" t="s">
        <v>194</v>
      </c>
      <c r="O8" s="16" t="s">
        <v>193</v>
      </c>
      <c r="Q8" s="16" t="s">
        <v>155</v>
      </c>
      <c r="S8" s="16" t="s">
        <v>194</v>
      </c>
    </row>
    <row r="9" spans="1:19" ht="21">
      <c r="A9" s="17" t="s">
        <v>200</v>
      </c>
      <c r="C9" s="6" t="s">
        <v>201</v>
      </c>
      <c r="E9" s="6" t="s">
        <v>202</v>
      </c>
      <c r="G9" s="6" t="s">
        <v>136</v>
      </c>
      <c r="I9" s="5">
        <v>0</v>
      </c>
      <c r="J9" s="5"/>
      <c r="K9" s="5">
        <v>0</v>
      </c>
      <c r="L9" s="5"/>
      <c r="M9" s="5">
        <v>0</v>
      </c>
      <c r="N9" s="6"/>
      <c r="O9" s="5">
        <v>3415108863</v>
      </c>
      <c r="Q9" s="5">
        <v>0</v>
      </c>
      <c r="S9" s="5">
        <v>3415108863</v>
      </c>
    </row>
    <row r="10" spans="1:19" ht="21.75" thickBot="1">
      <c r="A10" s="8" t="s">
        <v>82</v>
      </c>
      <c r="I10" s="8">
        <f>SUM(I9:$I$9)</f>
        <v>0</v>
      </c>
      <c r="K10" s="8">
        <f>SUM(K9:$K$9)</f>
        <v>0</v>
      </c>
      <c r="M10" s="8">
        <f>SUM(M9:$M$9)</f>
        <v>0</v>
      </c>
      <c r="O10" s="8">
        <f>SUM(O9:$O$9)</f>
        <v>3415108863</v>
      </c>
      <c r="Q10" s="8">
        <f>SUM(Q9:$Q$9)</f>
        <v>0</v>
      </c>
      <c r="S10" s="8">
        <f>SUM(S9:$S$9)</f>
        <v>3415108863</v>
      </c>
    </row>
    <row r="11" spans="1:19" ht="21.75" thickTop="1">
      <c r="I11" s="10"/>
      <c r="K11" s="10"/>
      <c r="M11" s="10"/>
      <c r="O11" s="10"/>
      <c r="Q11" s="10"/>
      <c r="S11" s="10"/>
    </row>
  </sheetData>
  <mergeCells count="6">
    <mergeCell ref="A1:S1"/>
    <mergeCell ref="A2:S2"/>
    <mergeCell ref="A3:S3"/>
    <mergeCell ref="A5:S5"/>
    <mergeCell ref="I7:M7"/>
    <mergeCell ref="O7:S7"/>
  </mergeCells>
  <pageMargins left="0.7" right="0.7" top="0.75" bottom="0.75" header="0.3" footer="0.3"/>
  <pageSetup paperSize="9" scale="73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2"/>
  <sheetViews>
    <sheetView rightToLeft="1" view="pageBreakPreview" zoomScale="60" zoomScaleNormal="100" workbookViewId="0">
      <selection activeCell="I14" sqref="I14"/>
    </sheetView>
  </sheetViews>
  <sheetFormatPr defaultRowHeight="19.5"/>
  <cols>
    <col min="1" max="1" width="41.140625" style="2" customWidth="1"/>
    <col min="2" max="2" width="1.42578125" style="2" customWidth="1"/>
    <col min="3" max="3" width="11.42578125" style="2" customWidth="1"/>
    <col min="4" max="4" width="1.42578125" style="2" customWidth="1"/>
    <col min="5" max="5" width="11.42578125" style="2" customWidth="1"/>
    <col min="6" max="6" width="1.42578125" style="2" customWidth="1"/>
    <col min="7" max="7" width="11.42578125" style="2" customWidth="1"/>
    <col min="8" max="8" width="1.42578125" style="2" customWidth="1"/>
    <col min="9" max="9" width="18.42578125" style="2" customWidth="1"/>
    <col min="10" max="10" width="1.42578125" style="2" customWidth="1"/>
    <col min="11" max="11" width="14.140625" style="2" customWidth="1"/>
    <col min="12" max="12" width="1.42578125" style="2" customWidth="1"/>
    <col min="13" max="13" width="18.42578125" style="2" customWidth="1"/>
    <col min="14" max="14" width="1.42578125" style="2" customWidth="1"/>
    <col min="15" max="15" width="18.42578125" style="2" customWidth="1"/>
    <col min="16" max="16" width="1.42578125" style="2" customWidth="1"/>
    <col min="17" max="17" width="14.140625" style="2" customWidth="1"/>
    <col min="18" max="18" width="1.42578125" style="2" customWidth="1"/>
    <col min="19" max="19" width="18.42578125" style="2" customWidth="1"/>
    <col min="20" max="16384" width="9.140625" style="2"/>
  </cols>
  <sheetData>
    <row r="1" spans="1:19" ht="20.100000000000001" customHeight="1">
      <c r="A1" s="3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ht="20.100000000000001" customHeight="1">
      <c r="A2" s="39" t="s">
        <v>137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ht="20.100000000000001" customHeight="1">
      <c r="A3" s="39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5" spans="1:19" ht="21">
      <c r="A5" s="40" t="s">
        <v>322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</row>
    <row r="7" spans="1:19" ht="21">
      <c r="I7" s="33" t="s">
        <v>150</v>
      </c>
      <c r="J7" s="34"/>
      <c r="K7" s="34"/>
      <c r="L7" s="34"/>
      <c r="M7" s="34"/>
      <c r="O7" s="33" t="s">
        <v>7</v>
      </c>
      <c r="P7" s="34"/>
      <c r="Q7" s="34"/>
      <c r="R7" s="34"/>
      <c r="S7" s="34"/>
    </row>
    <row r="8" spans="1:19" ht="42">
      <c r="A8" s="28" t="s">
        <v>139</v>
      </c>
      <c r="C8" s="16" t="s">
        <v>192</v>
      </c>
      <c r="E8" s="16" t="s">
        <v>115</v>
      </c>
      <c r="G8" s="16" t="s">
        <v>121</v>
      </c>
      <c r="I8" s="16" t="s">
        <v>193</v>
      </c>
      <c r="K8" s="16" t="s">
        <v>155</v>
      </c>
      <c r="M8" s="16" t="s">
        <v>194</v>
      </c>
      <c r="O8" s="16" t="s">
        <v>193</v>
      </c>
      <c r="Q8" s="16" t="s">
        <v>155</v>
      </c>
      <c r="S8" s="16" t="s">
        <v>194</v>
      </c>
    </row>
    <row r="9" spans="1:19" ht="21">
      <c r="A9" s="17" t="s">
        <v>195</v>
      </c>
      <c r="C9" s="6" t="s">
        <v>196</v>
      </c>
      <c r="E9" s="6" t="s">
        <v>197</v>
      </c>
      <c r="G9" s="6" t="s">
        <v>136</v>
      </c>
      <c r="I9" s="5">
        <v>1756874493</v>
      </c>
      <c r="K9" s="5">
        <v>-8596260</v>
      </c>
      <c r="M9" s="5">
        <v>1748278233</v>
      </c>
      <c r="O9" s="5">
        <v>11147414206</v>
      </c>
      <c r="Q9" s="5">
        <v>-2597669</v>
      </c>
      <c r="S9" s="5">
        <v>11144816537</v>
      </c>
    </row>
    <row r="10" spans="1:19" ht="21">
      <c r="A10" s="17" t="s">
        <v>198</v>
      </c>
      <c r="C10" s="6" t="s">
        <v>199</v>
      </c>
      <c r="E10" s="6" t="s">
        <v>197</v>
      </c>
      <c r="G10" s="6">
        <v>10</v>
      </c>
      <c r="I10" s="5">
        <v>3044605</v>
      </c>
      <c r="K10" s="5">
        <v>0</v>
      </c>
      <c r="M10" s="5">
        <v>3044605</v>
      </c>
      <c r="O10" s="5">
        <v>204506015</v>
      </c>
      <c r="Q10" s="5">
        <v>0</v>
      </c>
      <c r="S10" s="5">
        <v>204506015</v>
      </c>
    </row>
    <row r="11" spans="1:19" ht="21">
      <c r="A11" s="8" t="s">
        <v>82</v>
      </c>
      <c r="I11" s="8">
        <f>SUM(I9:$I$10)</f>
        <v>1759919098</v>
      </c>
      <c r="K11" s="8">
        <f>SUM(K9:$K$10)</f>
        <v>-8596260</v>
      </c>
      <c r="M11" s="8">
        <f>SUM(M9:$M$10)</f>
        <v>1751322838</v>
      </c>
      <c r="O11" s="8">
        <f>SUM(O9:$O$10)</f>
        <v>11351920221</v>
      </c>
      <c r="Q11" s="8">
        <f>SUM(Q9:$Q$10)</f>
        <v>-2597669</v>
      </c>
      <c r="S11" s="8">
        <f>SUM(S9:$S$10)</f>
        <v>11349322552</v>
      </c>
    </row>
    <row r="12" spans="1:19" ht="21">
      <c r="I12" s="10"/>
      <c r="K12" s="10"/>
      <c r="M12" s="10"/>
      <c r="O12" s="10"/>
      <c r="Q12" s="10"/>
      <c r="S12" s="10"/>
    </row>
  </sheetData>
  <mergeCells count="6">
    <mergeCell ref="A1:S1"/>
    <mergeCell ref="A2:S2"/>
    <mergeCell ref="A3:S3"/>
    <mergeCell ref="A5:S5"/>
    <mergeCell ref="I7:M7"/>
    <mergeCell ref="O7:S7"/>
  </mergeCells>
  <pageMargins left="0.7" right="0.7" top="0.75" bottom="0.75" header="0.3" footer="0.3"/>
  <pageSetup paperSize="9" scale="68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55"/>
  <sheetViews>
    <sheetView rightToLeft="1" view="pageBreakPreview" zoomScale="60" zoomScaleNormal="85" workbookViewId="0">
      <selection activeCell="E158" sqref="E158"/>
    </sheetView>
  </sheetViews>
  <sheetFormatPr defaultRowHeight="19.5"/>
  <cols>
    <col min="1" max="1" width="35.85546875" style="2" customWidth="1"/>
    <col min="2" max="2" width="1.42578125" style="2" customWidth="1"/>
    <col min="3" max="3" width="12.7109375" style="2" customWidth="1"/>
    <col min="4" max="4" width="1.42578125" style="2" customWidth="1"/>
    <col min="5" max="5" width="17" style="2" customWidth="1"/>
    <col min="6" max="6" width="1.42578125" style="2" customWidth="1"/>
    <col min="7" max="7" width="17" style="2" customWidth="1"/>
    <col min="8" max="8" width="1.42578125" style="2" customWidth="1"/>
    <col min="9" max="9" width="17" style="2" customWidth="1"/>
    <col min="10" max="10" width="1.42578125" style="2" customWidth="1"/>
    <col min="11" max="11" width="12.7109375" style="2" customWidth="1"/>
    <col min="12" max="12" width="1.42578125" style="2" customWidth="1"/>
    <col min="13" max="13" width="18" style="2" bestFit="1" customWidth="1"/>
    <col min="14" max="14" width="1.42578125" style="2" customWidth="1"/>
    <col min="15" max="15" width="18" style="2" bestFit="1" customWidth="1"/>
    <col min="16" max="16" width="1.42578125" style="2" customWidth="1"/>
    <col min="17" max="17" width="17" style="2" customWidth="1"/>
    <col min="18" max="16384" width="9.140625" style="2"/>
  </cols>
  <sheetData>
    <row r="1" spans="1:17" ht="20.100000000000001" customHeight="1">
      <c r="A1" s="3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ht="20.100000000000001" customHeight="1">
      <c r="A2" s="39" t="s">
        <v>137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20.100000000000001" customHeight="1">
      <c r="A3" s="39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5" spans="1:17" ht="21">
      <c r="A5" s="40" t="s">
        <v>203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7" spans="1:17" ht="21">
      <c r="C7" s="33" t="s">
        <v>150</v>
      </c>
      <c r="D7" s="34"/>
      <c r="E7" s="34"/>
      <c r="F7" s="34"/>
      <c r="G7" s="34"/>
      <c r="H7" s="34"/>
      <c r="I7" s="34"/>
      <c r="K7" s="33" t="s">
        <v>7</v>
      </c>
      <c r="L7" s="34"/>
      <c r="M7" s="34"/>
      <c r="N7" s="34"/>
      <c r="O7" s="34"/>
      <c r="P7" s="34"/>
      <c r="Q7" s="34"/>
    </row>
    <row r="8" spans="1:17" ht="42">
      <c r="A8" s="48" t="s">
        <v>139</v>
      </c>
      <c r="C8" s="16" t="s">
        <v>9</v>
      </c>
      <c r="E8" s="16" t="s">
        <v>11</v>
      </c>
      <c r="G8" s="16" t="s">
        <v>204</v>
      </c>
      <c r="I8" s="16" t="s">
        <v>205</v>
      </c>
      <c r="K8" s="16" t="s">
        <v>9</v>
      </c>
      <c r="M8" s="16" t="s">
        <v>11</v>
      </c>
      <c r="O8" s="16" t="s">
        <v>204</v>
      </c>
      <c r="Q8" s="16" t="s">
        <v>205</v>
      </c>
    </row>
    <row r="9" spans="1:17" ht="21">
      <c r="A9" s="17" t="s">
        <v>158</v>
      </c>
      <c r="C9" s="5">
        <v>0</v>
      </c>
      <c r="D9" s="5"/>
      <c r="E9" s="5">
        <v>0</v>
      </c>
      <c r="F9" s="5"/>
      <c r="G9" s="5">
        <v>0</v>
      </c>
      <c r="H9" s="5"/>
      <c r="I9" s="5">
        <v>0</v>
      </c>
      <c r="J9" s="6"/>
      <c r="K9" s="5">
        <v>642320</v>
      </c>
      <c r="M9" s="5">
        <v>15667422360</v>
      </c>
      <c r="O9" s="5">
        <v>12923532066</v>
      </c>
      <c r="Q9" s="5">
        <v>2743890294</v>
      </c>
    </row>
    <row r="10" spans="1:17" ht="21">
      <c r="A10" s="17" t="s">
        <v>200</v>
      </c>
      <c r="C10" s="5">
        <v>0</v>
      </c>
      <c r="D10" s="5"/>
      <c r="E10" s="5">
        <v>0</v>
      </c>
      <c r="F10" s="5"/>
      <c r="G10" s="5">
        <v>0</v>
      </c>
      <c r="H10" s="5"/>
      <c r="I10" s="5">
        <v>0</v>
      </c>
      <c r="J10" s="6"/>
      <c r="K10" s="5">
        <v>190000</v>
      </c>
      <c r="M10" s="5">
        <v>189981562500</v>
      </c>
      <c r="O10" s="5">
        <v>190016000000</v>
      </c>
      <c r="Q10" s="5">
        <v>-34437500</v>
      </c>
    </row>
    <row r="11" spans="1:17" ht="21">
      <c r="A11" s="17" t="s">
        <v>206</v>
      </c>
      <c r="C11" s="5">
        <v>0</v>
      </c>
      <c r="D11" s="5"/>
      <c r="E11" s="5">
        <v>0</v>
      </c>
      <c r="F11" s="5"/>
      <c r="G11" s="5">
        <v>0</v>
      </c>
      <c r="H11" s="5"/>
      <c r="I11" s="5">
        <v>0</v>
      </c>
      <c r="J11" s="6"/>
      <c r="K11" s="5">
        <v>6600000</v>
      </c>
      <c r="M11" s="5">
        <v>826901044</v>
      </c>
      <c r="O11" s="5">
        <v>482439264</v>
      </c>
      <c r="Q11" s="5">
        <v>344461780</v>
      </c>
    </row>
    <row r="12" spans="1:17" ht="21">
      <c r="A12" s="17" t="s">
        <v>207</v>
      </c>
      <c r="C12" s="5">
        <v>0</v>
      </c>
      <c r="D12" s="5"/>
      <c r="E12" s="5">
        <v>0</v>
      </c>
      <c r="F12" s="5"/>
      <c r="G12" s="5">
        <v>0</v>
      </c>
      <c r="H12" s="5"/>
      <c r="I12" s="5">
        <v>0</v>
      </c>
      <c r="J12" s="6"/>
      <c r="K12" s="5">
        <v>18268000</v>
      </c>
      <c r="M12" s="5">
        <v>794404478</v>
      </c>
      <c r="O12" s="5">
        <v>692742789</v>
      </c>
      <c r="Q12" s="5">
        <v>101661689</v>
      </c>
    </row>
    <row r="13" spans="1:17" ht="21">
      <c r="A13" s="17" t="s">
        <v>208</v>
      </c>
      <c r="C13" s="5">
        <v>0</v>
      </c>
      <c r="D13" s="5"/>
      <c r="E13" s="5">
        <v>0</v>
      </c>
      <c r="F13" s="5"/>
      <c r="G13" s="5">
        <v>0</v>
      </c>
      <c r="H13" s="5"/>
      <c r="I13" s="5">
        <v>0</v>
      </c>
      <c r="J13" s="6"/>
      <c r="K13" s="5">
        <v>18016000</v>
      </c>
      <c r="M13" s="5">
        <v>508447097</v>
      </c>
      <c r="O13" s="5">
        <v>391699868</v>
      </c>
      <c r="Q13" s="5">
        <v>116747229</v>
      </c>
    </row>
    <row r="14" spans="1:17" ht="21">
      <c r="A14" s="17" t="s">
        <v>209</v>
      </c>
      <c r="C14" s="5">
        <v>0</v>
      </c>
      <c r="D14" s="5"/>
      <c r="E14" s="5">
        <v>0</v>
      </c>
      <c r="F14" s="5"/>
      <c r="G14" s="5">
        <v>0</v>
      </c>
      <c r="H14" s="5"/>
      <c r="I14" s="5">
        <v>0</v>
      </c>
      <c r="J14" s="6"/>
      <c r="K14" s="5">
        <v>12651000</v>
      </c>
      <c r="M14" s="5">
        <v>1038193657</v>
      </c>
      <c r="O14" s="5">
        <v>904599553</v>
      </c>
      <c r="Q14" s="5">
        <v>133594104</v>
      </c>
    </row>
    <row r="15" spans="1:17" ht="21">
      <c r="A15" s="17" t="s">
        <v>210</v>
      </c>
      <c r="C15" s="5">
        <v>0</v>
      </c>
      <c r="D15" s="5"/>
      <c r="E15" s="5">
        <v>0</v>
      </c>
      <c r="F15" s="5"/>
      <c r="G15" s="5">
        <v>0</v>
      </c>
      <c r="H15" s="5"/>
      <c r="I15" s="5">
        <v>0</v>
      </c>
      <c r="J15" s="6"/>
      <c r="K15" s="5">
        <v>3890000</v>
      </c>
      <c r="M15" s="5">
        <v>170226168</v>
      </c>
      <c r="O15" s="5">
        <v>130298701</v>
      </c>
      <c r="Q15" s="5">
        <v>39927467</v>
      </c>
    </row>
    <row r="16" spans="1:17" ht="21">
      <c r="A16" s="17" t="s">
        <v>211</v>
      </c>
      <c r="C16" s="5">
        <v>0</v>
      </c>
      <c r="D16" s="5"/>
      <c r="E16" s="5">
        <v>0</v>
      </c>
      <c r="F16" s="5"/>
      <c r="G16" s="5">
        <v>0</v>
      </c>
      <c r="H16" s="5"/>
      <c r="I16" s="5">
        <v>0</v>
      </c>
      <c r="J16" s="6"/>
      <c r="K16" s="5">
        <v>5501000</v>
      </c>
      <c r="M16" s="5">
        <v>171947755</v>
      </c>
      <c r="O16" s="5">
        <v>71786190</v>
      </c>
      <c r="Q16" s="5">
        <v>100161565</v>
      </c>
    </row>
    <row r="17" spans="1:17" ht="21">
      <c r="A17" s="17" t="s">
        <v>212</v>
      </c>
      <c r="C17" s="5">
        <v>0</v>
      </c>
      <c r="D17" s="5"/>
      <c r="E17" s="5">
        <v>0</v>
      </c>
      <c r="F17" s="5"/>
      <c r="G17" s="5">
        <v>0</v>
      </c>
      <c r="H17" s="5"/>
      <c r="I17" s="5">
        <v>0</v>
      </c>
      <c r="J17" s="6"/>
      <c r="K17" s="5">
        <v>2594000</v>
      </c>
      <c r="M17" s="5">
        <v>528542879</v>
      </c>
      <c r="O17" s="5">
        <v>517783199</v>
      </c>
      <c r="Q17" s="5">
        <v>10759680</v>
      </c>
    </row>
    <row r="18" spans="1:17" ht="21">
      <c r="A18" s="17" t="s">
        <v>213</v>
      </c>
      <c r="C18" s="5">
        <v>0</v>
      </c>
      <c r="D18" s="5"/>
      <c r="E18" s="5">
        <v>0</v>
      </c>
      <c r="F18" s="5"/>
      <c r="G18" s="5">
        <v>0</v>
      </c>
      <c r="H18" s="5"/>
      <c r="I18" s="5">
        <v>0</v>
      </c>
      <c r="J18" s="6"/>
      <c r="K18" s="5">
        <v>83726000</v>
      </c>
      <c r="M18" s="5">
        <v>1588429274</v>
      </c>
      <c r="O18" s="5">
        <v>1954189076</v>
      </c>
      <c r="Q18" s="5">
        <v>-365759802</v>
      </c>
    </row>
    <row r="19" spans="1:17" ht="21">
      <c r="A19" s="17" t="s">
        <v>214</v>
      </c>
      <c r="C19" s="5">
        <v>0</v>
      </c>
      <c r="D19" s="5"/>
      <c r="E19" s="5">
        <v>0</v>
      </c>
      <c r="F19" s="5"/>
      <c r="G19" s="5">
        <v>0</v>
      </c>
      <c r="H19" s="5"/>
      <c r="I19" s="5">
        <v>0</v>
      </c>
      <c r="J19" s="6"/>
      <c r="K19" s="5">
        <v>7700000</v>
      </c>
      <c r="M19" s="5">
        <v>927644132</v>
      </c>
      <c r="O19" s="5">
        <v>176906684</v>
      </c>
      <c r="Q19" s="5">
        <v>750737448</v>
      </c>
    </row>
    <row r="20" spans="1:17" ht="21">
      <c r="A20" s="17" t="s">
        <v>215</v>
      </c>
      <c r="C20" s="5">
        <v>0</v>
      </c>
      <c r="D20" s="5"/>
      <c r="E20" s="5">
        <v>0</v>
      </c>
      <c r="F20" s="5"/>
      <c r="G20" s="5">
        <v>0</v>
      </c>
      <c r="H20" s="5"/>
      <c r="I20" s="5">
        <v>0</v>
      </c>
      <c r="J20" s="6"/>
      <c r="K20" s="5">
        <v>30000000</v>
      </c>
      <c r="M20" s="5">
        <v>3509194274</v>
      </c>
      <c r="O20" s="5">
        <v>2798171706</v>
      </c>
      <c r="Q20" s="5">
        <v>711022568</v>
      </c>
    </row>
    <row r="21" spans="1:17" ht="21">
      <c r="A21" s="17" t="s">
        <v>216</v>
      </c>
      <c r="C21" s="5">
        <v>0</v>
      </c>
      <c r="D21" s="5"/>
      <c r="E21" s="5">
        <v>0</v>
      </c>
      <c r="F21" s="5"/>
      <c r="G21" s="5">
        <v>0</v>
      </c>
      <c r="H21" s="5"/>
      <c r="I21" s="5">
        <v>0</v>
      </c>
      <c r="J21" s="6"/>
      <c r="K21" s="5">
        <v>2150000</v>
      </c>
      <c r="M21" s="5">
        <v>68281425</v>
      </c>
      <c r="O21" s="5">
        <v>39332550</v>
      </c>
      <c r="Q21" s="5">
        <v>28948875</v>
      </c>
    </row>
    <row r="22" spans="1:17" ht="21">
      <c r="A22" s="17" t="s">
        <v>217</v>
      </c>
      <c r="C22" s="5">
        <v>0</v>
      </c>
      <c r="D22" s="5"/>
      <c r="E22" s="5">
        <v>0</v>
      </c>
      <c r="F22" s="5"/>
      <c r="G22" s="5">
        <v>0</v>
      </c>
      <c r="H22" s="5"/>
      <c r="I22" s="5">
        <v>0</v>
      </c>
      <c r="J22" s="6"/>
      <c r="K22" s="5">
        <v>10000000</v>
      </c>
      <c r="M22" s="5">
        <v>606193955</v>
      </c>
      <c r="O22" s="5">
        <v>488052561</v>
      </c>
      <c r="Q22" s="5">
        <v>118141394</v>
      </c>
    </row>
    <row r="23" spans="1:17" ht="21">
      <c r="A23" s="17" t="s">
        <v>18</v>
      </c>
      <c r="C23" s="5">
        <v>7000000</v>
      </c>
      <c r="E23" s="5">
        <v>360219229</v>
      </c>
      <c r="G23" s="5">
        <v>202603374</v>
      </c>
      <c r="I23" s="5">
        <v>157615855</v>
      </c>
      <c r="K23" s="5">
        <v>7000000</v>
      </c>
      <c r="M23" s="5">
        <v>360219229</v>
      </c>
      <c r="O23" s="5">
        <v>202603374</v>
      </c>
      <c r="Q23" s="5">
        <v>157615855</v>
      </c>
    </row>
    <row r="24" spans="1:17" ht="21">
      <c r="A24" s="17" t="s">
        <v>19</v>
      </c>
      <c r="C24" s="5">
        <v>10469000</v>
      </c>
      <c r="E24" s="5">
        <v>2466877678</v>
      </c>
      <c r="G24" s="5">
        <v>2466877678</v>
      </c>
      <c r="I24" s="5">
        <v>0</v>
      </c>
      <c r="K24" s="5">
        <v>10469000</v>
      </c>
      <c r="M24" s="5">
        <v>2466877678</v>
      </c>
      <c r="O24" s="5">
        <v>2466877678</v>
      </c>
      <c r="Q24" s="5">
        <v>0</v>
      </c>
    </row>
    <row r="25" spans="1:17" ht="21">
      <c r="A25" s="17" t="s">
        <v>218</v>
      </c>
      <c r="C25" s="5">
        <v>0</v>
      </c>
      <c r="D25" s="5"/>
      <c r="E25" s="5">
        <v>0</v>
      </c>
      <c r="F25" s="5"/>
      <c r="G25" s="5">
        <v>0</v>
      </c>
      <c r="H25" s="5"/>
      <c r="I25" s="5">
        <v>0</v>
      </c>
      <c r="J25" s="6"/>
      <c r="K25" s="5">
        <v>1519000</v>
      </c>
      <c r="M25" s="5">
        <v>195007779</v>
      </c>
      <c r="O25" s="5">
        <v>38131595</v>
      </c>
      <c r="Q25" s="5">
        <v>156876184</v>
      </c>
    </row>
    <row r="26" spans="1:17" ht="21">
      <c r="A26" s="17" t="s">
        <v>219</v>
      </c>
      <c r="C26" s="5">
        <v>0</v>
      </c>
      <c r="D26" s="5"/>
      <c r="E26" s="5">
        <v>0</v>
      </c>
      <c r="F26" s="5"/>
      <c r="G26" s="5">
        <v>0</v>
      </c>
      <c r="H26" s="5"/>
      <c r="I26" s="5">
        <v>0</v>
      </c>
      <c r="J26" s="6"/>
      <c r="K26" s="5">
        <v>1001000</v>
      </c>
      <c r="M26" s="5">
        <v>89979825</v>
      </c>
      <c r="O26" s="5">
        <v>4983113</v>
      </c>
      <c r="Q26" s="5">
        <v>84996712</v>
      </c>
    </row>
    <row r="27" spans="1:17" ht="21">
      <c r="A27" s="17" t="s">
        <v>220</v>
      </c>
      <c r="C27" s="5">
        <v>0</v>
      </c>
      <c r="D27" s="5"/>
      <c r="E27" s="5">
        <v>0</v>
      </c>
      <c r="F27" s="5"/>
      <c r="G27" s="5">
        <v>0</v>
      </c>
      <c r="H27" s="5"/>
      <c r="I27" s="5">
        <v>0</v>
      </c>
      <c r="J27" s="6"/>
      <c r="K27" s="5">
        <v>4749000</v>
      </c>
      <c r="M27" s="5">
        <v>152220796</v>
      </c>
      <c r="O27" s="5">
        <v>4711012</v>
      </c>
      <c r="Q27" s="5">
        <v>147509784</v>
      </c>
    </row>
    <row r="28" spans="1:17" ht="21">
      <c r="A28" s="17" t="s">
        <v>221</v>
      </c>
      <c r="C28" s="5">
        <v>0</v>
      </c>
      <c r="D28" s="5"/>
      <c r="E28" s="5">
        <v>0</v>
      </c>
      <c r="F28" s="5"/>
      <c r="G28" s="5">
        <v>0</v>
      </c>
      <c r="H28" s="5"/>
      <c r="I28" s="5">
        <v>0</v>
      </c>
      <c r="J28" s="6"/>
      <c r="K28" s="5">
        <v>10900000</v>
      </c>
      <c r="M28" s="5">
        <v>405315662</v>
      </c>
      <c r="O28" s="5">
        <v>363542218</v>
      </c>
      <c r="Q28" s="5">
        <v>41773444</v>
      </c>
    </row>
    <row r="29" spans="1:17" ht="21">
      <c r="A29" s="17" t="s">
        <v>20</v>
      </c>
      <c r="C29" s="5">
        <v>20900000</v>
      </c>
      <c r="D29" s="5"/>
      <c r="E29" s="5">
        <v>728112000</v>
      </c>
      <c r="F29" s="5"/>
      <c r="G29" s="5">
        <v>2461112489</v>
      </c>
      <c r="H29" s="5"/>
      <c r="I29" s="5">
        <v>-1733000489</v>
      </c>
      <c r="J29" s="6"/>
      <c r="K29" s="5">
        <v>30900000</v>
      </c>
      <c r="M29" s="5">
        <v>1059839178</v>
      </c>
      <c r="O29" s="5">
        <v>2770919437</v>
      </c>
      <c r="Q29" s="5">
        <v>-1711080259</v>
      </c>
    </row>
    <row r="30" spans="1:17" ht="21">
      <c r="A30" s="17" t="s">
        <v>222</v>
      </c>
      <c r="C30" s="5">
        <v>0</v>
      </c>
      <c r="D30" s="5"/>
      <c r="E30" s="5">
        <v>0</v>
      </c>
      <c r="F30" s="5"/>
      <c r="G30" s="5">
        <v>0</v>
      </c>
      <c r="H30" s="5"/>
      <c r="I30" s="5">
        <v>0</v>
      </c>
      <c r="J30" s="6"/>
      <c r="K30" s="5">
        <v>23900000</v>
      </c>
      <c r="M30" s="5">
        <v>164357707</v>
      </c>
      <c r="O30" s="5">
        <v>173202295</v>
      </c>
      <c r="Q30" s="5">
        <v>-8844588</v>
      </c>
    </row>
    <row r="31" spans="1:17" ht="21">
      <c r="A31" s="17" t="s">
        <v>305</v>
      </c>
      <c r="C31" s="5"/>
      <c r="D31" s="5"/>
      <c r="E31" s="13">
        <f>SUM(E9:E30)</f>
        <v>3555208907</v>
      </c>
      <c r="F31" s="5"/>
      <c r="G31" s="13">
        <f>SUM(G9:G30)</f>
        <v>5130593541</v>
      </c>
      <c r="H31" s="5"/>
      <c r="I31" s="13">
        <f>SUM(I9:I30)</f>
        <v>-1575384634</v>
      </c>
      <c r="J31" s="6"/>
      <c r="K31" s="5"/>
      <c r="M31" s="13">
        <f>SUM(M9:M30)</f>
        <v>221281208852</v>
      </c>
      <c r="O31" s="13">
        <f>SUM(O9:O30)</f>
        <v>217612504929</v>
      </c>
      <c r="Q31" s="13">
        <f>SUM(Q9:Q30)</f>
        <v>3668703923</v>
      </c>
    </row>
    <row r="32" spans="1:17" ht="20.100000000000001" customHeight="1">
      <c r="A32" s="39" t="s">
        <v>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</row>
    <row r="33" spans="1:17" ht="20.100000000000001" customHeight="1">
      <c r="A33" s="39" t="s">
        <v>137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</row>
    <row r="34" spans="1:17" ht="20.100000000000001" customHeight="1">
      <c r="A34" s="39" t="s">
        <v>2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</row>
    <row r="36" spans="1:17" ht="21">
      <c r="A36" s="40" t="s">
        <v>203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</row>
    <row r="38" spans="1:17" ht="21">
      <c r="C38" s="33" t="s">
        <v>150</v>
      </c>
      <c r="D38" s="34"/>
      <c r="E38" s="34"/>
      <c r="F38" s="34"/>
      <c r="G38" s="34"/>
      <c r="H38" s="34"/>
      <c r="I38" s="34"/>
      <c r="K38" s="33" t="s">
        <v>7</v>
      </c>
      <c r="L38" s="34"/>
      <c r="M38" s="34"/>
      <c r="N38" s="34"/>
      <c r="O38" s="34"/>
      <c r="P38" s="34"/>
      <c r="Q38" s="34"/>
    </row>
    <row r="39" spans="1:17" ht="42">
      <c r="A39" s="48" t="s">
        <v>139</v>
      </c>
      <c r="C39" s="16" t="s">
        <v>9</v>
      </c>
      <c r="E39" s="16" t="s">
        <v>11</v>
      </c>
      <c r="G39" s="16" t="s">
        <v>204</v>
      </c>
      <c r="I39" s="16" t="s">
        <v>205</v>
      </c>
      <c r="K39" s="16" t="s">
        <v>9</v>
      </c>
      <c r="M39" s="16" t="s">
        <v>11</v>
      </c>
      <c r="O39" s="16" t="s">
        <v>204</v>
      </c>
      <c r="Q39" s="16" t="s">
        <v>205</v>
      </c>
    </row>
    <row r="40" spans="1:17" ht="21">
      <c r="A40" s="17" t="s">
        <v>306</v>
      </c>
      <c r="C40" s="5"/>
      <c r="D40" s="5"/>
      <c r="E40" s="5">
        <f>E31</f>
        <v>3555208907</v>
      </c>
      <c r="F40" s="5"/>
      <c r="G40" s="5">
        <f>G31</f>
        <v>5130593541</v>
      </c>
      <c r="H40" s="5"/>
      <c r="I40" s="5">
        <f>I31</f>
        <v>-1575384634</v>
      </c>
      <c r="J40" s="5"/>
      <c r="K40" s="5"/>
      <c r="L40" s="5"/>
      <c r="M40" s="5">
        <f>M31</f>
        <v>221281208852</v>
      </c>
      <c r="N40" s="5"/>
      <c r="O40" s="5">
        <f>O31</f>
        <v>217612504929</v>
      </c>
      <c r="P40" s="5"/>
      <c r="Q40" s="5">
        <f>Q31</f>
        <v>3668703923</v>
      </c>
    </row>
    <row r="41" spans="1:17" ht="21">
      <c r="A41" s="17" t="s">
        <v>21</v>
      </c>
      <c r="C41" s="5">
        <v>12000000</v>
      </c>
      <c r="E41" s="5">
        <v>1009942923</v>
      </c>
      <c r="G41" s="5">
        <v>1009942923</v>
      </c>
      <c r="I41" s="5">
        <v>0</v>
      </c>
      <c r="K41" s="5">
        <v>12000000</v>
      </c>
      <c r="M41" s="5">
        <v>1009942923</v>
      </c>
      <c r="O41" s="5">
        <v>1009942923</v>
      </c>
      <c r="Q41" s="5">
        <v>0</v>
      </c>
    </row>
    <row r="42" spans="1:17" ht="21">
      <c r="A42" s="17" t="s">
        <v>22</v>
      </c>
      <c r="C42" s="5">
        <v>11000000</v>
      </c>
      <c r="E42" s="5">
        <v>916144083</v>
      </c>
      <c r="G42" s="5">
        <v>916144083</v>
      </c>
      <c r="I42" s="5">
        <v>0</v>
      </c>
      <c r="K42" s="5">
        <v>11000000</v>
      </c>
      <c r="M42" s="5">
        <v>916144083</v>
      </c>
      <c r="O42" s="5">
        <v>916144083</v>
      </c>
      <c r="Q42" s="5">
        <v>0</v>
      </c>
    </row>
    <row r="43" spans="1:17" ht="21">
      <c r="A43" s="17" t="s">
        <v>223</v>
      </c>
      <c r="C43" s="5">
        <v>0</v>
      </c>
      <c r="D43" s="5"/>
      <c r="E43" s="5">
        <v>0</v>
      </c>
      <c r="F43" s="5"/>
      <c r="G43" s="5">
        <v>0</v>
      </c>
      <c r="H43" s="5"/>
      <c r="I43" s="5">
        <v>0</v>
      </c>
      <c r="J43" s="6"/>
      <c r="K43" s="5">
        <v>20000000</v>
      </c>
      <c r="M43" s="5">
        <v>977462299</v>
      </c>
      <c r="O43" s="5">
        <v>359840870</v>
      </c>
      <c r="Q43" s="5">
        <v>617621429</v>
      </c>
    </row>
    <row r="44" spans="1:17" ht="21">
      <c r="A44" s="17" t="s">
        <v>224</v>
      </c>
      <c r="C44" s="5">
        <v>0</v>
      </c>
      <c r="D44" s="5"/>
      <c r="E44" s="5">
        <v>0</v>
      </c>
      <c r="F44" s="5"/>
      <c r="G44" s="5">
        <v>0</v>
      </c>
      <c r="H44" s="5"/>
      <c r="I44" s="5">
        <v>0</v>
      </c>
      <c r="J44" s="6"/>
      <c r="K44" s="5">
        <v>10000000</v>
      </c>
      <c r="M44" s="5">
        <v>720347427</v>
      </c>
      <c r="O44" s="5">
        <v>213247427</v>
      </c>
      <c r="Q44" s="5">
        <v>507100000</v>
      </c>
    </row>
    <row r="45" spans="1:17" ht="21">
      <c r="A45" s="17" t="s">
        <v>225</v>
      </c>
      <c r="C45" s="5">
        <v>0</v>
      </c>
      <c r="D45" s="5"/>
      <c r="E45" s="5">
        <v>0</v>
      </c>
      <c r="F45" s="5"/>
      <c r="G45" s="5">
        <v>0</v>
      </c>
      <c r="H45" s="5"/>
      <c r="I45" s="5">
        <v>0</v>
      </c>
      <c r="J45" s="6"/>
      <c r="K45" s="5">
        <v>25000000</v>
      </c>
      <c r="M45" s="5">
        <v>499871250</v>
      </c>
      <c r="O45" s="5">
        <v>392631272</v>
      </c>
      <c r="Q45" s="5">
        <v>107239978</v>
      </c>
    </row>
    <row r="46" spans="1:17" ht="21">
      <c r="A46" s="17" t="s">
        <v>226</v>
      </c>
      <c r="C46" s="5">
        <v>0</v>
      </c>
      <c r="D46" s="5"/>
      <c r="E46" s="5">
        <v>0</v>
      </c>
      <c r="F46" s="5"/>
      <c r="G46" s="5">
        <v>0</v>
      </c>
      <c r="H46" s="5"/>
      <c r="I46" s="5">
        <v>0</v>
      </c>
      <c r="J46" s="6"/>
      <c r="K46" s="5">
        <v>28593000</v>
      </c>
      <c r="M46" s="5">
        <v>417380572</v>
      </c>
      <c r="O46" s="5">
        <v>273520874</v>
      </c>
      <c r="Q46" s="5">
        <v>143859698</v>
      </c>
    </row>
    <row r="47" spans="1:17" ht="21">
      <c r="A47" s="17" t="s">
        <v>23</v>
      </c>
      <c r="C47" s="5">
        <v>25000000</v>
      </c>
      <c r="E47" s="5">
        <v>1329657652</v>
      </c>
      <c r="G47" s="5">
        <v>1329657652</v>
      </c>
      <c r="I47" s="5">
        <v>0</v>
      </c>
      <c r="K47" s="5">
        <v>25000000</v>
      </c>
      <c r="M47" s="5">
        <v>1329657652</v>
      </c>
      <c r="O47" s="5">
        <v>1329657652</v>
      </c>
      <c r="Q47" s="5">
        <v>0</v>
      </c>
    </row>
    <row r="48" spans="1:17" ht="21">
      <c r="A48" s="17" t="s">
        <v>24</v>
      </c>
      <c r="C48" s="5">
        <v>5000000</v>
      </c>
      <c r="E48" s="5">
        <v>769801750</v>
      </c>
      <c r="G48" s="5">
        <v>748728178</v>
      </c>
      <c r="I48" s="5">
        <v>21073572</v>
      </c>
      <c r="K48" s="5">
        <v>5000000</v>
      </c>
      <c r="M48" s="5">
        <v>769801750</v>
      </c>
      <c r="O48" s="5">
        <v>748728178</v>
      </c>
      <c r="Q48" s="5">
        <v>21073572</v>
      </c>
    </row>
    <row r="49" spans="1:17" ht="21">
      <c r="A49" s="17" t="s">
        <v>25</v>
      </c>
      <c r="C49" s="5">
        <v>2000000</v>
      </c>
      <c r="E49" s="5">
        <v>297583367</v>
      </c>
      <c r="G49" s="5">
        <v>297583367</v>
      </c>
      <c r="I49" s="5">
        <v>0</v>
      </c>
      <c r="K49" s="5">
        <v>2000000</v>
      </c>
      <c r="M49" s="5">
        <v>297583367</v>
      </c>
      <c r="O49" s="5">
        <v>297583367</v>
      </c>
      <c r="Q49" s="5">
        <v>0</v>
      </c>
    </row>
    <row r="50" spans="1:17" ht="21">
      <c r="A50" s="17" t="s">
        <v>26</v>
      </c>
      <c r="C50" s="5">
        <v>2000000</v>
      </c>
      <c r="E50" s="5">
        <v>248935883</v>
      </c>
      <c r="G50" s="5">
        <v>248935883</v>
      </c>
      <c r="I50" s="5">
        <v>0</v>
      </c>
      <c r="K50" s="5">
        <v>2000000</v>
      </c>
      <c r="M50" s="5">
        <v>248935883</v>
      </c>
      <c r="O50" s="5">
        <v>248935883</v>
      </c>
      <c r="Q50" s="5">
        <v>0</v>
      </c>
    </row>
    <row r="51" spans="1:17" ht="21">
      <c r="A51" s="17" t="s">
        <v>227</v>
      </c>
      <c r="C51" s="5">
        <v>0</v>
      </c>
      <c r="D51" s="5"/>
      <c r="E51" s="5">
        <v>0</v>
      </c>
      <c r="F51" s="5"/>
      <c r="G51" s="5">
        <v>0</v>
      </c>
      <c r="H51" s="5"/>
      <c r="I51" s="5">
        <v>0</v>
      </c>
      <c r="J51" s="6"/>
      <c r="K51" s="5">
        <v>42156000</v>
      </c>
      <c r="M51" s="5">
        <v>3331792996</v>
      </c>
      <c r="O51" s="5">
        <v>2650437345</v>
      </c>
      <c r="Q51" s="5">
        <v>681355651</v>
      </c>
    </row>
    <row r="52" spans="1:17" ht="21">
      <c r="A52" s="17" t="s">
        <v>228</v>
      </c>
      <c r="C52" s="5">
        <v>0</v>
      </c>
      <c r="D52" s="5"/>
      <c r="E52" s="5">
        <v>0</v>
      </c>
      <c r="F52" s="5"/>
      <c r="G52" s="5">
        <v>0</v>
      </c>
      <c r="H52" s="5"/>
      <c r="I52" s="5">
        <v>0</v>
      </c>
      <c r="J52" s="6"/>
      <c r="K52" s="5">
        <v>184000</v>
      </c>
      <c r="M52" s="5">
        <v>20234792</v>
      </c>
      <c r="O52" s="5">
        <v>15086674</v>
      </c>
      <c r="Q52" s="5">
        <v>5148118</v>
      </c>
    </row>
    <row r="53" spans="1:17" ht="21">
      <c r="A53" s="17" t="s">
        <v>229</v>
      </c>
      <c r="C53" s="5">
        <v>0</v>
      </c>
      <c r="D53" s="5"/>
      <c r="E53" s="5">
        <v>0</v>
      </c>
      <c r="F53" s="5"/>
      <c r="G53" s="5">
        <v>0</v>
      </c>
      <c r="H53" s="5"/>
      <c r="I53" s="5">
        <v>0</v>
      </c>
      <c r="J53" s="6"/>
      <c r="K53" s="5">
        <v>1000000</v>
      </c>
      <c r="M53" s="5">
        <v>129966525</v>
      </c>
      <c r="O53" s="5">
        <v>63983005</v>
      </c>
      <c r="Q53" s="5">
        <v>65983520</v>
      </c>
    </row>
    <row r="54" spans="1:17" ht="21">
      <c r="A54" s="17" t="s">
        <v>230</v>
      </c>
      <c r="C54" s="5">
        <v>0</v>
      </c>
      <c r="D54" s="5"/>
      <c r="E54" s="5">
        <v>0</v>
      </c>
      <c r="F54" s="5"/>
      <c r="G54" s="5">
        <v>0</v>
      </c>
      <c r="H54" s="5"/>
      <c r="I54" s="5">
        <v>0</v>
      </c>
      <c r="J54" s="6"/>
      <c r="K54" s="5">
        <v>20000000</v>
      </c>
      <c r="M54" s="5">
        <v>2042692885</v>
      </c>
      <c r="O54" s="5">
        <v>19478988</v>
      </c>
      <c r="Q54" s="5">
        <v>2023213897</v>
      </c>
    </row>
    <row r="55" spans="1:17" ht="21">
      <c r="A55" s="17" t="s">
        <v>231</v>
      </c>
      <c r="C55" s="5">
        <v>0</v>
      </c>
      <c r="D55" s="5"/>
      <c r="E55" s="5">
        <v>0</v>
      </c>
      <c r="F55" s="5"/>
      <c r="G55" s="5">
        <v>0</v>
      </c>
      <c r="H55" s="5"/>
      <c r="I55" s="5">
        <v>0</v>
      </c>
      <c r="J55" s="6"/>
      <c r="K55" s="5">
        <v>16000000</v>
      </c>
      <c r="M55" s="5">
        <v>752320270</v>
      </c>
      <c r="O55" s="5">
        <v>15810318</v>
      </c>
      <c r="Q55" s="5">
        <v>736509952</v>
      </c>
    </row>
    <row r="56" spans="1:17" ht="21">
      <c r="A56" s="17" t="s">
        <v>232</v>
      </c>
      <c r="C56" s="5">
        <v>0</v>
      </c>
      <c r="D56" s="5"/>
      <c r="E56" s="5">
        <v>0</v>
      </c>
      <c r="F56" s="5"/>
      <c r="G56" s="5">
        <v>0</v>
      </c>
      <c r="H56" s="5"/>
      <c r="I56" s="5">
        <v>0</v>
      </c>
      <c r="J56" s="6"/>
      <c r="K56" s="5">
        <v>1399000</v>
      </c>
      <c r="M56" s="5">
        <v>90913587</v>
      </c>
      <c r="O56" s="5">
        <v>20365832</v>
      </c>
      <c r="Q56" s="5">
        <v>70547755</v>
      </c>
    </row>
    <row r="57" spans="1:17" ht="21">
      <c r="A57" s="17" t="s">
        <v>233</v>
      </c>
      <c r="C57" s="5">
        <v>0</v>
      </c>
      <c r="D57" s="5"/>
      <c r="E57" s="5">
        <v>0</v>
      </c>
      <c r="F57" s="5"/>
      <c r="G57" s="5">
        <v>0</v>
      </c>
      <c r="H57" s="5"/>
      <c r="I57" s="5">
        <v>0</v>
      </c>
      <c r="J57" s="6"/>
      <c r="K57" s="5">
        <v>10100000</v>
      </c>
      <c r="M57" s="5">
        <v>427489919</v>
      </c>
      <c r="O57" s="5">
        <v>251120571</v>
      </c>
      <c r="Q57" s="5">
        <v>176369348</v>
      </c>
    </row>
    <row r="58" spans="1:17" ht="21">
      <c r="A58" s="17" t="s">
        <v>234</v>
      </c>
      <c r="C58" s="5">
        <v>0</v>
      </c>
      <c r="D58" s="5"/>
      <c r="E58" s="5">
        <v>0</v>
      </c>
      <c r="F58" s="5"/>
      <c r="G58" s="5">
        <v>0</v>
      </c>
      <c r="H58" s="5"/>
      <c r="I58" s="5">
        <v>0</v>
      </c>
      <c r="J58" s="6"/>
      <c r="K58" s="5">
        <v>6200000</v>
      </c>
      <c r="M58" s="5">
        <v>148361790</v>
      </c>
      <c r="O58" s="5">
        <v>98587179</v>
      </c>
      <c r="Q58" s="5">
        <v>49774611</v>
      </c>
    </row>
    <row r="59" spans="1:17" ht="21">
      <c r="A59" s="17" t="s">
        <v>27</v>
      </c>
      <c r="C59" s="5">
        <v>30000</v>
      </c>
      <c r="E59" s="5">
        <v>10737237</v>
      </c>
      <c r="G59" s="5">
        <v>21572789</v>
      </c>
      <c r="I59" s="5">
        <v>-10835552</v>
      </c>
      <c r="K59" s="5">
        <v>30000</v>
      </c>
      <c r="M59" s="5">
        <v>10737237</v>
      </c>
      <c r="O59" s="5">
        <v>21572789</v>
      </c>
      <c r="Q59" s="5">
        <v>-10835552</v>
      </c>
    </row>
    <row r="60" spans="1:17" ht="21">
      <c r="A60" s="17" t="s">
        <v>235</v>
      </c>
      <c r="C60" s="5">
        <v>0</v>
      </c>
      <c r="D60" s="5"/>
      <c r="E60" s="5">
        <v>0</v>
      </c>
      <c r="F60" s="5"/>
      <c r="G60" s="5">
        <v>0</v>
      </c>
      <c r="H60" s="5"/>
      <c r="I60" s="5">
        <v>0</v>
      </c>
      <c r="J60" s="6"/>
      <c r="K60" s="5">
        <v>6000000</v>
      </c>
      <c r="M60" s="5">
        <v>338512817</v>
      </c>
      <c r="O60" s="5">
        <v>77932887</v>
      </c>
      <c r="Q60" s="5">
        <v>260579930</v>
      </c>
    </row>
    <row r="61" spans="1:17" ht="21">
      <c r="A61" s="17" t="s">
        <v>236</v>
      </c>
      <c r="C61" s="5">
        <v>0</v>
      </c>
      <c r="D61" s="5"/>
      <c r="E61" s="5">
        <v>0</v>
      </c>
      <c r="F61" s="5"/>
      <c r="G61" s="5">
        <v>0</v>
      </c>
      <c r="H61" s="5"/>
      <c r="I61" s="5">
        <v>0</v>
      </c>
      <c r="J61" s="6"/>
      <c r="K61" s="5">
        <v>21446000</v>
      </c>
      <c r="M61" s="5">
        <v>2906078538</v>
      </c>
      <c r="O61" s="5">
        <v>2191285809</v>
      </c>
      <c r="Q61" s="5">
        <v>714792729</v>
      </c>
    </row>
    <row r="62" spans="1:17" ht="21">
      <c r="A62" s="17" t="s">
        <v>305</v>
      </c>
      <c r="C62" s="5"/>
      <c r="D62" s="5"/>
      <c r="E62" s="13">
        <f>SUM(E40:E61)</f>
        <v>8138011802</v>
      </c>
      <c r="F62" s="5"/>
      <c r="G62" s="13">
        <f>SUM(G40:G61)</f>
        <v>9703158416</v>
      </c>
      <c r="H62" s="5"/>
      <c r="I62" s="13">
        <f>SUM(I40:I61)</f>
        <v>-1565146614</v>
      </c>
      <c r="J62" s="6"/>
      <c r="K62" s="5"/>
      <c r="M62" s="13">
        <f>SUM(M40:M61)</f>
        <v>238667437414</v>
      </c>
      <c r="O62" s="13">
        <f>SUM(O40:O61)</f>
        <v>228828398855</v>
      </c>
      <c r="Q62" s="13">
        <f>SUM(Q40:Q61)</f>
        <v>9839038559</v>
      </c>
    </row>
    <row r="63" spans="1:17" ht="20.100000000000001" customHeight="1">
      <c r="A63" s="39" t="s">
        <v>0</v>
      </c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</row>
    <row r="64" spans="1:17" ht="20.100000000000001" customHeight="1">
      <c r="A64" s="39" t="s">
        <v>137</v>
      </c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</row>
    <row r="65" spans="1:17" ht="20.100000000000001" customHeight="1">
      <c r="A65" s="39" t="s">
        <v>2</v>
      </c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</row>
    <row r="67" spans="1:17" ht="21">
      <c r="A67" s="40" t="s">
        <v>203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</row>
    <row r="69" spans="1:17" ht="21">
      <c r="C69" s="33" t="s">
        <v>150</v>
      </c>
      <c r="D69" s="34"/>
      <c r="E69" s="34"/>
      <c r="F69" s="34"/>
      <c r="G69" s="34"/>
      <c r="H69" s="34"/>
      <c r="I69" s="34"/>
      <c r="K69" s="33" t="s">
        <v>7</v>
      </c>
      <c r="L69" s="34"/>
      <c r="M69" s="34"/>
      <c r="N69" s="34"/>
      <c r="O69" s="34"/>
      <c r="P69" s="34"/>
      <c r="Q69" s="34"/>
    </row>
    <row r="70" spans="1:17" ht="42">
      <c r="A70" s="48" t="s">
        <v>139</v>
      </c>
      <c r="C70" s="16" t="s">
        <v>9</v>
      </c>
      <c r="E70" s="16" t="s">
        <v>11</v>
      </c>
      <c r="G70" s="16" t="s">
        <v>204</v>
      </c>
      <c r="I70" s="16" t="s">
        <v>205</v>
      </c>
      <c r="K70" s="16" t="s">
        <v>9</v>
      </c>
      <c r="M70" s="16" t="s">
        <v>11</v>
      </c>
      <c r="O70" s="16" t="s">
        <v>204</v>
      </c>
      <c r="Q70" s="16" t="s">
        <v>205</v>
      </c>
    </row>
    <row r="71" spans="1:17" ht="21">
      <c r="A71" s="17" t="s">
        <v>306</v>
      </c>
      <c r="C71" s="5"/>
      <c r="D71" s="5"/>
      <c r="E71" s="5">
        <f>E62</f>
        <v>8138011802</v>
      </c>
      <c r="F71" s="5"/>
      <c r="G71" s="5">
        <f>G62</f>
        <v>9703158416</v>
      </c>
      <c r="H71" s="5"/>
      <c r="I71" s="5">
        <f>I62</f>
        <v>-1565146614</v>
      </c>
      <c r="J71" s="5"/>
      <c r="K71" s="5"/>
      <c r="L71" s="5"/>
      <c r="M71" s="5">
        <f>M62</f>
        <v>238667437414</v>
      </c>
      <c r="N71" s="5"/>
      <c r="O71" s="5">
        <f>O62</f>
        <v>228828398855</v>
      </c>
      <c r="P71" s="5"/>
      <c r="Q71" s="5">
        <f>Q62</f>
        <v>9839038559</v>
      </c>
    </row>
    <row r="72" spans="1:17" ht="21">
      <c r="A72" s="17" t="s">
        <v>237</v>
      </c>
      <c r="C72" s="5">
        <v>0</v>
      </c>
      <c r="D72" s="5"/>
      <c r="E72" s="5">
        <v>0</v>
      </c>
      <c r="F72" s="5"/>
      <c r="G72" s="5">
        <v>0</v>
      </c>
      <c r="H72" s="5"/>
      <c r="I72" s="5">
        <v>0</v>
      </c>
      <c r="J72" s="6"/>
      <c r="K72" s="5">
        <v>13000000</v>
      </c>
      <c r="M72" s="5">
        <v>1519320726</v>
      </c>
      <c r="O72" s="5">
        <v>1446585150</v>
      </c>
      <c r="Q72" s="5">
        <v>72735576</v>
      </c>
    </row>
    <row r="73" spans="1:17" ht="21">
      <c r="A73" s="17" t="s">
        <v>28</v>
      </c>
      <c r="C73" s="5">
        <v>10000000</v>
      </c>
      <c r="E73" s="5">
        <v>3292502030</v>
      </c>
      <c r="G73" s="5">
        <v>3292502030</v>
      </c>
      <c r="I73" s="5">
        <v>0</v>
      </c>
      <c r="K73" s="5">
        <v>10000000</v>
      </c>
      <c r="M73" s="5">
        <v>3292502030</v>
      </c>
      <c r="O73" s="5">
        <v>3292502030</v>
      </c>
      <c r="Q73" s="5">
        <v>0</v>
      </c>
    </row>
    <row r="74" spans="1:17" ht="21">
      <c r="A74" s="17" t="s">
        <v>29</v>
      </c>
      <c r="C74" s="5">
        <v>0</v>
      </c>
      <c r="D74" s="5"/>
      <c r="E74" s="5">
        <v>0</v>
      </c>
      <c r="F74" s="5"/>
      <c r="G74" s="5">
        <v>0</v>
      </c>
      <c r="H74" s="5"/>
      <c r="I74" s="5">
        <v>0</v>
      </c>
      <c r="J74" s="6"/>
      <c r="K74" s="5">
        <v>3456382</v>
      </c>
      <c r="M74" s="5">
        <v>13852593617</v>
      </c>
      <c r="O74" s="5">
        <v>15123907337</v>
      </c>
      <c r="Q74" s="5">
        <v>-1271313720</v>
      </c>
    </row>
    <row r="75" spans="1:17" ht="21">
      <c r="A75" s="17" t="s">
        <v>160</v>
      </c>
      <c r="C75" s="5">
        <v>0</v>
      </c>
      <c r="D75" s="5"/>
      <c r="E75" s="5">
        <v>0</v>
      </c>
      <c r="F75" s="5"/>
      <c r="G75" s="5">
        <v>0</v>
      </c>
      <c r="H75" s="5"/>
      <c r="I75" s="5">
        <v>0</v>
      </c>
      <c r="J75" s="6"/>
      <c r="K75" s="5">
        <v>2800000</v>
      </c>
      <c r="M75" s="5">
        <v>10776993132</v>
      </c>
      <c r="O75" s="5">
        <v>8717385078</v>
      </c>
      <c r="Q75" s="5">
        <v>2059608054</v>
      </c>
    </row>
    <row r="76" spans="1:17" ht="21">
      <c r="A76" s="17" t="s">
        <v>238</v>
      </c>
      <c r="C76" s="5">
        <v>0</v>
      </c>
      <c r="D76" s="5"/>
      <c r="E76" s="5">
        <v>0</v>
      </c>
      <c r="F76" s="5"/>
      <c r="G76" s="5">
        <v>0</v>
      </c>
      <c r="H76" s="5"/>
      <c r="I76" s="5">
        <v>0</v>
      </c>
      <c r="J76" s="6"/>
      <c r="K76" s="5">
        <v>1200000</v>
      </c>
      <c r="M76" s="5">
        <v>2958546390</v>
      </c>
      <c r="O76" s="5">
        <v>2662776482</v>
      </c>
      <c r="Q76" s="5">
        <v>295769908</v>
      </c>
    </row>
    <row r="77" spans="1:17" ht="21">
      <c r="A77" s="17" t="s">
        <v>30</v>
      </c>
      <c r="C77" s="5">
        <v>0</v>
      </c>
      <c r="D77" s="5"/>
      <c r="E77" s="5">
        <v>0</v>
      </c>
      <c r="F77" s="5"/>
      <c r="G77" s="5">
        <v>0</v>
      </c>
      <c r="H77" s="5"/>
      <c r="I77" s="5">
        <v>0</v>
      </c>
      <c r="J77" s="6"/>
      <c r="K77" s="5">
        <v>2000000</v>
      </c>
      <c r="M77" s="5">
        <v>4863299816</v>
      </c>
      <c r="O77" s="5">
        <v>5529617979</v>
      </c>
      <c r="Q77" s="5">
        <v>-666318163</v>
      </c>
    </row>
    <row r="78" spans="1:17" ht="21">
      <c r="A78" s="17" t="s">
        <v>31</v>
      </c>
      <c r="C78" s="5">
        <v>0</v>
      </c>
      <c r="D78" s="5"/>
      <c r="E78" s="5">
        <v>0</v>
      </c>
      <c r="F78" s="5"/>
      <c r="G78" s="5">
        <v>0</v>
      </c>
      <c r="H78" s="5"/>
      <c r="I78" s="5">
        <v>0</v>
      </c>
      <c r="J78" s="6"/>
      <c r="K78" s="5">
        <v>7324703</v>
      </c>
      <c r="M78" s="5">
        <v>10739454802</v>
      </c>
      <c r="O78" s="5">
        <v>11808799216</v>
      </c>
      <c r="Q78" s="5">
        <v>-1069344414</v>
      </c>
    </row>
    <row r="79" spans="1:17" ht="21">
      <c r="A79" s="17" t="s">
        <v>32</v>
      </c>
      <c r="C79" s="5">
        <v>0</v>
      </c>
      <c r="D79" s="5"/>
      <c r="E79" s="5">
        <v>0</v>
      </c>
      <c r="F79" s="5"/>
      <c r="G79" s="5">
        <v>0</v>
      </c>
      <c r="H79" s="5"/>
      <c r="I79" s="5">
        <v>0</v>
      </c>
      <c r="J79" s="6"/>
      <c r="K79" s="5">
        <v>12777497</v>
      </c>
      <c r="M79" s="5">
        <v>23616502086</v>
      </c>
      <c r="O79" s="5">
        <v>23081669592</v>
      </c>
      <c r="Q79" s="5">
        <v>534832494</v>
      </c>
    </row>
    <row r="80" spans="1:17" ht="21">
      <c r="A80" s="17" t="s">
        <v>33</v>
      </c>
      <c r="C80" s="5">
        <v>0</v>
      </c>
      <c r="D80" s="5"/>
      <c r="E80" s="5">
        <v>0</v>
      </c>
      <c r="F80" s="5"/>
      <c r="G80" s="5">
        <v>0</v>
      </c>
      <c r="H80" s="5"/>
      <c r="I80" s="5">
        <v>0</v>
      </c>
      <c r="J80" s="6"/>
      <c r="K80" s="5">
        <v>1000000</v>
      </c>
      <c r="M80" s="5">
        <v>1994064327</v>
      </c>
      <c r="O80" s="5">
        <v>2323373942</v>
      </c>
      <c r="Q80" s="5">
        <v>-329309615</v>
      </c>
    </row>
    <row r="81" spans="1:17" ht="21">
      <c r="A81" s="17" t="s">
        <v>239</v>
      </c>
      <c r="C81" s="5">
        <v>0</v>
      </c>
      <c r="D81" s="5"/>
      <c r="E81" s="5">
        <v>0</v>
      </c>
      <c r="F81" s="5"/>
      <c r="G81" s="5">
        <v>0</v>
      </c>
      <c r="H81" s="5"/>
      <c r="I81" s="5">
        <v>0</v>
      </c>
      <c r="J81" s="6"/>
      <c r="K81" s="5">
        <v>26217402</v>
      </c>
      <c r="M81" s="5">
        <v>56924017390</v>
      </c>
      <c r="O81" s="5">
        <v>54612507874</v>
      </c>
      <c r="Q81" s="5">
        <v>2311509516</v>
      </c>
    </row>
    <row r="82" spans="1:17" ht="21">
      <c r="A82" s="17" t="s">
        <v>164</v>
      </c>
      <c r="C82" s="5">
        <v>0</v>
      </c>
      <c r="D82" s="5"/>
      <c r="E82" s="5">
        <v>0</v>
      </c>
      <c r="F82" s="5"/>
      <c r="G82" s="5">
        <v>0</v>
      </c>
      <c r="H82" s="5"/>
      <c r="I82" s="5">
        <v>0</v>
      </c>
      <c r="J82" s="6"/>
      <c r="K82" s="5">
        <v>12526338</v>
      </c>
      <c r="M82" s="5">
        <v>34989638280</v>
      </c>
      <c r="O82" s="5">
        <v>36598806292</v>
      </c>
      <c r="Q82" s="5">
        <v>-1609168012</v>
      </c>
    </row>
    <row r="83" spans="1:17" ht="21">
      <c r="A83" s="17" t="s">
        <v>34</v>
      </c>
      <c r="C83" s="5">
        <v>0</v>
      </c>
      <c r="D83" s="5"/>
      <c r="E83" s="5">
        <v>0</v>
      </c>
      <c r="F83" s="5"/>
      <c r="G83" s="5">
        <v>0</v>
      </c>
      <c r="H83" s="5"/>
      <c r="I83" s="5">
        <v>0</v>
      </c>
      <c r="J83" s="6"/>
      <c r="K83" s="5">
        <v>3801725</v>
      </c>
      <c r="M83" s="5">
        <v>55967788545</v>
      </c>
      <c r="O83" s="5">
        <v>54839928174</v>
      </c>
      <c r="Q83" s="5">
        <v>1127860371</v>
      </c>
    </row>
    <row r="84" spans="1:17" ht="21">
      <c r="A84" s="17" t="s">
        <v>240</v>
      </c>
      <c r="C84" s="5">
        <v>0</v>
      </c>
      <c r="D84" s="5"/>
      <c r="E84" s="5">
        <v>0</v>
      </c>
      <c r="F84" s="5"/>
      <c r="G84" s="5">
        <v>0</v>
      </c>
      <c r="H84" s="5"/>
      <c r="I84" s="5">
        <v>0</v>
      </c>
      <c r="J84" s="6"/>
      <c r="K84" s="5">
        <v>100000000</v>
      </c>
      <c r="M84" s="5">
        <v>223682250000</v>
      </c>
      <c r="O84" s="5">
        <v>198773049976</v>
      </c>
      <c r="Q84" s="5">
        <v>24909200024</v>
      </c>
    </row>
    <row r="85" spans="1:17" ht="21">
      <c r="A85" s="17" t="s">
        <v>35</v>
      </c>
      <c r="C85" s="5">
        <v>108187</v>
      </c>
      <c r="E85" s="5">
        <v>548470783</v>
      </c>
      <c r="G85" s="5">
        <v>740783085</v>
      </c>
      <c r="I85" s="5">
        <v>-192312302</v>
      </c>
      <c r="K85" s="5">
        <v>3342158</v>
      </c>
      <c r="M85" s="5">
        <v>17026008619</v>
      </c>
      <c r="O85" s="5">
        <v>25346943315</v>
      </c>
      <c r="Q85" s="5">
        <v>-8320934696</v>
      </c>
    </row>
    <row r="86" spans="1:17" ht="21">
      <c r="A86" s="17" t="s">
        <v>36</v>
      </c>
      <c r="C86" s="5">
        <v>0</v>
      </c>
      <c r="D86" s="5"/>
      <c r="E86" s="5">
        <v>0</v>
      </c>
      <c r="F86" s="5"/>
      <c r="G86" s="5">
        <v>0</v>
      </c>
      <c r="H86" s="5"/>
      <c r="I86" s="5">
        <v>0</v>
      </c>
      <c r="J86" s="6"/>
      <c r="K86" s="5">
        <v>2820364</v>
      </c>
      <c r="M86" s="5">
        <v>8582624846</v>
      </c>
      <c r="O86" s="5">
        <v>9641427146</v>
      </c>
      <c r="Q86" s="5">
        <v>-1058802300</v>
      </c>
    </row>
    <row r="87" spans="1:17" ht="21">
      <c r="A87" s="17" t="s">
        <v>38</v>
      </c>
      <c r="C87" s="5">
        <v>0</v>
      </c>
      <c r="D87" s="5"/>
      <c r="E87" s="5">
        <v>0</v>
      </c>
      <c r="F87" s="5"/>
      <c r="G87" s="5">
        <v>0</v>
      </c>
      <c r="H87" s="5"/>
      <c r="I87" s="5">
        <v>0</v>
      </c>
      <c r="J87" s="6"/>
      <c r="K87" s="5">
        <v>801187</v>
      </c>
      <c r="M87" s="5">
        <v>24158586249</v>
      </c>
      <c r="O87" s="5">
        <v>24886875190</v>
      </c>
      <c r="Q87" s="5">
        <v>-728288941</v>
      </c>
    </row>
    <row r="88" spans="1:17" ht="21">
      <c r="A88" s="17" t="s">
        <v>241</v>
      </c>
      <c r="C88" s="5">
        <v>0</v>
      </c>
      <c r="D88" s="5"/>
      <c r="E88" s="5">
        <v>0</v>
      </c>
      <c r="F88" s="5"/>
      <c r="G88" s="5">
        <v>0</v>
      </c>
      <c r="H88" s="5"/>
      <c r="I88" s="5">
        <v>0</v>
      </c>
      <c r="J88" s="6"/>
      <c r="K88" s="5">
        <v>1730887</v>
      </c>
      <c r="M88" s="5">
        <v>27953993244</v>
      </c>
      <c r="O88" s="5">
        <v>28497678508</v>
      </c>
      <c r="Q88" s="5">
        <v>-543685264</v>
      </c>
    </row>
    <row r="89" spans="1:17" ht="21">
      <c r="A89" s="17" t="s">
        <v>39</v>
      </c>
      <c r="C89" s="5">
        <v>10000000</v>
      </c>
      <c r="E89" s="5">
        <v>4274415175</v>
      </c>
      <c r="G89" s="5">
        <v>4315430575</v>
      </c>
      <c r="I89" s="5">
        <v>-41015400</v>
      </c>
      <c r="K89" s="5">
        <v>10000000</v>
      </c>
      <c r="M89" s="5">
        <v>4274415175</v>
      </c>
      <c r="O89" s="5">
        <v>4315430575</v>
      </c>
      <c r="Q89" s="5">
        <v>-41015400</v>
      </c>
    </row>
    <row r="90" spans="1:17" ht="21">
      <c r="A90" s="17" t="s">
        <v>242</v>
      </c>
      <c r="C90" s="5">
        <v>0</v>
      </c>
      <c r="D90" s="5"/>
      <c r="E90" s="5">
        <v>0</v>
      </c>
      <c r="F90" s="5"/>
      <c r="G90" s="5">
        <v>0</v>
      </c>
      <c r="H90" s="5"/>
      <c r="I90" s="5">
        <v>0</v>
      </c>
      <c r="J90" s="6"/>
      <c r="K90" s="5">
        <v>4000000</v>
      </c>
      <c r="M90" s="5">
        <v>16314348684</v>
      </c>
      <c r="O90" s="5">
        <v>14003422219</v>
      </c>
      <c r="Q90" s="5">
        <v>2310926465</v>
      </c>
    </row>
    <row r="91" spans="1:17" ht="21">
      <c r="A91" s="17" t="s">
        <v>40</v>
      </c>
      <c r="C91" s="5">
        <v>3100000</v>
      </c>
      <c r="E91" s="5">
        <v>10009874853</v>
      </c>
      <c r="G91" s="5">
        <v>9453296100</v>
      </c>
      <c r="I91" s="5">
        <v>556578753</v>
      </c>
      <c r="K91" s="5">
        <v>4600000</v>
      </c>
      <c r="M91" s="5">
        <v>14763279165</v>
      </c>
      <c r="O91" s="5">
        <v>14028010892</v>
      </c>
      <c r="Q91" s="5">
        <v>735268273</v>
      </c>
    </row>
    <row r="92" spans="1:17" ht="21">
      <c r="A92" s="17" t="s">
        <v>41</v>
      </c>
      <c r="C92" s="5">
        <v>0</v>
      </c>
      <c r="D92" s="5"/>
      <c r="E92" s="5">
        <v>0</v>
      </c>
      <c r="F92" s="5"/>
      <c r="G92" s="5">
        <v>0</v>
      </c>
      <c r="H92" s="5"/>
      <c r="I92" s="5">
        <v>0</v>
      </c>
      <c r="J92" s="6"/>
      <c r="K92" s="5">
        <v>11162873</v>
      </c>
      <c r="M92" s="5">
        <v>26352999771</v>
      </c>
      <c r="O92" s="5">
        <v>28526594751</v>
      </c>
      <c r="Q92" s="5">
        <v>-2173594980</v>
      </c>
    </row>
    <row r="93" spans="1:17" ht="21">
      <c r="A93" s="17" t="s">
        <v>305</v>
      </c>
      <c r="C93" s="5"/>
      <c r="D93" s="5"/>
      <c r="E93" s="13">
        <f>SUM(E71:E92)</f>
        <v>26263274643</v>
      </c>
      <c r="F93" s="5"/>
      <c r="G93" s="13">
        <f>SUM(G71:G92)</f>
        <v>27505170206</v>
      </c>
      <c r="H93" s="5"/>
      <c r="I93" s="13">
        <f>SUM(I71:I92)</f>
        <v>-1241895563</v>
      </c>
      <c r="J93" s="6"/>
      <c r="K93" s="5"/>
      <c r="M93" s="13">
        <f>SUM(M71:M92)</f>
        <v>823270664308</v>
      </c>
      <c r="O93" s="13">
        <f>SUM(O71:O92)</f>
        <v>796885690573</v>
      </c>
      <c r="Q93" s="13">
        <f>SUM(Q71:Q92)</f>
        <v>26384973735</v>
      </c>
    </row>
    <row r="94" spans="1:17" ht="20.100000000000001" customHeight="1">
      <c r="A94" s="39" t="s">
        <v>0</v>
      </c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</row>
    <row r="95" spans="1:17" ht="20.100000000000001" customHeight="1">
      <c r="A95" s="39" t="s">
        <v>137</v>
      </c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</row>
    <row r="96" spans="1:17" ht="20.100000000000001" customHeight="1">
      <c r="A96" s="39" t="s">
        <v>2</v>
      </c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</row>
    <row r="98" spans="1:17" ht="21">
      <c r="A98" s="40" t="s">
        <v>203</v>
      </c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</row>
    <row r="100" spans="1:17" ht="21">
      <c r="C100" s="33" t="s">
        <v>150</v>
      </c>
      <c r="D100" s="34"/>
      <c r="E100" s="34"/>
      <c r="F100" s="34"/>
      <c r="G100" s="34"/>
      <c r="H100" s="34"/>
      <c r="I100" s="34"/>
      <c r="K100" s="33" t="s">
        <v>7</v>
      </c>
      <c r="L100" s="34"/>
      <c r="M100" s="34"/>
      <c r="N100" s="34"/>
      <c r="O100" s="34"/>
      <c r="P100" s="34"/>
      <c r="Q100" s="34"/>
    </row>
    <row r="101" spans="1:17" ht="42">
      <c r="A101" s="48" t="s">
        <v>139</v>
      </c>
      <c r="C101" s="16" t="s">
        <v>9</v>
      </c>
      <c r="E101" s="16" t="s">
        <v>11</v>
      </c>
      <c r="G101" s="16" t="s">
        <v>204</v>
      </c>
      <c r="I101" s="16" t="s">
        <v>205</v>
      </c>
      <c r="K101" s="16" t="s">
        <v>9</v>
      </c>
      <c r="M101" s="16" t="s">
        <v>11</v>
      </c>
      <c r="O101" s="16" t="s">
        <v>204</v>
      </c>
      <c r="Q101" s="16" t="s">
        <v>205</v>
      </c>
    </row>
    <row r="102" spans="1:17" ht="21">
      <c r="A102" s="17" t="s">
        <v>306</v>
      </c>
      <c r="C102" s="5"/>
      <c r="D102" s="5"/>
      <c r="E102" s="5">
        <f>E93</f>
        <v>26263274643</v>
      </c>
      <c r="F102" s="5"/>
      <c r="G102" s="5">
        <f>G93</f>
        <v>27505170206</v>
      </c>
      <c r="H102" s="5"/>
      <c r="I102" s="5">
        <f>I93</f>
        <v>-1241895563</v>
      </c>
      <c r="J102" s="5"/>
      <c r="K102" s="5"/>
      <c r="L102" s="5"/>
      <c r="M102" s="5">
        <f>M93</f>
        <v>823270664308</v>
      </c>
      <c r="N102" s="5"/>
      <c r="O102" s="5">
        <f>O93</f>
        <v>796885690573</v>
      </c>
      <c r="P102" s="5"/>
      <c r="Q102" s="5">
        <f>Q93</f>
        <v>26384973735</v>
      </c>
    </row>
    <row r="103" spans="1:17" ht="21">
      <c r="A103" s="17" t="s">
        <v>243</v>
      </c>
      <c r="C103" s="5">
        <v>0</v>
      </c>
      <c r="D103" s="5"/>
      <c r="E103" s="5">
        <v>0</v>
      </c>
      <c r="F103" s="5"/>
      <c r="G103" s="5">
        <v>0</v>
      </c>
      <c r="H103" s="5"/>
      <c r="I103" s="5">
        <v>0</v>
      </c>
      <c r="J103" s="6"/>
      <c r="K103" s="5">
        <v>2023503</v>
      </c>
      <c r="M103" s="5">
        <v>27705018172</v>
      </c>
      <c r="O103" s="5">
        <v>28014767894</v>
      </c>
      <c r="Q103" s="5">
        <v>-309749722</v>
      </c>
    </row>
    <row r="104" spans="1:17" ht="21">
      <c r="A104" s="17" t="s">
        <v>42</v>
      </c>
      <c r="C104" s="5">
        <v>0</v>
      </c>
      <c r="D104" s="5"/>
      <c r="E104" s="5">
        <v>0</v>
      </c>
      <c r="F104" s="5"/>
      <c r="G104" s="5">
        <v>0</v>
      </c>
      <c r="H104" s="5"/>
      <c r="I104" s="5">
        <v>0</v>
      </c>
      <c r="J104" s="6"/>
      <c r="K104" s="5">
        <v>45240699</v>
      </c>
      <c r="M104" s="5">
        <v>50770390596</v>
      </c>
      <c r="O104" s="5">
        <v>55931836262</v>
      </c>
      <c r="Q104" s="5">
        <v>-5161445666</v>
      </c>
    </row>
    <row r="105" spans="1:17" ht="21">
      <c r="A105" s="17" t="s">
        <v>43</v>
      </c>
      <c r="C105" s="5">
        <v>9522258</v>
      </c>
      <c r="E105" s="5">
        <v>11748090778</v>
      </c>
      <c r="G105" s="5">
        <v>11904325024</v>
      </c>
      <c r="I105" s="5">
        <v>-156234246</v>
      </c>
      <c r="K105" s="5">
        <v>9522258</v>
      </c>
      <c r="M105" s="5">
        <v>11748090778</v>
      </c>
      <c r="O105" s="5">
        <v>11904325024</v>
      </c>
      <c r="Q105" s="5">
        <v>-156234246</v>
      </c>
    </row>
    <row r="106" spans="1:17" ht="21">
      <c r="A106" s="17" t="s">
        <v>244</v>
      </c>
      <c r="C106" s="5">
        <v>0</v>
      </c>
      <c r="D106" s="5"/>
      <c r="E106" s="5">
        <v>0</v>
      </c>
      <c r="F106" s="5"/>
      <c r="G106" s="5">
        <v>0</v>
      </c>
      <c r="H106" s="5"/>
      <c r="I106" s="5">
        <v>0</v>
      </c>
      <c r="J106" s="6"/>
      <c r="K106" s="5">
        <v>1450000</v>
      </c>
      <c r="M106" s="5">
        <v>7788197000</v>
      </c>
      <c r="O106" s="5">
        <v>7260857852</v>
      </c>
      <c r="Q106" s="5">
        <v>527339148</v>
      </c>
    </row>
    <row r="107" spans="1:17" ht="21">
      <c r="A107" s="17" t="s">
        <v>44</v>
      </c>
      <c r="C107" s="5">
        <v>0</v>
      </c>
      <c r="D107" s="5"/>
      <c r="E107" s="5">
        <v>0</v>
      </c>
      <c r="F107" s="5"/>
      <c r="G107" s="5">
        <v>0</v>
      </c>
      <c r="H107" s="5"/>
      <c r="I107" s="5">
        <v>0</v>
      </c>
      <c r="J107" s="6"/>
      <c r="K107" s="5">
        <v>349096</v>
      </c>
      <c r="M107" s="5">
        <v>2600332320</v>
      </c>
      <c r="O107" s="5">
        <v>2758716302</v>
      </c>
      <c r="Q107" s="5">
        <v>-158383982</v>
      </c>
    </row>
    <row r="108" spans="1:17" ht="21">
      <c r="A108" s="17" t="s">
        <v>45</v>
      </c>
      <c r="C108" s="5">
        <v>0</v>
      </c>
      <c r="D108" s="5"/>
      <c r="E108" s="5">
        <v>0</v>
      </c>
      <c r="F108" s="5"/>
      <c r="G108" s="5">
        <v>0</v>
      </c>
      <c r="H108" s="5"/>
      <c r="I108" s="5">
        <v>0</v>
      </c>
      <c r="J108" s="6"/>
      <c r="K108" s="5">
        <v>1362415</v>
      </c>
      <c r="M108" s="5">
        <v>28242166465</v>
      </c>
      <c r="O108" s="5">
        <v>32488941898</v>
      </c>
      <c r="Q108" s="5">
        <v>-4246775433</v>
      </c>
    </row>
    <row r="109" spans="1:17" ht="21">
      <c r="A109" s="17" t="s">
        <v>49</v>
      </c>
      <c r="C109" s="5">
        <v>1800000</v>
      </c>
      <c r="E109" s="5">
        <v>7014732990</v>
      </c>
      <c r="G109" s="5">
        <v>5922300162</v>
      </c>
      <c r="I109" s="5">
        <v>1092432828</v>
      </c>
      <c r="K109" s="5">
        <v>1800000</v>
      </c>
      <c r="M109" s="5">
        <v>7014732990</v>
      </c>
      <c r="O109" s="5">
        <v>5922300162</v>
      </c>
      <c r="Q109" s="5">
        <v>1092432828</v>
      </c>
    </row>
    <row r="110" spans="1:17" ht="21">
      <c r="A110" s="17" t="s">
        <v>245</v>
      </c>
      <c r="C110" s="5">
        <v>0</v>
      </c>
      <c r="D110" s="5"/>
      <c r="E110" s="5">
        <v>0</v>
      </c>
      <c r="F110" s="5"/>
      <c r="G110" s="5">
        <v>0</v>
      </c>
      <c r="H110" s="5"/>
      <c r="I110" s="5">
        <v>0</v>
      </c>
      <c r="J110" s="6"/>
      <c r="K110" s="5">
        <v>2068936</v>
      </c>
      <c r="M110" s="5">
        <v>38547753846</v>
      </c>
      <c r="O110" s="5">
        <v>34958136251</v>
      </c>
      <c r="Q110" s="5">
        <v>3589617595</v>
      </c>
    </row>
    <row r="111" spans="1:17" ht="21">
      <c r="A111" s="17" t="s">
        <v>53</v>
      </c>
      <c r="C111" s="5">
        <v>1000000</v>
      </c>
      <c r="E111" s="5">
        <v>5513404647</v>
      </c>
      <c r="G111" s="5">
        <v>5161815402</v>
      </c>
      <c r="I111" s="5">
        <v>351589245</v>
      </c>
      <c r="K111" s="5">
        <v>1000000</v>
      </c>
      <c r="M111" s="5">
        <v>5513404647</v>
      </c>
      <c r="O111" s="5">
        <v>5161815402</v>
      </c>
      <c r="Q111" s="5">
        <v>351589245</v>
      </c>
    </row>
    <row r="112" spans="1:17" ht="21">
      <c r="A112" s="17" t="s">
        <v>55</v>
      </c>
      <c r="C112" s="5">
        <v>0</v>
      </c>
      <c r="D112" s="5"/>
      <c r="E112" s="5">
        <v>0</v>
      </c>
      <c r="F112" s="5"/>
      <c r="G112" s="5">
        <v>0</v>
      </c>
      <c r="H112" s="5"/>
      <c r="I112" s="5">
        <v>0</v>
      </c>
      <c r="J112" s="6"/>
      <c r="K112" s="5">
        <v>11602698</v>
      </c>
      <c r="M112" s="5">
        <v>44483135862</v>
      </c>
      <c r="O112" s="5">
        <v>40758977342</v>
      </c>
      <c r="Q112" s="5">
        <v>3724158520</v>
      </c>
    </row>
    <row r="113" spans="1:17" ht="21">
      <c r="A113" s="17" t="s">
        <v>56</v>
      </c>
      <c r="C113" s="5">
        <v>0</v>
      </c>
      <c r="D113" s="5"/>
      <c r="E113" s="5">
        <v>0</v>
      </c>
      <c r="F113" s="5"/>
      <c r="G113" s="5">
        <v>0</v>
      </c>
      <c r="H113" s="5"/>
      <c r="I113" s="5">
        <v>0</v>
      </c>
      <c r="J113" s="6"/>
      <c r="K113" s="5">
        <v>10150248</v>
      </c>
      <c r="M113" s="5">
        <v>44658429613</v>
      </c>
      <c r="O113" s="5">
        <v>47622269556</v>
      </c>
      <c r="Q113" s="5">
        <v>-2963839943</v>
      </c>
    </row>
    <row r="114" spans="1:17" ht="21">
      <c r="A114" s="17" t="s">
        <v>58</v>
      </c>
      <c r="C114" s="5">
        <v>200000</v>
      </c>
      <c r="E114" s="5">
        <v>3632258743</v>
      </c>
      <c r="G114" s="5">
        <v>2520615863</v>
      </c>
      <c r="I114" s="5">
        <v>1111642880</v>
      </c>
      <c r="K114" s="5">
        <v>200000</v>
      </c>
      <c r="M114" s="5">
        <v>3632258743</v>
      </c>
      <c r="O114" s="5">
        <v>2520615863</v>
      </c>
      <c r="Q114" s="5">
        <v>1111642880</v>
      </c>
    </row>
    <row r="115" spans="1:17" ht="21">
      <c r="A115" s="17" t="s">
        <v>246</v>
      </c>
      <c r="C115" s="5">
        <v>0</v>
      </c>
      <c r="D115" s="5"/>
      <c r="E115" s="5">
        <v>0</v>
      </c>
      <c r="F115" s="5"/>
      <c r="G115" s="5">
        <v>0</v>
      </c>
      <c r="H115" s="5"/>
      <c r="I115" s="5">
        <v>0</v>
      </c>
      <c r="J115" s="6"/>
      <c r="K115" s="5">
        <v>446158</v>
      </c>
      <c r="M115" s="5">
        <v>2559745340</v>
      </c>
      <c r="O115" s="5">
        <v>2295056899</v>
      </c>
      <c r="Q115" s="5">
        <v>264688441</v>
      </c>
    </row>
    <row r="116" spans="1:17" ht="21">
      <c r="A116" s="17" t="s">
        <v>59</v>
      </c>
      <c r="C116" s="5">
        <v>0</v>
      </c>
      <c r="D116" s="5"/>
      <c r="E116" s="5">
        <v>0</v>
      </c>
      <c r="F116" s="5"/>
      <c r="G116" s="5">
        <v>0</v>
      </c>
      <c r="H116" s="5"/>
      <c r="I116" s="5">
        <v>0</v>
      </c>
      <c r="J116" s="6"/>
      <c r="K116" s="5">
        <v>2127045</v>
      </c>
      <c r="M116" s="5">
        <v>18097878761</v>
      </c>
      <c r="O116" s="5">
        <v>19034523741</v>
      </c>
      <c r="Q116" s="5">
        <v>-936644980</v>
      </c>
    </row>
    <row r="117" spans="1:17" ht="21">
      <c r="A117" s="17" t="s">
        <v>175</v>
      </c>
      <c r="C117" s="5">
        <v>0</v>
      </c>
      <c r="D117" s="5"/>
      <c r="E117" s="5">
        <v>0</v>
      </c>
      <c r="F117" s="5"/>
      <c r="G117" s="5">
        <v>0</v>
      </c>
      <c r="H117" s="5"/>
      <c r="I117" s="5">
        <v>0</v>
      </c>
      <c r="J117" s="6"/>
      <c r="K117" s="5">
        <v>1642919</v>
      </c>
      <c r="M117" s="5">
        <v>12469725638</v>
      </c>
      <c r="O117" s="5">
        <v>13334020444</v>
      </c>
      <c r="Q117" s="5">
        <v>-864294806</v>
      </c>
    </row>
    <row r="118" spans="1:17" ht="21">
      <c r="A118" s="17" t="s">
        <v>60</v>
      </c>
      <c r="C118" s="5">
        <v>0</v>
      </c>
      <c r="D118" s="5"/>
      <c r="E118" s="5">
        <v>0</v>
      </c>
      <c r="F118" s="5"/>
      <c r="G118" s="5">
        <v>0</v>
      </c>
      <c r="H118" s="5"/>
      <c r="I118" s="5">
        <v>0</v>
      </c>
      <c r="J118" s="6"/>
      <c r="K118" s="5">
        <v>1554845</v>
      </c>
      <c r="M118" s="5">
        <v>11584522316</v>
      </c>
      <c r="O118" s="5">
        <v>18524151603</v>
      </c>
      <c r="Q118" s="5">
        <v>-6939629287</v>
      </c>
    </row>
    <row r="119" spans="1:17" ht="21">
      <c r="A119" s="17" t="s">
        <v>247</v>
      </c>
      <c r="C119" s="5">
        <v>0</v>
      </c>
      <c r="D119" s="5"/>
      <c r="E119" s="5">
        <v>0</v>
      </c>
      <c r="F119" s="5"/>
      <c r="G119" s="5">
        <v>0</v>
      </c>
      <c r="H119" s="5"/>
      <c r="I119" s="5">
        <v>0</v>
      </c>
      <c r="J119" s="6"/>
      <c r="K119" s="5">
        <v>200000</v>
      </c>
      <c r="M119" s="5">
        <v>1148127765</v>
      </c>
      <c r="O119" s="5">
        <v>1058115110</v>
      </c>
      <c r="Q119" s="5">
        <v>90012655</v>
      </c>
    </row>
    <row r="120" spans="1:17" ht="21">
      <c r="A120" s="17" t="s">
        <v>61</v>
      </c>
      <c r="C120" s="5">
        <v>0</v>
      </c>
      <c r="D120" s="5"/>
      <c r="E120" s="5">
        <v>0</v>
      </c>
      <c r="F120" s="5"/>
      <c r="G120" s="5">
        <v>0</v>
      </c>
      <c r="H120" s="5"/>
      <c r="I120" s="5">
        <v>0</v>
      </c>
      <c r="J120" s="6"/>
      <c r="K120" s="5">
        <v>800000</v>
      </c>
      <c r="M120" s="5">
        <v>4874821248</v>
      </c>
      <c r="O120" s="5">
        <v>5125128785</v>
      </c>
      <c r="Q120" s="5">
        <v>-250307537</v>
      </c>
    </row>
    <row r="121" spans="1:17" ht="21">
      <c r="A121" s="17" t="s">
        <v>62</v>
      </c>
      <c r="C121" s="5">
        <v>910000</v>
      </c>
      <c r="E121" s="5">
        <v>12151267250</v>
      </c>
      <c r="G121" s="5">
        <v>12604199227</v>
      </c>
      <c r="I121" s="5">
        <v>-452931977</v>
      </c>
      <c r="K121" s="5">
        <v>4162105</v>
      </c>
      <c r="M121" s="5">
        <v>49461388422</v>
      </c>
      <c r="O121" s="5">
        <v>57684956772</v>
      </c>
      <c r="Q121" s="5">
        <v>-8223568350</v>
      </c>
    </row>
    <row r="122" spans="1:17" ht="21">
      <c r="A122" s="17" t="s">
        <v>178</v>
      </c>
      <c r="C122" s="5">
        <v>0</v>
      </c>
      <c r="D122" s="5"/>
      <c r="E122" s="5">
        <v>0</v>
      </c>
      <c r="F122" s="5"/>
      <c r="G122" s="5">
        <v>0</v>
      </c>
      <c r="H122" s="5"/>
      <c r="I122" s="5">
        <v>0</v>
      </c>
      <c r="J122" s="6"/>
      <c r="K122" s="5">
        <v>687000</v>
      </c>
      <c r="M122" s="5">
        <v>17010644331</v>
      </c>
      <c r="O122" s="5">
        <v>14567488941</v>
      </c>
      <c r="Q122" s="5">
        <v>2443155390</v>
      </c>
    </row>
    <row r="123" spans="1:17" ht="21">
      <c r="A123" s="17" t="s">
        <v>63</v>
      </c>
      <c r="C123" s="5">
        <v>0</v>
      </c>
      <c r="D123" s="5"/>
      <c r="E123" s="5">
        <v>0</v>
      </c>
      <c r="F123" s="5"/>
      <c r="G123" s="5">
        <v>0</v>
      </c>
      <c r="H123" s="5"/>
      <c r="I123" s="5">
        <v>0</v>
      </c>
      <c r="J123" s="6"/>
      <c r="K123" s="5">
        <v>2000000</v>
      </c>
      <c r="M123" s="5">
        <v>6640382525</v>
      </c>
      <c r="O123" s="5">
        <v>9541546398</v>
      </c>
      <c r="Q123" s="5">
        <v>-2901163873</v>
      </c>
    </row>
    <row r="124" spans="1:17" ht="21">
      <c r="A124" s="17" t="s">
        <v>305</v>
      </c>
      <c r="C124" s="5"/>
      <c r="D124" s="5"/>
      <c r="E124" s="13">
        <f>SUM(E102:E123)</f>
        <v>66323029051</v>
      </c>
      <c r="F124" s="5"/>
      <c r="G124" s="13">
        <f>SUM(G102:G123)</f>
        <v>65618425884</v>
      </c>
      <c r="H124" s="5"/>
      <c r="I124" s="13">
        <f>SUM(I102:I123)</f>
        <v>704603167</v>
      </c>
      <c r="J124" s="6"/>
      <c r="K124" s="5"/>
      <c r="M124" s="13">
        <f>SUM(M102:M123)</f>
        <v>1219821811686</v>
      </c>
      <c r="O124" s="13">
        <f>SUM(O102:O123)</f>
        <v>1213354239074</v>
      </c>
      <c r="Q124" s="13">
        <f>SUM(Q102:Q123)</f>
        <v>6467572612</v>
      </c>
    </row>
    <row r="125" spans="1:17" ht="20.100000000000001" customHeight="1">
      <c r="A125" s="39" t="s">
        <v>0</v>
      </c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</row>
    <row r="126" spans="1:17" ht="20.100000000000001" customHeight="1">
      <c r="A126" s="39" t="s">
        <v>137</v>
      </c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</row>
    <row r="127" spans="1:17" ht="20.100000000000001" customHeight="1">
      <c r="A127" s="39" t="s">
        <v>2</v>
      </c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</row>
    <row r="129" spans="1:17" ht="21">
      <c r="A129" s="40" t="s">
        <v>203</v>
      </c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</row>
    <row r="131" spans="1:17" ht="21">
      <c r="C131" s="33" t="s">
        <v>150</v>
      </c>
      <c r="D131" s="34"/>
      <c r="E131" s="34"/>
      <c r="F131" s="34"/>
      <c r="G131" s="34"/>
      <c r="H131" s="34"/>
      <c r="I131" s="34"/>
      <c r="K131" s="33" t="s">
        <v>7</v>
      </c>
      <c r="L131" s="34"/>
      <c r="M131" s="34"/>
      <c r="N131" s="34"/>
      <c r="O131" s="34"/>
      <c r="P131" s="34"/>
      <c r="Q131" s="34"/>
    </row>
    <row r="132" spans="1:17" ht="42">
      <c r="A132" s="48" t="s">
        <v>139</v>
      </c>
      <c r="C132" s="16" t="s">
        <v>9</v>
      </c>
      <c r="E132" s="16" t="s">
        <v>11</v>
      </c>
      <c r="G132" s="16" t="s">
        <v>204</v>
      </c>
      <c r="I132" s="16" t="s">
        <v>205</v>
      </c>
      <c r="K132" s="16" t="s">
        <v>9</v>
      </c>
      <c r="M132" s="16" t="s">
        <v>11</v>
      </c>
      <c r="O132" s="16" t="s">
        <v>204</v>
      </c>
      <c r="Q132" s="16" t="s">
        <v>205</v>
      </c>
    </row>
    <row r="133" spans="1:17" ht="21">
      <c r="A133" s="17" t="s">
        <v>306</v>
      </c>
      <c r="C133" s="5"/>
      <c r="D133" s="5"/>
      <c r="E133" s="5">
        <f>E124</f>
        <v>66323029051</v>
      </c>
      <c r="F133" s="5"/>
      <c r="G133" s="5">
        <f>G124</f>
        <v>65618425884</v>
      </c>
      <c r="H133" s="5"/>
      <c r="I133" s="5">
        <f>I124</f>
        <v>704603167</v>
      </c>
      <c r="J133" s="5"/>
      <c r="K133" s="5"/>
      <c r="L133" s="5"/>
      <c r="M133" s="5">
        <f>M124</f>
        <v>1219821811686</v>
      </c>
      <c r="N133" s="5"/>
      <c r="O133" s="5">
        <f>O124</f>
        <v>1213354239074</v>
      </c>
      <c r="P133" s="5"/>
      <c r="Q133" s="5">
        <f>Q124</f>
        <v>6467572612</v>
      </c>
    </row>
    <row r="134" spans="1:17" ht="21">
      <c r="A134" s="17" t="s">
        <v>181</v>
      </c>
      <c r="C134" s="5">
        <v>0</v>
      </c>
      <c r="D134" s="5"/>
      <c r="E134" s="5">
        <v>0</v>
      </c>
      <c r="F134" s="5"/>
      <c r="G134" s="5">
        <v>0</v>
      </c>
      <c r="H134" s="5"/>
      <c r="I134" s="5">
        <v>0</v>
      </c>
      <c r="J134" s="6"/>
      <c r="K134" s="5">
        <v>2574124</v>
      </c>
      <c r="M134" s="5">
        <v>17174970716</v>
      </c>
      <c r="O134" s="5">
        <v>26201743467</v>
      </c>
      <c r="Q134" s="5">
        <v>-9026772751</v>
      </c>
    </row>
    <row r="135" spans="1:17" ht="21">
      <c r="A135" s="17" t="s">
        <v>64</v>
      </c>
      <c r="C135" s="5">
        <v>0</v>
      </c>
      <c r="D135" s="5"/>
      <c r="E135" s="5">
        <v>0</v>
      </c>
      <c r="F135" s="5"/>
      <c r="G135" s="5">
        <v>0</v>
      </c>
      <c r="H135" s="5"/>
      <c r="I135" s="5">
        <v>0</v>
      </c>
      <c r="J135" s="6"/>
      <c r="K135" s="5">
        <v>1131494</v>
      </c>
      <c r="M135" s="5">
        <v>12491844322</v>
      </c>
      <c r="O135" s="5">
        <v>16987710473</v>
      </c>
      <c r="Q135" s="5">
        <v>-4495866151</v>
      </c>
    </row>
    <row r="136" spans="1:17" ht="21">
      <c r="A136" s="17" t="s">
        <v>65</v>
      </c>
      <c r="C136" s="5">
        <v>200000</v>
      </c>
      <c r="E136" s="5">
        <v>3027876325</v>
      </c>
      <c r="G136" s="5">
        <v>2594239725</v>
      </c>
      <c r="I136" s="5">
        <v>433636600</v>
      </c>
      <c r="K136" s="5">
        <v>1745202</v>
      </c>
      <c r="M136" s="5">
        <v>20526009895</v>
      </c>
      <c r="O136" s="5">
        <v>22672648537</v>
      </c>
      <c r="Q136" s="5">
        <v>-2146638642</v>
      </c>
    </row>
    <row r="137" spans="1:17" ht="21">
      <c r="A137" s="17" t="s">
        <v>66</v>
      </c>
      <c r="C137" s="5">
        <v>3600000</v>
      </c>
      <c r="E137" s="5">
        <v>10073840397</v>
      </c>
      <c r="G137" s="5">
        <v>11146937069</v>
      </c>
      <c r="I137" s="5">
        <v>-1073096672</v>
      </c>
      <c r="K137" s="5">
        <v>13000000</v>
      </c>
      <c r="M137" s="5">
        <v>36262286695</v>
      </c>
      <c r="O137" s="5">
        <v>40253519127</v>
      </c>
      <c r="Q137" s="5">
        <v>-3991232432</v>
      </c>
    </row>
    <row r="138" spans="1:17" ht="21">
      <c r="A138" s="17" t="s">
        <v>248</v>
      </c>
      <c r="C138" s="5">
        <v>0</v>
      </c>
      <c r="D138" s="5"/>
      <c r="E138" s="5">
        <v>0</v>
      </c>
      <c r="F138" s="5"/>
      <c r="G138" s="5">
        <v>0</v>
      </c>
      <c r="H138" s="5"/>
      <c r="I138" s="5">
        <v>0</v>
      </c>
      <c r="J138" s="6"/>
      <c r="K138" s="5">
        <v>4017263</v>
      </c>
      <c r="M138" s="5">
        <v>24778418173</v>
      </c>
      <c r="O138" s="5">
        <v>25249458217</v>
      </c>
      <c r="Q138" s="5">
        <v>-471040044</v>
      </c>
    </row>
    <row r="139" spans="1:17" ht="21">
      <c r="A139" s="17" t="s">
        <v>68</v>
      </c>
      <c r="C139" s="5">
        <v>0</v>
      </c>
      <c r="D139" s="5"/>
      <c r="E139" s="5">
        <v>0</v>
      </c>
      <c r="F139" s="5"/>
      <c r="G139" s="5">
        <v>0</v>
      </c>
      <c r="H139" s="5"/>
      <c r="I139" s="5">
        <v>0</v>
      </c>
      <c r="J139" s="6"/>
      <c r="K139" s="5">
        <v>554815</v>
      </c>
      <c r="M139" s="5">
        <v>33951935002</v>
      </c>
      <c r="O139" s="5">
        <v>32887608627</v>
      </c>
      <c r="Q139" s="5">
        <v>1064326375</v>
      </c>
    </row>
    <row r="140" spans="1:17" ht="21">
      <c r="A140" s="17" t="s">
        <v>69</v>
      </c>
      <c r="C140" s="5">
        <v>0</v>
      </c>
      <c r="D140" s="5"/>
      <c r="E140" s="5">
        <v>0</v>
      </c>
      <c r="F140" s="5"/>
      <c r="G140" s="5">
        <v>0</v>
      </c>
      <c r="H140" s="5"/>
      <c r="I140" s="5">
        <v>0</v>
      </c>
      <c r="J140" s="6"/>
      <c r="K140" s="5">
        <v>374096</v>
      </c>
      <c r="M140" s="5">
        <v>18571814326</v>
      </c>
      <c r="O140" s="5">
        <v>15908047072</v>
      </c>
      <c r="Q140" s="5">
        <v>2663767254</v>
      </c>
    </row>
    <row r="141" spans="1:17" ht="21">
      <c r="A141" s="17" t="s">
        <v>185</v>
      </c>
      <c r="C141" s="5">
        <v>0</v>
      </c>
      <c r="D141" s="5"/>
      <c r="E141" s="5">
        <v>0</v>
      </c>
      <c r="F141" s="5"/>
      <c r="G141" s="5">
        <v>0</v>
      </c>
      <c r="H141" s="5"/>
      <c r="I141" s="5">
        <v>0</v>
      </c>
      <c r="J141" s="6"/>
      <c r="K141" s="5">
        <v>320000</v>
      </c>
      <c r="M141" s="5">
        <v>7721234555</v>
      </c>
      <c r="O141" s="5">
        <v>9833943932</v>
      </c>
      <c r="Q141" s="5">
        <v>-2112709377</v>
      </c>
    </row>
    <row r="142" spans="1:17" ht="21">
      <c r="A142" s="17" t="s">
        <v>71</v>
      </c>
      <c r="C142" s="5">
        <v>0</v>
      </c>
      <c r="D142" s="5"/>
      <c r="E142" s="5">
        <v>0</v>
      </c>
      <c r="F142" s="5"/>
      <c r="G142" s="5">
        <v>0</v>
      </c>
      <c r="H142" s="5"/>
      <c r="I142" s="5">
        <v>0</v>
      </c>
      <c r="J142" s="6"/>
      <c r="K142" s="5">
        <v>243136</v>
      </c>
      <c r="M142" s="5">
        <v>43980333416</v>
      </c>
      <c r="O142" s="5">
        <v>38202724205</v>
      </c>
      <c r="Q142" s="5">
        <v>5777609211</v>
      </c>
    </row>
    <row r="143" spans="1:17" ht="21">
      <c r="A143" s="17" t="s">
        <v>73</v>
      </c>
      <c r="C143" s="5">
        <v>0</v>
      </c>
      <c r="D143" s="5"/>
      <c r="E143" s="5">
        <v>0</v>
      </c>
      <c r="F143" s="5"/>
      <c r="G143" s="5">
        <v>0</v>
      </c>
      <c r="H143" s="5"/>
      <c r="I143" s="5">
        <v>0</v>
      </c>
      <c r="J143" s="6"/>
      <c r="K143" s="5">
        <v>35981</v>
      </c>
      <c r="M143" s="5">
        <v>6752742831</v>
      </c>
      <c r="O143" s="5">
        <v>6189819405</v>
      </c>
      <c r="Q143" s="5">
        <v>562923426</v>
      </c>
    </row>
    <row r="144" spans="1:17" ht="21">
      <c r="A144" s="17" t="s">
        <v>74</v>
      </c>
      <c r="C144" s="5">
        <v>0</v>
      </c>
      <c r="D144" s="5"/>
      <c r="E144" s="5">
        <v>0</v>
      </c>
      <c r="F144" s="5"/>
      <c r="G144" s="5">
        <v>0</v>
      </c>
      <c r="H144" s="5"/>
      <c r="I144" s="5">
        <v>0</v>
      </c>
      <c r="J144" s="6"/>
      <c r="K144" s="5">
        <v>323000</v>
      </c>
      <c r="M144" s="5">
        <v>4960657452</v>
      </c>
      <c r="O144" s="5">
        <v>7845418482</v>
      </c>
      <c r="Q144" s="5">
        <v>-2884761030</v>
      </c>
    </row>
    <row r="145" spans="1:17" ht="21">
      <c r="A145" s="17" t="s">
        <v>75</v>
      </c>
      <c r="C145" s="5">
        <v>3600000</v>
      </c>
      <c r="E145" s="5">
        <v>19830303592</v>
      </c>
      <c r="G145" s="5">
        <v>18829602393</v>
      </c>
      <c r="I145" s="5">
        <v>1000701199</v>
      </c>
      <c r="K145" s="5">
        <v>3600000</v>
      </c>
      <c r="M145" s="5">
        <v>19830303592</v>
      </c>
      <c r="O145" s="5">
        <v>18829602393</v>
      </c>
      <c r="Q145" s="5">
        <v>1000701199</v>
      </c>
    </row>
    <row r="146" spans="1:17" ht="21">
      <c r="A146" s="17" t="s">
        <v>249</v>
      </c>
      <c r="C146" s="5">
        <v>0</v>
      </c>
      <c r="D146" s="5"/>
      <c r="E146" s="5">
        <v>0</v>
      </c>
      <c r="F146" s="5"/>
      <c r="G146" s="5">
        <v>0</v>
      </c>
      <c r="H146" s="5"/>
      <c r="I146" s="5">
        <v>0</v>
      </c>
      <c r="J146" s="6"/>
      <c r="K146" s="5">
        <v>153902</v>
      </c>
      <c r="M146" s="5">
        <v>27573741535</v>
      </c>
      <c r="O146" s="5">
        <v>27892641876</v>
      </c>
      <c r="Q146" s="5">
        <v>-318900341</v>
      </c>
    </row>
    <row r="147" spans="1:17" ht="21">
      <c r="A147" s="17" t="s">
        <v>77</v>
      </c>
      <c r="C147" s="5">
        <v>1947863</v>
      </c>
      <c r="E147" s="5">
        <v>7222105289</v>
      </c>
      <c r="G147" s="5">
        <v>7774676789</v>
      </c>
      <c r="I147" s="5">
        <v>-552571500</v>
      </c>
      <c r="K147" s="5">
        <v>813344</v>
      </c>
      <c r="M147" s="5">
        <v>1325397094</v>
      </c>
      <c r="O147" s="5">
        <v>3376308612</v>
      </c>
      <c r="Q147" s="5">
        <v>-2050911518</v>
      </c>
    </row>
    <row r="148" spans="1:17" ht="21">
      <c r="A148" s="17" t="s">
        <v>190</v>
      </c>
      <c r="C148" s="5">
        <v>0</v>
      </c>
      <c r="D148" s="5"/>
      <c r="E148" s="5">
        <v>0</v>
      </c>
      <c r="F148" s="5"/>
      <c r="G148" s="5">
        <v>0</v>
      </c>
      <c r="H148" s="5"/>
      <c r="I148" s="5">
        <v>0</v>
      </c>
      <c r="J148" s="6"/>
      <c r="K148" s="5">
        <v>14262615</v>
      </c>
      <c r="M148" s="5">
        <v>24542452114</v>
      </c>
      <c r="O148" s="5">
        <v>27783271084</v>
      </c>
      <c r="Q148" s="5">
        <v>-3240818970</v>
      </c>
    </row>
    <row r="149" spans="1:17" ht="21">
      <c r="A149" s="17" t="s">
        <v>78</v>
      </c>
      <c r="C149" s="5">
        <v>1000000</v>
      </c>
      <c r="E149" s="5">
        <v>6390747535</v>
      </c>
      <c r="G149" s="5">
        <v>5727092785</v>
      </c>
      <c r="I149" s="5">
        <v>663654750</v>
      </c>
      <c r="K149" s="5">
        <v>1000000</v>
      </c>
      <c r="M149" s="5">
        <v>6390747535</v>
      </c>
      <c r="O149" s="5">
        <v>5727092785</v>
      </c>
      <c r="Q149" s="5">
        <v>663654750</v>
      </c>
    </row>
    <row r="150" spans="1:17" ht="21">
      <c r="A150" s="17" t="s">
        <v>250</v>
      </c>
      <c r="C150" s="5">
        <v>0</v>
      </c>
      <c r="D150" s="5"/>
      <c r="E150" s="5">
        <v>0</v>
      </c>
      <c r="F150" s="5"/>
      <c r="G150" s="5">
        <v>0</v>
      </c>
      <c r="H150" s="5"/>
      <c r="I150" s="5">
        <v>0</v>
      </c>
      <c r="J150" s="6"/>
      <c r="K150" s="5">
        <v>901</v>
      </c>
      <c r="M150" s="5">
        <v>2321499</v>
      </c>
      <c r="O150" s="5">
        <v>1383949</v>
      </c>
      <c r="Q150" s="5">
        <v>937550</v>
      </c>
    </row>
    <row r="151" spans="1:17" ht="21">
      <c r="A151" s="17" t="s">
        <v>79</v>
      </c>
      <c r="C151" s="5">
        <v>20000000</v>
      </c>
      <c r="E151" s="5">
        <v>29820000000</v>
      </c>
      <c r="G151" s="5">
        <v>28087375936</v>
      </c>
      <c r="I151" s="5">
        <v>1732624064</v>
      </c>
      <c r="K151" s="5">
        <v>20000000</v>
      </c>
      <c r="M151" s="5">
        <v>29820000000</v>
      </c>
      <c r="O151" s="5">
        <v>27968134060</v>
      </c>
      <c r="Q151" s="5">
        <v>1851865940</v>
      </c>
    </row>
    <row r="152" spans="1:17" ht="21">
      <c r="A152" s="17" t="s">
        <v>81</v>
      </c>
      <c r="C152" s="5">
        <v>0</v>
      </c>
      <c r="D152" s="5"/>
      <c r="E152" s="5">
        <v>0</v>
      </c>
      <c r="F152" s="5"/>
      <c r="G152" s="5">
        <v>0</v>
      </c>
      <c r="H152" s="5"/>
      <c r="I152" s="5">
        <v>0</v>
      </c>
      <c r="J152" s="6"/>
      <c r="K152" s="5">
        <v>683465</v>
      </c>
      <c r="M152" s="5">
        <v>1202738755</v>
      </c>
      <c r="O152" s="5">
        <v>1116816431</v>
      </c>
      <c r="Q152" s="5">
        <v>85922324</v>
      </c>
    </row>
    <row r="153" spans="1:17" ht="21">
      <c r="A153" s="8" t="s">
        <v>82</v>
      </c>
      <c r="C153" s="11"/>
      <c r="E153" s="8">
        <f>SUM(E133:E152)</f>
        <v>142687902189</v>
      </c>
      <c r="G153" s="8">
        <f>SUM(G133:G152)</f>
        <v>139778350581</v>
      </c>
      <c r="I153" s="8">
        <f>SUM(I133:I152)</f>
        <v>2909551608</v>
      </c>
      <c r="K153" s="11"/>
      <c r="M153" s="8">
        <f>SUM(M133:M152)</f>
        <v>1557681761193</v>
      </c>
      <c r="O153" s="8">
        <f>SUM(O133:O152)</f>
        <v>1568282131808</v>
      </c>
      <c r="Q153" s="8">
        <f>SUM(Q133:Q152)</f>
        <v>-10600370615</v>
      </c>
    </row>
    <row r="155" spans="1:17" ht="21">
      <c r="A155" s="45" t="s">
        <v>251</v>
      </c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7"/>
    </row>
  </sheetData>
  <mergeCells count="31">
    <mergeCell ref="A126:Q126"/>
    <mergeCell ref="A127:Q127"/>
    <mergeCell ref="A129:Q129"/>
    <mergeCell ref="C131:I131"/>
    <mergeCell ref="K131:Q131"/>
    <mergeCell ref="A96:Q96"/>
    <mergeCell ref="A98:Q98"/>
    <mergeCell ref="C100:I100"/>
    <mergeCell ref="K100:Q100"/>
    <mergeCell ref="A125:Q125"/>
    <mergeCell ref="A67:Q67"/>
    <mergeCell ref="C69:I69"/>
    <mergeCell ref="K69:Q69"/>
    <mergeCell ref="A94:Q94"/>
    <mergeCell ref="A95:Q95"/>
    <mergeCell ref="A155:Q155"/>
    <mergeCell ref="A1:Q1"/>
    <mergeCell ref="A2:Q2"/>
    <mergeCell ref="A3:Q3"/>
    <mergeCell ref="A5:Q5"/>
    <mergeCell ref="C7:I7"/>
    <mergeCell ref="K7:Q7"/>
    <mergeCell ref="A32:Q32"/>
    <mergeCell ref="A33:Q33"/>
    <mergeCell ref="A34:Q34"/>
    <mergeCell ref="A36:Q36"/>
    <mergeCell ref="C38:I38"/>
    <mergeCell ref="K38:Q38"/>
    <mergeCell ref="A63:Q63"/>
    <mergeCell ref="A64:Q64"/>
    <mergeCell ref="A65:Q65"/>
  </mergeCells>
  <pageMargins left="0.7" right="0.7" top="0.75" bottom="0.75" header="0.3" footer="0.3"/>
  <pageSetup paperSize="9" scale="74" fitToHeight="0" orientation="landscape" r:id="rId1"/>
  <rowBreaks count="4" manualBreakCount="4">
    <brk id="31" max="16" man="1"/>
    <brk id="62" max="16" man="1"/>
    <brk id="93" max="16" man="1"/>
    <brk id="124" max="1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27"/>
  <sheetViews>
    <sheetView rightToLeft="1" view="pageBreakPreview" zoomScale="85" zoomScaleNormal="70" zoomScaleSheetLayoutView="85" workbookViewId="0">
      <selection activeCell="Q131" sqref="Q131"/>
    </sheetView>
  </sheetViews>
  <sheetFormatPr defaultRowHeight="19.5"/>
  <cols>
    <col min="1" max="1" width="41.85546875" style="2" customWidth="1"/>
    <col min="2" max="2" width="1.42578125" style="2" customWidth="1"/>
    <col min="3" max="3" width="14.140625" style="2" customWidth="1"/>
    <col min="4" max="4" width="1.42578125" style="2" customWidth="1"/>
    <col min="5" max="5" width="17.85546875" style="2" bestFit="1" customWidth="1"/>
    <col min="6" max="6" width="1.42578125" style="2" customWidth="1"/>
    <col min="7" max="7" width="17.85546875" style="2" bestFit="1" customWidth="1"/>
    <col min="8" max="8" width="1.42578125" style="2" customWidth="1"/>
    <col min="9" max="9" width="20.140625" style="2" bestFit="1" customWidth="1"/>
    <col min="10" max="10" width="1.42578125" style="2" customWidth="1"/>
    <col min="11" max="11" width="14.140625" style="2" customWidth="1"/>
    <col min="12" max="12" width="1.42578125" style="2" customWidth="1"/>
    <col min="13" max="13" width="17.85546875" style="2" bestFit="1" customWidth="1"/>
    <col min="14" max="14" width="1.42578125" style="2" customWidth="1"/>
    <col min="15" max="15" width="17.85546875" style="2" bestFit="1" customWidth="1"/>
    <col min="16" max="16" width="1.42578125" style="2" customWidth="1"/>
    <col min="17" max="17" width="17" style="2" customWidth="1"/>
    <col min="18" max="20" width="9.140625" style="2"/>
    <col min="21" max="21" width="11.28515625" style="2" bestFit="1" customWidth="1"/>
    <col min="22" max="16384" width="9.140625" style="2"/>
  </cols>
  <sheetData>
    <row r="1" spans="1:17" ht="20.100000000000001" customHeight="1">
      <c r="A1" s="3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ht="20.100000000000001" customHeight="1">
      <c r="A2" s="39" t="s">
        <v>137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20.100000000000001" customHeight="1">
      <c r="A3" s="39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5" spans="1:17" ht="21">
      <c r="A5" s="40" t="s">
        <v>252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7" spans="1:17" ht="21">
      <c r="C7" s="33" t="s">
        <v>150</v>
      </c>
      <c r="D7" s="34"/>
      <c r="E7" s="34"/>
      <c r="F7" s="34"/>
      <c r="G7" s="34"/>
      <c r="H7" s="34"/>
      <c r="I7" s="34"/>
      <c r="K7" s="33" t="s">
        <v>7</v>
      </c>
      <c r="L7" s="34"/>
      <c r="M7" s="34"/>
      <c r="N7" s="34"/>
      <c r="O7" s="34"/>
      <c r="P7" s="34"/>
      <c r="Q7" s="34"/>
    </row>
    <row r="8" spans="1:17" ht="42">
      <c r="A8" s="48" t="s">
        <v>139</v>
      </c>
      <c r="C8" s="16" t="s">
        <v>9</v>
      </c>
      <c r="E8" s="16" t="s">
        <v>11</v>
      </c>
      <c r="G8" s="16" t="s">
        <v>204</v>
      </c>
      <c r="I8" s="16" t="s">
        <v>253</v>
      </c>
      <c r="K8" s="16" t="s">
        <v>9</v>
      </c>
      <c r="M8" s="16" t="s">
        <v>11</v>
      </c>
      <c r="O8" s="16" t="s">
        <v>204</v>
      </c>
      <c r="Q8" s="16" t="s">
        <v>253</v>
      </c>
    </row>
    <row r="9" spans="1:17" ht="21">
      <c r="A9" s="17" t="s">
        <v>17</v>
      </c>
      <c r="C9" s="5">
        <v>467651</v>
      </c>
      <c r="E9" s="5">
        <v>2858941131</v>
      </c>
      <c r="G9" s="5">
        <v>2807805598</v>
      </c>
      <c r="I9" s="5">
        <v>51135533</v>
      </c>
      <c r="K9" s="5">
        <v>467651</v>
      </c>
      <c r="M9" s="5">
        <v>2858941131</v>
      </c>
      <c r="O9" s="5">
        <v>2921674505</v>
      </c>
      <c r="Q9" s="5">
        <v>-62733374</v>
      </c>
    </row>
    <row r="10" spans="1:17" ht="21">
      <c r="A10" s="17" t="s">
        <v>206</v>
      </c>
      <c r="C10" s="5">
        <v>0</v>
      </c>
      <c r="E10" s="5">
        <v>0</v>
      </c>
      <c r="G10" s="5">
        <v>0</v>
      </c>
      <c r="I10" s="5">
        <v>0</v>
      </c>
      <c r="K10" s="5"/>
      <c r="M10" s="5"/>
      <c r="O10" s="5"/>
      <c r="Q10" s="5">
        <v>-224342217</v>
      </c>
    </row>
    <row r="11" spans="1:17" ht="21">
      <c r="A11" s="17" t="s">
        <v>209</v>
      </c>
      <c r="C11" s="5">
        <v>0</v>
      </c>
      <c r="E11" s="5">
        <v>0</v>
      </c>
      <c r="G11" s="5">
        <v>0</v>
      </c>
      <c r="I11" s="5">
        <v>0</v>
      </c>
      <c r="K11" s="5"/>
      <c r="M11" s="5"/>
      <c r="O11" s="5"/>
      <c r="Q11" s="5">
        <v>7738007</v>
      </c>
    </row>
    <row r="12" spans="1:17" ht="21">
      <c r="A12" s="17" t="s">
        <v>207</v>
      </c>
      <c r="C12" s="5">
        <v>0</v>
      </c>
      <c r="E12" s="5">
        <v>0</v>
      </c>
      <c r="G12" s="5">
        <v>0</v>
      </c>
      <c r="I12" s="5">
        <v>0</v>
      </c>
      <c r="K12" s="5"/>
      <c r="M12" s="5"/>
      <c r="O12" s="5"/>
      <c r="Q12" s="5">
        <v>-27640881</v>
      </c>
    </row>
    <row r="13" spans="1:17" ht="21">
      <c r="A13" s="17" t="s">
        <v>208</v>
      </c>
      <c r="C13" s="5">
        <v>0</v>
      </c>
      <c r="E13" s="5">
        <v>0</v>
      </c>
      <c r="G13" s="5">
        <v>0</v>
      </c>
      <c r="I13" s="5">
        <v>0</v>
      </c>
      <c r="K13" s="5"/>
      <c r="M13" s="5"/>
      <c r="O13" s="5"/>
      <c r="Q13" s="5">
        <v>5440598</v>
      </c>
    </row>
    <row r="14" spans="1:17" ht="21">
      <c r="A14" s="17" t="s">
        <v>210</v>
      </c>
      <c r="C14" s="5">
        <v>0</v>
      </c>
      <c r="E14" s="5">
        <v>0</v>
      </c>
      <c r="G14" s="5">
        <v>0</v>
      </c>
      <c r="I14" s="5">
        <v>0</v>
      </c>
      <c r="K14" s="5"/>
      <c r="M14" s="5"/>
      <c r="O14" s="5"/>
      <c r="Q14" s="5">
        <v>-1779542</v>
      </c>
    </row>
    <row r="15" spans="1:17" ht="21">
      <c r="A15" s="17" t="s">
        <v>211</v>
      </c>
      <c r="C15" s="5">
        <v>0</v>
      </c>
      <c r="E15" s="5">
        <v>0</v>
      </c>
      <c r="G15" s="5">
        <v>0</v>
      </c>
      <c r="I15" s="5">
        <v>0</v>
      </c>
      <c r="K15" s="5"/>
      <c r="M15" s="5"/>
      <c r="O15" s="5"/>
      <c r="Q15" s="5">
        <v>8787737</v>
      </c>
    </row>
    <row r="16" spans="1:17" ht="21">
      <c r="A16" s="17" t="s">
        <v>235</v>
      </c>
      <c r="C16" s="5">
        <v>0</v>
      </c>
      <c r="E16" s="5">
        <v>0</v>
      </c>
      <c r="G16" s="5">
        <v>0</v>
      </c>
      <c r="I16" s="5">
        <v>0</v>
      </c>
      <c r="K16" s="5"/>
      <c r="M16" s="5"/>
      <c r="O16" s="5"/>
      <c r="Q16" s="5">
        <v>13141615</v>
      </c>
    </row>
    <row r="17" spans="1:17" ht="21">
      <c r="A17" s="17" t="s">
        <v>214</v>
      </c>
      <c r="C17" s="5">
        <v>0</v>
      </c>
      <c r="E17" s="5">
        <v>0</v>
      </c>
      <c r="G17" s="5">
        <v>0</v>
      </c>
      <c r="I17" s="5">
        <v>0</v>
      </c>
      <c r="K17" s="5"/>
      <c r="M17" s="5"/>
      <c r="O17" s="5"/>
      <c r="Q17" s="5">
        <v>53886121</v>
      </c>
    </row>
    <row r="18" spans="1:17" ht="21">
      <c r="A18" s="17" t="s">
        <v>215</v>
      </c>
      <c r="C18" s="5">
        <v>0</v>
      </c>
      <c r="E18" s="5">
        <v>0</v>
      </c>
      <c r="G18" s="5">
        <v>0</v>
      </c>
      <c r="I18" s="5">
        <v>0</v>
      </c>
      <c r="K18" s="5"/>
      <c r="M18" s="5"/>
      <c r="O18" s="5"/>
      <c r="Q18" s="5">
        <v>-84678189</v>
      </c>
    </row>
    <row r="19" spans="1:17" ht="21">
      <c r="A19" s="17" t="s">
        <v>216</v>
      </c>
      <c r="C19" s="5">
        <v>0</v>
      </c>
      <c r="E19" s="5">
        <v>0</v>
      </c>
      <c r="G19" s="5">
        <v>0</v>
      </c>
      <c r="I19" s="5">
        <v>0</v>
      </c>
      <c r="K19" s="5"/>
      <c r="M19" s="5"/>
      <c r="O19" s="5"/>
      <c r="Q19" s="5">
        <v>7698018</v>
      </c>
    </row>
    <row r="20" spans="1:17" ht="21">
      <c r="A20" s="17" t="s">
        <v>217</v>
      </c>
      <c r="C20" s="5">
        <v>0</v>
      </c>
      <c r="E20" s="5">
        <v>0</v>
      </c>
      <c r="G20" s="5">
        <v>0</v>
      </c>
      <c r="I20" s="5">
        <v>0</v>
      </c>
      <c r="K20" s="5"/>
      <c r="M20" s="5"/>
      <c r="O20" s="5"/>
      <c r="Q20" s="5">
        <v>51349774</v>
      </c>
    </row>
    <row r="21" spans="1:17" ht="21">
      <c r="A21" s="17" t="s">
        <v>18</v>
      </c>
      <c r="C21" s="5"/>
      <c r="E21" s="5"/>
      <c r="G21" s="5"/>
      <c r="I21" s="5">
        <v>83978370</v>
      </c>
      <c r="K21" s="5"/>
      <c r="M21" s="5"/>
      <c r="O21" s="5"/>
      <c r="Q21" s="5">
        <v>83978370</v>
      </c>
    </row>
    <row r="22" spans="1:17" ht="21">
      <c r="A22" s="17" t="s">
        <v>19</v>
      </c>
      <c r="C22" s="5"/>
      <c r="E22" s="5"/>
      <c r="G22" s="5"/>
      <c r="I22" s="5">
        <v>-23467407</v>
      </c>
      <c r="K22" s="5"/>
      <c r="M22" s="5"/>
      <c r="O22" s="5"/>
      <c r="Q22" s="5">
        <v>-23467407</v>
      </c>
    </row>
    <row r="23" spans="1:17" ht="21">
      <c r="A23" s="17" t="s">
        <v>218</v>
      </c>
      <c r="C23" s="5">
        <v>0</v>
      </c>
      <c r="E23" s="5">
        <v>0</v>
      </c>
      <c r="G23" s="5">
        <v>0</v>
      </c>
      <c r="I23" s="5">
        <v>0</v>
      </c>
      <c r="K23" s="5"/>
      <c r="M23" s="5"/>
      <c r="O23" s="5"/>
      <c r="Q23" s="5">
        <v>11996910</v>
      </c>
    </row>
    <row r="24" spans="1:17" ht="21">
      <c r="A24" s="17" t="s">
        <v>219</v>
      </c>
      <c r="C24" s="5">
        <v>0</v>
      </c>
      <c r="E24" s="5">
        <v>0</v>
      </c>
      <c r="G24" s="5">
        <v>0</v>
      </c>
      <c r="I24" s="5">
        <v>0</v>
      </c>
      <c r="K24" s="5"/>
      <c r="M24" s="5"/>
      <c r="O24" s="5"/>
      <c r="Q24" s="5">
        <v>44988</v>
      </c>
    </row>
    <row r="25" spans="1:17" ht="21">
      <c r="A25" s="17" t="s">
        <v>228</v>
      </c>
      <c r="C25" s="5">
        <v>0</v>
      </c>
      <c r="E25" s="5">
        <v>0</v>
      </c>
      <c r="G25" s="5">
        <v>0</v>
      </c>
      <c r="I25" s="5">
        <v>0</v>
      </c>
      <c r="K25" s="5"/>
      <c r="M25" s="5"/>
      <c r="O25" s="5"/>
      <c r="Q25" s="5">
        <v>5339838</v>
      </c>
    </row>
    <row r="26" spans="1:17" ht="21">
      <c r="A26" s="17" t="s">
        <v>232</v>
      </c>
      <c r="C26" s="5">
        <v>0</v>
      </c>
      <c r="E26" s="5">
        <v>0</v>
      </c>
      <c r="G26" s="5">
        <v>0</v>
      </c>
      <c r="I26" s="5">
        <v>0</v>
      </c>
      <c r="K26" s="5"/>
      <c r="M26" s="5"/>
      <c r="O26" s="5"/>
      <c r="Q26" s="5">
        <v>-3590076</v>
      </c>
    </row>
    <row r="27" spans="1:17" ht="21">
      <c r="A27" s="17" t="s">
        <v>221</v>
      </c>
      <c r="C27" s="5">
        <v>0</v>
      </c>
      <c r="E27" s="5">
        <v>0</v>
      </c>
      <c r="G27" s="5">
        <v>0</v>
      </c>
      <c r="I27" s="5">
        <v>0</v>
      </c>
      <c r="K27" s="5"/>
      <c r="M27" s="5"/>
      <c r="O27" s="5"/>
      <c r="Q27" s="5">
        <v>-24793613</v>
      </c>
    </row>
    <row r="28" spans="1:17" ht="21">
      <c r="A28" s="17" t="s">
        <v>20</v>
      </c>
      <c r="C28" s="5"/>
      <c r="E28" s="5"/>
      <c r="G28" s="5"/>
      <c r="I28" s="5">
        <v>-230440184</v>
      </c>
      <c r="K28" s="5"/>
      <c r="M28" s="5"/>
      <c r="O28" s="5"/>
      <c r="Q28" s="5">
        <v>-359007532</v>
      </c>
    </row>
    <row r="29" spans="1:17" ht="21">
      <c r="A29" s="17" t="s">
        <v>222</v>
      </c>
      <c r="C29" s="5">
        <v>0</v>
      </c>
      <c r="E29" s="5">
        <v>0</v>
      </c>
      <c r="G29" s="5">
        <v>0</v>
      </c>
      <c r="I29" s="5">
        <v>0</v>
      </c>
      <c r="K29" s="5"/>
      <c r="M29" s="5"/>
      <c r="O29" s="5"/>
      <c r="Q29" s="5">
        <v>-999743</v>
      </c>
    </row>
    <row r="30" spans="1:17" ht="21">
      <c r="A30" s="17" t="s">
        <v>21</v>
      </c>
      <c r="C30" s="5"/>
      <c r="E30" s="5"/>
      <c r="G30" s="5"/>
      <c r="I30" s="5">
        <v>-105509630</v>
      </c>
      <c r="K30" s="5"/>
      <c r="M30" s="5"/>
      <c r="O30" s="5"/>
      <c r="Q30" s="5">
        <v>-105509630</v>
      </c>
    </row>
    <row r="31" spans="1:17" ht="21">
      <c r="A31" s="17" t="s">
        <v>22</v>
      </c>
      <c r="C31" s="5"/>
      <c r="E31" s="5"/>
      <c r="G31" s="5"/>
      <c r="I31" s="5">
        <v>256549950</v>
      </c>
      <c r="K31" s="5"/>
      <c r="M31" s="5"/>
      <c r="O31" s="5"/>
      <c r="Q31" s="5">
        <v>256549950</v>
      </c>
    </row>
    <row r="32" spans="1:17" ht="21">
      <c r="A32" s="17" t="s">
        <v>224</v>
      </c>
      <c r="C32" s="5">
        <v>0</v>
      </c>
      <c r="E32" s="5">
        <v>0</v>
      </c>
      <c r="G32" s="5">
        <v>0</v>
      </c>
      <c r="I32" s="5">
        <v>0</v>
      </c>
      <c r="K32" s="5"/>
      <c r="M32" s="5"/>
      <c r="O32" s="5"/>
      <c r="Q32" s="5">
        <v>-29992275</v>
      </c>
    </row>
    <row r="33" spans="1:17" ht="21">
      <c r="A33" s="17" t="s">
        <v>305</v>
      </c>
      <c r="C33" s="5"/>
      <c r="E33" s="13">
        <f>SUM(E9:E32)</f>
        <v>2858941131</v>
      </c>
      <c r="G33" s="13">
        <f>SUM(G9:G32)</f>
        <v>2807805598</v>
      </c>
      <c r="I33" s="13">
        <f>SUM(I9:I32)</f>
        <v>32246632</v>
      </c>
      <c r="K33" s="5"/>
      <c r="M33" s="13">
        <f>SUM(M9:M32)</f>
        <v>2858941131</v>
      </c>
      <c r="O33" s="13">
        <f>SUM(O9:O32)</f>
        <v>2921674505</v>
      </c>
      <c r="Q33" s="13">
        <f>SUM(Q9:Q32)</f>
        <v>-442582553</v>
      </c>
    </row>
    <row r="34" spans="1:17" ht="20.100000000000001" customHeight="1">
      <c r="A34" s="39" t="s">
        <v>0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</row>
    <row r="35" spans="1:17" ht="20.100000000000001" customHeight="1">
      <c r="A35" s="39" t="s">
        <v>137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</row>
    <row r="36" spans="1:17" ht="20.100000000000001" customHeight="1">
      <c r="A36" s="39" t="s">
        <v>2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</row>
    <row r="38" spans="1:17" ht="21">
      <c r="A38" s="40" t="s">
        <v>252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</row>
    <row r="40" spans="1:17" ht="21">
      <c r="C40" s="33" t="s">
        <v>150</v>
      </c>
      <c r="D40" s="34"/>
      <c r="E40" s="34"/>
      <c r="F40" s="34"/>
      <c r="G40" s="34"/>
      <c r="H40" s="34"/>
      <c r="I40" s="34"/>
      <c r="K40" s="33" t="s">
        <v>7</v>
      </c>
      <c r="L40" s="34"/>
      <c r="M40" s="34"/>
      <c r="N40" s="34"/>
      <c r="O40" s="34"/>
      <c r="P40" s="34"/>
      <c r="Q40" s="34"/>
    </row>
    <row r="41" spans="1:17" ht="42">
      <c r="A41" s="48" t="s">
        <v>139</v>
      </c>
      <c r="C41" s="16" t="s">
        <v>9</v>
      </c>
      <c r="E41" s="16" t="s">
        <v>11</v>
      </c>
      <c r="G41" s="16" t="s">
        <v>204</v>
      </c>
      <c r="I41" s="16" t="s">
        <v>253</v>
      </c>
      <c r="K41" s="16" t="s">
        <v>9</v>
      </c>
      <c r="M41" s="16" t="s">
        <v>11</v>
      </c>
      <c r="O41" s="16" t="s">
        <v>204</v>
      </c>
      <c r="Q41" s="16" t="s">
        <v>253</v>
      </c>
    </row>
    <row r="42" spans="1:17" ht="21">
      <c r="A42" s="17" t="s">
        <v>306</v>
      </c>
      <c r="C42" s="23"/>
      <c r="E42" s="5">
        <f>E33</f>
        <v>2858941131</v>
      </c>
      <c r="F42" s="5"/>
      <c r="G42" s="5">
        <f>G33</f>
        <v>2807805598</v>
      </c>
      <c r="H42" s="5"/>
      <c r="I42" s="5">
        <f>I33</f>
        <v>32246632</v>
      </c>
      <c r="J42" s="5"/>
      <c r="K42" s="5"/>
      <c r="L42" s="5"/>
      <c r="M42" s="5">
        <f>M33</f>
        <v>2858941131</v>
      </c>
      <c r="N42" s="5"/>
      <c r="O42" s="5">
        <f>O33</f>
        <v>2921674505</v>
      </c>
      <c r="P42" s="5"/>
      <c r="Q42" s="5">
        <f>Q33</f>
        <v>-442582553</v>
      </c>
    </row>
    <row r="43" spans="1:17" ht="21">
      <c r="A43" s="17" t="s">
        <v>314</v>
      </c>
      <c r="C43" s="5">
        <v>0</v>
      </c>
      <c r="E43" s="5">
        <v>0</v>
      </c>
      <c r="G43" s="5">
        <v>0</v>
      </c>
      <c r="I43" s="5">
        <v>0</v>
      </c>
      <c r="K43" s="5"/>
      <c r="M43" s="5"/>
      <c r="O43" s="5"/>
      <c r="Q43" s="5">
        <v>45432298</v>
      </c>
    </row>
    <row r="44" spans="1:17" ht="21">
      <c r="A44" s="17" t="s">
        <v>226</v>
      </c>
      <c r="C44" s="5">
        <v>0</v>
      </c>
      <c r="E44" s="5">
        <v>0</v>
      </c>
      <c r="G44" s="5">
        <v>0</v>
      </c>
      <c r="I44" s="5">
        <v>0</v>
      </c>
      <c r="K44" s="5"/>
      <c r="M44" s="5"/>
      <c r="O44" s="5"/>
      <c r="Q44" s="5">
        <v>22366239</v>
      </c>
    </row>
    <row r="45" spans="1:17" ht="21">
      <c r="A45" s="17" t="s">
        <v>315</v>
      </c>
      <c r="C45" s="5">
        <v>0</v>
      </c>
      <c r="E45" s="5">
        <v>0</v>
      </c>
      <c r="G45" s="5">
        <v>0</v>
      </c>
      <c r="I45" s="5">
        <v>0</v>
      </c>
      <c r="K45" s="5"/>
      <c r="M45" s="5"/>
      <c r="O45" s="5"/>
      <c r="Q45" s="5">
        <v>99974250</v>
      </c>
    </row>
    <row r="46" spans="1:17" ht="21">
      <c r="A46" s="17" t="s">
        <v>316</v>
      </c>
      <c r="C46" s="5">
        <v>0</v>
      </c>
      <c r="E46" s="5">
        <v>0</v>
      </c>
      <c r="G46" s="5">
        <v>0</v>
      </c>
      <c r="I46" s="5">
        <v>0</v>
      </c>
      <c r="K46" s="5"/>
      <c r="M46" s="5"/>
      <c r="O46" s="5"/>
      <c r="Q46" s="5">
        <v>-46600998</v>
      </c>
    </row>
    <row r="47" spans="1:17" ht="21">
      <c r="A47" s="17" t="s">
        <v>23</v>
      </c>
      <c r="C47" s="5"/>
      <c r="E47" s="5"/>
      <c r="G47" s="5"/>
      <c r="I47" s="5">
        <v>-2469021500</v>
      </c>
      <c r="K47" s="5"/>
      <c r="M47" s="5"/>
      <c r="O47" s="5"/>
      <c r="Q47" s="5">
        <v>-2469021500</v>
      </c>
    </row>
    <row r="48" spans="1:17" ht="21">
      <c r="A48" s="17" t="s">
        <v>24</v>
      </c>
      <c r="C48" s="5"/>
      <c r="E48" s="5"/>
      <c r="G48" s="5"/>
      <c r="I48" s="5">
        <v>214227266</v>
      </c>
      <c r="K48" s="5"/>
      <c r="M48" s="5"/>
      <c r="O48" s="5"/>
      <c r="Q48" s="5">
        <v>214227266</v>
      </c>
    </row>
    <row r="49" spans="1:17" ht="21">
      <c r="A49" s="17" t="s">
        <v>25</v>
      </c>
      <c r="C49" s="5"/>
      <c r="E49" s="5"/>
      <c r="G49" s="5"/>
      <c r="I49" s="5">
        <v>19731585</v>
      </c>
      <c r="K49" s="5"/>
      <c r="M49" s="5"/>
      <c r="O49" s="5"/>
      <c r="Q49" s="5">
        <v>19731585</v>
      </c>
    </row>
    <row r="50" spans="1:17" ht="21">
      <c r="A50" s="17" t="s">
        <v>26</v>
      </c>
      <c r="C50" s="5"/>
      <c r="E50" s="5"/>
      <c r="G50" s="5"/>
      <c r="I50" s="5">
        <v>65047380</v>
      </c>
      <c r="K50" s="5"/>
      <c r="M50" s="5"/>
      <c r="O50" s="5"/>
      <c r="Q50" s="5">
        <v>65047380</v>
      </c>
    </row>
    <row r="51" spans="1:17" ht="21">
      <c r="A51" s="17" t="s">
        <v>233</v>
      </c>
      <c r="C51" s="5">
        <v>0</v>
      </c>
      <c r="E51" s="5">
        <v>0</v>
      </c>
      <c r="G51" s="5">
        <v>0</v>
      </c>
      <c r="I51" s="5">
        <v>0</v>
      </c>
      <c r="K51" s="5"/>
      <c r="M51" s="5"/>
      <c r="O51" s="5"/>
      <c r="Q51" s="5">
        <v>53354258</v>
      </c>
    </row>
    <row r="52" spans="1:17" ht="21">
      <c r="A52" s="17" t="s">
        <v>27</v>
      </c>
      <c r="C52" s="5"/>
      <c r="E52" s="5"/>
      <c r="G52" s="5"/>
      <c r="I52" s="5">
        <v>-2609328</v>
      </c>
      <c r="K52" s="5"/>
      <c r="M52" s="5"/>
      <c r="O52" s="5"/>
      <c r="Q52" s="5">
        <v>-2609328</v>
      </c>
    </row>
    <row r="53" spans="1:17" ht="21">
      <c r="A53" s="17" t="s">
        <v>236</v>
      </c>
      <c r="C53" s="5">
        <v>0</v>
      </c>
      <c r="E53" s="5">
        <v>0</v>
      </c>
      <c r="G53" s="5">
        <v>0</v>
      </c>
      <c r="I53" s="5">
        <v>0</v>
      </c>
      <c r="K53" s="5"/>
      <c r="M53" s="5"/>
      <c r="O53" s="5"/>
      <c r="Q53" s="5">
        <v>-5833792</v>
      </c>
    </row>
    <row r="54" spans="1:17" ht="21">
      <c r="A54" s="17" t="s">
        <v>237</v>
      </c>
      <c r="C54" s="5">
        <v>0</v>
      </c>
      <c r="E54" s="5">
        <v>0</v>
      </c>
      <c r="G54" s="5">
        <v>0</v>
      </c>
      <c r="I54" s="5">
        <v>0</v>
      </c>
      <c r="K54" s="5"/>
      <c r="M54" s="5"/>
      <c r="O54" s="5"/>
      <c r="Q54" s="5">
        <v>17377524</v>
      </c>
    </row>
    <row r="55" spans="1:17" ht="21">
      <c r="A55" s="17" t="s">
        <v>28</v>
      </c>
      <c r="C55" s="5"/>
      <c r="E55" s="5"/>
      <c r="G55" s="5"/>
      <c r="I55" s="5">
        <v>644032375</v>
      </c>
      <c r="K55" s="5"/>
      <c r="M55" s="5"/>
      <c r="O55" s="5"/>
      <c r="Q55" s="5">
        <v>644032375</v>
      </c>
    </row>
    <row r="56" spans="1:17" ht="21">
      <c r="A56" s="17" t="s">
        <v>29</v>
      </c>
      <c r="C56" s="5">
        <v>2000000</v>
      </c>
      <c r="E56" s="5">
        <v>9081640800</v>
      </c>
      <c r="G56" s="5">
        <v>8151210000</v>
      </c>
      <c r="I56" s="5">
        <v>930430800</v>
      </c>
      <c r="K56" s="5">
        <v>2000000</v>
      </c>
      <c r="M56" s="5">
        <v>9081640800</v>
      </c>
      <c r="O56" s="5">
        <v>8799272430</v>
      </c>
      <c r="Q56" s="5">
        <v>282368370</v>
      </c>
    </row>
    <row r="57" spans="1:17" ht="21">
      <c r="A57" s="17" t="s">
        <v>30</v>
      </c>
      <c r="C57" s="5">
        <v>7726948</v>
      </c>
      <c r="E57" s="5">
        <v>26499355675</v>
      </c>
      <c r="G57" s="5">
        <v>22735679072</v>
      </c>
      <c r="I57" s="5">
        <v>3763676603</v>
      </c>
      <c r="K57" s="5">
        <v>7726948</v>
      </c>
      <c r="M57" s="5">
        <v>26499355675</v>
      </c>
      <c r="O57" s="5">
        <v>21475999556</v>
      </c>
      <c r="Q57" s="5">
        <v>5023356119</v>
      </c>
    </row>
    <row r="58" spans="1:17" ht="21">
      <c r="A58" s="17" t="s">
        <v>31</v>
      </c>
      <c r="C58" s="5">
        <v>10000000</v>
      </c>
      <c r="E58" s="5">
        <v>19185165000</v>
      </c>
      <c r="G58" s="5">
        <v>14413725000</v>
      </c>
      <c r="I58" s="5">
        <v>4771440000</v>
      </c>
      <c r="K58" s="5">
        <v>10000000</v>
      </c>
      <c r="M58" s="5">
        <v>19185165000</v>
      </c>
      <c r="O58" s="5">
        <v>16209642000</v>
      </c>
      <c r="Q58" s="5">
        <v>2975523000</v>
      </c>
    </row>
    <row r="59" spans="1:17" ht="21">
      <c r="A59" s="17" t="s">
        <v>32</v>
      </c>
      <c r="C59" s="5">
        <v>1339175</v>
      </c>
      <c r="E59" s="5">
        <v>2949954510</v>
      </c>
      <c r="G59" s="5">
        <v>2324287263</v>
      </c>
      <c r="I59" s="5">
        <v>625667247</v>
      </c>
      <c r="K59" s="5">
        <v>1339175</v>
      </c>
      <c r="M59" s="5">
        <v>2949954510</v>
      </c>
      <c r="O59" s="5">
        <v>2433942959</v>
      </c>
      <c r="Q59" s="5">
        <v>516011551</v>
      </c>
    </row>
    <row r="60" spans="1:17" ht="21">
      <c r="A60" s="17" t="s">
        <v>33</v>
      </c>
      <c r="C60" s="5">
        <v>14900000</v>
      </c>
      <c r="E60" s="5">
        <v>48018380490</v>
      </c>
      <c r="G60" s="5">
        <v>35226611292</v>
      </c>
      <c r="I60" s="5">
        <v>12791769198</v>
      </c>
      <c r="K60" s="5">
        <v>14900000</v>
      </c>
      <c r="M60" s="5">
        <v>48018380490</v>
      </c>
      <c r="O60" s="5">
        <v>35720797208</v>
      </c>
      <c r="Q60" s="5">
        <v>12297583282</v>
      </c>
    </row>
    <row r="61" spans="1:17" ht="21">
      <c r="A61" s="17" t="s">
        <v>34</v>
      </c>
      <c r="C61" s="5">
        <v>1700000</v>
      </c>
      <c r="E61" s="5">
        <v>9023985900</v>
      </c>
      <c r="G61" s="5">
        <v>7824167550</v>
      </c>
      <c r="I61" s="5">
        <v>1199818350</v>
      </c>
      <c r="K61" s="5">
        <v>1700000</v>
      </c>
      <c r="M61" s="5">
        <v>9023985900</v>
      </c>
      <c r="O61" s="5">
        <v>8016464339</v>
      </c>
      <c r="Q61" s="5">
        <v>1007521561</v>
      </c>
    </row>
    <row r="62" spans="1:17" ht="21">
      <c r="A62" s="17" t="s">
        <v>35</v>
      </c>
      <c r="C62" s="5">
        <v>491813</v>
      </c>
      <c r="E62" s="5">
        <v>2835542933</v>
      </c>
      <c r="G62" s="5">
        <v>2339477098</v>
      </c>
      <c r="I62" s="5">
        <v>496065835</v>
      </c>
      <c r="K62" s="5">
        <v>491813</v>
      </c>
      <c r="M62" s="5">
        <v>2835542933</v>
      </c>
      <c r="O62" s="5">
        <v>3382488957</v>
      </c>
      <c r="Q62" s="5">
        <v>-546946024</v>
      </c>
    </row>
    <row r="63" spans="1:17" ht="21">
      <c r="A63" s="17" t="s">
        <v>36</v>
      </c>
      <c r="C63" s="5">
        <v>5800000</v>
      </c>
      <c r="E63" s="5">
        <v>22652610210</v>
      </c>
      <c r="G63" s="5">
        <v>19389342870</v>
      </c>
      <c r="I63" s="5">
        <v>3263267340</v>
      </c>
      <c r="K63" s="5">
        <v>5800000</v>
      </c>
      <c r="M63" s="5">
        <v>22652610210</v>
      </c>
      <c r="O63" s="5">
        <v>19932971742</v>
      </c>
      <c r="Q63" s="5">
        <v>2719638468</v>
      </c>
    </row>
    <row r="64" spans="1:17" ht="21">
      <c r="A64" s="17" t="s">
        <v>37</v>
      </c>
      <c r="C64" s="5">
        <v>1600000</v>
      </c>
      <c r="E64" s="5">
        <v>10465358400</v>
      </c>
      <c r="G64" s="5">
        <v>9228371760</v>
      </c>
      <c r="I64" s="5">
        <v>1236986640</v>
      </c>
      <c r="K64" s="5">
        <v>1600000</v>
      </c>
      <c r="M64" s="5">
        <v>10465358400</v>
      </c>
      <c r="O64" s="5">
        <v>9228371760</v>
      </c>
      <c r="Q64" s="5">
        <v>1236986640</v>
      </c>
    </row>
    <row r="65" spans="1:17" ht="21">
      <c r="A65" s="17" t="s">
        <v>38</v>
      </c>
      <c r="C65" s="5">
        <v>510000</v>
      </c>
      <c r="E65" s="5">
        <v>13236869205</v>
      </c>
      <c r="G65" s="5">
        <v>10367444475</v>
      </c>
      <c r="I65" s="5">
        <v>2869424730</v>
      </c>
      <c r="K65" s="5">
        <v>510000</v>
      </c>
      <c r="M65" s="5">
        <v>13236869205</v>
      </c>
      <c r="O65" s="5">
        <v>12009588844</v>
      </c>
      <c r="Q65" s="5">
        <v>1227280361</v>
      </c>
    </row>
    <row r="66" spans="1:17" ht="21">
      <c r="A66" s="17" t="s">
        <v>305</v>
      </c>
      <c r="C66" s="5"/>
      <c r="E66" s="13">
        <f>SUM(E42:E65)</f>
        <v>166807804254</v>
      </c>
      <c r="G66" s="13">
        <f>SUM(G42:G65)</f>
        <v>134808121978</v>
      </c>
      <c r="I66" s="13">
        <f>SUM(I42:I65)</f>
        <v>30452201153</v>
      </c>
      <c r="K66" s="5"/>
      <c r="M66" s="13">
        <f>SUM(M42:M65)</f>
        <v>166807804254</v>
      </c>
      <c r="O66" s="13">
        <f>SUM(O42:O65)</f>
        <v>140131214300</v>
      </c>
      <c r="Q66" s="13">
        <f>SUM(Q42:Q65)</f>
        <v>24954218332</v>
      </c>
    </row>
    <row r="67" spans="1:17" ht="20.100000000000001" customHeight="1">
      <c r="A67" s="39" t="s">
        <v>0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</row>
    <row r="68" spans="1:17" ht="20.100000000000001" customHeight="1">
      <c r="A68" s="39" t="s">
        <v>137</v>
      </c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</row>
    <row r="69" spans="1:17" ht="20.100000000000001" customHeight="1">
      <c r="A69" s="39" t="s">
        <v>2</v>
      </c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</row>
    <row r="71" spans="1:17" ht="21">
      <c r="A71" s="40" t="s">
        <v>252</v>
      </c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</row>
    <row r="73" spans="1:17" ht="21">
      <c r="C73" s="33" t="s">
        <v>150</v>
      </c>
      <c r="D73" s="34"/>
      <c r="E73" s="34"/>
      <c r="F73" s="34"/>
      <c r="G73" s="34"/>
      <c r="H73" s="34"/>
      <c r="I73" s="34"/>
      <c r="K73" s="33" t="s">
        <v>7</v>
      </c>
      <c r="L73" s="34"/>
      <c r="M73" s="34"/>
      <c r="N73" s="34"/>
      <c r="O73" s="34"/>
      <c r="P73" s="34"/>
      <c r="Q73" s="34"/>
    </row>
    <row r="74" spans="1:17" ht="42">
      <c r="A74" s="48" t="s">
        <v>139</v>
      </c>
      <c r="C74" s="16" t="s">
        <v>9</v>
      </c>
      <c r="E74" s="16" t="s">
        <v>11</v>
      </c>
      <c r="G74" s="16" t="s">
        <v>204</v>
      </c>
      <c r="I74" s="16" t="s">
        <v>253</v>
      </c>
      <c r="K74" s="16" t="s">
        <v>9</v>
      </c>
      <c r="M74" s="16" t="s">
        <v>11</v>
      </c>
      <c r="O74" s="16" t="s">
        <v>204</v>
      </c>
      <c r="Q74" s="16" t="s">
        <v>253</v>
      </c>
    </row>
    <row r="75" spans="1:17" ht="21">
      <c r="A75" s="17" t="s">
        <v>306</v>
      </c>
      <c r="C75" s="23"/>
      <c r="E75" s="5">
        <f>E66</f>
        <v>166807804254</v>
      </c>
      <c r="F75" s="5"/>
      <c r="G75" s="5">
        <f>G66</f>
        <v>134808121978</v>
      </c>
      <c r="H75" s="5"/>
      <c r="I75" s="5">
        <f>I66</f>
        <v>30452201153</v>
      </c>
      <c r="J75" s="5"/>
      <c r="K75" s="5"/>
      <c r="L75" s="5"/>
      <c r="M75" s="5">
        <f>M66</f>
        <v>166807804254</v>
      </c>
      <c r="N75" s="5"/>
      <c r="O75" s="5">
        <f>O66</f>
        <v>140131214300</v>
      </c>
      <c r="P75" s="5"/>
      <c r="Q75" s="5">
        <f>Q66</f>
        <v>24954218332</v>
      </c>
    </row>
    <row r="76" spans="1:17" ht="21">
      <c r="A76" s="17" t="s">
        <v>39</v>
      </c>
      <c r="C76" s="5">
        <v>24500000</v>
      </c>
      <c r="E76" s="5">
        <v>12956447700</v>
      </c>
      <c r="G76" s="5">
        <v>11305659160</v>
      </c>
      <c r="I76" s="5">
        <v>1650788540</v>
      </c>
      <c r="K76" s="5">
        <v>24500000</v>
      </c>
      <c r="M76" s="5">
        <v>12956447700</v>
      </c>
      <c r="O76" s="5">
        <v>11694161736</v>
      </c>
      <c r="Q76" s="5">
        <v>1262285964</v>
      </c>
    </row>
    <row r="77" spans="1:17" ht="21">
      <c r="A77" s="17" t="s">
        <v>40</v>
      </c>
      <c r="C77" s="5"/>
      <c r="E77" s="5"/>
      <c r="G77" s="5"/>
      <c r="I77" s="5">
        <v>-101240403</v>
      </c>
      <c r="K77" s="5">
        <v>0</v>
      </c>
      <c r="L77" s="5"/>
      <c r="M77" s="5">
        <v>0</v>
      </c>
      <c r="N77" s="5"/>
      <c r="O77" s="5">
        <v>0</v>
      </c>
      <c r="P77" s="5"/>
      <c r="Q77" s="5">
        <v>0</v>
      </c>
    </row>
    <row r="78" spans="1:17" ht="21">
      <c r="A78" s="17" t="s">
        <v>41</v>
      </c>
      <c r="C78" s="5">
        <v>1800000</v>
      </c>
      <c r="E78" s="5">
        <v>5065479990</v>
      </c>
      <c r="G78" s="5">
        <v>4942036712</v>
      </c>
      <c r="I78" s="5">
        <v>123443278</v>
      </c>
      <c r="K78" s="5">
        <v>1800000</v>
      </c>
      <c r="M78" s="5">
        <v>5065479990</v>
      </c>
      <c r="O78" s="5">
        <v>4942036712</v>
      </c>
      <c r="Q78" s="5">
        <v>123443278</v>
      </c>
    </row>
    <row r="79" spans="1:17" ht="21">
      <c r="A79" s="17" t="s">
        <v>42</v>
      </c>
      <c r="C79" s="5">
        <v>32600000</v>
      </c>
      <c r="E79" s="5">
        <v>46016562600</v>
      </c>
      <c r="G79" s="5">
        <v>38316255697</v>
      </c>
      <c r="I79" s="5">
        <v>7700306903</v>
      </c>
      <c r="K79" s="5">
        <v>32600000</v>
      </c>
      <c r="M79" s="5">
        <v>46016562600</v>
      </c>
      <c r="O79" s="5">
        <v>41159688514</v>
      </c>
      <c r="Q79" s="5">
        <v>4856874086</v>
      </c>
    </row>
    <row r="80" spans="1:17" ht="21">
      <c r="A80" s="17" t="s">
        <v>43</v>
      </c>
      <c r="C80" s="5">
        <v>24869520</v>
      </c>
      <c r="E80" s="5">
        <v>29888349544</v>
      </c>
      <c r="G80" s="5">
        <v>29222706150</v>
      </c>
      <c r="I80" s="5">
        <v>665643394</v>
      </c>
      <c r="K80" s="5">
        <v>24869520</v>
      </c>
      <c r="M80" s="5">
        <v>29888349544</v>
      </c>
      <c r="O80" s="5">
        <v>31274478451</v>
      </c>
      <c r="Q80" s="5">
        <v>-1386128907</v>
      </c>
    </row>
    <row r="81" spans="1:17" ht="21">
      <c r="A81" s="17" t="s">
        <v>44</v>
      </c>
      <c r="C81" s="5">
        <v>888004</v>
      </c>
      <c r="E81" s="5">
        <v>10054185085</v>
      </c>
      <c r="G81" s="5">
        <v>8906648596</v>
      </c>
      <c r="I81" s="5">
        <v>1147536489</v>
      </c>
      <c r="K81" s="5">
        <v>888004</v>
      </c>
      <c r="M81" s="5">
        <v>10054185085</v>
      </c>
      <c r="O81" s="5">
        <v>8331647841</v>
      </c>
      <c r="Q81" s="5">
        <v>1722537244</v>
      </c>
    </row>
    <row r="82" spans="1:17" ht="21">
      <c r="A82" s="17" t="s">
        <v>45</v>
      </c>
      <c r="C82" s="5">
        <v>4279048</v>
      </c>
      <c r="E82" s="5">
        <v>45088029243</v>
      </c>
      <c r="G82" s="5">
        <v>35483981020</v>
      </c>
      <c r="I82" s="5">
        <v>9604048223</v>
      </c>
      <c r="K82" s="5">
        <v>4279048</v>
      </c>
      <c r="M82" s="5">
        <v>45088029243</v>
      </c>
      <c r="O82" s="5">
        <v>36129521965</v>
      </c>
      <c r="Q82" s="5">
        <v>8958507278</v>
      </c>
    </row>
    <row r="83" spans="1:17" ht="21">
      <c r="A83" s="17" t="s">
        <v>46</v>
      </c>
      <c r="C83" s="5">
        <v>1500000</v>
      </c>
      <c r="E83" s="5">
        <v>13688068500</v>
      </c>
      <c r="G83" s="5">
        <v>10604698104</v>
      </c>
      <c r="I83" s="5">
        <v>3083370396</v>
      </c>
      <c r="K83" s="5">
        <v>1500000</v>
      </c>
      <c r="M83" s="5">
        <v>13688068500</v>
      </c>
      <c r="O83" s="5">
        <v>10855064124</v>
      </c>
      <c r="Q83" s="5">
        <v>2833004376</v>
      </c>
    </row>
    <row r="84" spans="1:17" ht="21">
      <c r="A84" s="17" t="s">
        <v>47</v>
      </c>
      <c r="C84" s="5">
        <v>1183146</v>
      </c>
      <c r="E84" s="5">
        <v>10326213150</v>
      </c>
      <c r="G84" s="5">
        <v>10784894600</v>
      </c>
      <c r="I84" s="5">
        <v>-458681450</v>
      </c>
      <c r="K84" s="5">
        <v>1183146</v>
      </c>
      <c r="M84" s="5">
        <v>10326213150</v>
      </c>
      <c r="O84" s="5">
        <v>11365470572</v>
      </c>
      <c r="Q84" s="5">
        <v>-1039257422</v>
      </c>
    </row>
    <row r="85" spans="1:17" ht="21">
      <c r="A85" s="17" t="s">
        <v>48</v>
      </c>
      <c r="C85" s="5">
        <v>2400000</v>
      </c>
      <c r="E85" s="5">
        <v>11806928280</v>
      </c>
      <c r="G85" s="5">
        <v>11429569715</v>
      </c>
      <c r="I85" s="5">
        <v>377358565</v>
      </c>
      <c r="K85" s="5">
        <v>2400000</v>
      </c>
      <c r="M85" s="5">
        <v>11806928280</v>
      </c>
      <c r="O85" s="5">
        <v>11429569715</v>
      </c>
      <c r="Q85" s="5">
        <v>377358565</v>
      </c>
    </row>
    <row r="86" spans="1:17" ht="21">
      <c r="A86" s="17" t="s">
        <v>49</v>
      </c>
      <c r="C86" s="5">
        <v>9506493</v>
      </c>
      <c r="E86" s="5">
        <v>24305218331</v>
      </c>
      <c r="G86" s="5">
        <v>22723995501</v>
      </c>
      <c r="I86" s="5">
        <v>1581222830</v>
      </c>
      <c r="K86" s="5">
        <v>9506493</v>
      </c>
      <c r="M86" s="5">
        <v>24305218331</v>
      </c>
      <c r="O86" s="5">
        <v>19880958331</v>
      </c>
      <c r="Q86" s="5">
        <v>4424260000</v>
      </c>
    </row>
    <row r="87" spans="1:17" ht="21">
      <c r="A87" s="17" t="s">
        <v>50</v>
      </c>
      <c r="C87" s="5">
        <v>11399204</v>
      </c>
      <c r="E87" s="5">
        <v>103682115436</v>
      </c>
      <c r="G87" s="5">
        <v>84645399159</v>
      </c>
      <c r="I87" s="5">
        <v>19036716277</v>
      </c>
      <c r="K87" s="5">
        <v>11399204</v>
      </c>
      <c r="M87" s="5">
        <v>103682115436</v>
      </c>
      <c r="O87" s="5">
        <v>84845691328</v>
      </c>
      <c r="Q87" s="5">
        <v>18836424108</v>
      </c>
    </row>
    <row r="88" spans="1:17" ht="21">
      <c r="A88" s="17" t="s">
        <v>51</v>
      </c>
      <c r="C88" s="5">
        <v>1092665</v>
      </c>
      <c r="E88" s="5">
        <v>24916593976</v>
      </c>
      <c r="G88" s="5">
        <v>19540083942</v>
      </c>
      <c r="I88" s="5">
        <v>5376510034</v>
      </c>
      <c r="K88" s="5">
        <v>1092665</v>
      </c>
      <c r="M88" s="5">
        <v>24916593976</v>
      </c>
      <c r="O88" s="5">
        <v>20222828436</v>
      </c>
      <c r="Q88" s="5">
        <v>4693765540</v>
      </c>
    </row>
    <row r="89" spans="1:17" ht="21">
      <c r="A89" s="17" t="s">
        <v>52</v>
      </c>
      <c r="C89" s="5">
        <v>3800000</v>
      </c>
      <c r="E89" s="5">
        <v>26139538800</v>
      </c>
      <c r="G89" s="5">
        <v>22475470500</v>
      </c>
      <c r="I89" s="5">
        <v>3664068300</v>
      </c>
      <c r="K89" s="5">
        <v>3800000</v>
      </c>
      <c r="M89" s="5">
        <v>26139538800</v>
      </c>
      <c r="O89" s="5">
        <v>22878313850</v>
      </c>
      <c r="Q89" s="5">
        <v>3261224950</v>
      </c>
    </row>
    <row r="90" spans="1:17" ht="21">
      <c r="A90" s="17" t="s">
        <v>54</v>
      </c>
      <c r="C90" s="5">
        <v>800000</v>
      </c>
      <c r="E90" s="5">
        <v>3308198400</v>
      </c>
      <c r="G90" s="5">
        <v>3238202253</v>
      </c>
      <c r="I90" s="5">
        <v>69996147</v>
      </c>
      <c r="K90" s="5">
        <v>800000</v>
      </c>
      <c r="M90" s="5">
        <v>3308198400</v>
      </c>
      <c r="O90" s="5">
        <v>3238202253</v>
      </c>
      <c r="Q90" s="5">
        <v>69996147</v>
      </c>
    </row>
    <row r="91" spans="1:17" ht="21">
      <c r="A91" s="17" t="s">
        <v>55</v>
      </c>
      <c r="C91" s="5">
        <v>4500000</v>
      </c>
      <c r="E91" s="5">
        <v>14681124450</v>
      </c>
      <c r="G91" s="5">
        <v>11268053775</v>
      </c>
      <c r="I91" s="5">
        <v>3413070675</v>
      </c>
      <c r="K91" s="5">
        <v>4500000</v>
      </c>
      <c r="M91" s="5">
        <v>14681124450</v>
      </c>
      <c r="O91" s="5">
        <v>15911261324</v>
      </c>
      <c r="Q91" s="5">
        <v>-1230136874</v>
      </c>
    </row>
    <row r="92" spans="1:17" ht="21">
      <c r="A92" s="17" t="s">
        <v>56</v>
      </c>
      <c r="C92" s="5">
        <v>11649752</v>
      </c>
      <c r="E92" s="5">
        <v>67050724299</v>
      </c>
      <c r="G92" s="5">
        <v>55113724436</v>
      </c>
      <c r="I92" s="5">
        <v>11936999863</v>
      </c>
      <c r="K92" s="5">
        <v>11649752</v>
      </c>
      <c r="M92" s="5">
        <v>67050724299</v>
      </c>
      <c r="O92" s="5">
        <v>55916790054</v>
      </c>
      <c r="Q92" s="5">
        <v>11133934245</v>
      </c>
    </row>
    <row r="93" spans="1:17" ht="21">
      <c r="A93" s="17" t="s">
        <v>57</v>
      </c>
      <c r="C93" s="5">
        <v>100000</v>
      </c>
      <c r="E93" s="5">
        <v>539769150</v>
      </c>
      <c r="G93" s="5">
        <v>564512104</v>
      </c>
      <c r="I93" s="5">
        <v>-24742954</v>
      </c>
      <c r="K93" s="5">
        <v>100000</v>
      </c>
      <c r="M93" s="5">
        <v>539769150</v>
      </c>
      <c r="O93" s="5">
        <v>564512104</v>
      </c>
      <c r="Q93" s="5">
        <v>-24742954</v>
      </c>
    </row>
    <row r="94" spans="1:17" ht="21">
      <c r="A94" s="17" t="s">
        <v>58</v>
      </c>
      <c r="C94" s="5">
        <v>200000</v>
      </c>
      <c r="E94" s="5">
        <v>3632258700</v>
      </c>
      <c r="G94" s="5">
        <v>2542357120</v>
      </c>
      <c r="I94" s="5">
        <v>1089901580</v>
      </c>
      <c r="K94" s="5">
        <v>200000</v>
      </c>
      <c r="M94" s="5">
        <v>3632258700</v>
      </c>
      <c r="O94" s="5">
        <v>2542357120</v>
      </c>
      <c r="Q94" s="5">
        <v>1089901580</v>
      </c>
    </row>
    <row r="95" spans="1:17" ht="21">
      <c r="A95" s="17" t="s">
        <v>59</v>
      </c>
      <c r="C95" s="5">
        <v>1341844</v>
      </c>
      <c r="E95" s="5">
        <v>14859200714</v>
      </c>
      <c r="G95" s="5">
        <v>11684613847</v>
      </c>
      <c r="I95" s="5">
        <v>3174586867</v>
      </c>
      <c r="K95" s="5">
        <v>1341844</v>
      </c>
      <c r="M95" s="5">
        <v>14859200714</v>
      </c>
      <c r="O95" s="5">
        <v>12076246244</v>
      </c>
      <c r="Q95" s="5">
        <v>2782954470</v>
      </c>
    </row>
    <row r="96" spans="1:17" ht="21">
      <c r="A96" s="17" t="s">
        <v>60</v>
      </c>
      <c r="C96" s="5">
        <v>1250000</v>
      </c>
      <c r="E96" s="5">
        <v>11667661875</v>
      </c>
      <c r="G96" s="5">
        <v>9915648750</v>
      </c>
      <c r="I96" s="5">
        <v>1752013125</v>
      </c>
      <c r="K96" s="5">
        <v>1250000</v>
      </c>
      <c r="M96" s="5">
        <v>11667661875</v>
      </c>
      <c r="O96" s="5">
        <v>14948026875</v>
      </c>
      <c r="Q96" s="5">
        <v>-3280365000</v>
      </c>
    </row>
    <row r="97" spans="1:17" ht="21">
      <c r="A97" s="17" t="s">
        <v>61</v>
      </c>
      <c r="C97" s="5">
        <v>12320000</v>
      </c>
      <c r="E97" s="5">
        <v>96626431440</v>
      </c>
      <c r="G97" s="5">
        <v>79725990960</v>
      </c>
      <c r="I97" s="5">
        <v>16900440480</v>
      </c>
      <c r="K97" s="5">
        <v>12320000</v>
      </c>
      <c r="M97" s="5">
        <v>96626431440</v>
      </c>
      <c r="O97" s="5">
        <v>79376336062</v>
      </c>
      <c r="Q97" s="5">
        <v>17250095378</v>
      </c>
    </row>
    <row r="98" spans="1:17" ht="21">
      <c r="A98" s="17" t="s">
        <v>62</v>
      </c>
      <c r="C98" s="5"/>
      <c r="E98" s="5"/>
      <c r="G98" s="5"/>
      <c r="I98" s="5">
        <v>944458042</v>
      </c>
      <c r="K98" s="5">
        <v>0</v>
      </c>
      <c r="L98" s="5"/>
      <c r="M98" s="5">
        <v>0</v>
      </c>
      <c r="N98" s="5"/>
      <c r="O98" s="5">
        <v>0</v>
      </c>
      <c r="P98" s="5"/>
      <c r="Q98" s="5">
        <v>0</v>
      </c>
    </row>
    <row r="99" spans="1:17" ht="21">
      <c r="A99" s="17" t="s">
        <v>305</v>
      </c>
      <c r="C99" s="5"/>
      <c r="E99" s="13">
        <f>SUM(E75:E98)</f>
        <v>743106903917</v>
      </c>
      <c r="G99" s="13">
        <f>SUM(G75:G98)</f>
        <v>619242624079</v>
      </c>
      <c r="I99" s="13">
        <f>SUM(I75:I98)</f>
        <v>123160016354</v>
      </c>
      <c r="K99" s="5"/>
      <c r="M99" s="13">
        <f>SUM(M75:M98)</f>
        <v>743106903917</v>
      </c>
      <c r="O99" s="13">
        <f>SUM(O75:O98)</f>
        <v>639714377911</v>
      </c>
      <c r="Q99" s="13">
        <f>SUM(Q75:Q98)</f>
        <v>101670154384</v>
      </c>
    </row>
    <row r="100" spans="1:17" ht="20.100000000000001" customHeight="1">
      <c r="A100" s="39" t="s">
        <v>0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</row>
    <row r="101" spans="1:17" ht="20.100000000000001" customHeight="1">
      <c r="A101" s="39" t="s">
        <v>137</v>
      </c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</row>
    <row r="102" spans="1:17" ht="20.100000000000001" customHeight="1">
      <c r="A102" s="39" t="s">
        <v>2</v>
      </c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</row>
    <row r="104" spans="1:17" ht="21">
      <c r="A104" s="40" t="s">
        <v>252</v>
      </c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</row>
    <row r="106" spans="1:17" ht="21">
      <c r="C106" s="33" t="s">
        <v>150</v>
      </c>
      <c r="D106" s="34"/>
      <c r="E106" s="34"/>
      <c r="F106" s="34"/>
      <c r="G106" s="34"/>
      <c r="H106" s="34"/>
      <c r="I106" s="34"/>
      <c r="K106" s="33" t="s">
        <v>7</v>
      </c>
      <c r="L106" s="34"/>
      <c r="M106" s="34"/>
      <c r="N106" s="34"/>
      <c r="O106" s="34"/>
      <c r="P106" s="34"/>
      <c r="Q106" s="34"/>
    </row>
    <row r="107" spans="1:17" ht="42">
      <c r="A107" s="48" t="s">
        <v>139</v>
      </c>
      <c r="C107" s="16" t="s">
        <v>9</v>
      </c>
      <c r="E107" s="16" t="s">
        <v>11</v>
      </c>
      <c r="G107" s="16" t="s">
        <v>204</v>
      </c>
      <c r="I107" s="16" t="s">
        <v>253</v>
      </c>
      <c r="K107" s="16" t="s">
        <v>9</v>
      </c>
      <c r="M107" s="16" t="s">
        <v>11</v>
      </c>
      <c r="O107" s="16" t="s">
        <v>204</v>
      </c>
      <c r="Q107" s="16" t="s">
        <v>253</v>
      </c>
    </row>
    <row r="108" spans="1:17" ht="21">
      <c r="A108" s="17" t="s">
        <v>306</v>
      </c>
      <c r="C108" s="23"/>
      <c r="E108" s="5">
        <f>E99</f>
        <v>743106903917</v>
      </c>
      <c r="F108" s="5"/>
      <c r="G108" s="5">
        <f>G99</f>
        <v>619242624079</v>
      </c>
      <c r="H108" s="5"/>
      <c r="I108" s="5">
        <f>I99</f>
        <v>123160016354</v>
      </c>
      <c r="J108" s="5"/>
      <c r="K108" s="5"/>
      <c r="L108" s="5"/>
      <c r="M108" s="5">
        <f>M99</f>
        <v>743106903917</v>
      </c>
      <c r="N108" s="5"/>
      <c r="O108" s="5">
        <f>O99</f>
        <v>639714377911</v>
      </c>
      <c r="P108" s="5"/>
      <c r="Q108" s="5">
        <f>Q99</f>
        <v>101670154384</v>
      </c>
    </row>
    <row r="109" spans="1:17" ht="21">
      <c r="A109" s="17" t="s">
        <v>63</v>
      </c>
      <c r="C109" s="5">
        <v>10000000</v>
      </c>
      <c r="E109" s="5">
        <v>47843626500</v>
      </c>
      <c r="G109" s="5">
        <v>36998541000</v>
      </c>
      <c r="I109" s="5">
        <v>10845085500</v>
      </c>
      <c r="K109" s="5">
        <v>10000000</v>
      </c>
      <c r="M109" s="5">
        <v>47843626500</v>
      </c>
      <c r="O109" s="5">
        <v>47906465327</v>
      </c>
      <c r="Q109" s="5">
        <v>-62838827</v>
      </c>
    </row>
    <row r="110" spans="1:17" ht="21">
      <c r="A110" s="17" t="s">
        <v>64</v>
      </c>
      <c r="C110" s="5">
        <v>500000</v>
      </c>
      <c r="E110" s="5">
        <v>8091567000</v>
      </c>
      <c r="G110" s="5">
        <v>6525938250</v>
      </c>
      <c r="I110" s="5">
        <v>1565628750</v>
      </c>
      <c r="K110" s="5">
        <v>500000</v>
      </c>
      <c r="M110" s="5">
        <v>8091567000</v>
      </c>
      <c r="O110" s="5">
        <v>7539802036</v>
      </c>
      <c r="Q110" s="5">
        <v>551764964</v>
      </c>
    </row>
    <row r="111" spans="1:17" ht="21">
      <c r="A111" s="17" t="s">
        <v>65</v>
      </c>
      <c r="C111" s="5">
        <v>450000</v>
      </c>
      <c r="E111" s="5">
        <v>7447919625</v>
      </c>
      <c r="G111" s="5">
        <v>4863389625</v>
      </c>
      <c r="I111" s="5">
        <v>2584530000</v>
      </c>
      <c r="K111" s="5">
        <v>450000</v>
      </c>
      <c r="M111" s="5">
        <v>7447919625</v>
      </c>
      <c r="O111" s="5">
        <v>5877817650</v>
      </c>
      <c r="Q111" s="5">
        <v>1570101975</v>
      </c>
    </row>
    <row r="112" spans="1:17" ht="21">
      <c r="A112" s="17" t="s">
        <v>66</v>
      </c>
      <c r="C112" s="5">
        <v>4688661</v>
      </c>
      <c r="E112" s="5">
        <v>13744591464</v>
      </c>
      <c r="G112" s="5">
        <v>7561989446</v>
      </c>
      <c r="I112" s="5">
        <v>6182602018</v>
      </c>
      <c r="K112" s="5">
        <v>4688661</v>
      </c>
      <c r="M112" s="5">
        <v>13744591464</v>
      </c>
      <c r="O112" s="5">
        <v>14596368204</v>
      </c>
      <c r="Q112" s="5">
        <v>-851776740</v>
      </c>
    </row>
    <row r="113" spans="1:17" ht="21">
      <c r="A113" s="17" t="s">
        <v>67</v>
      </c>
      <c r="C113" s="5">
        <v>607000</v>
      </c>
      <c r="E113" s="5">
        <v>36426554689</v>
      </c>
      <c r="G113" s="5">
        <v>26705968371</v>
      </c>
      <c r="I113" s="5">
        <v>9720586318</v>
      </c>
      <c r="K113" s="5">
        <v>607000</v>
      </c>
      <c r="M113" s="5">
        <v>36426554689</v>
      </c>
      <c r="O113" s="5">
        <v>21314456002</v>
      </c>
      <c r="Q113" s="5">
        <v>15112098687</v>
      </c>
    </row>
    <row r="114" spans="1:17" ht="21">
      <c r="A114" s="17" t="s">
        <v>68</v>
      </c>
      <c r="C114" s="5">
        <v>200000</v>
      </c>
      <c r="E114" s="5">
        <v>12362005800</v>
      </c>
      <c r="G114" s="5">
        <v>12851078400</v>
      </c>
      <c r="I114" s="5">
        <v>-489072600</v>
      </c>
      <c r="K114" s="5">
        <v>200000</v>
      </c>
      <c r="M114" s="5">
        <v>12362005800</v>
      </c>
      <c r="O114" s="5">
        <v>11554712809</v>
      </c>
      <c r="Q114" s="5">
        <v>807292991</v>
      </c>
    </row>
    <row r="115" spans="1:17" ht="21">
      <c r="A115" s="17" t="s">
        <v>69</v>
      </c>
      <c r="C115" s="5">
        <v>285000</v>
      </c>
      <c r="E115" s="5">
        <v>14533508025</v>
      </c>
      <c r="G115" s="5">
        <v>13731756997</v>
      </c>
      <c r="I115" s="5">
        <v>801751028</v>
      </c>
      <c r="K115" s="5">
        <v>285000</v>
      </c>
      <c r="M115" s="5">
        <v>14533508025</v>
      </c>
      <c r="O115" s="5">
        <v>12204019862</v>
      </c>
      <c r="Q115" s="5">
        <v>2329488163</v>
      </c>
    </row>
    <row r="116" spans="1:17" ht="21">
      <c r="A116" s="17" t="s">
        <v>70</v>
      </c>
      <c r="C116" s="5">
        <v>100000</v>
      </c>
      <c r="E116" s="5">
        <v>3332055600</v>
      </c>
      <c r="G116" s="5">
        <v>3261023424</v>
      </c>
      <c r="I116" s="5">
        <v>71032176</v>
      </c>
      <c r="K116" s="5">
        <v>100000</v>
      </c>
      <c r="M116" s="5">
        <v>3332055600</v>
      </c>
      <c r="O116" s="5">
        <v>3261023424</v>
      </c>
      <c r="Q116" s="5">
        <v>71032176</v>
      </c>
    </row>
    <row r="117" spans="1:17" ht="21">
      <c r="A117" s="17" t="s">
        <v>71</v>
      </c>
      <c r="C117" s="5">
        <v>113500</v>
      </c>
      <c r="E117" s="5">
        <v>24609318111</v>
      </c>
      <c r="G117" s="5">
        <v>23659334347</v>
      </c>
      <c r="I117" s="5">
        <v>949983764</v>
      </c>
      <c r="K117" s="5">
        <v>113500</v>
      </c>
      <c r="M117" s="5">
        <v>24609318111</v>
      </c>
      <c r="O117" s="5">
        <v>19620600844</v>
      </c>
      <c r="Q117" s="5">
        <v>4988717267</v>
      </c>
    </row>
    <row r="118" spans="1:17" ht="21">
      <c r="A118" s="17" t="s">
        <v>72</v>
      </c>
      <c r="C118" s="5">
        <v>3000000</v>
      </c>
      <c r="E118" s="5">
        <v>8499127500</v>
      </c>
      <c r="G118" s="5">
        <v>8001108450</v>
      </c>
      <c r="I118" s="5">
        <v>498019050</v>
      </c>
      <c r="K118" s="5">
        <v>3000000</v>
      </c>
      <c r="M118" s="5">
        <v>8499127500</v>
      </c>
      <c r="O118" s="5">
        <v>6520206627</v>
      </c>
      <c r="Q118" s="5">
        <v>1978920873</v>
      </c>
    </row>
    <row r="119" spans="1:17" ht="21">
      <c r="A119" s="17" t="s">
        <v>73</v>
      </c>
      <c r="C119" s="5">
        <v>128000</v>
      </c>
      <c r="E119" s="5">
        <v>26592825600</v>
      </c>
      <c r="G119" s="5">
        <v>29268649152</v>
      </c>
      <c r="I119" s="5">
        <v>-2675823552</v>
      </c>
      <c r="K119" s="5">
        <v>128000</v>
      </c>
      <c r="M119" s="5">
        <v>26592825600</v>
      </c>
      <c r="O119" s="5">
        <v>22163656896</v>
      </c>
      <c r="Q119" s="5">
        <v>4429168704</v>
      </c>
    </row>
    <row r="120" spans="1:17" ht="21">
      <c r="A120" s="17" t="s">
        <v>74</v>
      </c>
      <c r="C120" s="5">
        <v>1218099</v>
      </c>
      <c r="E120" s="5">
        <v>23817445286</v>
      </c>
      <c r="G120" s="5">
        <v>18235420743</v>
      </c>
      <c r="I120" s="5">
        <v>5582024543</v>
      </c>
      <c r="K120" s="5">
        <v>1218099</v>
      </c>
      <c r="M120" s="5">
        <v>23817445286</v>
      </c>
      <c r="O120" s="5">
        <v>22188958072</v>
      </c>
      <c r="Q120" s="5">
        <v>1628487214</v>
      </c>
    </row>
    <row r="121" spans="1:17" ht="21">
      <c r="A121" s="17" t="s">
        <v>75</v>
      </c>
      <c r="C121" s="5">
        <v>3600000</v>
      </c>
      <c r="E121" s="5">
        <v>18787545000</v>
      </c>
      <c r="G121" s="5">
        <v>18948298801</v>
      </c>
      <c r="I121" s="5">
        <v>-160753801</v>
      </c>
      <c r="K121" s="5">
        <v>3600000</v>
      </c>
      <c r="M121" s="5">
        <v>18787545000</v>
      </c>
      <c r="O121" s="5">
        <v>18948298801</v>
      </c>
      <c r="Q121" s="5">
        <v>-160753801</v>
      </c>
    </row>
    <row r="122" spans="1:17" ht="21">
      <c r="A122" s="17" t="s">
        <v>77</v>
      </c>
      <c r="C122" s="5">
        <v>5200000</v>
      </c>
      <c r="E122" s="5">
        <v>20671070940</v>
      </c>
      <c r="G122" s="5">
        <v>14102047479</v>
      </c>
      <c r="I122" s="5">
        <v>6569023461</v>
      </c>
      <c r="K122" s="5">
        <v>5200000</v>
      </c>
      <c r="M122" s="5">
        <v>20671070940</v>
      </c>
      <c r="O122" s="5">
        <v>20870620030</v>
      </c>
      <c r="Q122" s="5">
        <v>-199549090</v>
      </c>
    </row>
    <row r="123" spans="1:17" ht="21">
      <c r="A123" s="17" t="s">
        <v>81</v>
      </c>
      <c r="C123" s="5">
        <v>6286264</v>
      </c>
      <c r="E123" s="5">
        <v>23545707228</v>
      </c>
      <c r="G123" s="5">
        <v>19371468261</v>
      </c>
      <c r="I123" s="5">
        <v>4174238967</v>
      </c>
      <c r="K123" s="5">
        <v>6286264</v>
      </c>
      <c r="M123" s="5">
        <v>23545707228</v>
      </c>
      <c r="O123" s="5">
        <v>28036004200</v>
      </c>
      <c r="Q123" s="5">
        <v>-4490296972</v>
      </c>
    </row>
    <row r="124" spans="1:17" ht="21.75" thickBot="1">
      <c r="A124" s="8" t="s">
        <v>82</v>
      </c>
      <c r="C124" s="11"/>
      <c r="E124" s="8">
        <f>SUM(E108:E123)</f>
        <v>1033411772285</v>
      </c>
      <c r="G124" s="8">
        <f>SUM(G108:G123)</f>
        <v>863328636825</v>
      </c>
      <c r="I124" s="8">
        <f>SUM(I108:I123)</f>
        <v>169378871976</v>
      </c>
      <c r="K124" s="11"/>
      <c r="M124" s="8">
        <f>SUM(M108:M123)</f>
        <v>1033411772285</v>
      </c>
      <c r="O124" s="8">
        <f>SUM(O108:O123)</f>
        <v>902317388695</v>
      </c>
      <c r="Q124" s="8">
        <f>SUM(Q108:Q123)</f>
        <v>129372011968</v>
      </c>
    </row>
    <row r="125" spans="1:17" ht="21.75" thickTop="1">
      <c r="C125" s="11"/>
      <c r="E125" s="10"/>
      <c r="G125" s="10"/>
      <c r="I125" s="10"/>
      <c r="K125" s="11"/>
      <c r="M125" s="10"/>
      <c r="O125" s="10"/>
      <c r="Q125" s="10"/>
    </row>
    <row r="127" spans="1:17" ht="21">
      <c r="A127" s="45" t="s">
        <v>251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7"/>
    </row>
  </sheetData>
  <mergeCells count="25">
    <mergeCell ref="A102:Q102"/>
    <mergeCell ref="A104:Q104"/>
    <mergeCell ref="C106:I106"/>
    <mergeCell ref="K106:Q106"/>
    <mergeCell ref="A71:Q71"/>
    <mergeCell ref="C73:I73"/>
    <mergeCell ref="K73:Q73"/>
    <mergeCell ref="A100:Q100"/>
    <mergeCell ref="A101:Q101"/>
    <mergeCell ref="A127:Q127"/>
    <mergeCell ref="A1:Q1"/>
    <mergeCell ref="A2:Q2"/>
    <mergeCell ref="A3:Q3"/>
    <mergeCell ref="A5:Q5"/>
    <mergeCell ref="C7:I7"/>
    <mergeCell ref="K7:Q7"/>
    <mergeCell ref="A34:Q34"/>
    <mergeCell ref="A35:Q35"/>
    <mergeCell ref="A36:Q36"/>
    <mergeCell ref="A38:Q38"/>
    <mergeCell ref="C40:I40"/>
    <mergeCell ref="K40:Q40"/>
    <mergeCell ref="A67:Q67"/>
    <mergeCell ref="A68:Q68"/>
    <mergeCell ref="A69:Q69"/>
  </mergeCells>
  <pageMargins left="0.7" right="0.7" top="0.75" bottom="0.75" header="0.3" footer="0.3"/>
  <pageSetup paperSize="9" scale="69" fitToHeight="0" orientation="landscape" r:id="rId1"/>
  <rowBreaks count="3" manualBreakCount="3">
    <brk id="33" max="16383" man="1"/>
    <brk id="66" max="16383" man="1"/>
    <brk id="9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'0'!Print_Area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Arash Ranjbar</cp:lastModifiedBy>
  <cp:lastPrinted>2024-12-29T15:04:13Z</cp:lastPrinted>
  <dcterms:created xsi:type="dcterms:W3CDTF">2024-12-29T13:15:51Z</dcterms:created>
  <dcterms:modified xsi:type="dcterms:W3CDTF">2024-12-30T09:17:47Z</dcterms:modified>
</cp:coreProperties>
</file>