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h.nezakati\Downloads\"/>
    </mc:Choice>
  </mc:AlternateContent>
  <xr:revisionPtr revIDLastSave="0" documentId="13_ncr:1_{950D7D13-4C3C-4C2E-BDB0-59890F04BAFD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سربرگ" sheetId="31" r:id="rId1"/>
    <sheet name=" سهام" sheetId="32" r:id="rId2"/>
    <sheet name="اوراق مشتقه" sheetId="33" r:id="rId3"/>
    <sheet name="تعدیل قیمت" sheetId="34" r:id="rId4"/>
    <sheet name="سپرده" sheetId="35" r:id="rId5"/>
    <sheet name="درآمدها" sheetId="36" r:id="rId6"/>
    <sheet name="درآمد سرمایه گذاری در سهام " sheetId="37" r:id="rId7"/>
    <sheet name="درآمد سپرده بانکی" sheetId="38" r:id="rId8"/>
    <sheet name="درآمد سرمایه گذاری مشتقه " sheetId="39" r:id="rId9"/>
    <sheet name="سایر درآمدها" sheetId="40" r:id="rId10"/>
    <sheet name="درآمد سود سهام" sheetId="41" r:id="rId11"/>
    <sheet name="سود  سپرده بانکی" sheetId="42" r:id="rId12"/>
    <sheet name="درآمد ناشی ازفروش" sheetId="43" r:id="rId13"/>
    <sheet name="درآمد ناشی از تغییر قیمت اوراق " sheetId="44" r:id="rId14"/>
  </sheets>
  <definedNames>
    <definedName name="_xlnm.Print_Area" localSheetId="1">' سهام'!$A$1:$N$55</definedName>
    <definedName name="_xlnm.Print_Area" localSheetId="2">'اوراق مشتقه'!$A$1:$M$20</definedName>
    <definedName name="_xlnm.Print_Area" localSheetId="3">'تعدیل قیمت'!$A$1:$I$12</definedName>
    <definedName name="_xlnm.Print_Area" localSheetId="7">'درآمد سپرده بانکی'!$A$1:$E$12</definedName>
    <definedName name="_xlnm.Print_Area" localSheetId="6">'درآمد سرمایه گذاری در سهام '!$A$1:$K$61</definedName>
    <definedName name="_xlnm.Print_Area" localSheetId="8">'درآمد سرمایه گذاری مشتقه '!$A$1:$I$57</definedName>
    <definedName name="_xlnm.Print_Area" localSheetId="10">'درآمد سود سهام'!$A$1:$J$14</definedName>
    <definedName name="_xlnm.Print_Area" localSheetId="13">'درآمد ناشی از تغییر قیمت اوراق '!$A$1:$I$84</definedName>
    <definedName name="_xlnm.Print_Area" localSheetId="12">'درآمد ناشی ازفروش'!$A$1:$I$83</definedName>
    <definedName name="_xlnm.Print_Area" localSheetId="5">درآمدها!$A$1:$E$14</definedName>
    <definedName name="_xlnm.Print_Area" localSheetId="9">'سایر درآمدها'!$A$1:$C$12</definedName>
    <definedName name="_xlnm.Print_Area" localSheetId="4">سپرده!$A$1:$F$13</definedName>
    <definedName name="_xlnm.Print_Area" localSheetId="0">سربرگ!$A$1:$J$29</definedName>
    <definedName name="_xlnm.Print_Area" localSheetId="11">'سود  سپرده بانکی'!$A$1:$G$11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6" l="1"/>
  <c r="C11" i="36"/>
  <c r="C10" i="36"/>
  <c r="C9" i="36"/>
  <c r="B11" i="40"/>
  <c r="C11" i="40"/>
  <c r="G54" i="32" l="1"/>
  <c r="C83" i="44"/>
  <c r="D83" i="44"/>
  <c r="E83" i="44"/>
  <c r="G83" i="44"/>
  <c r="H83" i="44"/>
  <c r="I83" i="44"/>
  <c r="C82" i="43"/>
  <c r="D82" i="43"/>
  <c r="E82" i="43"/>
  <c r="G82" i="43"/>
  <c r="H82" i="43"/>
  <c r="I82" i="43"/>
  <c r="B10" i="42"/>
  <c r="C10" i="42"/>
  <c r="D10" i="42"/>
  <c r="E10" i="42"/>
  <c r="F10" i="42"/>
  <c r="G10" i="42"/>
  <c r="B13" i="41"/>
  <c r="C13" i="41"/>
  <c r="D13" i="41"/>
  <c r="E13" i="41"/>
  <c r="F13" i="41"/>
  <c r="G13" i="41"/>
  <c r="H13" i="41"/>
  <c r="I13" i="41"/>
  <c r="J13" i="41"/>
  <c r="B56" i="39"/>
  <c r="C56" i="39"/>
  <c r="D56" i="39"/>
  <c r="E56" i="39"/>
  <c r="F56" i="39"/>
  <c r="G56" i="39"/>
  <c r="H56" i="39"/>
  <c r="I56" i="39"/>
  <c r="B11" i="38"/>
  <c r="C9" i="38" s="1"/>
  <c r="D11" i="38"/>
  <c r="E9" i="38" s="1"/>
  <c r="B60" i="37"/>
  <c r="C60" i="37"/>
  <c r="D60" i="37"/>
  <c r="E60" i="37"/>
  <c r="F60" i="37"/>
  <c r="G60" i="37"/>
  <c r="H60" i="37"/>
  <c r="I60" i="37"/>
  <c r="J60" i="37"/>
  <c r="K60" i="37"/>
  <c r="D9" i="36"/>
  <c r="E9" i="36"/>
  <c r="D10" i="36"/>
  <c r="E10" i="36"/>
  <c r="D11" i="36"/>
  <c r="E11" i="36"/>
  <c r="D12" i="36"/>
  <c r="E12" i="36"/>
  <c r="C13" i="36"/>
  <c r="B12" i="35"/>
  <c r="C12" i="35"/>
  <c r="D12" i="35"/>
  <c r="E12" i="35"/>
  <c r="F12" i="35"/>
  <c r="C54" i="32"/>
  <c r="D54" i="32"/>
  <c r="I54" i="32"/>
  <c r="L54" i="32"/>
  <c r="M54" i="32"/>
  <c r="N54" i="32"/>
  <c r="D13" i="36" l="1"/>
  <c r="E13" i="36"/>
  <c r="E10" i="38"/>
  <c r="E11" i="38" s="1"/>
  <c r="C10" i="38"/>
  <c r="C11" i="38" s="1"/>
</calcChain>
</file>

<file path=xl/sharedStrings.xml><?xml version="1.0" encoding="utf-8"?>
<sst xmlns="http://schemas.openxmlformats.org/spreadsheetml/2006/main" count="599" uniqueCount="241">
  <si>
    <t>بهای تمام شده</t>
  </si>
  <si>
    <t>شرکت</t>
  </si>
  <si>
    <t>جمع</t>
  </si>
  <si>
    <t>تعداد</t>
  </si>
  <si>
    <t>مبلغ</t>
  </si>
  <si>
    <t>دلیل تعدیل</t>
  </si>
  <si>
    <t>نام اوراق بهادار</t>
  </si>
  <si>
    <t>درآمد تغییر ارزش</t>
  </si>
  <si>
    <t>درآمد فروش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</si>
  <si>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</si>
  <si>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</si>
  <si>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</si>
  <si>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</si>
  <si>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2- درآمد حاصل از سرمایه گذاری ها</t>
  </si>
  <si>
    <t>سایر درآمدها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</si>
  <si>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</si>
  <si>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</si>
  <si>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</si>
  <si>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</si>
  <si>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</si>
  <si>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</si>
  <si>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</si>
  <si>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</si>
  <si>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</si>
  <si>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هزینه تنزیل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</si>
  <si>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</si>
  <si>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</si>
  <si>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</si>
  <si>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</si>
  <si>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</si>
  <si>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</si>
  <si>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</si>
  <si>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</si>
  <si>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</si>
  <si>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2-2</t>
  </si>
  <si>
    <t xml:space="preserve">صورت وضعیت درآمدها </t>
  </si>
  <si>
    <t xml:space="preserve">درآمد سود </t>
  </si>
  <si>
    <t>درصد از کل دارایی ها</t>
  </si>
  <si>
    <t>تعداد اوراق</t>
  </si>
  <si>
    <t>مدیر صندوق</t>
  </si>
  <si>
    <t>سود سپرده بانکی</t>
  </si>
  <si>
    <t>‫صورت وضعیت پورتفوی</t>
  </si>
  <si>
    <t>کاهش</t>
  </si>
  <si>
    <t>برای ماه منتهی به 1405/03/31</t>
  </si>
  <si>
    <t>1405/03/31</t>
  </si>
  <si>
    <t>1405/02/31</t>
  </si>
  <si>
    <t>گردشگري</t>
  </si>
  <si>
    <t>پاسارگاد</t>
  </si>
  <si>
    <t>1404/10/23</t>
  </si>
  <si>
    <t>1404/11/28</t>
  </si>
  <si>
    <t>رکن صندوق</t>
  </si>
  <si>
    <t>نماینده</t>
  </si>
  <si>
    <t xml:space="preserve">امضا </t>
  </si>
  <si>
    <t>شرکت سبدگردان آشنا</t>
  </si>
  <si>
    <t>مهدی فرحی</t>
  </si>
  <si>
    <t>‫برای ماه منتهی به 1405/03/31</t>
  </si>
  <si>
    <t>تغییرات طی خرداد ماه</t>
  </si>
  <si>
    <t>خرید طی خرداد ماه</t>
  </si>
  <si>
    <t>فروش طی خرداد ماه</t>
  </si>
  <si>
    <t>تصمیم مدیران سرمایه گذاری صندوق</t>
  </si>
  <si>
    <t>نام بانک</t>
  </si>
  <si>
    <t>طی خرداد ماه</t>
  </si>
  <si>
    <t>از ابتدای سال مالی تا پایان خرداد ماه</t>
  </si>
  <si>
    <t>2-2-درآمد حاصل از سرمایه­گذاری در سپرده بانکی و گواهی سپرده:</t>
  </si>
  <si>
    <t>درصد سود به کل سود سپرده</t>
  </si>
  <si>
    <t>تعدیل کارمزد کارگزاری</t>
  </si>
  <si>
    <t>2-1</t>
  </si>
  <si>
    <t>2-3</t>
  </si>
  <si>
    <t>صندوق ‫سرمایه گذاری قابل معامله شاخصی بازار آشنا</t>
  </si>
  <si>
    <t>چادرملو (تقدم)</t>
  </si>
  <si>
    <t>چادرملو</t>
  </si>
  <si>
    <t>پويا زركان آق دره</t>
  </si>
  <si>
    <t>پتروشیمی تامین</t>
  </si>
  <si>
    <t>پتروشيمی پردیس</t>
  </si>
  <si>
    <t>پتروشيمي پارس</t>
  </si>
  <si>
    <t>پتروشيمي نوري</t>
  </si>
  <si>
    <t>پتروشيمي شيراز</t>
  </si>
  <si>
    <t>پتروشيمي جم</t>
  </si>
  <si>
    <t>پتروشيمي اروند</t>
  </si>
  <si>
    <t>نگين طبس</t>
  </si>
  <si>
    <t>نفت و گاز پارسیان</t>
  </si>
  <si>
    <t>نفت تهران</t>
  </si>
  <si>
    <t>نفت تبريز</t>
  </si>
  <si>
    <t>نفت بندر عباس</t>
  </si>
  <si>
    <t>نفت اصفهان</t>
  </si>
  <si>
    <t>ملي مس</t>
  </si>
  <si>
    <t>مس شهيد باهنر</t>
  </si>
  <si>
    <t>مجتمع كاشي و سنگ پرسپوليس يزد</t>
  </si>
  <si>
    <t>مبين انرژي خليج فارس</t>
  </si>
  <si>
    <t>كيميا كالاي رازي</t>
  </si>
  <si>
    <t>كشت و صنعت هلال</t>
  </si>
  <si>
    <t>قاسم ايران</t>
  </si>
  <si>
    <t>فولاد مباركه</t>
  </si>
  <si>
    <t>صندوق بازنشستگي</t>
  </si>
  <si>
    <t>صنايع پتروشيمي خليج فارس</t>
  </si>
  <si>
    <t>سيمان فارس و خوزستان</t>
  </si>
  <si>
    <t>سرمايه گذاري غدير</t>
  </si>
  <si>
    <t>سرمايه گذاري صدرتامين (تقدم)</t>
  </si>
  <si>
    <t>سرمايه گذاري صدرتامين</t>
  </si>
  <si>
    <t>سرمايه گذاري دارويي تامين</t>
  </si>
  <si>
    <t>سرمايه گذاري تامين اجتماعي</t>
  </si>
  <si>
    <t>زرين ذرت شاهرود</t>
  </si>
  <si>
    <t>دريايي سينا</t>
  </si>
  <si>
    <t>توسعه‌معادن‌وفلزات‌ (تقدم)</t>
  </si>
  <si>
    <t>توسعه‌معادن‌وفلزات‌</t>
  </si>
  <si>
    <t>بورس كالاي ايران</t>
  </si>
  <si>
    <t>بانك ملت</t>
  </si>
  <si>
    <t>باما</t>
  </si>
  <si>
    <t>ايران خودرو</t>
  </si>
  <si>
    <t>اقتصاد نوين</t>
  </si>
  <si>
    <t>آلياژ گستر هامون</t>
  </si>
  <si>
    <t>آلومينيوم ايران</t>
  </si>
  <si>
    <t xml:space="preserve">افزایش سرمایه </t>
  </si>
  <si>
    <t>درصد به کل  دارایی‌ها</t>
  </si>
  <si>
    <t>قیمت بازار هر سهم</t>
  </si>
  <si>
    <t>1-1-سرمایه‌گذاری در سهام و حق تقدم سهام</t>
  </si>
  <si>
    <t>1- سرمایه گذاری ها</t>
  </si>
  <si>
    <t>سرمایه گذاری قابل معامله شاخصی بازار آشنا</t>
  </si>
  <si>
    <t>تاریخ اعمال</t>
  </si>
  <si>
    <t xml:space="preserve">قیمت اعمال </t>
  </si>
  <si>
    <t>نوع موقعیت</t>
  </si>
  <si>
    <t>نام سهام</t>
  </si>
  <si>
    <t/>
  </si>
  <si>
    <t>1405/03/20</t>
  </si>
  <si>
    <t>موقعیت فروش</t>
  </si>
  <si>
    <t>اختيار معامله خرید</t>
  </si>
  <si>
    <t>اختيارخ وبملت-914-1405/03/20</t>
  </si>
  <si>
    <t>1405/04/24</t>
  </si>
  <si>
    <t>اختيارخ وبملت-1055-1405/04/24</t>
  </si>
  <si>
    <t>اختيارخ وبملت-1055-1405/03/20</t>
  </si>
  <si>
    <t>1405/04/10</t>
  </si>
  <si>
    <t>اختيارخ شستا-2200-1405/04/10</t>
  </si>
  <si>
    <t>اختيارخ خودرو-450-1405/04/10</t>
  </si>
  <si>
    <t>استراتژی ماخوذه</t>
  </si>
  <si>
    <t>نوع اختیار</t>
  </si>
  <si>
    <t>اطلاعات آماری مرتبط با موقعیت های اخذ شده در اوراق اختیار معامله توسط صندوق سرمایه گذاری:</t>
  </si>
  <si>
    <t>1405/10/01</t>
  </si>
  <si>
    <t>اختيارف ت اروند-50625-05/10/01</t>
  </si>
  <si>
    <t xml:space="preserve">نرخ سود مؤثر </t>
  </si>
  <si>
    <t>تعداد اوراق تبعی</t>
  </si>
  <si>
    <t>اطلاعات آماری مرتبط با اوراق اختیار فروش تبعی خریداری شده توسط صندوق سرمایه گذاری:</t>
  </si>
  <si>
    <t xml:space="preserve"> </t>
  </si>
  <si>
    <t>درآمد حاصل از سرمایه گذاری در اوراق مشتقه</t>
  </si>
  <si>
    <t>درآمد حاصل از سرمایه گذاری در سهام و حق تقدم سهام</t>
  </si>
  <si>
    <t>گروه صنعتي درپاد تبريز</t>
  </si>
  <si>
    <t>ذوب آهن اصفهان</t>
  </si>
  <si>
    <t>صنايع غذايي رضوي</t>
  </si>
  <si>
    <t>گروه مپنا</t>
  </si>
  <si>
    <t>پست بانك ايران</t>
  </si>
  <si>
    <t>گروه مالي نماد غدير(سهامي عام)</t>
  </si>
  <si>
    <t>بانك تجارت</t>
  </si>
  <si>
    <t>پارس مينو</t>
  </si>
  <si>
    <t>س. و توسعه صنايع لاستيك</t>
  </si>
  <si>
    <t>سيمان شاهرود</t>
  </si>
  <si>
    <t>پتروشيمي پرديس</t>
  </si>
  <si>
    <t>شركت پالايش نفت بندر عباس</t>
  </si>
  <si>
    <t>سرمايه گذاري صندوق بازنشستگي كشوري (هلدينگ)</t>
  </si>
  <si>
    <t>پالايش نفت تهران</t>
  </si>
  <si>
    <t>بانك اقتصاد نوين</t>
  </si>
  <si>
    <t>توسعه خدمات دريايي وبندري سينا</t>
  </si>
  <si>
    <t>س. نفت و گاز و پتروشيمي تامين</t>
  </si>
  <si>
    <t>شركت گسترش نفت و گاز پارسيان</t>
  </si>
  <si>
    <t>سرمايه گذاري توسعه معادن و فلزات (هلدينگ)</t>
  </si>
  <si>
    <t>سرمايه گذاري غدير (هلدينگ)</t>
  </si>
  <si>
    <t>پالايش نفت اصفهان</t>
  </si>
  <si>
    <t>معدني و صنعتي چادر ملو</t>
  </si>
  <si>
    <t>فولاد مباركه اصفهان</t>
  </si>
  <si>
    <t>پالايش نفت تبريز</t>
  </si>
  <si>
    <t>ملي صنايع مس ايران</t>
  </si>
  <si>
    <t>ذغال سنگ نگين طبس</t>
  </si>
  <si>
    <t>درصد از کل درآمد ها</t>
  </si>
  <si>
    <t>یادداشت ...</t>
  </si>
  <si>
    <t>درآمد سود سهام</t>
  </si>
  <si>
    <t>سهام</t>
  </si>
  <si>
    <t>اختيارخ شستا-1710-1404/12/13</t>
  </si>
  <si>
    <t>اختيارخ وبملت-1400-1404/12/19</t>
  </si>
  <si>
    <t>اختيارخ وبملت-1500-1404/11/21</t>
  </si>
  <si>
    <t>اختيارخ خودرو-650-1404/11/01</t>
  </si>
  <si>
    <t>اختيارخ وبملت-1600-1404/11/21</t>
  </si>
  <si>
    <t>اختيارخ فولاد-4000-1404/11/08</t>
  </si>
  <si>
    <t>اختيارف شستا-1710-1404/10/10</t>
  </si>
  <si>
    <t>اختيارف شستا-1610-1404/10/10</t>
  </si>
  <si>
    <t>اختيارخ شستا-1810-1404/10/10</t>
  </si>
  <si>
    <t>اختيارخ خودرو-700-1404/11/01</t>
  </si>
  <si>
    <t>اختيارف خودرو-550-1404/11/01</t>
  </si>
  <si>
    <t>اختيارف خودرو-600-1404/11/01</t>
  </si>
  <si>
    <t>اختيارخ خودرو-750-1404/11/01</t>
  </si>
  <si>
    <t>اختيارخ وبملت-1266-1405/03/20</t>
  </si>
  <si>
    <t>اختيارخ وبملت-1500-1405/03/20</t>
  </si>
  <si>
    <t>اختيارخ وبملت-1300-1405/03/20</t>
  </si>
  <si>
    <t>اختيارخ وبملت-1600-1404/12/19</t>
  </si>
  <si>
    <t>اختيارخ فزر-100000-14041210</t>
  </si>
  <si>
    <t>اختيارخ شستا-2010-1404/12/13</t>
  </si>
  <si>
    <t>اختيارخ وبملت-1300-1404/11/21</t>
  </si>
  <si>
    <t>اختيارف شستا-1510-1404/12/13</t>
  </si>
  <si>
    <t>اختيارف وبملت-900-1404/12/19</t>
  </si>
  <si>
    <t>اختيارخ فزر-130000-14041210</t>
  </si>
  <si>
    <t>اختيارخ وبملت-1400-1404/11/21</t>
  </si>
  <si>
    <t>اختيارف وبملت-1100-1404/11/21</t>
  </si>
  <si>
    <t>اختيارف شستا-1210-1404/12/13</t>
  </si>
  <si>
    <t>اختيارخ فزر-110000-14041112</t>
  </si>
  <si>
    <t>اختيارخ وبملت-1700-1404/11/21</t>
  </si>
  <si>
    <t>اختيارخ وبملت-1800-1404/11/21</t>
  </si>
  <si>
    <t>اختيارخ شستا-2010-1404/11/08</t>
  </si>
  <si>
    <t>اختيارف اهرم-42000-1404/11/29</t>
  </si>
  <si>
    <t>اختيارخ فزر-120000-14041112</t>
  </si>
  <si>
    <t>اختيارخ خودرو-700-1404/12/06</t>
  </si>
  <si>
    <t>اختيارخ وبملت-1900-1404/11/21</t>
  </si>
  <si>
    <t>اختيارخ شپنا-8000-1404/12/19</t>
  </si>
  <si>
    <t>اختيارخ شستا-1610-1404/11/08</t>
  </si>
  <si>
    <t>اختيارخ ذوب-500-1404/11/21</t>
  </si>
  <si>
    <t>اختيارخ ذوب-450-1404/11/21</t>
  </si>
  <si>
    <t>اختيارخ خودرو-600-1404/11/01</t>
  </si>
  <si>
    <t>اختيارخ شستا-1310-1404/10/10</t>
  </si>
  <si>
    <t>اختيارخ وبملت-1100-1404/10/17</t>
  </si>
  <si>
    <t>اختيارخ وبملت-1300-1404/10/17</t>
  </si>
  <si>
    <t>اختيارخ خودرو-600-1404/10/03</t>
  </si>
  <si>
    <t>اوراق مشتقه</t>
  </si>
  <si>
    <t>1405/03/27</t>
  </si>
  <si>
    <t>1404/12/10</t>
  </si>
  <si>
    <t>خالص درآمد سود سهام</t>
  </si>
  <si>
    <t>جمع درآمد سود سهام</t>
  </si>
  <si>
    <t>سود متعلق به هر سهم</t>
  </si>
  <si>
    <t>تعداد سهام متعلقه در زمان مجمع</t>
  </si>
  <si>
    <t>تاریخ تشکیل مجمع</t>
  </si>
  <si>
    <t>اطلاعات مجمع</t>
  </si>
  <si>
    <t>اختيارخ وبملت--1125-1405/02/30</t>
  </si>
  <si>
    <t>اختيارخ فزر-90750-14041210</t>
  </si>
  <si>
    <t>مپنا</t>
  </si>
  <si>
    <t>اختيارخ فزر-120750-14041210</t>
  </si>
  <si>
    <t>ذوب آهن  اصفهان</t>
  </si>
  <si>
    <t>اختيارخ وبملت--985-1405/02/30</t>
  </si>
  <si>
    <t>اختيارخ شپنا-6719-1405/02/30</t>
  </si>
  <si>
    <t>اختيارف وبملت--633-1405/02/30</t>
  </si>
  <si>
    <t>نام اختیار</t>
  </si>
  <si>
    <t>1-2- سرمایه‌گذاری در  سپرده‌ بانکی</t>
  </si>
  <si>
    <t>2-1-درآمد حاصل از سرمایه­گذاری در سهام و حق تقدم سهام:</t>
  </si>
  <si>
    <t>2-3-درآمد حاصل از سرمایه­گذاری در اوراق مشتقه:</t>
  </si>
  <si>
    <t>صورت وضعیت درآمدها</t>
  </si>
  <si>
    <t>2-4-سایر درآمدها: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</si>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</sst>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0"/>
    <numFmt numFmtId="165" formatCode="0.00%;[Red]\(0.00%\);0%"/>
    <numFmt numFmtId="166" formatCode="_ * #,##0_-_ ;_ * #,##0\-_ ;_ * &quot;-&quot;??_-_ ;_ @_ "/>
  </numFmts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sz val="10"/>
      <color theme="1"/>
      <name val="B Zar"/>
      <charset val="178"/>
    </font>
    <font>
      <b/>
      <sz val="12"/>
      <color rgb="FF0062AC"/>
      <name val="B Zar"/>
      <charset val="178"/>
    </font>
    <font>
      <sz val="10"/>
      <color indexed="8"/>
      <name val="B Zar"/>
      <charset val="178"/>
    </font>
    <font>
      <sz val="10"/>
      <color theme="1"/>
      <name val="B Zar"/>
      <charset val="178"/>
    </font>
    <font>
      <b/>
      <sz val="10"/>
      <color rgb="FF0062AC"/>
      <name val="B Zar"/>
      <charset val="178"/>
    </font>
    <font>
      <b/>
      <sz val="11"/>
      <color rgb="FF0062AC"/>
      <name val="B Zar"/>
      <charset val="178"/>
    </font>
    <font>
      <b/>
      <sz val="11"/>
      <color indexed="8"/>
      <name val="B Zar"/>
      <charset val="178"/>
    </font>
    <font>
      <sz val="11"/>
      <color theme="1"/>
      <name val="Calibri"/>
      <family val="2"/>
      <charset val="178"/>
      <scheme val="minor"/>
    </font>
    <font>
      <sz val="7"/>
      <color rgb="FF000000"/>
      <name val="Yekan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8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7" fillId="0" borderId="0" xfId="1" applyFont="1"/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3" fillId="0" borderId="0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right" vertical="center" readingOrder="2"/>
    </xf>
    <xf numFmtId="0" fontId="4" fillId="0" borderId="0" xfId="0" applyFont="1" applyAlignment="1">
      <alignment vertical="center" wrapText="1" readingOrder="2"/>
    </xf>
    <xf numFmtId="0" fontId="13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1" fillId="0" borderId="0" xfId="0" applyFont="1" applyAlignment="1">
      <alignment vertical="center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16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/>
    <xf numFmtId="0" fontId="10" fillId="0" borderId="1" xfId="0" applyFont="1" applyBorder="1" applyAlignment="1">
      <alignment vertical="center" wrapText="1" readingOrder="2"/>
    </xf>
    <xf numFmtId="164" fontId="12" fillId="0" borderId="0" xfId="0" applyNumberFormat="1" applyFont="1"/>
    <xf numFmtId="0" fontId="3" fillId="0" borderId="0" xfId="0" applyFont="1" applyAlignment="1">
      <alignment horizontal="center"/>
    </xf>
    <xf numFmtId="3" fontId="18" fillId="0" borderId="0" xfId="0" applyNumberFormat="1" applyFont="1"/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 readingOrder="2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164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vertical="center"/>
    </xf>
    <xf numFmtId="166" fontId="1" fillId="0" borderId="0" xfId="3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 readingOrder="2"/>
    </xf>
    <xf numFmtId="0" fontId="9" fillId="0" borderId="0" xfId="1" applyFont="1" applyAlignment="1">
      <alignment horizontal="center" vertical="center" wrapText="1" readingOrder="2"/>
    </xf>
    <xf numFmtId="37" fontId="6" fillId="0" borderId="0" xfId="1" applyNumberFormat="1" applyFont="1" applyAlignment="1">
      <alignment horizontal="center" vertical="center"/>
    </xf>
    <xf numFmtId="0" fontId="7" fillId="0" borderId="0" xfId="1" applyFont="1"/>
    <xf numFmtId="0" fontId="13" fillId="0" borderId="2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0" fillId="0" borderId="1" xfId="0" applyFont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0" fillId="0" borderId="0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right" vertical="center" readingOrder="2"/>
    </xf>
    <xf numFmtId="0" fontId="13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4" fillId="0" borderId="2" xfId="3" applyNumberFormat="1" applyFont="1" applyBorder="1" applyAlignment="1">
      <alignment horizontal="center" vertical="center" wrapText="1" readingOrder="2"/>
    </xf>
    <xf numFmtId="166" fontId="4" fillId="0" borderId="1" xfId="3" applyNumberFormat="1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294E2008-141B-4D32-A196-23DA6FC3916E}"/>
    <cellStyle name="Percent 2" xfId="2" xr:uid="{94906815-5648-4F46-9A52-9AB91CF09BE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324760</xdr:colOff>
      <xdr:row>6</xdr:row>
      <xdr:rowOff>76200</xdr:rowOff>
    </xdr:from>
    <xdr:ext cx="1993056" cy="1755775"/>
    <xdr:pic>
      <xdr:nvPicPr>
        <xdr:cNvPr id="2" name="Picture 1">
          <a:extLst>
            <a:ext uri="{FF2B5EF4-FFF2-40B4-BE49-F238E27FC236}">
              <a16:creationId xmlns:a16="http://schemas.microsoft.com/office/drawing/2014/main" id="{14FFA765-EE98-4A32-B039-34FCFB56D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48764" y="1127760"/>
          <a:ext cx="1993056" cy="175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968829" cy="853486"/>
    <xdr:pic>
      <xdr:nvPicPr>
        <xdr:cNvPr id="2" name="Picture 1">
          <a:extLst>
            <a:ext uri="{FF2B5EF4-FFF2-40B4-BE49-F238E27FC236}">
              <a16:creationId xmlns:a16="http://schemas.microsoft.com/office/drawing/2014/main" id="{548E3C9E-6CFC-4E8F-836E-5346CD07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0115770" y="1"/>
          <a:ext cx="968829" cy="85348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8829" cy="853486"/>
    <xdr:pic>
      <xdr:nvPicPr>
        <xdr:cNvPr id="2" name="Picture 1">
          <a:extLst>
            <a:ext uri="{FF2B5EF4-FFF2-40B4-BE49-F238E27FC236}">
              <a16:creationId xmlns:a16="http://schemas.microsoft.com/office/drawing/2014/main" id="{B16ED53A-C0A0-4993-9EC0-ABCACE3E4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444551" y="0"/>
          <a:ext cx="968829" cy="85348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DFD3FEDA-B0E8-460A-9033-5D6EB80F5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486455" y="0"/>
          <a:ext cx="1012025" cy="89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0953D3D1-454D-4B9D-94AB-D55A5ED5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5460035" y="0"/>
          <a:ext cx="1012025" cy="89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20092DAA-B8C2-4312-A76E-7F7F88199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418875" y="0"/>
          <a:ext cx="101202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F90A1964-D608-4180-8EA8-5E155925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2021118" y="0"/>
          <a:ext cx="1012025" cy="89154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3679DE40-DAAC-4C5B-8EE5-5C2E0190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416095" y="0"/>
          <a:ext cx="1012025" cy="89154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4D66AD33-C8FD-4CCE-B6DE-03B6ADC9B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5873204" y="0"/>
          <a:ext cx="1012025" cy="89154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0A0239E8-2B5B-4C16-890C-576979C95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959895" y="0"/>
          <a:ext cx="1012025" cy="89154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96A6AC58-E164-4B65-9FAC-5D44CB16D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351575" y="0"/>
          <a:ext cx="1012025" cy="89154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4177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4D6C0865-390C-4633-A8A8-223944CBE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592223" y="0"/>
          <a:ext cx="934177" cy="82296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AEE7524A-349F-4CC4-9130-1DA601BF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878355" y="0"/>
          <a:ext cx="1012025" cy="89154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2025" cy="891540"/>
    <xdr:pic>
      <xdr:nvPicPr>
        <xdr:cNvPr id="2" name="Picture 1">
          <a:extLst>
            <a:ext uri="{FF2B5EF4-FFF2-40B4-BE49-F238E27FC236}">
              <a16:creationId xmlns:a16="http://schemas.microsoft.com/office/drawing/2014/main" id="{1667A9DC-9660-45AB-9607-277D69BC3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7070632" y="0"/>
          <a:ext cx="1012025" cy="89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E516-0FE3-4E28-9181-96D68CB28A02}">
  <sheetPr>
    <pageSetUpPr fitToPage="1"/>
  </sheetPr>
  <dimension ref="A18:J25"/>
  <sheetViews>
    <sheetView rightToLeft="1" tabSelected="1" view="pageBreakPreview" topLeftCell="A4" zoomScale="70" zoomScaleNormal="100" zoomScaleSheetLayoutView="70" workbookViewId="0">
      <selection activeCell="L25" sqref="L25"/>
    </sheetView>
  </sheetViews>
  <sheetFormatPr defaultColWidth="8.85546875" defaultRowHeight="19.5" x14ac:dyDescent="0.55000000000000004"/>
  <cols>
    <col min="1" max="4" width="8.85546875" style="5"/>
    <col min="5" max="5" width="10" style="5" customWidth="1"/>
    <col min="6" max="16384" width="8.85546875" style="5"/>
  </cols>
  <sheetData>
    <row r="18" spans="1:10" ht="40.15" customHeight="1" x14ac:dyDescent="0.55000000000000004">
      <c r="A18" s="57" t="s">
        <v>68</v>
      </c>
      <c r="B18" s="58"/>
      <c r="C18" s="58"/>
      <c r="D18" s="58"/>
      <c r="E18" s="58"/>
      <c r="F18" s="58"/>
      <c r="G18" s="58"/>
      <c r="H18" s="58"/>
      <c r="I18" s="58"/>
      <c r="J18" s="58"/>
    </row>
    <row r="19" spans="1:10" ht="40.15" customHeight="1" x14ac:dyDescent="0.55000000000000004">
      <c r="A19" s="57" t="s">
        <v>41</v>
      </c>
      <c r="B19" s="58"/>
      <c r="C19" s="58"/>
      <c r="D19" s="58"/>
      <c r="E19" s="58"/>
      <c r="F19" s="58"/>
      <c r="G19" s="58"/>
      <c r="H19" s="58"/>
      <c r="I19" s="58"/>
      <c r="J19" s="58"/>
    </row>
    <row r="20" spans="1:10" ht="40.15" customHeight="1" x14ac:dyDescent="0.55000000000000004">
      <c r="A20" s="57" t="s">
        <v>55</v>
      </c>
      <c r="B20" s="58"/>
      <c r="C20" s="58"/>
      <c r="D20" s="58"/>
      <c r="E20" s="58"/>
      <c r="F20" s="58"/>
      <c r="G20" s="58"/>
      <c r="H20" s="58"/>
      <c r="I20" s="58"/>
      <c r="J20" s="58"/>
    </row>
    <row r="24" spans="1:10" ht="43.5" customHeight="1" x14ac:dyDescent="0.55000000000000004">
      <c r="B24" s="55" t="s">
        <v>50</v>
      </c>
      <c r="C24" s="55"/>
      <c r="D24" s="55" t="s">
        <v>1</v>
      </c>
      <c r="E24" s="55"/>
      <c r="F24" s="55" t="s">
        <v>51</v>
      </c>
      <c r="G24" s="55"/>
      <c r="H24" s="55" t="s">
        <v>52</v>
      </c>
      <c r="I24" s="55"/>
    </row>
    <row r="25" spans="1:10" ht="39.75" customHeight="1" x14ac:dyDescent="0.55000000000000004">
      <c r="B25" s="56" t="s">
        <v>39</v>
      </c>
      <c r="C25" s="56"/>
      <c r="D25" s="56" t="s">
        <v>53</v>
      </c>
      <c r="E25" s="56"/>
      <c r="F25" s="56" t="s">
        <v>54</v>
      </c>
      <c r="G25" s="56"/>
      <c r="H25" s="56"/>
      <c r="I25" s="56"/>
    </row>
  </sheetData>
  <mergeCells count="11">
    <mergeCell ref="A18:J18"/>
    <mergeCell ref="A19:J19"/>
    <mergeCell ref="A20:J20"/>
    <mergeCell ref="B24:C24"/>
    <mergeCell ref="D24:E24"/>
    <mergeCell ref="F24:G24"/>
    <mergeCell ref="H24:I24"/>
    <mergeCell ref="B25:C25"/>
    <mergeCell ref="D25:E25"/>
    <mergeCell ref="F25:G25"/>
    <mergeCell ref="H25:I25"/>
  </mergeCells>
  <pageMargins left="0.7" right="0.7" top="0.75" bottom="0.75" header="0.3" footer="0.3"/>
  <pageSetup paperSize="9"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1ACB-6D10-4289-8E46-4EF6DD1297B8}">
  <dimension ref="A1:N61"/>
  <sheetViews>
    <sheetView rightToLeft="1" tabSelected="1" view="pageBreakPreview" zoomScale="55" zoomScaleNormal="70" zoomScaleSheetLayoutView="55" workbookViewId="0">
      <selection activeCell="L25" sqref="L25"/>
    </sheetView>
  </sheetViews>
  <sheetFormatPr defaultColWidth="9.140625" defaultRowHeight="17.25" x14ac:dyDescent="0.25"/>
  <cols>
    <col min="1" max="1" width="39.5703125" style="13" customWidth="1"/>
    <col min="2" max="2" width="13.140625" style="13" customWidth="1"/>
    <col min="3" max="3" width="15.85546875" style="13" customWidth="1"/>
    <col min="4" max="4" width="16.42578125" style="13" customWidth="1"/>
    <col min="5" max="6" width="11" style="13" customWidth="1"/>
    <col min="7" max="7" width="14.140625" style="13" customWidth="1"/>
    <col min="8" max="8" width="11" style="13" customWidth="1"/>
    <col min="9" max="9" width="14.140625" style="13" customWidth="1"/>
    <col min="10" max="10" width="13.140625" style="13" customWidth="1"/>
    <col min="11" max="11" width="12.85546875" style="13" customWidth="1"/>
    <col min="12" max="12" width="15.85546875" style="13" customWidth="1"/>
    <col min="13" max="13" width="16.42578125" style="13" customWidth="1"/>
    <col min="14" max="14" width="13.42578125" style="13" customWidth="1"/>
    <col min="15" max="16384" width="9.140625" style="13"/>
  </cols>
  <sheetData>
    <row r="1" spans="1:14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1" x14ac:dyDescent="0.25">
      <c r="A2" s="64" t="s">
        <v>33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ht="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1" x14ac:dyDescent="0.25">
      <c r="A5" s="65" t="s">
        <v>116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 spans="1:14" ht="21" x14ac:dyDescent="0.25">
      <c r="A6" s="65" t="s">
        <v>115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8" spans="1:14" ht="18.75" customHeight="1" thickBot="1" x14ac:dyDescent="0.3">
      <c r="A8" s="16"/>
      <c r="B8" s="66" t="s">
        <v>45</v>
      </c>
      <c r="C8" s="66"/>
      <c r="D8" s="66"/>
      <c r="E8" s="38"/>
      <c r="F8" s="67" t="s">
        <v>56</v>
      </c>
      <c r="G8" s="67"/>
      <c r="H8" s="67"/>
      <c r="I8" s="67"/>
      <c r="J8" s="66" t="s">
        <v>44</v>
      </c>
      <c r="K8" s="66"/>
      <c r="L8" s="66"/>
      <c r="M8" s="66"/>
      <c r="N8" s="66"/>
    </row>
    <row r="9" spans="1:14" ht="17.25" customHeight="1" x14ac:dyDescent="0.25">
      <c r="A9" s="68" t="s">
        <v>1</v>
      </c>
      <c r="B9" s="69" t="s">
        <v>3</v>
      </c>
      <c r="C9" s="69" t="s">
        <v>0</v>
      </c>
      <c r="D9" s="59" t="s">
        <v>11</v>
      </c>
      <c r="E9" s="63" t="s">
        <v>57</v>
      </c>
      <c r="F9" s="63"/>
      <c r="G9" s="63"/>
      <c r="H9" s="63" t="s">
        <v>58</v>
      </c>
      <c r="I9" s="63"/>
      <c r="J9" s="61" t="s">
        <v>3</v>
      </c>
      <c r="K9" s="59" t="s">
        <v>114</v>
      </c>
      <c r="L9" s="61" t="s">
        <v>0</v>
      </c>
      <c r="M9" s="59" t="s">
        <v>11</v>
      </c>
      <c r="N9" s="59" t="s">
        <v>113</v>
      </c>
    </row>
    <row r="10" spans="1:14" ht="20.25" customHeight="1" thickBot="1" x14ac:dyDescent="0.3">
      <c r="A10" s="60"/>
      <c r="B10" s="62"/>
      <c r="C10" s="62"/>
      <c r="D10" s="60"/>
      <c r="E10" s="11" t="s">
        <v>112</v>
      </c>
      <c r="F10" s="12" t="s">
        <v>3</v>
      </c>
      <c r="G10" s="12" t="s">
        <v>0</v>
      </c>
      <c r="H10" s="12" t="s">
        <v>3</v>
      </c>
      <c r="I10" s="12" t="s">
        <v>32</v>
      </c>
      <c r="J10" s="62"/>
      <c r="K10" s="60"/>
      <c r="L10" s="62"/>
      <c r="M10" s="60"/>
      <c r="N10" s="60"/>
    </row>
    <row r="11" spans="1:14" x14ac:dyDescent="0.25">
      <c r="A11" s="6" t="s">
        <v>111</v>
      </c>
      <c r="B11" s="15">
        <v>1600000</v>
      </c>
      <c r="C11" s="15">
        <v>10423704772</v>
      </c>
      <c r="D11" s="15">
        <v>9367028800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1600000</v>
      </c>
      <c r="K11" s="15">
        <v>10190</v>
      </c>
      <c r="L11" s="15">
        <v>10423704772</v>
      </c>
      <c r="M11" s="15">
        <v>16177970080</v>
      </c>
      <c r="N11" s="7">
        <v>7.1586426416737885E-3</v>
      </c>
    </row>
    <row r="12" spans="1:14" x14ac:dyDescent="0.25">
      <c r="A12" s="6" t="s">
        <v>110</v>
      </c>
      <c r="B12" s="15">
        <v>837500</v>
      </c>
      <c r="C12" s="15">
        <v>3625046848</v>
      </c>
      <c r="D12" s="15">
        <v>3423827635</v>
      </c>
      <c r="E12" s="15">
        <v>0</v>
      </c>
      <c r="F12" s="15">
        <v>0</v>
      </c>
      <c r="G12" s="15">
        <v>0</v>
      </c>
      <c r="H12" s="15">
        <v>837500</v>
      </c>
      <c r="I12" s="15">
        <v>3812916154</v>
      </c>
      <c r="J12" s="15">
        <v>0</v>
      </c>
      <c r="K12" s="15">
        <v>0</v>
      </c>
      <c r="L12" s="15">
        <v>0</v>
      </c>
      <c r="M12" s="15">
        <v>0</v>
      </c>
      <c r="N12" s="7">
        <v>0</v>
      </c>
    </row>
    <row r="13" spans="1:14" x14ac:dyDescent="0.25">
      <c r="A13" s="6" t="s">
        <v>109</v>
      </c>
      <c r="B13" s="15">
        <v>9890291</v>
      </c>
      <c r="C13" s="15">
        <v>14099676972</v>
      </c>
      <c r="D13" s="15">
        <v>21060498603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9890291</v>
      </c>
      <c r="K13" s="15">
        <v>3597</v>
      </c>
      <c r="L13" s="15">
        <v>14099676972</v>
      </c>
      <c r="M13" s="15">
        <v>35300379065</v>
      </c>
      <c r="N13" s="7">
        <v>1.5620179638875789E-2</v>
      </c>
    </row>
    <row r="14" spans="1:14" x14ac:dyDescent="0.25">
      <c r="A14" s="6" t="s">
        <v>108</v>
      </c>
      <c r="B14" s="15">
        <v>43438000</v>
      </c>
      <c r="C14" s="15">
        <v>14441147939</v>
      </c>
      <c r="D14" s="15">
        <v>19870125384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43438000</v>
      </c>
      <c r="K14" s="15">
        <v>576</v>
      </c>
      <c r="L14" s="15">
        <v>14441147939</v>
      </c>
      <c r="M14" s="15">
        <v>24826881174</v>
      </c>
      <c r="N14" s="7">
        <v>1.0985727464762663E-2</v>
      </c>
    </row>
    <row r="15" spans="1:14" x14ac:dyDescent="0.25">
      <c r="A15" s="6" t="s">
        <v>107</v>
      </c>
      <c r="B15" s="15">
        <v>0</v>
      </c>
      <c r="C15" s="15">
        <v>0</v>
      </c>
      <c r="D15" s="15">
        <v>0</v>
      </c>
      <c r="E15" s="15">
        <v>0</v>
      </c>
      <c r="F15" s="15">
        <v>10000000</v>
      </c>
      <c r="G15" s="15">
        <v>31095618483</v>
      </c>
      <c r="H15" s="15">
        <v>0</v>
      </c>
      <c r="I15" s="15">
        <v>0</v>
      </c>
      <c r="J15" s="15">
        <v>10000000</v>
      </c>
      <c r="K15" s="15">
        <v>3146</v>
      </c>
      <c r="L15" s="15">
        <v>31095618483</v>
      </c>
      <c r="M15" s="15">
        <v>31216814200</v>
      </c>
      <c r="N15" s="7">
        <v>1.3813229729333746E-2</v>
      </c>
    </row>
    <row r="16" spans="1:14" x14ac:dyDescent="0.25">
      <c r="A16" s="6" t="s">
        <v>106</v>
      </c>
      <c r="B16" s="15">
        <v>57834569</v>
      </c>
      <c r="C16" s="15">
        <v>37151376867</v>
      </c>
      <c r="D16" s="15">
        <v>54001644823</v>
      </c>
      <c r="E16" s="15">
        <v>0</v>
      </c>
      <c r="F16" s="15">
        <v>122000000</v>
      </c>
      <c r="G16" s="15">
        <v>140184457815</v>
      </c>
      <c r="H16" s="15">
        <v>17696790</v>
      </c>
      <c r="I16" s="15">
        <v>18135526422</v>
      </c>
      <c r="J16" s="15">
        <v>162137779</v>
      </c>
      <c r="K16" s="15">
        <v>1326</v>
      </c>
      <c r="L16" s="15">
        <v>159884934984</v>
      </c>
      <c r="M16" s="15">
        <v>213332785962</v>
      </c>
      <c r="N16" s="7">
        <v>9.4398318880723295E-2</v>
      </c>
    </row>
    <row r="17" spans="1:14" x14ac:dyDescent="0.25">
      <c r="A17" s="6" t="s">
        <v>105</v>
      </c>
      <c r="B17" s="15">
        <v>0</v>
      </c>
      <c r="C17" s="15">
        <v>0</v>
      </c>
      <c r="D17" s="15">
        <v>0</v>
      </c>
      <c r="E17" s="15">
        <v>0</v>
      </c>
      <c r="F17" s="15">
        <v>2000000</v>
      </c>
      <c r="G17" s="15">
        <v>15400918958</v>
      </c>
      <c r="H17" s="15">
        <v>0</v>
      </c>
      <c r="I17" s="15">
        <v>0</v>
      </c>
      <c r="J17" s="15">
        <v>2000000</v>
      </c>
      <c r="K17" s="15">
        <v>7570</v>
      </c>
      <c r="L17" s="15">
        <v>15400918958</v>
      </c>
      <c r="M17" s="15">
        <v>15022967800</v>
      </c>
      <c r="N17" s="7">
        <v>6.6475619231440852E-3</v>
      </c>
    </row>
    <row r="18" spans="1:14" x14ac:dyDescent="0.25">
      <c r="A18" s="6" t="s">
        <v>104</v>
      </c>
      <c r="B18" s="15">
        <v>7098876</v>
      </c>
      <c r="C18" s="15">
        <v>12960187856</v>
      </c>
      <c r="D18" s="15">
        <v>12742599055</v>
      </c>
      <c r="E18" s="15">
        <v>394382</v>
      </c>
      <c r="F18" s="15">
        <v>0</v>
      </c>
      <c r="G18" s="15">
        <v>0</v>
      </c>
      <c r="H18" s="15">
        <v>0</v>
      </c>
      <c r="I18" s="15">
        <v>0</v>
      </c>
      <c r="J18" s="15">
        <v>7493258</v>
      </c>
      <c r="K18" s="15">
        <v>2227</v>
      </c>
      <c r="L18" s="15">
        <v>13680198292</v>
      </c>
      <c r="M18" s="15">
        <v>16558491303</v>
      </c>
      <c r="N18" s="7">
        <v>7.3270207162752015E-3</v>
      </c>
    </row>
    <row r="19" spans="1:14" x14ac:dyDescent="0.25">
      <c r="A19" s="6" t="s">
        <v>103</v>
      </c>
      <c r="B19" s="15">
        <v>394382</v>
      </c>
      <c r="C19" s="15">
        <v>325628436</v>
      </c>
      <c r="D19" s="15">
        <v>316588743</v>
      </c>
      <c r="E19" s="15">
        <v>-394382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7">
        <v>0</v>
      </c>
    </row>
    <row r="20" spans="1:14" x14ac:dyDescent="0.25">
      <c r="A20" s="6" t="s">
        <v>102</v>
      </c>
      <c r="B20" s="15">
        <v>0</v>
      </c>
      <c r="C20" s="15">
        <v>0</v>
      </c>
      <c r="D20" s="15">
        <v>0</v>
      </c>
      <c r="E20" s="15">
        <v>0</v>
      </c>
      <c r="F20" s="15">
        <v>200000</v>
      </c>
      <c r="G20" s="15">
        <v>3135267771</v>
      </c>
      <c r="H20" s="15">
        <v>0</v>
      </c>
      <c r="I20" s="15">
        <v>0</v>
      </c>
      <c r="J20" s="15">
        <v>200000</v>
      </c>
      <c r="K20" s="15">
        <v>17040</v>
      </c>
      <c r="L20" s="15">
        <v>3135267771</v>
      </c>
      <c r="M20" s="15">
        <v>3381656160</v>
      </c>
      <c r="N20" s="7">
        <v>1.4963600418807822E-3</v>
      </c>
    </row>
    <row r="21" spans="1:14" x14ac:dyDescent="0.25">
      <c r="A21" s="6" t="s">
        <v>101</v>
      </c>
      <c r="B21" s="15">
        <v>0</v>
      </c>
      <c r="C21" s="15">
        <v>0</v>
      </c>
      <c r="D21" s="15">
        <v>0</v>
      </c>
      <c r="E21" s="15">
        <v>0</v>
      </c>
      <c r="F21" s="15">
        <v>870000</v>
      </c>
      <c r="G21" s="15">
        <v>15265254900</v>
      </c>
      <c r="H21" s="15">
        <v>0</v>
      </c>
      <c r="I21" s="15">
        <v>0</v>
      </c>
      <c r="J21" s="15">
        <v>870000</v>
      </c>
      <c r="K21" s="15">
        <v>18250</v>
      </c>
      <c r="L21" s="15">
        <v>15265432832</v>
      </c>
      <c r="M21" s="15">
        <v>15754766925</v>
      </c>
      <c r="N21" s="7">
        <v>6.9713781000475704E-3</v>
      </c>
    </row>
    <row r="22" spans="1:14" x14ac:dyDescent="0.25">
      <c r="A22" s="6" t="s">
        <v>100</v>
      </c>
      <c r="B22" s="15">
        <v>19999000</v>
      </c>
      <c r="C22" s="15">
        <v>29339691582</v>
      </c>
      <c r="D22" s="15">
        <v>31751052368</v>
      </c>
      <c r="E22" s="15">
        <v>0</v>
      </c>
      <c r="F22" s="15">
        <v>66001000</v>
      </c>
      <c r="G22" s="15">
        <v>124989463314</v>
      </c>
      <c r="H22" s="15">
        <v>20000000</v>
      </c>
      <c r="I22" s="15">
        <v>41933330532</v>
      </c>
      <c r="J22" s="15">
        <v>66000000</v>
      </c>
      <c r="K22" s="15">
        <v>2049</v>
      </c>
      <c r="L22" s="15">
        <v>118438653757</v>
      </c>
      <c r="M22" s="15">
        <v>134188641180</v>
      </c>
      <c r="N22" s="7">
        <v>5.937756863371646E-2</v>
      </c>
    </row>
    <row r="23" spans="1:14" x14ac:dyDescent="0.25">
      <c r="A23" s="6" t="s">
        <v>99</v>
      </c>
      <c r="B23" s="15">
        <v>350000</v>
      </c>
      <c r="C23" s="15">
        <v>8636181592</v>
      </c>
      <c r="D23" s="15">
        <v>12315062970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350000</v>
      </c>
      <c r="K23" s="15">
        <v>62040</v>
      </c>
      <c r="L23" s="15">
        <v>8636181592</v>
      </c>
      <c r="M23" s="15">
        <v>21546150780</v>
      </c>
      <c r="N23" s="7">
        <v>9.5340263936030817E-3</v>
      </c>
    </row>
    <row r="24" spans="1:14" x14ac:dyDescent="0.25">
      <c r="A24" s="6" t="s">
        <v>98</v>
      </c>
      <c r="B24" s="15">
        <v>2383333</v>
      </c>
      <c r="C24" s="15">
        <v>17921506195</v>
      </c>
      <c r="D24" s="15">
        <v>23649098359</v>
      </c>
      <c r="E24" s="15">
        <v>800000</v>
      </c>
      <c r="F24" s="15">
        <v>1750000</v>
      </c>
      <c r="G24" s="15">
        <v>24349695150</v>
      </c>
      <c r="H24" s="15">
        <v>0</v>
      </c>
      <c r="I24" s="15">
        <v>0</v>
      </c>
      <c r="J24" s="15">
        <v>4933333</v>
      </c>
      <c r="K24" s="15">
        <v>14240</v>
      </c>
      <c r="L24" s="15">
        <v>48286812657</v>
      </c>
      <c r="M24" s="15">
        <v>69707624303</v>
      </c>
      <c r="N24" s="7">
        <v>3.0845153583398885E-2</v>
      </c>
    </row>
    <row r="25" spans="1:14" x14ac:dyDescent="0.25">
      <c r="A25" s="6" t="s">
        <v>97</v>
      </c>
      <c r="B25" s="15">
        <v>800000</v>
      </c>
      <c r="C25" s="15">
        <v>5215611313</v>
      </c>
      <c r="D25" s="15">
        <v>7144344000</v>
      </c>
      <c r="E25" s="15">
        <v>-800000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7">
        <v>0</v>
      </c>
    </row>
    <row r="26" spans="1:14" x14ac:dyDescent="0.25">
      <c r="A26" s="6" t="s">
        <v>96</v>
      </c>
      <c r="B26" s="15">
        <v>3299000</v>
      </c>
      <c r="C26" s="15">
        <v>28070767641</v>
      </c>
      <c r="D26" s="15">
        <v>35563290203</v>
      </c>
      <c r="E26" s="15">
        <v>0</v>
      </c>
      <c r="F26" s="15">
        <v>4501000</v>
      </c>
      <c r="G26" s="15">
        <v>73744046534</v>
      </c>
      <c r="H26" s="15">
        <v>0</v>
      </c>
      <c r="I26" s="15">
        <v>0</v>
      </c>
      <c r="J26" s="15">
        <v>7800000</v>
      </c>
      <c r="K26" s="15">
        <v>15030</v>
      </c>
      <c r="L26" s="15">
        <v>101814812752</v>
      </c>
      <c r="M26" s="15">
        <v>116327781180</v>
      </c>
      <c r="N26" s="7">
        <v>5.1474258553360214E-2</v>
      </c>
    </row>
    <row r="27" spans="1:14" x14ac:dyDescent="0.25">
      <c r="A27" s="6" t="s">
        <v>95</v>
      </c>
      <c r="B27" s="15">
        <v>1100000</v>
      </c>
      <c r="C27" s="15">
        <v>18985514881</v>
      </c>
      <c r="D27" s="15">
        <v>18173425050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1100000</v>
      </c>
      <c r="K27" s="15">
        <v>28970</v>
      </c>
      <c r="L27" s="15">
        <v>18985514881</v>
      </c>
      <c r="M27" s="15">
        <v>31620668090</v>
      </c>
      <c r="N27" s="7">
        <v>1.3991932351706246E-2</v>
      </c>
    </row>
    <row r="28" spans="1:14" x14ac:dyDescent="0.25">
      <c r="A28" s="6" t="s">
        <v>94</v>
      </c>
      <c r="B28" s="15">
        <v>9200000</v>
      </c>
      <c r="C28" s="15">
        <v>49378139966</v>
      </c>
      <c r="D28" s="15">
        <v>76682625600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9200000</v>
      </c>
      <c r="K28" s="15">
        <v>12560</v>
      </c>
      <c r="L28" s="15">
        <v>49378139966</v>
      </c>
      <c r="M28" s="15">
        <v>114658783040</v>
      </c>
      <c r="N28" s="7">
        <v>5.0735738133629152E-2</v>
      </c>
    </row>
    <row r="29" spans="1:14" x14ac:dyDescent="0.25">
      <c r="A29" s="6" t="s">
        <v>93</v>
      </c>
      <c r="B29" s="15">
        <v>600000</v>
      </c>
      <c r="C29" s="15">
        <v>10079181611</v>
      </c>
      <c r="D29" s="15">
        <v>9490070280</v>
      </c>
      <c r="E29" s="15">
        <v>0</v>
      </c>
      <c r="F29" s="15">
        <v>1400000</v>
      </c>
      <c r="G29" s="15">
        <v>21066159183</v>
      </c>
      <c r="H29" s="15">
        <v>0</v>
      </c>
      <c r="I29" s="15">
        <v>0</v>
      </c>
      <c r="J29" s="15">
        <v>2000000</v>
      </c>
      <c r="K29" s="15">
        <v>17000</v>
      </c>
      <c r="L29" s="15">
        <v>31145340794</v>
      </c>
      <c r="M29" s="15">
        <v>33737180000</v>
      </c>
      <c r="N29" s="7">
        <v>1.492847459622846E-2</v>
      </c>
    </row>
    <row r="30" spans="1:14" x14ac:dyDescent="0.25">
      <c r="A30" s="6" t="s">
        <v>92</v>
      </c>
      <c r="B30" s="15">
        <v>22820100</v>
      </c>
      <c r="C30" s="15">
        <v>59176089105</v>
      </c>
      <c r="D30" s="15">
        <v>41370041046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22820100</v>
      </c>
      <c r="K30" s="15">
        <v>2088</v>
      </c>
      <c r="L30" s="15">
        <v>59176089105</v>
      </c>
      <c r="M30" s="15">
        <v>47280046909</v>
      </c>
      <c r="N30" s="7">
        <v>2.0921101858231674E-2</v>
      </c>
    </row>
    <row r="31" spans="1:14" x14ac:dyDescent="0.25">
      <c r="A31" s="6" t="s">
        <v>91</v>
      </c>
      <c r="B31" s="15">
        <v>0</v>
      </c>
      <c r="C31" s="15">
        <v>0</v>
      </c>
      <c r="D31" s="15">
        <v>0</v>
      </c>
      <c r="E31" s="15">
        <v>0</v>
      </c>
      <c r="F31" s="15">
        <v>20000000</v>
      </c>
      <c r="G31" s="15">
        <v>42483040215</v>
      </c>
      <c r="H31" s="15">
        <v>0</v>
      </c>
      <c r="I31" s="15">
        <v>0</v>
      </c>
      <c r="J31" s="15">
        <v>20000000</v>
      </c>
      <c r="K31" s="15">
        <v>2186</v>
      </c>
      <c r="L31" s="15">
        <v>42483040215</v>
      </c>
      <c r="M31" s="15">
        <v>43382044400</v>
      </c>
      <c r="N31" s="7">
        <v>1.9196262039620833E-2</v>
      </c>
    </row>
    <row r="32" spans="1:14" x14ac:dyDescent="0.25">
      <c r="A32" s="6" t="s">
        <v>90</v>
      </c>
      <c r="B32" s="15">
        <v>0</v>
      </c>
      <c r="C32" s="15">
        <v>0</v>
      </c>
      <c r="D32" s="15">
        <v>0</v>
      </c>
      <c r="E32" s="15">
        <v>0</v>
      </c>
      <c r="F32" s="15">
        <v>250000</v>
      </c>
      <c r="G32" s="15">
        <v>8923531600</v>
      </c>
      <c r="H32" s="15">
        <v>0</v>
      </c>
      <c r="I32" s="15">
        <v>0</v>
      </c>
      <c r="J32" s="15">
        <v>250000</v>
      </c>
      <c r="K32" s="15">
        <v>38650</v>
      </c>
      <c r="L32" s="15">
        <v>8923353585</v>
      </c>
      <c r="M32" s="15">
        <v>9587808875</v>
      </c>
      <c r="N32" s="7">
        <v>4.2425407584134557E-3</v>
      </c>
    </row>
    <row r="33" spans="1:14" x14ac:dyDescent="0.25">
      <c r="A33" s="6" t="s">
        <v>89</v>
      </c>
      <c r="B33" s="15">
        <v>401250</v>
      </c>
      <c r="C33" s="15">
        <v>3835363961</v>
      </c>
      <c r="D33" s="15">
        <v>5023437574</v>
      </c>
      <c r="E33" s="15">
        <v>0</v>
      </c>
      <c r="F33" s="15">
        <v>0</v>
      </c>
      <c r="G33" s="15">
        <v>0</v>
      </c>
      <c r="H33" s="15">
        <v>401250</v>
      </c>
      <c r="I33" s="15">
        <v>6217960939</v>
      </c>
      <c r="J33" s="15">
        <v>0</v>
      </c>
      <c r="K33" s="15">
        <v>0</v>
      </c>
      <c r="L33" s="15">
        <v>0</v>
      </c>
      <c r="M33" s="15">
        <v>0</v>
      </c>
      <c r="N33" s="7">
        <v>0</v>
      </c>
    </row>
    <row r="34" spans="1:14" x14ac:dyDescent="0.25">
      <c r="A34" s="6" t="s">
        <v>88</v>
      </c>
      <c r="B34" s="15">
        <v>800000</v>
      </c>
      <c r="C34" s="15">
        <v>11513575776</v>
      </c>
      <c r="D34" s="15">
        <v>9436884608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800000</v>
      </c>
      <c r="K34" s="15">
        <v>14860</v>
      </c>
      <c r="L34" s="15">
        <v>11513575776</v>
      </c>
      <c r="M34" s="15">
        <v>11796105760</v>
      </c>
      <c r="N34" s="7">
        <v>5.2196972352930573E-3</v>
      </c>
    </row>
    <row r="35" spans="1:14" x14ac:dyDescent="0.25">
      <c r="A35" s="6" t="s">
        <v>87</v>
      </c>
      <c r="B35" s="15">
        <v>1256499</v>
      </c>
      <c r="C35" s="15">
        <v>7948211844</v>
      </c>
      <c r="D35" s="15">
        <v>7667735516</v>
      </c>
      <c r="E35" s="15">
        <v>0</v>
      </c>
      <c r="F35" s="15">
        <v>0</v>
      </c>
      <c r="G35" s="15">
        <v>0</v>
      </c>
      <c r="H35" s="15">
        <v>1256499</v>
      </c>
      <c r="I35" s="15">
        <v>8354262824</v>
      </c>
      <c r="J35" s="15">
        <v>0</v>
      </c>
      <c r="K35" s="15">
        <v>0</v>
      </c>
      <c r="L35" s="15">
        <v>0</v>
      </c>
      <c r="M35" s="15">
        <v>0</v>
      </c>
      <c r="N35" s="7">
        <v>0</v>
      </c>
    </row>
    <row r="36" spans="1:14" x14ac:dyDescent="0.25">
      <c r="A36" s="6" t="s">
        <v>86</v>
      </c>
      <c r="B36" s="15">
        <v>1200000</v>
      </c>
      <c r="C36" s="15">
        <v>10450623609</v>
      </c>
      <c r="D36" s="15">
        <v>9251925480</v>
      </c>
      <c r="E36" s="15">
        <v>0</v>
      </c>
      <c r="F36" s="15">
        <v>6000000</v>
      </c>
      <c r="G36" s="15">
        <v>57272167454</v>
      </c>
      <c r="H36" s="15">
        <v>0</v>
      </c>
      <c r="I36" s="15">
        <v>0</v>
      </c>
      <c r="J36" s="15">
        <v>7200000</v>
      </c>
      <c r="K36" s="15">
        <v>11480</v>
      </c>
      <c r="L36" s="15">
        <v>67722791063</v>
      </c>
      <c r="M36" s="15">
        <v>82017069120</v>
      </c>
      <c r="N36" s="7">
        <v>3.6291999888995868E-2</v>
      </c>
    </row>
    <row r="37" spans="1:14" x14ac:dyDescent="0.25">
      <c r="A37" s="6" t="s">
        <v>85</v>
      </c>
      <c r="B37" s="15">
        <v>10200000</v>
      </c>
      <c r="C37" s="15">
        <v>43613294290</v>
      </c>
      <c r="D37" s="15">
        <v>144024021420</v>
      </c>
      <c r="E37" s="15">
        <v>0</v>
      </c>
      <c r="F37" s="15">
        <v>800000</v>
      </c>
      <c r="G37" s="15">
        <v>16418622959</v>
      </c>
      <c r="H37" s="15">
        <v>0</v>
      </c>
      <c r="I37" s="15">
        <v>0</v>
      </c>
      <c r="J37" s="15">
        <v>11000000</v>
      </c>
      <c r="K37" s="15">
        <v>22070</v>
      </c>
      <c r="L37" s="15">
        <v>60031917249</v>
      </c>
      <c r="M37" s="15">
        <v>240893387900</v>
      </c>
      <c r="N37" s="7">
        <v>0.10659369934489363</v>
      </c>
    </row>
    <row r="38" spans="1:14" x14ac:dyDescent="0.25">
      <c r="A38" s="6" t="s">
        <v>84</v>
      </c>
      <c r="B38" s="15">
        <v>13870541</v>
      </c>
      <c r="C38" s="15">
        <v>46975684774</v>
      </c>
      <c r="D38" s="15">
        <v>71294006500</v>
      </c>
      <c r="E38" s="15">
        <v>0</v>
      </c>
      <c r="F38" s="15">
        <v>200000</v>
      </c>
      <c r="G38" s="15">
        <v>1265361963</v>
      </c>
      <c r="H38" s="15">
        <v>0</v>
      </c>
      <c r="I38" s="15">
        <v>0</v>
      </c>
      <c r="J38" s="15">
        <v>14070541</v>
      </c>
      <c r="K38" s="15">
        <v>9160</v>
      </c>
      <c r="L38" s="15">
        <v>48241046737</v>
      </c>
      <c r="M38" s="15">
        <v>127889865578</v>
      </c>
      <c r="N38" s="7">
        <v>5.6590402914418025E-2</v>
      </c>
    </row>
    <row r="39" spans="1:14" x14ac:dyDescent="0.25">
      <c r="A39" s="6" t="s">
        <v>83</v>
      </c>
      <c r="B39" s="15">
        <v>5175000</v>
      </c>
      <c r="C39" s="15">
        <v>20373014627</v>
      </c>
      <c r="D39" s="15">
        <v>35636880915</v>
      </c>
      <c r="E39" s="15">
        <v>0</v>
      </c>
      <c r="F39" s="15">
        <v>100000</v>
      </c>
      <c r="G39" s="15">
        <v>1165095563</v>
      </c>
      <c r="H39" s="15">
        <v>0</v>
      </c>
      <c r="I39" s="15">
        <v>0</v>
      </c>
      <c r="J39" s="15">
        <v>5275000</v>
      </c>
      <c r="K39" s="15">
        <v>11590</v>
      </c>
      <c r="L39" s="15">
        <v>21538110190</v>
      </c>
      <c r="M39" s="15">
        <v>60664659057</v>
      </c>
      <c r="N39" s="7">
        <v>2.6843702455904294E-2</v>
      </c>
    </row>
    <row r="40" spans="1:14" x14ac:dyDescent="0.25">
      <c r="A40" s="6" t="s">
        <v>82</v>
      </c>
      <c r="B40" s="15">
        <v>200000</v>
      </c>
      <c r="C40" s="15">
        <v>3358420121</v>
      </c>
      <c r="D40" s="15">
        <v>5137974060</v>
      </c>
      <c r="E40" s="15">
        <v>0</v>
      </c>
      <c r="F40" s="15">
        <v>100000</v>
      </c>
      <c r="G40" s="15">
        <v>3187468856</v>
      </c>
      <c r="H40" s="15">
        <v>0</v>
      </c>
      <c r="I40" s="15">
        <v>0</v>
      </c>
      <c r="J40" s="15">
        <v>300000</v>
      </c>
      <c r="K40" s="15">
        <v>43580</v>
      </c>
      <c r="L40" s="15">
        <v>6545888977</v>
      </c>
      <c r="M40" s="15">
        <v>12972937980</v>
      </c>
      <c r="N40" s="7">
        <v>5.7404375550320847E-3</v>
      </c>
    </row>
    <row r="41" spans="1:14" x14ac:dyDescent="0.25">
      <c r="A41" s="6" t="s">
        <v>81</v>
      </c>
      <c r="B41" s="15">
        <v>5684430</v>
      </c>
      <c r="C41" s="15">
        <v>9384679990</v>
      </c>
      <c r="D41" s="15">
        <v>17440393089</v>
      </c>
      <c r="E41" s="15">
        <v>0</v>
      </c>
      <c r="F41" s="15">
        <v>0</v>
      </c>
      <c r="G41" s="15">
        <v>0</v>
      </c>
      <c r="H41" s="15">
        <v>1</v>
      </c>
      <c r="I41" s="15">
        <v>1</v>
      </c>
      <c r="J41" s="15">
        <v>5684429</v>
      </c>
      <c r="K41" s="15">
        <v>5180</v>
      </c>
      <c r="L41" s="15">
        <v>9384678339</v>
      </c>
      <c r="M41" s="15">
        <v>29217729725</v>
      </c>
      <c r="N41" s="7">
        <v>1.2928648332763191E-2</v>
      </c>
    </row>
    <row r="42" spans="1:14" x14ac:dyDescent="0.25">
      <c r="A42" s="6" t="s">
        <v>80</v>
      </c>
      <c r="B42" s="15">
        <v>1450000</v>
      </c>
      <c r="C42" s="15">
        <v>23576293653</v>
      </c>
      <c r="D42" s="15">
        <v>31089406732</v>
      </c>
      <c r="E42" s="15">
        <v>0</v>
      </c>
      <c r="F42" s="15">
        <v>1361149</v>
      </c>
      <c r="G42" s="15">
        <v>40307560588</v>
      </c>
      <c r="H42" s="15">
        <v>0</v>
      </c>
      <c r="I42" s="15">
        <v>0</v>
      </c>
      <c r="J42" s="15">
        <v>2811149</v>
      </c>
      <c r="K42" s="15">
        <v>28950</v>
      </c>
      <c r="L42" s="15">
        <v>63883854194</v>
      </c>
      <c r="M42" s="15">
        <v>80753674788</v>
      </c>
      <c r="N42" s="7">
        <v>3.5732956418549289E-2</v>
      </c>
    </row>
    <row r="43" spans="1:14" x14ac:dyDescent="0.25">
      <c r="A43" s="6" t="s">
        <v>79</v>
      </c>
      <c r="B43" s="15">
        <v>2000000</v>
      </c>
      <c r="C43" s="15">
        <v>18890189691</v>
      </c>
      <c r="D43" s="15">
        <v>16352609600</v>
      </c>
      <c r="E43" s="15">
        <v>0</v>
      </c>
      <c r="F43" s="15">
        <v>1000000</v>
      </c>
      <c r="G43" s="15">
        <v>9976506772</v>
      </c>
      <c r="H43" s="15">
        <v>0</v>
      </c>
      <c r="I43" s="15">
        <v>0</v>
      </c>
      <c r="J43" s="15">
        <v>3000000</v>
      </c>
      <c r="K43" s="15">
        <v>11630</v>
      </c>
      <c r="L43" s="15">
        <v>28866696331</v>
      </c>
      <c r="M43" s="15">
        <v>34620300300</v>
      </c>
      <c r="N43" s="7">
        <v>1.5319249372423852E-2</v>
      </c>
    </row>
    <row r="44" spans="1:14" x14ac:dyDescent="0.25">
      <c r="A44" s="6" t="s">
        <v>78</v>
      </c>
      <c r="B44" s="15">
        <v>454</v>
      </c>
      <c r="C44" s="15">
        <v>19762080</v>
      </c>
      <c r="D44" s="15">
        <v>23740854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454</v>
      </c>
      <c r="K44" s="15">
        <v>66680</v>
      </c>
      <c r="L44" s="15">
        <v>19762080</v>
      </c>
      <c r="M44" s="15">
        <v>30038712</v>
      </c>
      <c r="N44" s="7">
        <v>1.32919274520106E-5</v>
      </c>
    </row>
    <row r="45" spans="1:14" x14ac:dyDescent="0.25">
      <c r="A45" s="6" t="s">
        <v>77</v>
      </c>
      <c r="B45" s="15">
        <v>200000</v>
      </c>
      <c r="C45" s="15">
        <v>8564224465</v>
      </c>
      <c r="D45" s="15">
        <v>6953828160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200000</v>
      </c>
      <c r="K45" s="15">
        <v>39250</v>
      </c>
      <c r="L45" s="15">
        <v>8564224465</v>
      </c>
      <c r="M45" s="15">
        <v>7789319500</v>
      </c>
      <c r="N45" s="7">
        <v>3.4467213405998064E-3</v>
      </c>
    </row>
    <row r="46" spans="1:14" x14ac:dyDescent="0.25">
      <c r="A46" s="6" t="s">
        <v>76</v>
      </c>
      <c r="B46" s="15">
        <v>750000</v>
      </c>
      <c r="C46" s="15">
        <v>28756148835</v>
      </c>
      <c r="D46" s="15">
        <v>36156334260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750000</v>
      </c>
      <c r="K46" s="15">
        <v>68850</v>
      </c>
      <c r="L46" s="15">
        <v>28756148835</v>
      </c>
      <c r="M46" s="15">
        <v>51238342125</v>
      </c>
      <c r="N46" s="7">
        <v>2.2672620793021975E-2</v>
      </c>
    </row>
    <row r="47" spans="1:14" x14ac:dyDescent="0.25">
      <c r="A47" s="6" t="s">
        <v>75</v>
      </c>
      <c r="B47" s="15">
        <v>450000</v>
      </c>
      <c r="C47" s="15">
        <v>11771082508</v>
      </c>
      <c r="D47" s="15">
        <v>16289104320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450000</v>
      </c>
      <c r="K47" s="15">
        <v>58650</v>
      </c>
      <c r="L47" s="15">
        <v>11771082508</v>
      </c>
      <c r="M47" s="15">
        <v>26188485975</v>
      </c>
      <c r="N47" s="7">
        <v>1.1588228405322342E-2</v>
      </c>
    </row>
    <row r="48" spans="1:14" x14ac:dyDescent="0.25">
      <c r="A48" s="6" t="s">
        <v>74</v>
      </c>
      <c r="B48" s="15">
        <v>3000000</v>
      </c>
      <c r="C48" s="15">
        <v>8292444580</v>
      </c>
      <c r="D48" s="15">
        <v>6525167520</v>
      </c>
      <c r="E48" s="15">
        <v>441130</v>
      </c>
      <c r="F48" s="15">
        <v>0</v>
      </c>
      <c r="G48" s="15">
        <v>0</v>
      </c>
      <c r="H48" s="15">
        <v>0</v>
      </c>
      <c r="I48" s="15">
        <v>0</v>
      </c>
      <c r="J48" s="15">
        <v>3441130</v>
      </c>
      <c r="K48" s="15">
        <v>2732</v>
      </c>
      <c r="L48" s="15">
        <v>8292444580</v>
      </c>
      <c r="M48" s="15">
        <v>9328496138</v>
      </c>
      <c r="N48" s="7">
        <v>4.1277966213284067E-3</v>
      </c>
    </row>
    <row r="49" spans="1:14" x14ac:dyDescent="0.25">
      <c r="A49" s="6" t="s">
        <v>73</v>
      </c>
      <c r="B49" s="15">
        <v>4671455</v>
      </c>
      <c r="C49" s="15">
        <v>18239142954</v>
      </c>
      <c r="D49" s="15">
        <v>48328103351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4671455</v>
      </c>
      <c r="K49" s="15">
        <v>12920</v>
      </c>
      <c r="L49" s="15">
        <v>18239142954</v>
      </c>
      <c r="M49" s="15">
        <v>59888652915</v>
      </c>
      <c r="N49" s="7">
        <v>2.6500324972150043E-2</v>
      </c>
    </row>
    <row r="50" spans="1:14" x14ac:dyDescent="0.25">
      <c r="A50" s="6" t="s">
        <v>72</v>
      </c>
      <c r="B50" s="15">
        <v>1200000</v>
      </c>
      <c r="C50" s="15">
        <v>20469168747</v>
      </c>
      <c r="D50" s="15">
        <v>18070427424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1200000</v>
      </c>
      <c r="K50" s="15">
        <v>25780</v>
      </c>
      <c r="L50" s="15">
        <v>20469168747</v>
      </c>
      <c r="M50" s="15">
        <v>30696864720</v>
      </c>
      <c r="N50" s="7">
        <v>1.358315559143893E-2</v>
      </c>
    </row>
    <row r="51" spans="1:14" x14ac:dyDescent="0.25">
      <c r="A51" s="6" t="s">
        <v>71</v>
      </c>
      <c r="B51" s="15">
        <v>400000</v>
      </c>
      <c r="C51" s="15">
        <v>21168002484</v>
      </c>
      <c r="D51" s="15">
        <v>42310392800</v>
      </c>
      <c r="E51" s="15">
        <v>0</v>
      </c>
      <c r="F51" s="15">
        <v>400000</v>
      </c>
      <c r="G51" s="15">
        <v>49648108093</v>
      </c>
      <c r="H51" s="15">
        <v>0</v>
      </c>
      <c r="I51" s="15">
        <v>0</v>
      </c>
      <c r="J51" s="15">
        <v>800000</v>
      </c>
      <c r="K51" s="15">
        <v>131900</v>
      </c>
      <c r="L51" s="15">
        <v>70816110577</v>
      </c>
      <c r="M51" s="15">
        <v>104704330400</v>
      </c>
      <c r="N51" s="7">
        <v>4.6330959982177268E-2</v>
      </c>
    </row>
    <row r="52" spans="1:14" x14ac:dyDescent="0.25">
      <c r="A52" s="6" t="s">
        <v>70</v>
      </c>
      <c r="B52" s="15">
        <v>6338333</v>
      </c>
      <c r="C52" s="15">
        <v>17199552966</v>
      </c>
      <c r="D52" s="15">
        <v>14308243235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6338333</v>
      </c>
      <c r="K52" s="15">
        <v>2400</v>
      </c>
      <c r="L52" s="15">
        <v>16125784778</v>
      </c>
      <c r="M52" s="15">
        <v>15094410446</v>
      </c>
      <c r="N52" s="7">
        <v>6.6791748121258652E-3</v>
      </c>
    </row>
    <row r="53" spans="1:14" x14ac:dyDescent="0.25">
      <c r="A53" s="6" t="s">
        <v>69</v>
      </c>
      <c r="B53" s="15">
        <v>0</v>
      </c>
      <c r="C53" s="15">
        <v>0</v>
      </c>
      <c r="D53" s="15">
        <v>0</v>
      </c>
      <c r="E53" s="15">
        <v>695370</v>
      </c>
      <c r="F53" s="15">
        <v>0</v>
      </c>
      <c r="G53" s="15">
        <v>0</v>
      </c>
      <c r="H53" s="15">
        <v>0</v>
      </c>
      <c r="I53" s="15">
        <v>0</v>
      </c>
      <c r="J53" s="15">
        <v>695370</v>
      </c>
      <c r="K53" s="15">
        <v>1400</v>
      </c>
      <c r="L53" s="15">
        <v>1073768188</v>
      </c>
      <c r="M53" s="15">
        <v>965992706</v>
      </c>
      <c r="N53" s="7">
        <v>4.274452568846296E-4</v>
      </c>
    </row>
    <row r="54" spans="1:14" ht="18" thickBot="1" x14ac:dyDescent="0.3">
      <c r="A54" s="6" t="s">
        <v>2</v>
      </c>
      <c r="B54" s="15"/>
      <c r="C54" s="8">
        <f>SUM(C11:C53)</f>
        <v>654228335531</v>
      </c>
      <c r="D54" s="8">
        <f>SUM(D11:D53)</f>
        <v>918241940337</v>
      </c>
      <c r="E54" s="15"/>
      <c r="F54" s="15"/>
      <c r="G54" s="8">
        <f>SUM(G11:G53)</f>
        <v>679878346171</v>
      </c>
      <c r="H54" s="15"/>
      <c r="I54" s="8">
        <f>SUM(I11:I53)</f>
        <v>78453996872</v>
      </c>
      <c r="J54" s="15"/>
      <c r="K54" s="14"/>
      <c r="L54" s="8">
        <f>SUM(L11:L53)</f>
        <v>1266551036875</v>
      </c>
      <c r="M54" s="8">
        <f>SUM(M11:M53)</f>
        <v>1980360105271</v>
      </c>
      <c r="N54" s="9">
        <f>SUM(N11:N53)</f>
        <v>0.8762959892594</v>
      </c>
    </row>
    <row r="55" spans="1:14" ht="18" thickTop="1" x14ac:dyDescent="0.25"/>
    <row r="57" spans="1:14" x14ac:dyDescent="0.15">
      <c r="D57" s="41"/>
    </row>
    <row r="58" spans="1:14" x14ac:dyDescent="0.15">
      <c r="D58" s="41"/>
    </row>
    <row r="59" spans="1:14" x14ac:dyDescent="0.25">
      <c r="D59" s="42"/>
    </row>
    <row r="60" spans="1:14" x14ac:dyDescent="0.15">
      <c r="D60" s="41"/>
    </row>
    <row r="61" spans="1:14" x14ac:dyDescent="0.25">
      <c r="D61" s="42"/>
    </row>
  </sheetData>
  <mergeCells count="19">
    <mergeCell ref="N9:N10"/>
    <mergeCell ref="H9:I9"/>
    <mergeCell ref="J9:J10"/>
    <mergeCell ref="K9:K10"/>
    <mergeCell ref="L9:L10"/>
    <mergeCell ref="E9:G9"/>
    <mergeCell ref="D9:D10"/>
    <mergeCell ref="A1:N1"/>
    <mergeCell ref="A2:N2"/>
    <mergeCell ref="A3:N3"/>
    <mergeCell ref="A5:N5"/>
    <mergeCell ref="A6:N6"/>
    <mergeCell ref="B8:D8"/>
    <mergeCell ref="F8:I8"/>
    <mergeCell ref="J8:N8"/>
    <mergeCell ref="A9:A10"/>
    <mergeCell ref="B9:B10"/>
    <mergeCell ref="C9:C10"/>
    <mergeCell ref="M9:M10"/>
  </mergeCells>
  <pageMargins left="0.7" right="0.7" top="0.75" bottom="0.75" header="0.3" footer="0.3"/>
  <pageSetup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A477-7C80-4ED9-A961-4580BBC7EA6A}">
  <dimension ref="A1:M33"/>
  <sheetViews>
    <sheetView rightToLeft="1" tabSelected="1" view="pageBreakPreview" zoomScale="85" zoomScaleNormal="100" zoomScaleSheetLayoutView="85" workbookViewId="0">
      <selection activeCell="L25" sqref="L25"/>
    </sheetView>
  </sheetViews>
  <sheetFormatPr defaultColWidth="9.140625" defaultRowHeight="17.25" x14ac:dyDescent="0.25"/>
  <cols>
    <col min="1" max="1" width="43.28515625" style="13" customWidth="1"/>
    <col min="2" max="2" width="18.140625" style="13" customWidth="1"/>
    <col min="3" max="3" width="12" style="13" customWidth="1"/>
    <col min="4" max="4" width="12.42578125" style="13" customWidth="1"/>
    <col min="5" max="5" width="13.7109375" style="13" customWidth="1"/>
    <col min="6" max="6" width="12.5703125" style="13" customWidth="1"/>
    <col min="7" max="7" width="13.85546875" style="13" customWidth="1"/>
    <col min="8" max="8" width="15.28515625" style="13" customWidth="1"/>
    <col min="9" max="9" width="12.28515625" style="13" customWidth="1"/>
    <col min="10" max="10" width="12.42578125" style="13" customWidth="1"/>
    <col min="11" max="11" width="11.7109375" style="13" customWidth="1"/>
    <col min="12" max="12" width="13.28515625" style="13" customWidth="1"/>
    <col min="13" max="13" width="13.140625" style="13" customWidth="1"/>
    <col min="14" max="16384" width="9.140625" style="13"/>
  </cols>
  <sheetData>
    <row r="1" spans="1:13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1" x14ac:dyDescent="0.25">
      <c r="A2" s="64" t="s">
        <v>33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ht="21" x14ac:dyDescent="0.25">
      <c r="A4" s="3"/>
      <c r="B4" s="3"/>
      <c r="C4" s="3"/>
      <c r="D4" s="3"/>
      <c r="E4" s="3"/>
      <c r="F4" s="3"/>
      <c r="G4" s="3"/>
      <c r="H4" s="3"/>
      <c r="I4" s="3"/>
    </row>
    <row r="5" spans="1:13" ht="21" x14ac:dyDescent="0.25">
      <c r="A5" s="26" t="s">
        <v>140</v>
      </c>
      <c r="B5" s="44"/>
      <c r="C5" s="44"/>
      <c r="D5" s="44"/>
      <c r="E5" s="44"/>
      <c r="F5" s="44"/>
      <c r="G5" s="44"/>
      <c r="H5" s="44"/>
      <c r="I5" s="44"/>
    </row>
    <row r="6" spans="1:13" ht="21" x14ac:dyDescent="0.25">
      <c r="A6" s="26"/>
      <c r="B6" s="44"/>
      <c r="C6" s="44"/>
      <c r="D6" s="44"/>
      <c r="E6" s="44"/>
      <c r="F6" s="44"/>
      <c r="G6" s="44"/>
      <c r="H6" s="44"/>
      <c r="I6" s="44"/>
    </row>
    <row r="7" spans="1:13" ht="18" thickBot="1" x14ac:dyDescent="0.3">
      <c r="A7" s="45"/>
      <c r="B7" s="70" t="s">
        <v>45</v>
      </c>
      <c r="C7" s="70"/>
      <c r="D7" s="70"/>
      <c r="E7" s="70"/>
      <c r="F7" s="70" t="s">
        <v>44</v>
      </c>
      <c r="G7" s="70"/>
      <c r="H7" s="70"/>
      <c r="I7" s="70"/>
    </row>
    <row r="8" spans="1:13" ht="18" thickBot="1" x14ac:dyDescent="0.3">
      <c r="A8" s="46" t="s">
        <v>234</v>
      </c>
      <c r="B8" s="46" t="s">
        <v>139</v>
      </c>
      <c r="C8" s="46" t="s">
        <v>119</v>
      </c>
      <c r="D8" s="46" t="s">
        <v>118</v>
      </c>
      <c r="E8" s="46" t="s">
        <v>138</v>
      </c>
      <c r="F8" s="46" t="s">
        <v>139</v>
      </c>
      <c r="G8" s="46" t="s">
        <v>119</v>
      </c>
      <c r="H8" s="46" t="s">
        <v>118</v>
      </c>
      <c r="I8" s="46" t="s">
        <v>138</v>
      </c>
    </row>
    <row r="9" spans="1:13" x14ac:dyDescent="0.25">
      <c r="A9" s="15" t="s">
        <v>137</v>
      </c>
      <c r="B9" s="15">
        <v>454</v>
      </c>
      <c r="C9" s="15">
        <v>50625</v>
      </c>
      <c r="D9" s="15" t="s">
        <v>136</v>
      </c>
      <c r="E9" s="7">
        <v>0.36163587513117978</v>
      </c>
      <c r="F9" s="15">
        <v>454</v>
      </c>
      <c r="G9" s="15">
        <v>50625</v>
      </c>
      <c r="H9" s="15" t="s">
        <v>136</v>
      </c>
      <c r="I9" s="7">
        <v>0.36163587513117978</v>
      </c>
    </row>
    <row r="10" spans="1:13" ht="2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13" ht="21" x14ac:dyDescent="0.25">
      <c r="A11" s="26" t="s">
        <v>135</v>
      </c>
      <c r="B11" s="26"/>
      <c r="C11" s="26"/>
      <c r="D11" s="26"/>
      <c r="E11" s="26"/>
      <c r="F11" s="26"/>
      <c r="G11" s="26"/>
      <c r="H11" s="26"/>
      <c r="I11" s="26"/>
    </row>
    <row r="12" spans="1:13" x14ac:dyDescent="0.25">
      <c r="A12" s="45"/>
      <c r="B12" s="47"/>
      <c r="C12" s="47"/>
      <c r="D12" s="47"/>
      <c r="E12" s="47"/>
      <c r="F12" s="47"/>
      <c r="G12" s="47"/>
      <c r="H12" s="47"/>
      <c r="I12" s="18"/>
      <c r="J12" s="18"/>
      <c r="K12" s="18"/>
      <c r="L12" s="18"/>
      <c r="M12" s="18"/>
    </row>
    <row r="13" spans="1:13" ht="18.600000000000001" customHeight="1" thickBot="1" x14ac:dyDescent="0.3">
      <c r="A13" s="45"/>
      <c r="B13" s="70" t="s">
        <v>45</v>
      </c>
      <c r="C13" s="70"/>
      <c r="D13" s="70"/>
      <c r="E13" s="70"/>
      <c r="F13" s="70"/>
      <c r="G13" s="70"/>
      <c r="H13" s="70" t="s">
        <v>44</v>
      </c>
      <c r="I13" s="70"/>
      <c r="J13" s="70"/>
      <c r="K13" s="70"/>
      <c r="L13" s="70"/>
      <c r="M13" s="70"/>
    </row>
    <row r="14" spans="1:13" ht="18" thickBot="1" x14ac:dyDescent="0.3">
      <c r="A14" s="46" t="s">
        <v>234</v>
      </c>
      <c r="B14" s="46" t="s">
        <v>134</v>
      </c>
      <c r="C14" s="46" t="s">
        <v>120</v>
      </c>
      <c r="D14" s="46" t="s">
        <v>133</v>
      </c>
      <c r="E14" s="46" t="s">
        <v>38</v>
      </c>
      <c r="F14" s="46" t="s">
        <v>119</v>
      </c>
      <c r="G14" s="46" t="s">
        <v>118</v>
      </c>
      <c r="H14" s="46" t="s">
        <v>134</v>
      </c>
      <c r="I14" s="46" t="s">
        <v>120</v>
      </c>
      <c r="J14" s="46" t="s">
        <v>133</v>
      </c>
      <c r="K14" s="46" t="s">
        <v>38</v>
      </c>
      <c r="L14" s="46" t="s">
        <v>119</v>
      </c>
      <c r="M14" s="46" t="s">
        <v>118</v>
      </c>
    </row>
    <row r="15" spans="1:13" x14ac:dyDescent="0.25">
      <c r="A15" s="15" t="s">
        <v>132</v>
      </c>
      <c r="B15" s="15" t="s">
        <v>122</v>
      </c>
      <c r="C15" s="15" t="s">
        <v>122</v>
      </c>
      <c r="D15" s="15" t="s">
        <v>122</v>
      </c>
      <c r="E15" s="15">
        <v>0</v>
      </c>
      <c r="F15" s="15">
        <v>0</v>
      </c>
      <c r="G15" s="15" t="s">
        <v>122</v>
      </c>
      <c r="H15" s="15" t="s">
        <v>125</v>
      </c>
      <c r="I15" s="15" t="s">
        <v>124</v>
      </c>
      <c r="J15" s="15" t="s">
        <v>122</v>
      </c>
      <c r="K15" s="15">
        <v>10000000</v>
      </c>
      <c r="L15" s="15">
        <v>450</v>
      </c>
      <c r="M15" s="15" t="s">
        <v>130</v>
      </c>
    </row>
    <row r="16" spans="1:13" x14ac:dyDescent="0.25">
      <c r="A16" s="15" t="s">
        <v>131</v>
      </c>
      <c r="B16" s="15" t="s">
        <v>122</v>
      </c>
      <c r="C16" s="15" t="s">
        <v>122</v>
      </c>
      <c r="D16" s="15" t="s">
        <v>122</v>
      </c>
      <c r="E16" s="15">
        <v>0</v>
      </c>
      <c r="F16" s="15">
        <v>0</v>
      </c>
      <c r="G16" s="15" t="s">
        <v>122</v>
      </c>
      <c r="H16" s="15" t="s">
        <v>125</v>
      </c>
      <c r="I16" s="15" t="s">
        <v>124</v>
      </c>
      <c r="J16" s="15" t="s">
        <v>122</v>
      </c>
      <c r="K16" s="15">
        <v>20000000</v>
      </c>
      <c r="L16" s="15">
        <v>2200</v>
      </c>
      <c r="M16" s="15" t="s">
        <v>130</v>
      </c>
    </row>
    <row r="17" spans="1:13" x14ac:dyDescent="0.25">
      <c r="A17" s="15" t="s">
        <v>129</v>
      </c>
      <c r="B17" s="15" t="s">
        <v>125</v>
      </c>
      <c r="C17" s="15" t="s">
        <v>124</v>
      </c>
      <c r="D17" s="15" t="s">
        <v>122</v>
      </c>
      <c r="E17" s="15">
        <v>13238820</v>
      </c>
      <c r="F17" s="15">
        <v>1055</v>
      </c>
      <c r="G17" s="15" t="s">
        <v>123</v>
      </c>
      <c r="H17" s="15" t="s">
        <v>122</v>
      </c>
      <c r="I17" s="15" t="s">
        <v>122</v>
      </c>
      <c r="J17" s="15" t="s">
        <v>122</v>
      </c>
      <c r="K17" s="15">
        <v>0</v>
      </c>
      <c r="L17" s="15">
        <v>0</v>
      </c>
      <c r="M17" s="15" t="s">
        <v>122</v>
      </c>
    </row>
    <row r="18" spans="1:13" x14ac:dyDescent="0.25">
      <c r="A18" s="15" t="s">
        <v>128</v>
      </c>
      <c r="B18" s="15" t="s">
        <v>122</v>
      </c>
      <c r="C18" s="15" t="s">
        <v>122</v>
      </c>
      <c r="D18" s="15" t="s">
        <v>122</v>
      </c>
      <c r="E18" s="15">
        <v>0</v>
      </c>
      <c r="F18" s="15">
        <v>0</v>
      </c>
      <c r="G18" s="15" t="s">
        <v>122</v>
      </c>
      <c r="H18" s="15" t="s">
        <v>125</v>
      </c>
      <c r="I18" s="15" t="s">
        <v>124</v>
      </c>
      <c r="J18" s="15" t="s">
        <v>122</v>
      </c>
      <c r="K18" s="15">
        <v>39816000</v>
      </c>
      <c r="L18" s="15">
        <v>1055</v>
      </c>
      <c r="M18" s="15" t="s">
        <v>127</v>
      </c>
    </row>
    <row r="19" spans="1:13" x14ac:dyDescent="0.25">
      <c r="A19" s="15" t="s">
        <v>126</v>
      </c>
      <c r="B19" s="15" t="s">
        <v>125</v>
      </c>
      <c r="C19" s="15" t="s">
        <v>124</v>
      </c>
      <c r="D19" s="15" t="s">
        <v>122</v>
      </c>
      <c r="E19" s="15">
        <v>4502052</v>
      </c>
      <c r="F19" s="15">
        <v>914</v>
      </c>
      <c r="G19" s="15" t="s">
        <v>123</v>
      </c>
      <c r="H19" s="15" t="s">
        <v>122</v>
      </c>
      <c r="I19" s="15" t="s">
        <v>122</v>
      </c>
      <c r="J19" s="15" t="s">
        <v>122</v>
      </c>
      <c r="K19" s="15">
        <v>0</v>
      </c>
      <c r="L19" s="15">
        <v>0</v>
      </c>
      <c r="M19" s="15" t="s">
        <v>122</v>
      </c>
    </row>
    <row r="20" spans="1:13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2" spans="1:13" x14ac:dyDescent="0.25">
      <c r="A22" s="43"/>
      <c r="B22" s="43"/>
      <c r="C22" s="43"/>
      <c r="D22" s="43"/>
      <c r="E22" s="43"/>
      <c r="F22" s="43"/>
      <c r="G22" s="43"/>
      <c r="H22" s="43"/>
      <c r="I22" s="43"/>
    </row>
    <row r="23" spans="1:13" x14ac:dyDescent="0.25">
      <c r="A23" s="43"/>
      <c r="B23" s="43"/>
      <c r="C23" s="43"/>
      <c r="D23" s="43"/>
      <c r="E23" s="43"/>
      <c r="F23" s="43"/>
      <c r="G23" s="43"/>
      <c r="H23" s="43"/>
      <c r="I23" s="43"/>
    </row>
    <row r="24" spans="1:13" x14ac:dyDescent="0.25">
      <c r="A24" s="43"/>
      <c r="B24" s="43"/>
      <c r="C24" s="43"/>
      <c r="D24" s="43"/>
      <c r="E24" s="43"/>
      <c r="F24" s="43"/>
      <c r="G24" s="43"/>
      <c r="H24" s="43"/>
      <c r="I24" s="43"/>
    </row>
    <row r="25" spans="1:13" x14ac:dyDescent="0.25">
      <c r="A25" s="43"/>
      <c r="B25" s="43"/>
      <c r="C25" s="43"/>
      <c r="D25" s="43"/>
      <c r="E25" s="43"/>
      <c r="F25" s="43"/>
      <c r="G25" s="43"/>
      <c r="H25" s="43"/>
      <c r="I25" s="43"/>
    </row>
    <row r="26" spans="1:13" x14ac:dyDescent="0.25">
      <c r="A26" s="43"/>
      <c r="B26" s="43"/>
      <c r="C26" s="43"/>
      <c r="D26" s="43"/>
      <c r="E26" s="43"/>
      <c r="F26" s="43"/>
      <c r="G26" s="43"/>
      <c r="H26" s="43"/>
      <c r="I26" s="43"/>
    </row>
    <row r="27" spans="1:13" x14ac:dyDescent="0.25">
      <c r="A27" s="43"/>
      <c r="B27" s="43"/>
      <c r="C27" s="43"/>
      <c r="D27" s="43"/>
      <c r="E27" s="43"/>
      <c r="F27" s="43"/>
      <c r="G27" s="43"/>
      <c r="H27" s="43"/>
      <c r="I27" s="43"/>
    </row>
    <row r="28" spans="1:13" x14ac:dyDescent="0.25">
      <c r="A28" s="43"/>
      <c r="B28" s="43"/>
      <c r="C28" s="43"/>
      <c r="D28" s="43"/>
      <c r="E28" s="43"/>
      <c r="F28" s="43"/>
      <c r="G28" s="43"/>
      <c r="H28" s="43"/>
      <c r="I28" s="43"/>
    </row>
    <row r="29" spans="1:13" x14ac:dyDescent="0.25">
      <c r="A29" s="43"/>
      <c r="B29" s="43"/>
      <c r="C29" s="43"/>
      <c r="D29" s="43"/>
      <c r="E29" s="43"/>
      <c r="F29" s="43"/>
      <c r="G29" s="43"/>
      <c r="H29" s="43"/>
      <c r="I29" s="43"/>
    </row>
    <row r="30" spans="1:13" x14ac:dyDescent="0.25">
      <c r="A30" s="43"/>
      <c r="B30" s="43"/>
      <c r="C30" s="43"/>
      <c r="D30" s="43"/>
      <c r="E30" s="43"/>
      <c r="F30" s="43"/>
      <c r="G30" s="43"/>
      <c r="H30" s="43"/>
      <c r="I30" s="43"/>
    </row>
    <row r="31" spans="1:13" x14ac:dyDescent="0.25">
      <c r="A31" s="43"/>
      <c r="B31" s="43"/>
      <c r="C31" s="43"/>
      <c r="D31" s="43"/>
      <c r="E31" s="43"/>
      <c r="F31" s="43"/>
      <c r="G31" s="43"/>
      <c r="H31" s="43"/>
      <c r="I31" s="43"/>
    </row>
    <row r="32" spans="1:13" x14ac:dyDescent="0.25">
      <c r="A32" s="43"/>
      <c r="B32" s="43"/>
      <c r="C32" s="43"/>
      <c r="D32" s="43"/>
      <c r="E32" s="43"/>
      <c r="F32" s="43"/>
      <c r="G32" s="43"/>
      <c r="H32" s="43"/>
      <c r="I32" s="43"/>
    </row>
    <row r="33" spans="1:9" x14ac:dyDescent="0.25">
      <c r="A33" s="43"/>
      <c r="B33" s="43"/>
      <c r="C33" s="43"/>
      <c r="D33" s="43"/>
      <c r="E33" s="43"/>
      <c r="F33" s="43"/>
      <c r="G33" s="43"/>
      <c r="H33" s="43"/>
      <c r="I33" s="43"/>
    </row>
  </sheetData>
  <mergeCells count="7">
    <mergeCell ref="B13:G13"/>
    <mergeCell ref="H13:M13"/>
    <mergeCell ref="B7:E7"/>
    <mergeCell ref="F7:I7"/>
    <mergeCell ref="A1:M1"/>
    <mergeCell ref="A2:M2"/>
    <mergeCell ref="A3:M3"/>
  </mergeCells>
  <pageMargins left="0.7" right="0.7" top="0.75" bottom="0.7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1064-5F35-4C8F-A4EF-53C956DE6B79}">
  <dimension ref="A1:I12"/>
  <sheetViews>
    <sheetView rightToLeft="1" tabSelected="1" view="pageBreakPreview" zoomScale="115" zoomScaleNormal="100" zoomScaleSheetLayoutView="115" workbookViewId="0">
      <selection activeCell="L25" sqref="L25"/>
    </sheetView>
  </sheetViews>
  <sheetFormatPr defaultColWidth="9.140625" defaultRowHeight="17.25" x14ac:dyDescent="0.5"/>
  <cols>
    <col min="1" max="1" width="26.85546875" style="37" customWidth="1"/>
    <col min="2" max="2" width="12" style="37" customWidth="1"/>
    <col min="3" max="3" width="12.140625" style="37" customWidth="1"/>
    <col min="4" max="4" width="13.5703125" style="37" customWidth="1"/>
    <col min="5" max="5" width="10.140625" style="37" customWidth="1"/>
    <col min="6" max="6" width="19.28515625" style="37" customWidth="1"/>
    <col min="7" max="7" width="10.85546875" style="37" customWidth="1"/>
    <col min="8" max="16384" width="9.140625" style="37"/>
  </cols>
  <sheetData>
    <row r="1" spans="1:9" ht="21" x14ac:dyDescent="0.55000000000000004">
      <c r="A1" s="73" t="s">
        <v>117</v>
      </c>
      <c r="B1" s="73"/>
      <c r="C1" s="73"/>
      <c r="D1" s="73"/>
      <c r="E1" s="73"/>
      <c r="F1" s="73"/>
      <c r="G1" s="73"/>
      <c r="H1" s="73"/>
      <c r="I1" s="73"/>
    </row>
    <row r="2" spans="1:9" ht="21" x14ac:dyDescent="0.55000000000000004">
      <c r="A2" s="73" t="s">
        <v>33</v>
      </c>
      <c r="B2" s="73"/>
      <c r="C2" s="73"/>
      <c r="D2" s="73"/>
      <c r="E2" s="73"/>
      <c r="F2" s="73"/>
      <c r="G2" s="73"/>
      <c r="H2" s="73"/>
      <c r="I2" s="73"/>
    </row>
    <row r="3" spans="1:9" ht="21" x14ac:dyDescent="0.55000000000000004">
      <c r="A3" s="73" t="s">
        <v>43</v>
      </c>
      <c r="B3" s="73"/>
      <c r="C3" s="73"/>
      <c r="D3" s="73"/>
      <c r="E3" s="73"/>
      <c r="F3" s="73"/>
      <c r="G3" s="73"/>
      <c r="H3" s="73"/>
      <c r="I3" s="73"/>
    </row>
    <row r="4" spans="1:9" ht="21" x14ac:dyDescent="0.55000000000000004">
      <c r="A4" s="40"/>
      <c r="B4" s="40"/>
      <c r="C4" s="40"/>
      <c r="D4" s="40"/>
      <c r="E4" s="40"/>
      <c r="F4" s="40"/>
      <c r="G4" s="40"/>
      <c r="H4" s="40"/>
      <c r="I4" s="40"/>
    </row>
    <row r="5" spans="1:9" ht="25.5" customHeight="1" x14ac:dyDescent="0.5">
      <c r="A5" s="74" t="s">
        <v>16</v>
      </c>
      <c r="B5" s="74"/>
      <c r="C5" s="74"/>
      <c r="D5" s="74"/>
      <c r="E5" s="74"/>
      <c r="F5" s="74"/>
      <c r="G5" s="74"/>
    </row>
    <row r="6" spans="1:9" x14ac:dyDescent="0.5">
      <c r="A6" s="74" t="s">
        <v>15</v>
      </c>
      <c r="B6" s="74"/>
      <c r="C6" s="74"/>
      <c r="D6" s="74"/>
      <c r="E6" s="74"/>
      <c r="F6" s="74"/>
      <c r="G6" s="74"/>
    </row>
    <row r="7" spans="1:9" x14ac:dyDescent="0.5">
      <c r="A7" s="10"/>
      <c r="B7" s="10"/>
      <c r="C7" s="10"/>
      <c r="D7" s="10"/>
      <c r="E7" s="10"/>
      <c r="F7" s="10"/>
      <c r="G7" s="10"/>
    </row>
    <row r="8" spans="1:9" ht="19.5" customHeight="1" thickBot="1" x14ac:dyDescent="0.55000000000000004">
      <c r="B8" s="66" t="s">
        <v>44</v>
      </c>
      <c r="C8" s="66"/>
      <c r="D8" s="66"/>
      <c r="E8" s="66"/>
      <c r="F8" s="66"/>
      <c r="G8" s="66"/>
      <c r="H8" s="66"/>
      <c r="I8" s="66"/>
    </row>
    <row r="9" spans="1:9" x14ac:dyDescent="0.5">
      <c r="A9" s="69" t="s">
        <v>6</v>
      </c>
      <c r="B9" s="63" t="s">
        <v>3</v>
      </c>
      <c r="C9" s="68" t="s">
        <v>20</v>
      </c>
      <c r="D9" s="68" t="s">
        <v>19</v>
      </c>
      <c r="E9" s="68" t="s">
        <v>17</v>
      </c>
      <c r="F9" s="68" t="s">
        <v>18</v>
      </c>
      <c r="G9" s="68" t="s">
        <v>5</v>
      </c>
      <c r="H9" s="68"/>
      <c r="I9" s="68"/>
    </row>
    <row r="10" spans="1:9" ht="18" thickBot="1" x14ac:dyDescent="0.55000000000000004">
      <c r="A10" s="62"/>
      <c r="B10" s="71"/>
      <c r="C10" s="60"/>
      <c r="D10" s="60"/>
      <c r="E10" s="60"/>
      <c r="F10" s="60"/>
      <c r="G10" s="60"/>
      <c r="H10" s="60"/>
      <c r="I10" s="60"/>
    </row>
    <row r="11" spans="1:9" x14ac:dyDescent="0.5">
      <c r="A11" s="39" t="s">
        <v>92</v>
      </c>
      <c r="B11" s="48">
        <v>22820100</v>
      </c>
      <c r="C11" s="48">
        <v>2610</v>
      </c>
      <c r="D11" s="48">
        <v>2088</v>
      </c>
      <c r="E11" s="49">
        <v>-0.2</v>
      </c>
      <c r="F11" s="48">
        <v>47280046909</v>
      </c>
      <c r="G11" s="72" t="s">
        <v>59</v>
      </c>
      <c r="H11" s="72"/>
      <c r="I11" s="72"/>
    </row>
    <row r="12" spans="1:9" x14ac:dyDescent="0.5">
      <c r="A12" s="39"/>
      <c r="B12" s="50"/>
      <c r="C12" s="50"/>
      <c r="D12" s="50"/>
      <c r="E12" s="50"/>
      <c r="F12" s="48"/>
    </row>
  </sheetData>
  <mergeCells count="14">
    <mergeCell ref="E9:E10"/>
    <mergeCell ref="B9:B10"/>
    <mergeCell ref="B8:I8"/>
    <mergeCell ref="G11:I11"/>
    <mergeCell ref="A1:I1"/>
    <mergeCell ref="A2:I2"/>
    <mergeCell ref="A3:I3"/>
    <mergeCell ref="G9:I10"/>
    <mergeCell ref="A5:G5"/>
    <mergeCell ref="D9:D10"/>
    <mergeCell ref="A9:A10"/>
    <mergeCell ref="A6:G6"/>
    <mergeCell ref="C9:C10"/>
    <mergeCell ref="F9:F10"/>
  </mergeCells>
  <pageMargins left="0.7" right="0.7" top="0.75" bottom="0.75" header="0.3" footer="0.3"/>
  <pageSetup scale="87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DCA8-762F-4AD6-9836-7027F796919B}">
  <dimension ref="A1:F17"/>
  <sheetViews>
    <sheetView rightToLeft="1" tabSelected="1" view="pageBreakPreview" zoomScale="90" zoomScaleNormal="100" zoomScaleSheetLayoutView="90" workbookViewId="0">
      <selection activeCell="L25" sqref="L25"/>
    </sheetView>
  </sheetViews>
  <sheetFormatPr defaultColWidth="9.140625" defaultRowHeight="17.25" x14ac:dyDescent="0.25"/>
  <cols>
    <col min="1" max="1" width="32.140625" style="13" customWidth="1"/>
    <col min="2" max="2" width="21.28515625" style="13" customWidth="1"/>
    <col min="3" max="3" width="22" style="13" customWidth="1"/>
    <col min="4" max="4" width="22.140625" style="13" customWidth="1"/>
    <col min="5" max="5" width="19.85546875" style="13" customWidth="1"/>
    <col min="6" max="6" width="9.28515625" style="13" customWidth="1"/>
    <col min="7" max="16384" width="9.140625" style="13"/>
  </cols>
  <sheetData>
    <row r="1" spans="1:6" ht="21" x14ac:dyDescent="0.25">
      <c r="A1" s="64" t="s">
        <v>117</v>
      </c>
      <c r="B1" s="64"/>
      <c r="C1" s="64"/>
      <c r="D1" s="64"/>
      <c r="E1" s="64"/>
      <c r="F1" s="64"/>
    </row>
    <row r="2" spans="1:6" ht="21" x14ac:dyDescent="0.25">
      <c r="A2" s="64" t="s">
        <v>33</v>
      </c>
      <c r="B2" s="64"/>
      <c r="C2" s="64"/>
      <c r="D2" s="64"/>
      <c r="E2" s="64"/>
      <c r="F2" s="64"/>
    </row>
    <row r="3" spans="1:6" ht="21" x14ac:dyDescent="0.25">
      <c r="A3" s="64" t="s">
        <v>43</v>
      </c>
      <c r="B3" s="64"/>
      <c r="C3" s="64"/>
      <c r="D3" s="64"/>
      <c r="E3" s="64"/>
      <c r="F3" s="64"/>
    </row>
    <row r="4" spans="1:6" ht="21" x14ac:dyDescent="0.25">
      <c r="A4" s="3"/>
      <c r="B4" s="3"/>
      <c r="C4" s="3"/>
      <c r="D4" s="3"/>
      <c r="E4" s="3"/>
      <c r="F4" s="3"/>
    </row>
    <row r="5" spans="1:6" ht="21" x14ac:dyDescent="0.25">
      <c r="A5" s="65" t="s">
        <v>235</v>
      </c>
      <c r="B5" s="65"/>
      <c r="C5" s="65"/>
      <c r="D5" s="65"/>
      <c r="E5" s="65"/>
      <c r="F5" s="65"/>
    </row>
    <row r="6" spans="1:6" x14ac:dyDescent="0.25">
      <c r="B6" s="18"/>
      <c r="C6" s="18"/>
      <c r="D6" s="18"/>
      <c r="E6" s="18"/>
      <c r="F6" s="18"/>
    </row>
    <row r="7" spans="1:6" ht="18.75" customHeight="1" thickBot="1" x14ac:dyDescent="0.3">
      <c r="A7" s="16"/>
      <c r="B7" s="17" t="s">
        <v>45</v>
      </c>
      <c r="C7" s="67" t="s">
        <v>56</v>
      </c>
      <c r="D7" s="67"/>
      <c r="E7" s="66" t="s">
        <v>44</v>
      </c>
      <c r="F7" s="66"/>
    </row>
    <row r="8" spans="1:6" ht="24" customHeight="1" x14ac:dyDescent="0.25">
      <c r="A8" s="68" t="s">
        <v>60</v>
      </c>
      <c r="B8" s="69" t="s">
        <v>4</v>
      </c>
      <c r="C8" s="75" t="s">
        <v>21</v>
      </c>
      <c r="D8" s="75" t="s">
        <v>42</v>
      </c>
      <c r="E8" s="61" t="s">
        <v>4</v>
      </c>
      <c r="F8" s="59" t="s">
        <v>12</v>
      </c>
    </row>
    <row r="9" spans="1:6" ht="18" thickBot="1" x14ac:dyDescent="0.3">
      <c r="A9" s="60"/>
      <c r="B9" s="62"/>
      <c r="C9" s="71"/>
      <c r="D9" s="71"/>
      <c r="E9" s="62"/>
      <c r="F9" s="60"/>
    </row>
    <row r="10" spans="1:6" x14ac:dyDescent="0.25">
      <c r="A10" s="6" t="s">
        <v>47</v>
      </c>
      <c r="B10" s="15">
        <v>1681265556</v>
      </c>
      <c r="C10" s="15">
        <v>7139620</v>
      </c>
      <c r="D10" s="15">
        <v>1392023084</v>
      </c>
      <c r="E10" s="15">
        <v>296382092</v>
      </c>
      <c r="F10" s="7">
        <v>1.3114707664360349E-4</v>
      </c>
    </row>
    <row r="11" spans="1:6" x14ac:dyDescent="0.25">
      <c r="A11" s="6" t="s">
        <v>46</v>
      </c>
      <c r="B11" s="15">
        <v>96003027612</v>
      </c>
      <c r="C11" s="15">
        <v>768008899392</v>
      </c>
      <c r="D11" s="15">
        <v>601236061957</v>
      </c>
      <c r="E11" s="15">
        <v>262775865047</v>
      </c>
      <c r="F11" s="7">
        <v>0.11627654788740784</v>
      </c>
    </row>
    <row r="12" spans="1:6" ht="18" thickBot="1" x14ac:dyDescent="0.3">
      <c r="A12" s="6" t="s">
        <v>2</v>
      </c>
      <c r="B12" s="8">
        <f>SUM(B10:B11)</f>
        <v>97684293168</v>
      </c>
      <c r="C12" s="8">
        <f>SUM(C10:C11)</f>
        <v>768016039012</v>
      </c>
      <c r="D12" s="8">
        <f>SUM(D10:D11)</f>
        <v>602628085041</v>
      </c>
      <c r="E12" s="8">
        <f>SUM(E10:E11)</f>
        <v>263072247139</v>
      </c>
      <c r="F12" s="9">
        <f>SUM(F10:F11)</f>
        <v>0.11640769496405144</v>
      </c>
    </row>
    <row r="13" spans="1:6" ht="18" thickTop="1" x14ac:dyDescent="0.25">
      <c r="C13" s="13" t="s">
        <v>141</v>
      </c>
    </row>
    <row r="15" spans="1:6" x14ac:dyDescent="0.15">
      <c r="B15" s="41"/>
      <c r="E15" s="41"/>
    </row>
    <row r="16" spans="1:6" x14ac:dyDescent="0.15">
      <c r="B16" s="41"/>
      <c r="E16" s="41"/>
    </row>
    <row r="17" spans="2:5" x14ac:dyDescent="0.25">
      <c r="B17" s="42"/>
      <c r="E17" s="42"/>
    </row>
  </sheetData>
  <mergeCells count="12">
    <mergeCell ref="C8:C9"/>
    <mergeCell ref="D8:D9"/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</mergeCells>
  <pageMargins left="0.7" right="0.7" top="0.75" bottom="0.75" header="0.3" footer="0.3"/>
  <pageSetup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A5F4-81AE-4D06-8131-9C6E6F9D670C}">
  <dimension ref="A1:S14"/>
  <sheetViews>
    <sheetView rightToLeft="1" tabSelected="1" view="pageBreakPreview" zoomScaleNormal="100" zoomScaleSheetLayoutView="100" workbookViewId="0">
      <selection activeCell="L25" sqref="L25"/>
    </sheetView>
  </sheetViews>
  <sheetFormatPr defaultColWidth="8.85546875" defaultRowHeight="19.5" x14ac:dyDescent="0.25"/>
  <cols>
    <col min="1" max="1" width="49.42578125" style="29" customWidth="1"/>
    <col min="2" max="2" width="8.85546875" style="20"/>
    <col min="3" max="3" width="24.5703125" style="20" customWidth="1"/>
    <col min="4" max="4" width="13.140625" style="20" customWidth="1"/>
    <col min="5" max="5" width="13.28515625" style="20" customWidth="1"/>
    <col min="6" max="16384" width="8.85546875" style="20"/>
  </cols>
  <sheetData>
    <row r="1" spans="1:19" ht="21" x14ac:dyDescent="0.25">
      <c r="A1" s="64" t="s">
        <v>117</v>
      </c>
      <c r="B1" s="64"/>
      <c r="C1" s="64"/>
      <c r="D1" s="64"/>
      <c r="E1" s="64"/>
    </row>
    <row r="2" spans="1:19" ht="21" x14ac:dyDescent="0.25">
      <c r="A2" s="64" t="s">
        <v>35</v>
      </c>
      <c r="B2" s="64"/>
      <c r="C2" s="64"/>
      <c r="D2" s="64"/>
      <c r="E2" s="64"/>
    </row>
    <row r="3" spans="1:19" ht="21" x14ac:dyDescent="0.25">
      <c r="A3" s="64" t="s">
        <v>43</v>
      </c>
      <c r="B3" s="64"/>
      <c r="C3" s="64"/>
      <c r="D3" s="64"/>
      <c r="E3" s="64"/>
    </row>
    <row r="4" spans="1:19" ht="21" x14ac:dyDescent="0.25">
      <c r="A4" s="3"/>
      <c r="B4" s="3"/>
      <c r="C4" s="3"/>
      <c r="D4" s="3"/>
      <c r="E4" s="3"/>
    </row>
    <row r="5" spans="1:19" ht="21" x14ac:dyDescent="0.25">
      <c r="A5" s="65" t="s">
        <v>13</v>
      </c>
      <c r="B5" s="65"/>
      <c r="C5" s="65"/>
      <c r="D5" s="65"/>
      <c r="E5" s="65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1:19" ht="21" x14ac:dyDescent="0.25">
      <c r="A6" s="21"/>
      <c r="B6" s="21"/>
      <c r="C6" s="21"/>
      <c r="D6" s="21"/>
      <c r="E6" s="21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ht="21.75" thickBot="1" x14ac:dyDescent="0.3">
      <c r="A7" s="21"/>
      <c r="B7" s="21"/>
      <c r="C7" s="76" t="s">
        <v>62</v>
      </c>
      <c r="D7" s="76"/>
      <c r="E7" s="7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 ht="39.75" thickBot="1" x14ac:dyDescent="0.3">
      <c r="A8" s="30" t="s">
        <v>22</v>
      </c>
      <c r="B8" s="30" t="s">
        <v>23</v>
      </c>
      <c r="C8" s="30" t="s">
        <v>4</v>
      </c>
      <c r="D8" s="31" t="s">
        <v>10</v>
      </c>
      <c r="E8" s="31" t="s">
        <v>37</v>
      </c>
    </row>
    <row r="9" spans="1:19" ht="21" x14ac:dyDescent="0.25">
      <c r="A9" s="27" t="s">
        <v>143</v>
      </c>
      <c r="B9" s="28" t="s">
        <v>66</v>
      </c>
      <c r="C9" s="15">
        <f>'درآمد سرمایه گذاری در سهام '!$J$60</f>
        <v>388101081652</v>
      </c>
      <c r="D9" s="7">
        <f>C9/411042926339</f>
        <v>0.94418625594330474</v>
      </c>
      <c r="E9" s="7">
        <f>C9/2259921452961</f>
        <v>0.17173211092956403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1:19" ht="21" x14ac:dyDescent="0.25">
      <c r="A10" s="27" t="s">
        <v>30</v>
      </c>
      <c r="B10" s="28" t="s">
        <v>34</v>
      </c>
      <c r="C10" s="15">
        <f>'درآمد سپرده بانکی'!$D$11</f>
        <v>11339979098</v>
      </c>
      <c r="D10" s="7">
        <f>C10/411042926339</f>
        <v>2.7588308595894832E-2</v>
      </c>
      <c r="E10" s="7">
        <f>C10/2259921452961</f>
        <v>5.0178642638849698E-3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9" ht="21" x14ac:dyDescent="0.25">
      <c r="A11" s="27" t="s">
        <v>142</v>
      </c>
      <c r="B11" s="28" t="s">
        <v>67</v>
      </c>
      <c r="C11" s="15">
        <f>'درآمد سرمایه گذاری مشتقه '!$H$56</f>
        <v>10556367418</v>
      </c>
      <c r="D11" s="7">
        <f>C11/411042926339</f>
        <v>2.5681909945565715E-2</v>
      </c>
      <c r="E11" s="7">
        <f>C11/2259921452961</f>
        <v>4.6711213808642814E-3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1:19" ht="21" x14ac:dyDescent="0.25">
      <c r="A12" s="27" t="s">
        <v>14</v>
      </c>
      <c r="B12" s="28" t="s">
        <v>240</v>
      </c>
      <c r="C12" s="15">
        <f>'سایر درآمدها'!C11</f>
        <v>1045498171</v>
      </c>
      <c r="D12" s="7">
        <f>C12/411042926339</f>
        <v>2.5435255152347395E-3</v>
      </c>
      <c r="E12" s="7">
        <f>C12/2259921452961</f>
        <v>4.6262588889103411E-4</v>
      </c>
      <c r="F12" s="26"/>
      <c r="G12" s="26"/>
    </row>
    <row r="13" spans="1:19" ht="20.25" thickBot="1" x14ac:dyDescent="0.3">
      <c r="A13" s="32" t="s">
        <v>2</v>
      </c>
      <c r="C13" s="8">
        <f>SUM(C9:C12)</f>
        <v>411042926339</v>
      </c>
      <c r="D13" s="9">
        <f>SUM(D9:D12)</f>
        <v>1</v>
      </c>
      <c r="E13" s="9">
        <f>SUM(E9:E12)</f>
        <v>0.18188372246320433</v>
      </c>
    </row>
    <row r="14" spans="1:19" ht="20.25" thickTop="1" x14ac:dyDescent="0.25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B8CF-7059-48EF-A90A-6809FEABC0E0}">
  <dimension ref="A1:K67"/>
  <sheetViews>
    <sheetView rightToLeft="1" tabSelected="1" view="pageBreakPreview" topLeftCell="A43" zoomScale="70" zoomScaleNormal="70" zoomScaleSheetLayoutView="70" workbookViewId="0">
      <selection activeCell="L25" sqref="L25"/>
    </sheetView>
  </sheetViews>
  <sheetFormatPr defaultColWidth="9.140625" defaultRowHeight="17.25" x14ac:dyDescent="0.25"/>
  <cols>
    <col min="1" max="1" width="43.85546875" style="13" customWidth="1"/>
    <col min="2" max="2" width="19.85546875" style="13" customWidth="1"/>
    <col min="3" max="3" width="18.28515625" style="13" customWidth="1"/>
    <col min="4" max="4" width="19" style="13" customWidth="1"/>
    <col min="5" max="5" width="17.42578125" style="13" customWidth="1"/>
    <col min="6" max="6" width="15.42578125" style="13" customWidth="1"/>
    <col min="7" max="7" width="19" style="13" customWidth="1"/>
    <col min="8" max="8" width="17.5703125" style="13" customWidth="1"/>
    <col min="9" max="9" width="18.140625" style="13" customWidth="1"/>
    <col min="10" max="10" width="22.5703125" style="13" customWidth="1"/>
    <col min="11" max="11" width="15.42578125" style="13" customWidth="1"/>
    <col min="12" max="16384" width="9.140625" style="13"/>
  </cols>
  <sheetData>
    <row r="1" spans="1:11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1" x14ac:dyDescent="0.25">
      <c r="A2" s="64" t="s">
        <v>35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21" x14ac:dyDescent="0.25">
      <c r="A5" s="65" t="s">
        <v>236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7" spans="1:11" ht="19.5" customHeight="1" thickBot="1" x14ac:dyDescent="0.3">
      <c r="A7" s="51"/>
      <c r="B7" s="78" t="s">
        <v>61</v>
      </c>
      <c r="C7" s="78"/>
      <c r="D7" s="78"/>
      <c r="E7" s="78"/>
      <c r="F7" s="78"/>
      <c r="G7" s="78" t="s">
        <v>62</v>
      </c>
      <c r="H7" s="78"/>
      <c r="I7" s="78"/>
      <c r="J7" s="78"/>
      <c r="K7" s="78"/>
    </row>
    <row r="8" spans="1:11" ht="19.5" customHeight="1" thickBot="1" x14ac:dyDescent="0.3">
      <c r="A8" s="79" t="s">
        <v>173</v>
      </c>
      <c r="B8" s="77" t="s">
        <v>172</v>
      </c>
      <c r="C8" s="77" t="s">
        <v>7</v>
      </c>
      <c r="D8" s="77" t="s">
        <v>8</v>
      </c>
      <c r="E8" s="77" t="s">
        <v>2</v>
      </c>
      <c r="F8" s="77"/>
      <c r="G8" s="77" t="s">
        <v>172</v>
      </c>
      <c r="H8" s="77" t="s">
        <v>7</v>
      </c>
      <c r="I8" s="77" t="s">
        <v>8</v>
      </c>
      <c r="J8" s="77" t="s">
        <v>2</v>
      </c>
      <c r="K8" s="77"/>
    </row>
    <row r="9" spans="1:11" ht="35.25" thickBot="1" x14ac:dyDescent="0.3">
      <c r="A9" s="80"/>
      <c r="B9" s="78"/>
      <c r="C9" s="78" t="s">
        <v>171</v>
      </c>
      <c r="D9" s="78" t="s">
        <v>171</v>
      </c>
      <c r="E9" s="19" t="s">
        <v>4</v>
      </c>
      <c r="F9" s="19" t="s">
        <v>170</v>
      </c>
      <c r="G9" s="78"/>
      <c r="H9" s="78" t="s">
        <v>171</v>
      </c>
      <c r="I9" s="78" t="s">
        <v>171</v>
      </c>
      <c r="J9" s="19" t="s">
        <v>4</v>
      </c>
      <c r="K9" s="19" t="s">
        <v>170</v>
      </c>
    </row>
    <row r="10" spans="1:11" x14ac:dyDescent="0.25">
      <c r="A10" s="6" t="s">
        <v>107</v>
      </c>
      <c r="B10" s="15">
        <v>0</v>
      </c>
      <c r="C10" s="15">
        <v>121195717</v>
      </c>
      <c r="D10" s="15">
        <v>0</v>
      </c>
      <c r="E10" s="15">
        <v>121195717</v>
      </c>
      <c r="F10" s="7">
        <v>2.597205443044687E-4</v>
      </c>
      <c r="G10" s="15">
        <v>0</v>
      </c>
      <c r="H10" s="15">
        <v>121195717</v>
      </c>
      <c r="I10" s="15">
        <v>0</v>
      </c>
      <c r="J10" s="15">
        <v>121195717</v>
      </c>
      <c r="K10" s="7">
        <v>2.9484929488859783E-4</v>
      </c>
    </row>
    <row r="11" spans="1:11" x14ac:dyDescent="0.25">
      <c r="A11" s="6" t="s">
        <v>108</v>
      </c>
      <c r="B11" s="15">
        <v>0</v>
      </c>
      <c r="C11" s="15">
        <v>4956755790</v>
      </c>
      <c r="D11" s="15">
        <v>0</v>
      </c>
      <c r="E11" s="15">
        <v>4956755790</v>
      </c>
      <c r="F11" s="7">
        <v>1.0622250881713308E-2</v>
      </c>
      <c r="G11" s="15">
        <v>0</v>
      </c>
      <c r="H11" s="15">
        <v>-1982702316</v>
      </c>
      <c r="I11" s="15">
        <v>0</v>
      </c>
      <c r="J11" s="15">
        <v>-1982702316</v>
      </c>
      <c r="K11" s="7">
        <v>-4.8235894330043846E-3</v>
      </c>
    </row>
    <row r="12" spans="1:11" x14ac:dyDescent="0.25">
      <c r="A12" s="6" t="s">
        <v>169</v>
      </c>
      <c r="B12" s="15">
        <v>0</v>
      </c>
      <c r="C12" s="15">
        <v>8291184060</v>
      </c>
      <c r="D12" s="15">
        <v>0</v>
      </c>
      <c r="E12" s="15">
        <v>8291184060</v>
      </c>
      <c r="F12" s="7">
        <v>1.7767879016646556E-2</v>
      </c>
      <c r="G12" s="15">
        <v>0</v>
      </c>
      <c r="H12" s="15">
        <v>5753603969</v>
      </c>
      <c r="I12" s="15">
        <v>0</v>
      </c>
      <c r="J12" s="15">
        <v>5753603969</v>
      </c>
      <c r="K12" s="7">
        <v>1.3997574463195658E-2</v>
      </c>
    </row>
    <row r="13" spans="1:11" x14ac:dyDescent="0.25">
      <c r="A13" s="6" t="s">
        <v>99</v>
      </c>
      <c r="B13" s="15">
        <v>0</v>
      </c>
      <c r="C13" s="15">
        <v>9231087810</v>
      </c>
      <c r="D13" s="15">
        <v>0</v>
      </c>
      <c r="E13" s="15">
        <v>9231087810</v>
      </c>
      <c r="F13" s="7">
        <v>1.9782078194525189E-2</v>
      </c>
      <c r="G13" s="15">
        <v>0</v>
      </c>
      <c r="H13" s="15">
        <v>8161420750</v>
      </c>
      <c r="I13" s="15">
        <v>0</v>
      </c>
      <c r="J13" s="15">
        <v>8161420750</v>
      </c>
      <c r="K13" s="7">
        <v>1.9855397641045939E-2</v>
      </c>
    </row>
    <row r="14" spans="1:11" x14ac:dyDescent="0.25">
      <c r="A14" s="6" t="s">
        <v>168</v>
      </c>
      <c r="B14" s="15">
        <v>0</v>
      </c>
      <c r="C14" s="15">
        <v>80450743521</v>
      </c>
      <c r="D14" s="15">
        <v>0</v>
      </c>
      <c r="E14" s="15">
        <v>80450743521</v>
      </c>
      <c r="F14" s="7">
        <v>0.17240469724663066</v>
      </c>
      <c r="G14" s="15">
        <v>0</v>
      </c>
      <c r="H14" s="15">
        <v>107017595288</v>
      </c>
      <c r="I14" s="15">
        <v>2284426071</v>
      </c>
      <c r="J14" s="15">
        <v>109302021359</v>
      </c>
      <c r="K14" s="7">
        <v>0.2659138847918166</v>
      </c>
    </row>
    <row r="15" spans="1:11" x14ac:dyDescent="0.25">
      <c r="A15" s="6" t="s">
        <v>167</v>
      </c>
      <c r="B15" s="15">
        <v>0</v>
      </c>
      <c r="C15" s="15">
        <v>4647495064</v>
      </c>
      <c r="D15" s="15">
        <v>0</v>
      </c>
      <c r="E15" s="15">
        <v>4647495064</v>
      </c>
      <c r="F15" s="7">
        <v>9.9595099361012192E-3</v>
      </c>
      <c r="G15" s="15">
        <v>0</v>
      </c>
      <c r="H15" s="15">
        <v>4516515424</v>
      </c>
      <c r="I15" s="15">
        <v>164896344</v>
      </c>
      <c r="J15" s="15">
        <v>4681411768</v>
      </c>
      <c r="K15" s="7">
        <v>1.1389106752658463E-2</v>
      </c>
    </row>
    <row r="16" spans="1:11" x14ac:dyDescent="0.25">
      <c r="A16" s="6" t="s">
        <v>95</v>
      </c>
      <c r="B16" s="15">
        <v>0</v>
      </c>
      <c r="C16" s="15">
        <v>13447243040</v>
      </c>
      <c r="D16" s="15">
        <v>0</v>
      </c>
      <c r="E16" s="15">
        <v>13447243040</v>
      </c>
      <c r="F16" s="7">
        <v>2.8817233547479882E-2</v>
      </c>
      <c r="G16" s="15">
        <v>0</v>
      </c>
      <c r="H16" s="15">
        <v>10980459820</v>
      </c>
      <c r="I16" s="15">
        <v>0</v>
      </c>
      <c r="J16" s="15">
        <v>10980459820</v>
      </c>
      <c r="K16" s="7">
        <v>2.6713657178822414E-2</v>
      </c>
    </row>
    <row r="17" spans="1:11" x14ac:dyDescent="0.25">
      <c r="A17" s="6" t="s">
        <v>166</v>
      </c>
      <c r="B17" s="15">
        <v>0</v>
      </c>
      <c r="C17" s="15">
        <v>5910005863</v>
      </c>
      <c r="D17" s="15">
        <v>0</v>
      </c>
      <c r="E17" s="15">
        <v>5910005863</v>
      </c>
      <c r="F17" s="7">
        <v>1.2665051023056872E-2</v>
      </c>
      <c r="G17" s="15">
        <v>0</v>
      </c>
      <c r="H17" s="15">
        <v>-21838528352</v>
      </c>
      <c r="I17" s="15">
        <v>-1302677493</v>
      </c>
      <c r="J17" s="15">
        <v>-23141205845</v>
      </c>
      <c r="K17" s="7">
        <v>-5.629875704493871E-2</v>
      </c>
    </row>
    <row r="18" spans="1:11" x14ac:dyDescent="0.25">
      <c r="A18" s="6" t="s">
        <v>77</v>
      </c>
      <c r="B18" s="15">
        <v>0</v>
      </c>
      <c r="C18" s="15">
        <v>835491340</v>
      </c>
      <c r="D18" s="15">
        <v>0</v>
      </c>
      <c r="E18" s="15">
        <v>835491340</v>
      </c>
      <c r="F18" s="7">
        <v>1.79044500051491E-3</v>
      </c>
      <c r="G18" s="15">
        <v>0</v>
      </c>
      <c r="H18" s="15">
        <v>-4306451800</v>
      </c>
      <c r="I18" s="15">
        <v>0</v>
      </c>
      <c r="J18" s="15">
        <v>-4306451800</v>
      </c>
      <c r="K18" s="7">
        <v>-1.0476890670168921E-2</v>
      </c>
    </row>
    <row r="19" spans="1:11" x14ac:dyDescent="0.25">
      <c r="A19" s="6" t="s">
        <v>105</v>
      </c>
      <c r="B19" s="15">
        <v>0</v>
      </c>
      <c r="C19" s="15">
        <v>-377951158</v>
      </c>
      <c r="D19" s="15">
        <v>0</v>
      </c>
      <c r="E19" s="15">
        <v>-377951158</v>
      </c>
      <c r="F19" s="7">
        <v>-8.0994347742721173E-4</v>
      </c>
      <c r="G19" s="15">
        <v>0</v>
      </c>
      <c r="H19" s="15">
        <v>-377951158</v>
      </c>
      <c r="I19" s="15">
        <v>0</v>
      </c>
      <c r="J19" s="15">
        <v>-377951158</v>
      </c>
      <c r="K19" s="7">
        <v>-9.1949315699521811E-4</v>
      </c>
    </row>
    <row r="20" spans="1:11" x14ac:dyDescent="0.25">
      <c r="A20" s="6" t="s">
        <v>165</v>
      </c>
      <c r="B20" s="15">
        <v>1267666600</v>
      </c>
      <c r="C20" s="15">
        <v>1752159917</v>
      </c>
      <c r="D20" s="15">
        <v>0</v>
      </c>
      <c r="E20" s="15">
        <v>3019826517</v>
      </c>
      <c r="F20" s="7">
        <v>6.471441451188476E-3</v>
      </c>
      <c r="G20" s="15">
        <v>1267666600</v>
      </c>
      <c r="H20" s="15">
        <v>-1686070661</v>
      </c>
      <c r="I20" s="15">
        <v>0</v>
      </c>
      <c r="J20" s="15">
        <v>-418404061</v>
      </c>
      <c r="K20" s="7">
        <v>-1.0179084328893889E-3</v>
      </c>
    </row>
    <row r="21" spans="1:11" x14ac:dyDescent="0.25">
      <c r="A21" s="6" t="s">
        <v>164</v>
      </c>
      <c r="B21" s="15">
        <v>0</v>
      </c>
      <c r="C21" s="15">
        <v>55330497115</v>
      </c>
      <c r="D21" s="15">
        <v>0</v>
      </c>
      <c r="E21" s="15">
        <v>55330497115</v>
      </c>
      <c r="F21" s="7">
        <v>0.11857239829147291</v>
      </c>
      <c r="G21" s="15">
        <v>0</v>
      </c>
      <c r="H21" s="15">
        <v>49825189879</v>
      </c>
      <c r="I21" s="15">
        <v>0</v>
      </c>
      <c r="J21" s="15">
        <v>49825189879</v>
      </c>
      <c r="K21" s="7">
        <v>0.12121651216035671</v>
      </c>
    </row>
    <row r="22" spans="1:11" x14ac:dyDescent="0.25">
      <c r="A22" s="6" t="s">
        <v>106</v>
      </c>
      <c r="B22" s="15">
        <v>0</v>
      </c>
      <c r="C22" s="15">
        <v>38947572765</v>
      </c>
      <c r="D22" s="15">
        <v>-1764562813</v>
      </c>
      <c r="E22" s="15">
        <v>37183009952</v>
      </c>
      <c r="F22" s="7">
        <v>7.968261439149632E-2</v>
      </c>
      <c r="G22" s="15">
        <v>0</v>
      </c>
      <c r="H22" s="15">
        <v>31917272967</v>
      </c>
      <c r="I22" s="15">
        <v>-5027078855</v>
      </c>
      <c r="J22" s="15">
        <v>26890194112</v>
      </c>
      <c r="K22" s="7">
        <v>6.5419430402319623E-2</v>
      </c>
    </row>
    <row r="23" spans="1:11" x14ac:dyDescent="0.25">
      <c r="A23" s="6" t="s">
        <v>110</v>
      </c>
      <c r="B23" s="15">
        <v>0</v>
      </c>
      <c r="C23" s="15">
        <v>201219213</v>
      </c>
      <c r="D23" s="15">
        <v>217572570</v>
      </c>
      <c r="E23" s="15">
        <v>418791783</v>
      </c>
      <c r="F23" s="7">
        <v>8.974643042129858E-4</v>
      </c>
      <c r="G23" s="15">
        <v>0</v>
      </c>
      <c r="H23" s="15">
        <v>0</v>
      </c>
      <c r="I23" s="15">
        <v>1163025722</v>
      </c>
      <c r="J23" s="15">
        <v>1163025722</v>
      </c>
      <c r="K23" s="7">
        <v>2.8294507640810639E-3</v>
      </c>
    </row>
    <row r="24" spans="1:11" x14ac:dyDescent="0.25">
      <c r="A24" s="6" t="s">
        <v>163</v>
      </c>
      <c r="B24" s="15">
        <v>0</v>
      </c>
      <c r="C24" s="15">
        <v>7020445866</v>
      </c>
      <c r="D24" s="15">
        <v>0</v>
      </c>
      <c r="E24" s="15">
        <v>7020445866</v>
      </c>
      <c r="F24" s="7">
        <v>1.5044706749641796E-2</v>
      </c>
      <c r="G24" s="15">
        <v>4948500000</v>
      </c>
      <c r="H24" s="15">
        <v>-3899945896</v>
      </c>
      <c r="I24" s="15">
        <v>118405085</v>
      </c>
      <c r="J24" s="15">
        <v>1166959189</v>
      </c>
      <c r="K24" s="7">
        <v>2.8390202439284216E-3</v>
      </c>
    </row>
    <row r="25" spans="1:11" x14ac:dyDescent="0.25">
      <c r="A25" s="6" t="s">
        <v>76</v>
      </c>
      <c r="B25" s="15">
        <v>5196000000</v>
      </c>
      <c r="C25" s="15">
        <v>15082007865</v>
      </c>
      <c r="D25" s="15">
        <v>0</v>
      </c>
      <c r="E25" s="15">
        <v>20278007865</v>
      </c>
      <c r="F25" s="7">
        <v>4.3455456764269124E-2</v>
      </c>
      <c r="G25" s="15">
        <v>5196000000</v>
      </c>
      <c r="H25" s="15">
        <v>15992840914</v>
      </c>
      <c r="I25" s="15">
        <v>1021799919</v>
      </c>
      <c r="J25" s="15">
        <v>22210640833</v>
      </c>
      <c r="K25" s="7">
        <v>5.4034845048475999E-2</v>
      </c>
    </row>
    <row r="26" spans="1:11" x14ac:dyDescent="0.25">
      <c r="A26" s="6" t="s">
        <v>91</v>
      </c>
      <c r="B26" s="15">
        <v>0</v>
      </c>
      <c r="C26" s="15">
        <v>899004185</v>
      </c>
      <c r="D26" s="15">
        <v>0</v>
      </c>
      <c r="E26" s="15">
        <v>899004185</v>
      </c>
      <c r="F26" s="7">
        <v>1.9265520435857914E-3</v>
      </c>
      <c r="G26" s="15">
        <v>0</v>
      </c>
      <c r="H26" s="15">
        <v>899004185</v>
      </c>
      <c r="I26" s="15">
        <v>0</v>
      </c>
      <c r="J26" s="15">
        <v>899004185</v>
      </c>
      <c r="K26" s="7">
        <v>2.1871296825542817E-3</v>
      </c>
    </row>
    <row r="27" spans="1:11" x14ac:dyDescent="0.25">
      <c r="A27" s="6" t="s">
        <v>162</v>
      </c>
      <c r="B27" s="15">
        <v>0</v>
      </c>
      <c r="C27" s="15">
        <v>3104921505</v>
      </c>
      <c r="D27" s="15">
        <v>0</v>
      </c>
      <c r="E27" s="15">
        <v>3104921505</v>
      </c>
      <c r="F27" s="7">
        <v>6.6537986924179015E-3</v>
      </c>
      <c r="G27" s="15">
        <v>0</v>
      </c>
      <c r="H27" s="15">
        <v>652217139</v>
      </c>
      <c r="I27" s="15">
        <v>0</v>
      </c>
      <c r="J27" s="15">
        <v>652217139</v>
      </c>
      <c r="K27" s="7">
        <v>1.5867372899688245E-3</v>
      </c>
    </row>
    <row r="28" spans="1:11" x14ac:dyDescent="0.25">
      <c r="A28" s="6" t="s">
        <v>89</v>
      </c>
      <c r="B28" s="15">
        <v>0</v>
      </c>
      <c r="C28" s="15">
        <v>-1081769033</v>
      </c>
      <c r="D28" s="15">
        <v>2324731549</v>
      </c>
      <c r="E28" s="15">
        <v>1242962516</v>
      </c>
      <c r="F28" s="7">
        <v>2.6636494192742127E-3</v>
      </c>
      <c r="G28" s="15">
        <v>0</v>
      </c>
      <c r="H28" s="15">
        <v>0</v>
      </c>
      <c r="I28" s="15">
        <v>3238188008</v>
      </c>
      <c r="J28" s="15">
        <v>3238188008</v>
      </c>
      <c r="K28" s="7">
        <v>7.87798013419495E-3</v>
      </c>
    </row>
    <row r="29" spans="1:11" x14ac:dyDescent="0.25">
      <c r="A29" s="6" t="s">
        <v>87</v>
      </c>
      <c r="B29" s="15">
        <v>0</v>
      </c>
      <c r="C29" s="15">
        <v>280476328</v>
      </c>
      <c r="D29" s="15">
        <v>471132216</v>
      </c>
      <c r="E29" s="15">
        <v>751608544</v>
      </c>
      <c r="F29" s="7">
        <v>1.6106854679655816E-3</v>
      </c>
      <c r="G29" s="15">
        <v>0</v>
      </c>
      <c r="H29" s="15">
        <v>0</v>
      </c>
      <c r="I29" s="15">
        <v>2298485501</v>
      </c>
      <c r="J29" s="15">
        <v>2298485501</v>
      </c>
      <c r="K29" s="7">
        <v>5.5918381115853746E-3</v>
      </c>
    </row>
    <row r="30" spans="1:11" x14ac:dyDescent="0.25">
      <c r="A30" s="6" t="s">
        <v>161</v>
      </c>
      <c r="B30" s="15">
        <v>0</v>
      </c>
      <c r="C30" s="15">
        <v>9356707515</v>
      </c>
      <c r="D30" s="15">
        <v>0</v>
      </c>
      <c r="E30" s="15">
        <v>9356707515</v>
      </c>
      <c r="F30" s="7">
        <v>2.0051279276589555E-2</v>
      </c>
      <c r="G30" s="15">
        <v>4785000000</v>
      </c>
      <c r="H30" s="15">
        <v>174340162</v>
      </c>
      <c r="I30" s="15">
        <v>155272540</v>
      </c>
      <c r="J30" s="15">
        <v>5114612702</v>
      </c>
      <c r="K30" s="7">
        <v>1.2443013549834984E-2</v>
      </c>
    </row>
    <row r="31" spans="1:11" x14ac:dyDescent="0.25">
      <c r="A31" s="6" t="s">
        <v>160</v>
      </c>
      <c r="B31" s="15">
        <v>0</v>
      </c>
      <c r="C31" s="15">
        <v>12626437296</v>
      </c>
      <c r="D31" s="15">
        <v>0</v>
      </c>
      <c r="E31" s="15">
        <v>12626437296</v>
      </c>
      <c r="F31" s="7">
        <v>2.7058259551724619E-2</v>
      </c>
      <c r="G31" s="15">
        <v>0</v>
      </c>
      <c r="H31" s="15">
        <v>3876685176</v>
      </c>
      <c r="I31" s="15">
        <v>716160076</v>
      </c>
      <c r="J31" s="15">
        <v>4592845252</v>
      </c>
      <c r="K31" s="7">
        <v>1.117363895033225E-2</v>
      </c>
    </row>
    <row r="32" spans="1:11" x14ac:dyDescent="0.25">
      <c r="A32" s="6" t="s">
        <v>159</v>
      </c>
      <c r="B32" s="15">
        <v>0</v>
      </c>
      <c r="C32" s="15">
        <v>246388389</v>
      </c>
      <c r="D32" s="15">
        <v>0</v>
      </c>
      <c r="E32" s="15">
        <v>246388389</v>
      </c>
      <c r="F32" s="7">
        <v>5.2800650126424151E-4</v>
      </c>
      <c r="G32" s="15">
        <v>0</v>
      </c>
      <c r="H32" s="15">
        <v>246388389</v>
      </c>
      <c r="I32" s="15">
        <v>0</v>
      </c>
      <c r="J32" s="15">
        <v>246388389</v>
      </c>
      <c r="K32" s="7">
        <v>5.9942252551208183E-4</v>
      </c>
    </row>
    <row r="33" spans="1:11" x14ac:dyDescent="0.25">
      <c r="A33" s="6" t="s">
        <v>78</v>
      </c>
      <c r="B33" s="15">
        <v>0</v>
      </c>
      <c r="C33" s="15">
        <v>6297858</v>
      </c>
      <c r="D33" s="15">
        <v>0</v>
      </c>
      <c r="E33" s="15">
        <v>6297858</v>
      </c>
      <c r="F33" s="7">
        <v>1.3496212145122689E-5</v>
      </c>
      <c r="G33" s="15">
        <v>0</v>
      </c>
      <c r="H33" s="15">
        <v>10276632</v>
      </c>
      <c r="I33" s="15">
        <v>2015118858</v>
      </c>
      <c r="J33" s="15">
        <v>2025395490</v>
      </c>
      <c r="K33" s="7">
        <v>4.9274549206804567E-3</v>
      </c>
    </row>
    <row r="34" spans="1:11" x14ac:dyDescent="0.25">
      <c r="A34" s="6" t="s">
        <v>90</v>
      </c>
      <c r="B34" s="15">
        <v>0</v>
      </c>
      <c r="C34" s="15">
        <v>664455290</v>
      </c>
      <c r="D34" s="15">
        <v>0</v>
      </c>
      <c r="E34" s="15">
        <v>664455290</v>
      </c>
      <c r="F34" s="7">
        <v>1.4239173945790806E-3</v>
      </c>
      <c r="G34" s="15">
        <v>0</v>
      </c>
      <c r="H34" s="15">
        <v>664455290</v>
      </c>
      <c r="I34" s="15">
        <v>0</v>
      </c>
      <c r="J34" s="15">
        <v>664455290</v>
      </c>
      <c r="K34" s="7">
        <v>1.6165107034392871E-3</v>
      </c>
    </row>
    <row r="35" spans="1:11" x14ac:dyDescent="0.25">
      <c r="A35" s="6" t="s">
        <v>101</v>
      </c>
      <c r="B35" s="15">
        <v>0</v>
      </c>
      <c r="C35" s="15">
        <v>489334093</v>
      </c>
      <c r="D35" s="15">
        <v>0</v>
      </c>
      <c r="E35" s="15">
        <v>489334093</v>
      </c>
      <c r="F35" s="7">
        <v>1.0486353818979716E-3</v>
      </c>
      <c r="G35" s="15">
        <v>0</v>
      </c>
      <c r="H35" s="15">
        <v>489334093</v>
      </c>
      <c r="I35" s="15">
        <v>0</v>
      </c>
      <c r="J35" s="15">
        <v>489334093</v>
      </c>
      <c r="K35" s="7">
        <v>1.1904695632602392E-3</v>
      </c>
    </row>
    <row r="36" spans="1:11" x14ac:dyDescent="0.25">
      <c r="A36" s="6" t="s">
        <v>71</v>
      </c>
      <c r="B36" s="15">
        <v>0</v>
      </c>
      <c r="C36" s="15">
        <v>12745829507</v>
      </c>
      <c r="D36" s="15">
        <v>0</v>
      </c>
      <c r="E36" s="15">
        <v>12745829507</v>
      </c>
      <c r="F36" s="7">
        <v>2.731411521060598E-2</v>
      </c>
      <c r="G36" s="15">
        <v>3237500000</v>
      </c>
      <c r="H36" s="15">
        <v>15752274107</v>
      </c>
      <c r="I36" s="15">
        <v>0</v>
      </c>
      <c r="J36" s="15">
        <v>18989774107</v>
      </c>
      <c r="K36" s="7">
        <v>4.6199004751485584E-2</v>
      </c>
    </row>
    <row r="37" spans="1:11" x14ac:dyDescent="0.25">
      <c r="A37" s="6" t="s">
        <v>158</v>
      </c>
      <c r="B37" s="15">
        <v>0</v>
      </c>
      <c r="C37" s="15">
        <v>14239880462</v>
      </c>
      <c r="D37" s="15">
        <v>0</v>
      </c>
      <c r="E37" s="15">
        <v>14239880462</v>
      </c>
      <c r="F37" s="7">
        <v>3.051584326549435E-2</v>
      </c>
      <c r="G37" s="15">
        <v>0</v>
      </c>
      <c r="H37" s="15">
        <v>14716928639</v>
      </c>
      <c r="I37" s="15">
        <v>0</v>
      </c>
      <c r="J37" s="15">
        <v>14716928639</v>
      </c>
      <c r="K37" s="7">
        <v>3.5803872773284236E-2</v>
      </c>
    </row>
    <row r="38" spans="1:11" x14ac:dyDescent="0.25">
      <c r="A38" s="6" t="s">
        <v>100</v>
      </c>
      <c r="B38" s="15">
        <v>0</v>
      </c>
      <c r="C38" s="15">
        <v>14541125489</v>
      </c>
      <c r="D38" s="15">
        <v>5167000009</v>
      </c>
      <c r="E38" s="15">
        <v>19708125498</v>
      </c>
      <c r="F38" s="7">
        <v>4.2234207678818698E-2</v>
      </c>
      <c r="G38" s="15">
        <v>0</v>
      </c>
      <c r="H38" s="15">
        <v>11781741209</v>
      </c>
      <c r="I38" s="15">
        <v>5138498642</v>
      </c>
      <c r="J38" s="15">
        <v>16920239851</v>
      </c>
      <c r="K38" s="7">
        <v>4.1164167454971229E-2</v>
      </c>
    </row>
    <row r="39" spans="1:11" x14ac:dyDescent="0.25">
      <c r="A39" s="6" t="s">
        <v>111</v>
      </c>
      <c r="B39" s="15">
        <v>0</v>
      </c>
      <c r="C39" s="15">
        <v>6810941280</v>
      </c>
      <c r="D39" s="15">
        <v>0</v>
      </c>
      <c r="E39" s="15">
        <v>6810941280</v>
      </c>
      <c r="F39" s="7">
        <v>1.4595741666905396E-2</v>
      </c>
      <c r="G39" s="15">
        <v>0</v>
      </c>
      <c r="H39" s="15">
        <v>5754265308</v>
      </c>
      <c r="I39" s="15">
        <v>0</v>
      </c>
      <c r="J39" s="15">
        <v>5754265308</v>
      </c>
      <c r="K39" s="7">
        <v>1.3999183392476817E-2</v>
      </c>
    </row>
    <row r="40" spans="1:11" x14ac:dyDescent="0.25">
      <c r="A40" s="6" t="s">
        <v>157</v>
      </c>
      <c r="B40" s="15">
        <v>0</v>
      </c>
      <c r="C40" s="15">
        <v>11777339631</v>
      </c>
      <c r="D40" s="15">
        <v>-2994</v>
      </c>
      <c r="E40" s="15">
        <v>11777336637</v>
      </c>
      <c r="F40" s="7">
        <v>2.5238649991390378E-2</v>
      </c>
      <c r="G40" s="15">
        <v>0</v>
      </c>
      <c r="H40" s="15">
        <v>12195340870</v>
      </c>
      <c r="I40" s="15">
        <v>483368606</v>
      </c>
      <c r="J40" s="15">
        <v>12678709476</v>
      </c>
      <c r="K40" s="7">
        <v>3.0845219960173868E-2</v>
      </c>
    </row>
    <row r="41" spans="1:11" x14ac:dyDescent="0.25">
      <c r="A41" s="6" t="s">
        <v>88</v>
      </c>
      <c r="B41" s="15">
        <v>0</v>
      </c>
      <c r="C41" s="15">
        <v>2359221152</v>
      </c>
      <c r="D41" s="15">
        <v>0</v>
      </c>
      <c r="E41" s="15">
        <v>2359221152</v>
      </c>
      <c r="F41" s="7">
        <v>5.0557743862520788E-3</v>
      </c>
      <c r="G41" s="15">
        <v>0</v>
      </c>
      <c r="H41" s="15">
        <v>-884234906</v>
      </c>
      <c r="I41" s="15">
        <v>189445153</v>
      </c>
      <c r="J41" s="15">
        <v>-694789753</v>
      </c>
      <c r="K41" s="7">
        <v>-1.6903094749451668E-3</v>
      </c>
    </row>
    <row r="42" spans="1:11" x14ac:dyDescent="0.25">
      <c r="A42" s="6" t="s">
        <v>74</v>
      </c>
      <c r="B42" s="15">
        <v>0</v>
      </c>
      <c r="C42" s="15">
        <v>2803328618</v>
      </c>
      <c r="D42" s="15">
        <v>0</v>
      </c>
      <c r="E42" s="15">
        <v>2803328618</v>
      </c>
      <c r="F42" s="7">
        <v>6.0074898070140046E-3</v>
      </c>
      <c r="G42" s="15">
        <v>0</v>
      </c>
      <c r="H42" s="15">
        <v>-224087152</v>
      </c>
      <c r="I42" s="15">
        <v>0</v>
      </c>
      <c r="J42" s="15">
        <v>-224087152</v>
      </c>
      <c r="K42" s="7">
        <v>-5.4516727485340126E-4</v>
      </c>
    </row>
    <row r="43" spans="1:11" x14ac:dyDescent="0.25">
      <c r="A43" s="6" t="s">
        <v>94</v>
      </c>
      <c r="B43" s="15">
        <v>0</v>
      </c>
      <c r="C43" s="15">
        <v>37976157440</v>
      </c>
      <c r="D43" s="15">
        <v>0</v>
      </c>
      <c r="E43" s="15">
        <v>37976157440</v>
      </c>
      <c r="F43" s="7">
        <v>8.1382317173048266E-2</v>
      </c>
      <c r="G43" s="15">
        <v>0</v>
      </c>
      <c r="H43" s="15">
        <v>19444522920</v>
      </c>
      <c r="I43" s="15">
        <v>632249560</v>
      </c>
      <c r="J43" s="15">
        <v>20076772480</v>
      </c>
      <c r="K43" s="7">
        <v>4.8843493449251221E-2</v>
      </c>
    </row>
    <row r="44" spans="1:11" x14ac:dyDescent="0.25">
      <c r="A44" s="6" t="s">
        <v>156</v>
      </c>
      <c r="B44" s="15">
        <v>0</v>
      </c>
      <c r="C44" s="15">
        <v>3180950537</v>
      </c>
      <c r="D44" s="15">
        <v>0</v>
      </c>
      <c r="E44" s="15">
        <v>3180950537</v>
      </c>
      <c r="F44" s="7">
        <v>6.8167277303638699E-3</v>
      </c>
      <c r="G44" s="15">
        <v>0</v>
      </c>
      <c r="H44" s="15">
        <v>168418817</v>
      </c>
      <c r="I44" s="15">
        <v>156233000</v>
      </c>
      <c r="J44" s="15">
        <v>324651817</v>
      </c>
      <c r="K44" s="7">
        <v>7.8982460516118815E-4</v>
      </c>
    </row>
    <row r="45" spans="1:11" x14ac:dyDescent="0.25">
      <c r="A45" s="6" t="s">
        <v>98</v>
      </c>
      <c r="B45" s="15">
        <v>0</v>
      </c>
      <c r="C45" s="15">
        <v>13764486795</v>
      </c>
      <c r="D45" s="15">
        <v>0</v>
      </c>
      <c r="E45" s="15">
        <v>13764486795</v>
      </c>
      <c r="F45" s="7">
        <v>2.9497082000588121E-2</v>
      </c>
      <c r="G45" s="15">
        <v>0</v>
      </c>
      <c r="H45" s="15">
        <v>14306097529</v>
      </c>
      <c r="I45" s="15">
        <v>0</v>
      </c>
      <c r="J45" s="15">
        <v>14306097529</v>
      </c>
      <c r="K45" s="7">
        <v>3.4804388087684331E-2</v>
      </c>
    </row>
    <row r="46" spans="1:11" x14ac:dyDescent="0.25">
      <c r="A46" s="6" t="s">
        <v>86</v>
      </c>
      <c r="B46" s="15">
        <v>0</v>
      </c>
      <c r="C46" s="15">
        <v>15492976186</v>
      </c>
      <c r="D46" s="15">
        <v>0</v>
      </c>
      <c r="E46" s="15">
        <v>15492976186</v>
      </c>
      <c r="F46" s="7">
        <v>3.3201207992557123E-2</v>
      </c>
      <c r="G46" s="15">
        <v>0</v>
      </c>
      <c r="H46" s="15">
        <v>14294278057</v>
      </c>
      <c r="I46" s="15">
        <v>10229398</v>
      </c>
      <c r="J46" s="15">
        <v>14304507455</v>
      </c>
      <c r="K46" s="7">
        <v>3.4800519698525656E-2</v>
      </c>
    </row>
    <row r="47" spans="1:11" x14ac:dyDescent="0.25">
      <c r="A47" s="6" t="s">
        <v>155</v>
      </c>
      <c r="B47" s="15">
        <v>0</v>
      </c>
      <c r="C47" s="15">
        <v>23862682579</v>
      </c>
      <c r="D47" s="15">
        <v>0</v>
      </c>
      <c r="E47" s="15">
        <v>23862682579</v>
      </c>
      <c r="F47" s="7">
        <v>5.1137359152573371E-2</v>
      </c>
      <c r="G47" s="15">
        <v>0</v>
      </c>
      <c r="H47" s="15">
        <v>25798446135</v>
      </c>
      <c r="I47" s="15">
        <v>201541358</v>
      </c>
      <c r="J47" s="15">
        <v>25999987493</v>
      </c>
      <c r="K47" s="7">
        <v>6.3253703754427335E-2</v>
      </c>
    </row>
    <row r="48" spans="1:11" x14ac:dyDescent="0.25">
      <c r="A48" s="6" t="s">
        <v>75</v>
      </c>
      <c r="B48" s="15">
        <v>0</v>
      </c>
      <c r="C48" s="15">
        <v>9899381655</v>
      </c>
      <c r="D48" s="15">
        <v>0</v>
      </c>
      <c r="E48" s="15">
        <v>9899381655</v>
      </c>
      <c r="F48" s="7">
        <v>2.1214221553013064E-2</v>
      </c>
      <c r="G48" s="15">
        <v>0</v>
      </c>
      <c r="H48" s="15">
        <v>3264072166</v>
      </c>
      <c r="I48" s="15">
        <v>61597329</v>
      </c>
      <c r="J48" s="15">
        <v>3325669495</v>
      </c>
      <c r="K48" s="7">
        <v>8.0908082389847917E-3</v>
      </c>
    </row>
    <row r="49" spans="1:11" x14ac:dyDescent="0.25">
      <c r="A49" s="6" t="s">
        <v>154</v>
      </c>
      <c r="B49" s="15">
        <v>0</v>
      </c>
      <c r="C49" s="15">
        <v>11560549564</v>
      </c>
      <c r="D49" s="15">
        <v>0</v>
      </c>
      <c r="E49" s="15">
        <v>11560549564</v>
      </c>
      <c r="F49" s="7">
        <v>2.4774078651812984E-2</v>
      </c>
      <c r="G49" s="15">
        <v>0</v>
      </c>
      <c r="H49" s="15">
        <v>12846719847</v>
      </c>
      <c r="I49" s="15">
        <v>0</v>
      </c>
      <c r="J49" s="15">
        <v>12846719847</v>
      </c>
      <c r="K49" s="7">
        <v>3.125396162736762E-2</v>
      </c>
    </row>
    <row r="50" spans="1:11" x14ac:dyDescent="0.25">
      <c r="A50" s="6" t="s">
        <v>153</v>
      </c>
      <c r="B50" s="15">
        <v>0</v>
      </c>
      <c r="C50" s="15">
        <v>0</v>
      </c>
      <c r="D50" s="15">
        <v>0</v>
      </c>
      <c r="E50" s="15">
        <v>0</v>
      </c>
      <c r="F50" s="7">
        <v>0</v>
      </c>
      <c r="G50" s="15">
        <v>0</v>
      </c>
      <c r="H50" s="15">
        <v>0</v>
      </c>
      <c r="I50" s="15">
        <v>-1420212200</v>
      </c>
      <c r="J50" s="15">
        <v>-1420212200</v>
      </c>
      <c r="K50" s="7">
        <v>-3.4551432684884753E-3</v>
      </c>
    </row>
    <row r="51" spans="1:11" x14ac:dyDescent="0.25">
      <c r="A51" s="6" t="s">
        <v>152</v>
      </c>
      <c r="B51" s="15">
        <v>0</v>
      </c>
      <c r="C51" s="15">
        <v>0</v>
      </c>
      <c r="D51" s="15">
        <v>0</v>
      </c>
      <c r="E51" s="15">
        <v>0</v>
      </c>
      <c r="F51" s="7">
        <v>0</v>
      </c>
      <c r="G51" s="15">
        <v>0</v>
      </c>
      <c r="H51" s="15">
        <v>0</v>
      </c>
      <c r="I51" s="15">
        <v>-553054609</v>
      </c>
      <c r="J51" s="15">
        <v>-553054609</v>
      </c>
      <c r="K51" s="7">
        <v>-1.3454911240678509E-3</v>
      </c>
    </row>
    <row r="52" spans="1:11" x14ac:dyDescent="0.25">
      <c r="A52" s="6" t="s">
        <v>151</v>
      </c>
      <c r="B52" s="15">
        <v>0</v>
      </c>
      <c r="C52" s="15">
        <v>0</v>
      </c>
      <c r="D52" s="15">
        <v>0</v>
      </c>
      <c r="E52" s="15">
        <v>0</v>
      </c>
      <c r="F52" s="7">
        <v>0</v>
      </c>
      <c r="G52" s="15">
        <v>0</v>
      </c>
      <c r="H52" s="15">
        <v>0</v>
      </c>
      <c r="I52" s="15">
        <v>642006420</v>
      </c>
      <c r="J52" s="15">
        <v>642006420</v>
      </c>
      <c r="K52" s="7">
        <v>1.5618962859137422E-3</v>
      </c>
    </row>
    <row r="53" spans="1:11" x14ac:dyDescent="0.25">
      <c r="A53" s="6" t="s">
        <v>150</v>
      </c>
      <c r="B53" s="15">
        <v>0</v>
      </c>
      <c r="C53" s="15">
        <v>0</v>
      </c>
      <c r="D53" s="15">
        <v>0</v>
      </c>
      <c r="E53" s="15">
        <v>0</v>
      </c>
      <c r="F53" s="7">
        <v>0</v>
      </c>
      <c r="G53" s="15">
        <v>0</v>
      </c>
      <c r="H53" s="15">
        <v>0</v>
      </c>
      <c r="I53" s="15">
        <v>-53544440</v>
      </c>
      <c r="J53" s="15">
        <v>-53544440</v>
      </c>
      <c r="K53" s="7">
        <v>-1.3026483748765504E-4</v>
      </c>
    </row>
    <row r="54" spans="1:11" x14ac:dyDescent="0.25">
      <c r="A54" s="6" t="s">
        <v>149</v>
      </c>
      <c r="B54" s="15">
        <v>0</v>
      </c>
      <c r="C54" s="15">
        <v>0</v>
      </c>
      <c r="D54" s="15">
        <v>0</v>
      </c>
      <c r="E54" s="15">
        <v>0</v>
      </c>
      <c r="F54" s="7">
        <v>0</v>
      </c>
      <c r="G54" s="15">
        <v>0</v>
      </c>
      <c r="H54" s="15">
        <v>0</v>
      </c>
      <c r="I54" s="15">
        <v>179495223</v>
      </c>
      <c r="J54" s="15">
        <v>179495223</v>
      </c>
      <c r="K54" s="7">
        <v>4.3668242779092289E-4</v>
      </c>
    </row>
    <row r="55" spans="1:11" x14ac:dyDescent="0.25">
      <c r="A55" s="6" t="s">
        <v>148</v>
      </c>
      <c r="B55" s="15">
        <v>0</v>
      </c>
      <c r="C55" s="15">
        <v>0</v>
      </c>
      <c r="D55" s="15">
        <v>0</v>
      </c>
      <c r="E55" s="15">
        <v>0</v>
      </c>
      <c r="F55" s="7">
        <v>0</v>
      </c>
      <c r="G55" s="15">
        <v>0</v>
      </c>
      <c r="H55" s="15">
        <v>0</v>
      </c>
      <c r="I55" s="15">
        <v>-1579799394</v>
      </c>
      <c r="J55" s="15">
        <v>-1579799394</v>
      </c>
      <c r="K55" s="7">
        <v>-3.8433927280312565E-3</v>
      </c>
    </row>
    <row r="56" spans="1:11" x14ac:dyDescent="0.25">
      <c r="A56" s="6" t="s">
        <v>147</v>
      </c>
      <c r="B56" s="15">
        <v>0</v>
      </c>
      <c r="C56" s="15">
        <v>0</v>
      </c>
      <c r="D56" s="15">
        <v>0</v>
      </c>
      <c r="E56" s="15">
        <v>0</v>
      </c>
      <c r="F56" s="7">
        <v>0</v>
      </c>
      <c r="G56" s="15">
        <v>0</v>
      </c>
      <c r="H56" s="15">
        <v>0</v>
      </c>
      <c r="I56" s="15">
        <v>-277571830</v>
      </c>
      <c r="J56" s="15">
        <v>-277571830</v>
      </c>
      <c r="K56" s="7">
        <v>-6.7528672120020328E-4</v>
      </c>
    </row>
    <row r="57" spans="1:11" x14ac:dyDescent="0.25">
      <c r="A57" s="6" t="s">
        <v>146</v>
      </c>
      <c r="B57" s="15">
        <v>0</v>
      </c>
      <c r="C57" s="15">
        <v>0</v>
      </c>
      <c r="D57" s="15">
        <v>0</v>
      </c>
      <c r="E57" s="15">
        <v>0</v>
      </c>
      <c r="F57" s="7">
        <v>0</v>
      </c>
      <c r="G57" s="15">
        <v>0</v>
      </c>
      <c r="H57" s="15">
        <v>0</v>
      </c>
      <c r="I57" s="15">
        <v>-1025979107</v>
      </c>
      <c r="J57" s="15">
        <v>-1025979107</v>
      </c>
      <c r="K57" s="7">
        <v>-2.4960388350141389E-3</v>
      </c>
    </row>
    <row r="58" spans="1:11" x14ac:dyDescent="0.25">
      <c r="A58" s="6" t="s">
        <v>145</v>
      </c>
      <c r="B58" s="15">
        <v>0</v>
      </c>
      <c r="C58" s="15">
        <v>0</v>
      </c>
      <c r="D58" s="15">
        <v>0</v>
      </c>
      <c r="E58" s="15">
        <v>0</v>
      </c>
      <c r="F58" s="7">
        <v>0</v>
      </c>
      <c r="G58" s="15">
        <v>0</v>
      </c>
      <c r="H58" s="15">
        <v>0</v>
      </c>
      <c r="I58" s="15">
        <v>-343528390</v>
      </c>
      <c r="J58" s="15">
        <v>-343528390</v>
      </c>
      <c r="K58" s="7">
        <v>-8.3574821019224001E-4</v>
      </c>
    </row>
    <row r="59" spans="1:11" x14ac:dyDescent="0.25">
      <c r="A59" s="6" t="s">
        <v>144</v>
      </c>
      <c r="B59" s="15">
        <v>0</v>
      </c>
      <c r="C59" s="15">
        <v>0</v>
      </c>
      <c r="D59" s="15">
        <v>0</v>
      </c>
      <c r="E59" s="15">
        <v>0</v>
      </c>
      <c r="F59" s="7">
        <v>0</v>
      </c>
      <c r="G59" s="15">
        <v>0</v>
      </c>
      <c r="H59" s="15">
        <v>0</v>
      </c>
      <c r="I59" s="15">
        <v>2957489400</v>
      </c>
      <c r="J59" s="15">
        <v>2957489400</v>
      </c>
      <c r="K59" s="7">
        <v>7.1950864751309839E-3</v>
      </c>
    </row>
    <row r="60" spans="1:11" ht="18" thickBot="1" x14ac:dyDescent="0.3">
      <c r="A60" s="6" t="s">
        <v>2</v>
      </c>
      <c r="B60" s="8">
        <f t="shared" ref="B60:K60" si="0">SUM(B10:B59)</f>
        <v>6463666600</v>
      </c>
      <c r="C60" s="8">
        <f t="shared" si="0"/>
        <v>453454258109</v>
      </c>
      <c r="D60" s="8">
        <f t="shared" si="0"/>
        <v>6415870537</v>
      </c>
      <c r="E60" s="8">
        <f t="shared" si="0"/>
        <v>466333795246</v>
      </c>
      <c r="F60" s="9">
        <f t="shared" si="0"/>
        <v>0.9993461000677093</v>
      </c>
      <c r="G60" s="8">
        <f t="shared" si="0"/>
        <v>19434666600</v>
      </c>
      <c r="H60" s="8">
        <f t="shared" si="0"/>
        <v>356421929157</v>
      </c>
      <c r="I60" s="8">
        <f t="shared" si="0"/>
        <v>12244485895</v>
      </c>
      <c r="J60" s="8">
        <f t="shared" si="0"/>
        <v>388101081652</v>
      </c>
      <c r="K60" s="9">
        <f t="shared" si="0"/>
        <v>0.94418625594330441</v>
      </c>
    </row>
    <row r="61" spans="1:11" ht="18" thickTop="1" x14ac:dyDescent="0.25"/>
    <row r="62" spans="1:11" x14ac:dyDescent="0.15">
      <c r="C62" s="41"/>
      <c r="D62" s="41"/>
    </row>
    <row r="63" spans="1:11" x14ac:dyDescent="0.15">
      <c r="C63" s="41"/>
      <c r="D63" s="41"/>
      <c r="H63" s="41"/>
      <c r="I63" s="41"/>
    </row>
    <row r="64" spans="1:11" x14ac:dyDescent="0.15">
      <c r="C64" s="41"/>
      <c r="D64" s="41"/>
      <c r="H64" s="41"/>
      <c r="I64" s="41"/>
    </row>
    <row r="65" spans="3:9" x14ac:dyDescent="0.15">
      <c r="C65" s="42"/>
      <c r="D65" s="42"/>
      <c r="H65" s="41"/>
      <c r="I65" s="41"/>
    </row>
    <row r="66" spans="3:9" x14ac:dyDescent="0.15">
      <c r="H66" s="42"/>
      <c r="I66" s="41"/>
    </row>
    <row r="67" spans="3:9" x14ac:dyDescent="0.25">
      <c r="I67" s="42"/>
    </row>
  </sheetData>
  <mergeCells count="15">
    <mergeCell ref="A1:K1"/>
    <mergeCell ref="A2:K2"/>
    <mergeCell ref="A3:K3"/>
    <mergeCell ref="I8:I9"/>
    <mergeCell ref="E8:F8"/>
    <mergeCell ref="J8:K8"/>
    <mergeCell ref="A5:K5"/>
    <mergeCell ref="B8:B9"/>
    <mergeCell ref="C8:C9"/>
    <mergeCell ref="D8:D9"/>
    <mergeCell ref="G8:G9"/>
    <mergeCell ref="H8:H9"/>
    <mergeCell ref="G7:K7"/>
    <mergeCell ref="B7:F7"/>
    <mergeCell ref="A8:A9"/>
  </mergeCells>
  <pageMargins left="0.7" right="0.7" top="0.75" bottom="0.75" header="0.3" footer="0.3"/>
  <pageSetup scale="52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D3C4-F65C-4D95-A8EB-5B9C1E0A26F7}">
  <dimension ref="A1:F12"/>
  <sheetViews>
    <sheetView rightToLeft="1" tabSelected="1" view="pageBreakPreview" zoomScaleNormal="100" zoomScaleSheetLayoutView="100" workbookViewId="0">
      <selection activeCell="L25" sqref="L25"/>
    </sheetView>
  </sheetViews>
  <sheetFormatPr defaultColWidth="9.140625" defaultRowHeight="17.25" x14ac:dyDescent="0.25"/>
  <cols>
    <col min="1" max="1" width="23.7109375" style="13" customWidth="1"/>
    <col min="2" max="2" width="28.5703125" style="13" customWidth="1"/>
    <col min="3" max="3" width="11.42578125" style="13" customWidth="1"/>
    <col min="4" max="4" width="28.5703125" style="13" customWidth="1"/>
    <col min="5" max="5" width="11.42578125" style="13" customWidth="1"/>
    <col min="6" max="16384" width="9.140625" style="13"/>
  </cols>
  <sheetData>
    <row r="1" spans="1:6" ht="21" x14ac:dyDescent="0.25">
      <c r="A1" s="64" t="s">
        <v>117</v>
      </c>
      <c r="B1" s="64"/>
      <c r="C1" s="64"/>
      <c r="D1" s="64"/>
      <c r="E1" s="64"/>
    </row>
    <row r="2" spans="1:6" ht="21" x14ac:dyDescent="0.25">
      <c r="A2" s="64" t="s">
        <v>35</v>
      </c>
      <c r="B2" s="64"/>
      <c r="C2" s="64"/>
      <c r="D2" s="64"/>
      <c r="E2" s="64"/>
    </row>
    <row r="3" spans="1:6" ht="21" x14ac:dyDescent="0.25">
      <c r="A3" s="64" t="s">
        <v>43</v>
      </c>
      <c r="B3" s="64"/>
      <c r="C3" s="64"/>
      <c r="D3" s="64"/>
      <c r="E3" s="64"/>
    </row>
    <row r="4" spans="1:6" ht="21" x14ac:dyDescent="0.25">
      <c r="A4" s="3"/>
      <c r="B4" s="3"/>
      <c r="C4" s="3"/>
      <c r="D4" s="3"/>
      <c r="E4" s="3"/>
    </row>
    <row r="5" spans="1:6" ht="21" x14ac:dyDescent="0.25">
      <c r="A5" s="65" t="s">
        <v>63</v>
      </c>
      <c r="B5" s="65"/>
      <c r="C5" s="65"/>
      <c r="D5" s="65"/>
      <c r="E5" s="65"/>
    </row>
    <row r="6" spans="1:6" x14ac:dyDescent="0.25">
      <c r="A6" s="18"/>
      <c r="B6" s="18"/>
      <c r="C6" s="18"/>
      <c r="D6" s="18"/>
      <c r="E6" s="18"/>
    </row>
    <row r="7" spans="1:6" ht="18" thickBot="1" x14ac:dyDescent="0.3">
      <c r="A7" s="24"/>
      <c r="B7" s="80" t="s">
        <v>61</v>
      </c>
      <c r="C7" s="80"/>
      <c r="D7" s="78" t="s">
        <v>62</v>
      </c>
      <c r="E7" s="78"/>
      <c r="F7" s="22"/>
    </row>
    <row r="8" spans="1:6" ht="35.25" thickBot="1" x14ac:dyDescent="0.3">
      <c r="A8" s="4" t="s">
        <v>60</v>
      </c>
      <c r="B8" s="4" t="s">
        <v>9</v>
      </c>
      <c r="C8" s="4" t="s">
        <v>64</v>
      </c>
      <c r="D8" s="4" t="s">
        <v>9</v>
      </c>
      <c r="E8" s="4" t="s">
        <v>64</v>
      </c>
      <c r="F8" s="23"/>
    </row>
    <row r="9" spans="1:6" x14ac:dyDescent="0.25">
      <c r="A9" s="6" t="s">
        <v>47</v>
      </c>
      <c r="B9" s="15">
        <v>7139620</v>
      </c>
      <c r="C9" s="7">
        <f>B9/B11</f>
        <v>2.6559122594396987E-3</v>
      </c>
      <c r="D9" s="15">
        <v>80993867</v>
      </c>
      <c r="E9" s="7">
        <f>D9/D11</f>
        <v>7.1423294787452173E-3</v>
      </c>
    </row>
    <row r="10" spans="1:6" x14ac:dyDescent="0.25">
      <c r="A10" s="6" t="s">
        <v>46</v>
      </c>
      <c r="B10" s="15">
        <v>2681059124</v>
      </c>
      <c r="C10" s="7">
        <f>B10/B11</f>
        <v>0.99734408774056027</v>
      </c>
      <c r="D10" s="15">
        <v>11258985231</v>
      </c>
      <c r="E10" s="7">
        <f>D10/D11</f>
        <v>0.99285767052125473</v>
      </c>
    </row>
    <row r="11" spans="1:6" ht="18" thickBot="1" x14ac:dyDescent="0.3">
      <c r="A11" s="6" t="s">
        <v>2</v>
      </c>
      <c r="B11" s="8">
        <f>SUM(B9:B10)</f>
        <v>2688198744</v>
      </c>
      <c r="C11" s="9">
        <f>SUM(C9:C10)</f>
        <v>1</v>
      </c>
      <c r="D11" s="8">
        <f>SUM(D9:D10)</f>
        <v>11339979098</v>
      </c>
      <c r="E11" s="9">
        <f>SUM(E9:E10)</f>
        <v>1</v>
      </c>
    </row>
    <row r="12" spans="1:6" ht="18" thickTop="1" x14ac:dyDescent="0.25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F61D-DD16-47F9-9FBA-5113AF00BDBA}">
  <dimension ref="A1:I57"/>
  <sheetViews>
    <sheetView rightToLeft="1" tabSelected="1" view="pageBreakPreview" topLeftCell="G49" zoomScaleNormal="70" zoomScaleSheetLayoutView="100" workbookViewId="0">
      <selection activeCell="L25" sqref="L25"/>
    </sheetView>
  </sheetViews>
  <sheetFormatPr defaultColWidth="8.85546875" defaultRowHeight="19.5" x14ac:dyDescent="0.25"/>
  <cols>
    <col min="1" max="1" width="45.140625" style="20" customWidth="1"/>
    <col min="2" max="2" width="22" style="20" customWidth="1"/>
    <col min="3" max="4" width="20.85546875" style="20" customWidth="1"/>
    <col min="5" max="5" width="16.140625" style="20" customWidth="1"/>
    <col min="6" max="6" width="20.42578125" style="20" customWidth="1"/>
    <col min="7" max="7" width="22.28515625" style="20" customWidth="1"/>
    <col min="8" max="8" width="18.85546875" style="20" customWidth="1"/>
    <col min="9" max="9" width="16.42578125" style="20" customWidth="1"/>
    <col min="10" max="16384" width="8.85546875" style="20"/>
  </cols>
  <sheetData>
    <row r="1" spans="1:9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</row>
    <row r="2" spans="1:9" ht="21" x14ac:dyDescent="0.25">
      <c r="A2" s="64" t="s">
        <v>238</v>
      </c>
      <c r="B2" s="64"/>
      <c r="C2" s="64"/>
      <c r="D2" s="64"/>
      <c r="E2" s="64"/>
      <c r="F2" s="64"/>
      <c r="G2" s="64"/>
      <c r="H2" s="64"/>
      <c r="I2" s="64"/>
    </row>
    <row r="3" spans="1:9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</row>
    <row r="4" spans="1:9" ht="21" x14ac:dyDescent="0.25">
      <c r="A4" s="3"/>
      <c r="B4" s="3"/>
      <c r="C4" s="3"/>
      <c r="D4" s="3"/>
      <c r="E4" s="3"/>
      <c r="F4" s="3"/>
      <c r="G4" s="3"/>
    </row>
    <row r="5" spans="1:9" ht="21" x14ac:dyDescent="0.25">
      <c r="A5" s="65" t="s">
        <v>237</v>
      </c>
      <c r="B5" s="65"/>
      <c r="C5" s="65"/>
      <c r="D5" s="65"/>
      <c r="E5" s="65"/>
      <c r="F5" s="65"/>
      <c r="G5" s="65"/>
    </row>
    <row r="6" spans="1:9" x14ac:dyDescent="0.25">
      <c r="B6" s="52"/>
      <c r="C6" s="52"/>
      <c r="D6" s="52"/>
    </row>
    <row r="7" spans="1:9" ht="20.25" thickBot="1" x14ac:dyDescent="0.3">
      <c r="A7" s="51"/>
      <c r="B7" s="78" t="s">
        <v>61</v>
      </c>
      <c r="C7" s="78"/>
      <c r="D7" s="78"/>
      <c r="E7" s="78"/>
      <c r="F7" s="78" t="s">
        <v>62</v>
      </c>
      <c r="G7" s="78"/>
      <c r="H7" s="78"/>
      <c r="I7" s="78"/>
    </row>
    <row r="8" spans="1:9" ht="15" customHeight="1" thickBot="1" x14ac:dyDescent="0.3">
      <c r="A8" s="83" t="s">
        <v>217</v>
      </c>
      <c r="B8" s="81" t="s">
        <v>7</v>
      </c>
      <c r="C8" s="81" t="s">
        <v>8</v>
      </c>
      <c r="D8" s="77" t="s">
        <v>2</v>
      </c>
      <c r="E8" s="77"/>
      <c r="F8" s="81" t="s">
        <v>7</v>
      </c>
      <c r="G8" s="81" t="s">
        <v>8</v>
      </c>
      <c r="H8" s="77" t="s">
        <v>2</v>
      </c>
      <c r="I8" s="77"/>
    </row>
    <row r="9" spans="1:9" ht="20.25" thickBot="1" x14ac:dyDescent="0.3">
      <c r="A9" s="80"/>
      <c r="B9" s="82"/>
      <c r="C9" s="82" t="s">
        <v>171</v>
      </c>
      <c r="D9" s="19" t="s">
        <v>4</v>
      </c>
      <c r="E9" s="19" t="s">
        <v>170</v>
      </c>
      <c r="F9" s="82"/>
      <c r="G9" s="82" t="s">
        <v>171</v>
      </c>
      <c r="H9" s="19" t="s">
        <v>4</v>
      </c>
      <c r="I9" s="19" t="s">
        <v>170</v>
      </c>
    </row>
    <row r="10" spans="1:9" x14ac:dyDescent="0.25">
      <c r="A10" s="6" t="s">
        <v>216</v>
      </c>
      <c r="B10" s="15">
        <v>-2498107</v>
      </c>
      <c r="C10" s="15">
        <v>0</v>
      </c>
      <c r="D10" s="15">
        <v>-2498107</v>
      </c>
      <c r="E10" s="7">
        <v>-5.3534046072833026E-6</v>
      </c>
      <c r="F10" s="15">
        <v>-2498107</v>
      </c>
      <c r="G10" s="15">
        <v>0</v>
      </c>
      <c r="H10" s="15">
        <v>-2498107</v>
      </c>
      <c r="I10" s="7">
        <v>-6.0774844667676702E-6</v>
      </c>
    </row>
    <row r="11" spans="1:9" x14ac:dyDescent="0.25">
      <c r="A11" s="6" t="s">
        <v>215</v>
      </c>
      <c r="B11" s="15">
        <v>-363724270</v>
      </c>
      <c r="C11" s="15">
        <v>0</v>
      </c>
      <c r="D11" s="15">
        <v>-363724270</v>
      </c>
      <c r="E11" s="7">
        <v>-7.7945547680654029E-4</v>
      </c>
      <c r="F11" s="15">
        <v>0</v>
      </c>
      <c r="G11" s="15">
        <v>2675971415</v>
      </c>
      <c r="H11" s="15">
        <v>2675971415</v>
      </c>
      <c r="I11" s="7">
        <v>6.5101994062611414E-3</v>
      </c>
    </row>
    <row r="12" spans="1:9" x14ac:dyDescent="0.25">
      <c r="A12" s="6" t="s">
        <v>214</v>
      </c>
      <c r="B12" s="15">
        <v>81937885</v>
      </c>
      <c r="C12" s="15">
        <v>0</v>
      </c>
      <c r="D12" s="15">
        <v>81937885</v>
      </c>
      <c r="E12" s="7">
        <v>1.7559161840147337E-4</v>
      </c>
      <c r="F12" s="15">
        <v>0</v>
      </c>
      <c r="G12" s="15">
        <v>-11252302</v>
      </c>
      <c r="H12" s="15">
        <v>-11252302</v>
      </c>
      <c r="I12" s="7">
        <v>-2.7375004601635873E-5</v>
      </c>
    </row>
    <row r="13" spans="1:9" x14ac:dyDescent="0.25">
      <c r="A13" s="6" t="s">
        <v>213</v>
      </c>
      <c r="B13" s="15">
        <v>-16531468</v>
      </c>
      <c r="C13" s="15">
        <v>0</v>
      </c>
      <c r="D13" s="15">
        <v>-16531468</v>
      </c>
      <c r="E13" s="7">
        <v>-3.5426679864536023E-5</v>
      </c>
      <c r="F13" s="15">
        <v>-16531468</v>
      </c>
      <c r="G13" s="15">
        <v>0</v>
      </c>
      <c r="H13" s="15">
        <v>-16531468</v>
      </c>
      <c r="I13" s="7">
        <v>-4.021834932725732E-5</v>
      </c>
    </row>
    <row r="14" spans="1:9" x14ac:dyDescent="0.25">
      <c r="A14" s="6" t="s">
        <v>212</v>
      </c>
      <c r="B14" s="15">
        <v>17986365</v>
      </c>
      <c r="C14" s="15">
        <v>0</v>
      </c>
      <c r="D14" s="15">
        <v>17986365</v>
      </c>
      <c r="E14" s="7">
        <v>3.854450160032342E-5</v>
      </c>
      <c r="F14" s="15">
        <v>0</v>
      </c>
      <c r="G14" s="15">
        <v>-31062868</v>
      </c>
      <c r="H14" s="15">
        <v>-31062868</v>
      </c>
      <c r="I14" s="7">
        <v>-7.5570861361524746E-5</v>
      </c>
    </row>
    <row r="15" spans="1:9" x14ac:dyDescent="0.25">
      <c r="A15" s="6" t="s">
        <v>211</v>
      </c>
      <c r="B15" s="15">
        <v>-2362210</v>
      </c>
      <c r="C15" s="15">
        <v>0</v>
      </c>
      <c r="D15" s="15">
        <v>-2362210</v>
      </c>
      <c r="E15" s="7">
        <v>-5.0621794412211695E-6</v>
      </c>
      <c r="F15" s="15">
        <v>0</v>
      </c>
      <c r="G15" s="15">
        <v>76038490</v>
      </c>
      <c r="H15" s="15">
        <v>76038490</v>
      </c>
      <c r="I15" s="7">
        <v>1.8498917054052079E-4</v>
      </c>
    </row>
    <row r="16" spans="1:9" x14ac:dyDescent="0.25">
      <c r="A16" s="6" t="s">
        <v>210</v>
      </c>
      <c r="B16" s="15">
        <v>-39969700</v>
      </c>
      <c r="C16" s="15">
        <v>0</v>
      </c>
      <c r="D16" s="15">
        <v>-39969700</v>
      </c>
      <c r="E16" s="7">
        <v>-8.565444800071872E-5</v>
      </c>
      <c r="F16" s="15">
        <v>0</v>
      </c>
      <c r="G16" s="15">
        <v>328984960</v>
      </c>
      <c r="H16" s="15">
        <v>328984960</v>
      </c>
      <c r="I16" s="7">
        <v>8.0036643114173381E-4</v>
      </c>
    </row>
    <row r="17" spans="1:9" x14ac:dyDescent="0.25">
      <c r="A17" s="6" t="s">
        <v>209</v>
      </c>
      <c r="B17" s="15">
        <v>39969700</v>
      </c>
      <c r="C17" s="15">
        <v>0</v>
      </c>
      <c r="D17" s="15">
        <v>39969700</v>
      </c>
      <c r="E17" s="7">
        <v>8.565444800071872E-5</v>
      </c>
      <c r="F17" s="15">
        <v>0</v>
      </c>
      <c r="G17" s="15">
        <v>86002390</v>
      </c>
      <c r="H17" s="15">
        <v>86002390</v>
      </c>
      <c r="I17" s="7">
        <v>2.0922970446417836E-4</v>
      </c>
    </row>
    <row r="18" spans="1:9" x14ac:dyDescent="0.25">
      <c r="A18" s="6" t="s">
        <v>208</v>
      </c>
      <c r="B18" s="15">
        <v>-32183602</v>
      </c>
      <c r="C18" s="15">
        <v>0</v>
      </c>
      <c r="D18" s="15">
        <v>-32183602</v>
      </c>
      <c r="E18" s="7">
        <v>-6.8968960587265527E-5</v>
      </c>
      <c r="F18" s="15">
        <v>0</v>
      </c>
      <c r="G18" s="15">
        <v>2950920590</v>
      </c>
      <c r="H18" s="15">
        <v>2950920590</v>
      </c>
      <c r="I18" s="7">
        <v>7.179105638145159E-3</v>
      </c>
    </row>
    <row r="19" spans="1:9" x14ac:dyDescent="0.25">
      <c r="A19" s="6" t="s">
        <v>207</v>
      </c>
      <c r="B19" s="15">
        <v>-13639660</v>
      </c>
      <c r="C19" s="15">
        <v>0</v>
      </c>
      <c r="D19" s="15">
        <v>-13639660</v>
      </c>
      <c r="E19" s="7">
        <v>-2.9229580112372199E-5</v>
      </c>
      <c r="F19" s="15">
        <v>0</v>
      </c>
      <c r="G19" s="15">
        <v>193957616</v>
      </c>
      <c r="H19" s="15">
        <v>193957616</v>
      </c>
      <c r="I19" s="7">
        <v>4.7186705711616374E-4</v>
      </c>
    </row>
    <row r="20" spans="1:9" x14ac:dyDescent="0.25">
      <c r="A20" s="6" t="s">
        <v>206</v>
      </c>
      <c r="B20" s="15">
        <v>-67041178</v>
      </c>
      <c r="C20" s="15">
        <v>0</v>
      </c>
      <c r="D20" s="15">
        <v>-67041178</v>
      </c>
      <c r="E20" s="7">
        <v>-1.4366820603877256E-4</v>
      </c>
      <c r="F20" s="15">
        <v>0</v>
      </c>
      <c r="G20" s="15">
        <v>283718110</v>
      </c>
      <c r="H20" s="15">
        <v>283718110</v>
      </c>
      <c r="I20" s="7">
        <v>6.9023961202049433E-4</v>
      </c>
    </row>
    <row r="21" spans="1:9" x14ac:dyDescent="0.25">
      <c r="A21" s="6" t="s">
        <v>205</v>
      </c>
      <c r="B21" s="15">
        <v>68448111</v>
      </c>
      <c r="C21" s="15">
        <v>0</v>
      </c>
      <c r="D21" s="15">
        <v>68448111</v>
      </c>
      <c r="E21" s="7">
        <v>1.4668324166548468E-4</v>
      </c>
      <c r="F21" s="15">
        <v>0</v>
      </c>
      <c r="G21" s="15">
        <v>26915685</v>
      </c>
      <c r="H21" s="15">
        <v>26915685</v>
      </c>
      <c r="I21" s="7">
        <v>6.5481445550535491E-5</v>
      </c>
    </row>
    <row r="22" spans="1:9" x14ac:dyDescent="0.25">
      <c r="A22" s="6" t="s">
        <v>204</v>
      </c>
      <c r="B22" s="15">
        <v>65017255</v>
      </c>
      <c r="C22" s="15">
        <v>0</v>
      </c>
      <c r="D22" s="15">
        <v>65017255</v>
      </c>
      <c r="E22" s="7">
        <v>1.3933097039875127E-4</v>
      </c>
      <c r="F22" s="15">
        <v>0</v>
      </c>
      <c r="G22" s="15">
        <v>-46032636</v>
      </c>
      <c r="H22" s="15">
        <v>-46032636</v>
      </c>
      <c r="I22" s="7">
        <v>-1.1198985081678657E-4</v>
      </c>
    </row>
    <row r="23" spans="1:9" x14ac:dyDescent="0.25">
      <c r="A23" s="6" t="s">
        <v>203</v>
      </c>
      <c r="B23" s="15">
        <v>-49962125</v>
      </c>
      <c r="C23" s="15">
        <v>0</v>
      </c>
      <c r="D23" s="15">
        <v>-49962125</v>
      </c>
      <c r="E23" s="7">
        <v>-1.070680600008984E-4</v>
      </c>
      <c r="F23" s="15">
        <v>0</v>
      </c>
      <c r="G23" s="15">
        <v>105988655</v>
      </c>
      <c r="H23" s="15">
        <v>105988655</v>
      </c>
      <c r="I23" s="7">
        <v>2.5785300806414516E-4</v>
      </c>
    </row>
    <row r="24" spans="1:9" x14ac:dyDescent="0.25">
      <c r="A24" s="6" t="s">
        <v>202</v>
      </c>
      <c r="B24" s="15">
        <v>-4996212</v>
      </c>
      <c r="C24" s="15">
        <v>0</v>
      </c>
      <c r="D24" s="15">
        <v>-4996212</v>
      </c>
      <c r="E24" s="7">
        <v>-1.0706804928597585E-5</v>
      </c>
      <c r="F24" s="15">
        <v>0</v>
      </c>
      <c r="G24" s="15">
        <v>224975799</v>
      </c>
      <c r="H24" s="15">
        <v>224975799</v>
      </c>
      <c r="I24" s="7">
        <v>5.4732920720415319E-4</v>
      </c>
    </row>
    <row r="25" spans="1:9" x14ac:dyDescent="0.25">
      <c r="A25" s="6" t="s">
        <v>201</v>
      </c>
      <c r="B25" s="15">
        <v>-32359469</v>
      </c>
      <c r="C25" s="15">
        <v>0</v>
      </c>
      <c r="D25" s="15">
        <v>-32359469</v>
      </c>
      <c r="E25" s="7">
        <v>-6.9345840844223738E-5</v>
      </c>
      <c r="F25" s="15">
        <v>0</v>
      </c>
      <c r="G25" s="15">
        <v>295223511</v>
      </c>
      <c r="H25" s="15">
        <v>295223511</v>
      </c>
      <c r="I25" s="7">
        <v>7.1823036496319588E-4</v>
      </c>
    </row>
    <row r="26" spans="1:9" x14ac:dyDescent="0.25">
      <c r="A26" s="6" t="s">
        <v>200</v>
      </c>
      <c r="B26" s="15">
        <v>-126154366</v>
      </c>
      <c r="C26" s="15">
        <v>0</v>
      </c>
      <c r="D26" s="15">
        <v>-126154366</v>
      </c>
      <c r="E26" s="7">
        <v>-2.7034685230588763E-4</v>
      </c>
      <c r="F26" s="15">
        <v>0</v>
      </c>
      <c r="G26" s="15">
        <v>569299070</v>
      </c>
      <c r="H26" s="15">
        <v>569299070</v>
      </c>
      <c r="I26" s="7">
        <v>1.3850112324533257E-3</v>
      </c>
    </row>
    <row r="27" spans="1:9" x14ac:dyDescent="0.25">
      <c r="A27" s="6" t="s">
        <v>199</v>
      </c>
      <c r="B27" s="15">
        <v>-13989395</v>
      </c>
      <c r="C27" s="15">
        <v>0</v>
      </c>
      <c r="D27" s="15">
        <v>-13989395</v>
      </c>
      <c r="E27" s="7">
        <v>-2.997905680025155E-5</v>
      </c>
      <c r="F27" s="15">
        <v>0</v>
      </c>
      <c r="G27" s="15">
        <v>85054895</v>
      </c>
      <c r="H27" s="15">
        <v>85054895</v>
      </c>
      <c r="I27" s="7">
        <v>2.0692460458461353E-4</v>
      </c>
    </row>
    <row r="28" spans="1:9" x14ac:dyDescent="0.25">
      <c r="A28" s="6" t="s">
        <v>198</v>
      </c>
      <c r="B28" s="15">
        <v>-29977275</v>
      </c>
      <c r="C28" s="15">
        <v>0</v>
      </c>
      <c r="D28" s="15">
        <v>-29977275</v>
      </c>
      <c r="E28" s="7">
        <v>-6.424083600053904E-5</v>
      </c>
      <c r="F28" s="15">
        <v>0</v>
      </c>
      <c r="G28" s="15">
        <v>69977280</v>
      </c>
      <c r="H28" s="15">
        <v>69977280</v>
      </c>
      <c r="I28" s="7">
        <v>1.7024324107280109E-4</v>
      </c>
    </row>
    <row r="29" spans="1:9" x14ac:dyDescent="0.25">
      <c r="A29" s="6" t="s">
        <v>197</v>
      </c>
      <c r="B29" s="15">
        <v>-29977274</v>
      </c>
      <c r="C29" s="15">
        <v>0</v>
      </c>
      <c r="D29" s="15">
        <v>-29977274</v>
      </c>
      <c r="E29" s="7">
        <v>-6.4240833857554533E-5</v>
      </c>
      <c r="F29" s="15">
        <v>0</v>
      </c>
      <c r="G29" s="15">
        <v>44950810</v>
      </c>
      <c r="H29" s="15">
        <v>44950810</v>
      </c>
      <c r="I29" s="7">
        <v>1.0935794565389906E-4</v>
      </c>
    </row>
    <row r="30" spans="1:9" x14ac:dyDescent="0.25">
      <c r="A30" s="6" t="s">
        <v>196</v>
      </c>
      <c r="B30" s="15">
        <v>-1598788</v>
      </c>
      <c r="C30" s="15">
        <v>0</v>
      </c>
      <c r="D30" s="15">
        <v>-1598788</v>
      </c>
      <c r="E30" s="7">
        <v>-3.4261779200287486E-6</v>
      </c>
      <c r="F30" s="15">
        <v>0</v>
      </c>
      <c r="G30" s="15">
        <v>145498868</v>
      </c>
      <c r="H30" s="15">
        <v>145498868</v>
      </c>
      <c r="I30" s="7">
        <v>3.5397487385539512E-4</v>
      </c>
    </row>
    <row r="31" spans="1:9" x14ac:dyDescent="0.25">
      <c r="A31" s="6" t="s">
        <v>195</v>
      </c>
      <c r="B31" s="15">
        <v>-139893</v>
      </c>
      <c r="C31" s="15">
        <v>0</v>
      </c>
      <c r="D31" s="15">
        <v>-139893</v>
      </c>
      <c r="E31" s="7">
        <v>-2.9978853216723028E-7</v>
      </c>
      <c r="F31" s="15">
        <v>0</v>
      </c>
      <c r="G31" s="15">
        <v>139852</v>
      </c>
      <c r="H31" s="15">
        <v>139852</v>
      </c>
      <c r="I31" s="7">
        <v>3.4023697049261388E-7</v>
      </c>
    </row>
    <row r="32" spans="1:9" x14ac:dyDescent="0.25">
      <c r="A32" s="6" t="s">
        <v>194</v>
      </c>
      <c r="B32" s="15">
        <v>49962125</v>
      </c>
      <c r="C32" s="15">
        <v>0</v>
      </c>
      <c r="D32" s="15">
        <v>49962125</v>
      </c>
      <c r="E32" s="7">
        <v>1.070680600008984E-4</v>
      </c>
      <c r="F32" s="15">
        <v>0</v>
      </c>
      <c r="G32" s="15">
        <v>-117556737</v>
      </c>
      <c r="H32" s="15">
        <v>-117556737</v>
      </c>
      <c r="I32" s="7">
        <v>-2.8599625359577958E-4</v>
      </c>
    </row>
    <row r="33" spans="1:9" x14ac:dyDescent="0.25">
      <c r="A33" s="6" t="s">
        <v>193</v>
      </c>
      <c r="B33" s="15">
        <v>-45068175</v>
      </c>
      <c r="C33" s="15">
        <v>0</v>
      </c>
      <c r="D33" s="15">
        <v>-45068175</v>
      </c>
      <c r="E33" s="7">
        <v>-9.6580400954342699E-5</v>
      </c>
      <c r="F33" s="15">
        <v>0</v>
      </c>
      <c r="G33" s="15">
        <v>34924266</v>
      </c>
      <c r="H33" s="15">
        <v>34924266</v>
      </c>
      <c r="I33" s="7">
        <v>8.4965009156238007E-5</v>
      </c>
    </row>
    <row r="34" spans="1:9" x14ac:dyDescent="0.25">
      <c r="A34" s="6" t="s">
        <v>192</v>
      </c>
      <c r="B34" s="15">
        <v>-11219495</v>
      </c>
      <c r="C34" s="15">
        <v>0</v>
      </c>
      <c r="D34" s="15">
        <v>-11219495</v>
      </c>
      <c r="E34" s="7">
        <v>-2.4043204003828492E-5</v>
      </c>
      <c r="F34" s="15">
        <v>0</v>
      </c>
      <c r="G34" s="15">
        <v>59977300</v>
      </c>
      <c r="H34" s="15">
        <v>59977300</v>
      </c>
      <c r="I34" s="7">
        <v>1.4591493042878651E-4</v>
      </c>
    </row>
    <row r="35" spans="1:9" x14ac:dyDescent="0.25">
      <c r="A35" s="6" t="s">
        <v>191</v>
      </c>
      <c r="B35" s="15">
        <v>-20484472</v>
      </c>
      <c r="C35" s="15">
        <v>0</v>
      </c>
      <c r="D35" s="15">
        <v>-20484472</v>
      </c>
      <c r="E35" s="7">
        <v>-4.3897906207606727E-5</v>
      </c>
      <c r="F35" s="15">
        <v>0</v>
      </c>
      <c r="G35" s="15">
        <v>-659747733</v>
      </c>
      <c r="H35" s="15">
        <v>-659747733</v>
      </c>
      <c r="I35" s="7">
        <v>-1.6050579896268191E-3</v>
      </c>
    </row>
    <row r="36" spans="1:9" x14ac:dyDescent="0.25">
      <c r="A36" s="6" t="s">
        <v>190</v>
      </c>
      <c r="B36" s="15">
        <v>-74940162</v>
      </c>
      <c r="C36" s="15">
        <v>0</v>
      </c>
      <c r="D36" s="15">
        <v>-74940162</v>
      </c>
      <c r="E36" s="7">
        <v>-1.6059560640171021E-4</v>
      </c>
      <c r="F36" s="15">
        <v>0</v>
      </c>
      <c r="G36" s="15">
        <v>104975841</v>
      </c>
      <c r="H36" s="15">
        <v>104975841</v>
      </c>
      <c r="I36" s="7">
        <v>2.5538899777446391E-4</v>
      </c>
    </row>
    <row r="37" spans="1:9" x14ac:dyDescent="0.25">
      <c r="A37" s="6" t="s">
        <v>189</v>
      </c>
      <c r="B37" s="15">
        <v>-40297581</v>
      </c>
      <c r="C37" s="15">
        <v>386692992</v>
      </c>
      <c r="D37" s="15">
        <v>346395411</v>
      </c>
      <c r="E37" s="7">
        <v>7.4232000037996503E-4</v>
      </c>
      <c r="F37" s="15">
        <v>-130460609</v>
      </c>
      <c r="G37" s="15">
        <v>386692992</v>
      </c>
      <c r="H37" s="15">
        <v>256232383</v>
      </c>
      <c r="I37" s="7">
        <v>6.2337134781070803E-4</v>
      </c>
    </row>
    <row r="38" spans="1:9" x14ac:dyDescent="0.25">
      <c r="A38" s="6" t="s">
        <v>188</v>
      </c>
      <c r="B38" s="15">
        <v>-384085491</v>
      </c>
      <c r="C38" s="15">
        <v>463458240</v>
      </c>
      <c r="D38" s="15">
        <v>79372749</v>
      </c>
      <c r="E38" s="7">
        <v>1.7009457168541667E-4</v>
      </c>
      <c r="F38" s="15">
        <v>-304262207</v>
      </c>
      <c r="G38" s="15">
        <v>463458240</v>
      </c>
      <c r="H38" s="15">
        <v>159196033</v>
      </c>
      <c r="I38" s="7">
        <v>3.8729782900753784E-4</v>
      </c>
    </row>
    <row r="39" spans="1:9" x14ac:dyDescent="0.25">
      <c r="A39" s="6" t="s">
        <v>132</v>
      </c>
      <c r="B39" s="15">
        <v>-377936450</v>
      </c>
      <c r="C39" s="15">
        <v>0</v>
      </c>
      <c r="D39" s="15">
        <v>-377936450</v>
      </c>
      <c r="E39" s="7">
        <v>-8.0991195841102705E-4</v>
      </c>
      <c r="F39" s="15">
        <v>-377936450</v>
      </c>
      <c r="G39" s="15">
        <v>0</v>
      </c>
      <c r="H39" s="15">
        <v>-377936450</v>
      </c>
      <c r="I39" s="7">
        <v>-9.1945737484435861E-4</v>
      </c>
    </row>
    <row r="40" spans="1:9" x14ac:dyDescent="0.25">
      <c r="A40" s="6" t="s">
        <v>128</v>
      </c>
      <c r="B40" s="15">
        <v>-2150927126</v>
      </c>
      <c r="C40" s="15">
        <v>0</v>
      </c>
      <c r="D40" s="15">
        <v>-2150927126</v>
      </c>
      <c r="E40" s="7">
        <v>-4.6094035148450544E-3</v>
      </c>
      <c r="F40" s="15">
        <v>-2150927126</v>
      </c>
      <c r="G40" s="15">
        <v>0</v>
      </c>
      <c r="H40" s="15">
        <v>-2150927126</v>
      </c>
      <c r="I40" s="7">
        <v>-5.2328527951021418E-3</v>
      </c>
    </row>
    <row r="41" spans="1:9" x14ac:dyDescent="0.25">
      <c r="A41" s="6" t="s">
        <v>187</v>
      </c>
      <c r="B41" s="15">
        <v>0</v>
      </c>
      <c r="C41" s="15">
        <v>213284965</v>
      </c>
      <c r="D41" s="15">
        <v>213284965</v>
      </c>
      <c r="E41" s="7">
        <v>4.5706637637829686E-4</v>
      </c>
      <c r="F41" s="15">
        <v>0</v>
      </c>
      <c r="G41" s="15">
        <v>213284965</v>
      </c>
      <c r="H41" s="15">
        <v>213284965</v>
      </c>
      <c r="I41" s="7">
        <v>5.1888732619643043E-4</v>
      </c>
    </row>
    <row r="42" spans="1:9" x14ac:dyDescent="0.25">
      <c r="A42" s="6" t="s">
        <v>131</v>
      </c>
      <c r="B42" s="15">
        <v>-382301450</v>
      </c>
      <c r="C42" s="15">
        <v>0</v>
      </c>
      <c r="D42" s="15">
        <v>-382301450</v>
      </c>
      <c r="E42" s="7">
        <v>-8.1926608580060309E-4</v>
      </c>
      <c r="F42" s="15">
        <v>-382301450</v>
      </c>
      <c r="G42" s="15">
        <v>0</v>
      </c>
      <c r="H42" s="15">
        <v>-382301450</v>
      </c>
      <c r="I42" s="7">
        <v>-9.3007670367912859E-4</v>
      </c>
    </row>
    <row r="43" spans="1:9" x14ac:dyDescent="0.25">
      <c r="A43" s="6" t="s">
        <v>186</v>
      </c>
      <c r="B43" s="15">
        <v>0</v>
      </c>
      <c r="C43" s="15">
        <v>0</v>
      </c>
      <c r="D43" s="15">
        <v>0</v>
      </c>
      <c r="E43" s="7">
        <v>0</v>
      </c>
      <c r="F43" s="15">
        <v>0</v>
      </c>
      <c r="G43" s="15">
        <v>80866755</v>
      </c>
      <c r="H43" s="15">
        <v>80866755</v>
      </c>
      <c r="I43" s="7">
        <v>1.9673554711243627E-4</v>
      </c>
    </row>
    <row r="44" spans="1:9" x14ac:dyDescent="0.25">
      <c r="A44" s="6" t="s">
        <v>185</v>
      </c>
      <c r="B44" s="15">
        <v>0</v>
      </c>
      <c r="C44" s="15">
        <v>0</v>
      </c>
      <c r="D44" s="15">
        <v>0</v>
      </c>
      <c r="E44" s="7">
        <v>0</v>
      </c>
      <c r="F44" s="15">
        <v>0</v>
      </c>
      <c r="G44" s="15">
        <v>-116224949</v>
      </c>
      <c r="H44" s="15">
        <v>-116224949</v>
      </c>
      <c r="I44" s="7">
        <v>-2.8275623189813909E-4</v>
      </c>
    </row>
    <row r="45" spans="1:9" x14ac:dyDescent="0.25">
      <c r="A45" s="6" t="s">
        <v>184</v>
      </c>
      <c r="B45" s="15">
        <v>0</v>
      </c>
      <c r="C45" s="15">
        <v>0</v>
      </c>
      <c r="D45" s="15">
        <v>0</v>
      </c>
      <c r="E45" s="7">
        <v>0</v>
      </c>
      <c r="F45" s="15">
        <v>0</v>
      </c>
      <c r="G45" s="15">
        <v>-27066616</v>
      </c>
      <c r="H45" s="15">
        <v>-27066616</v>
      </c>
      <c r="I45" s="7">
        <v>-6.5848635910297385E-5</v>
      </c>
    </row>
    <row r="46" spans="1:9" x14ac:dyDescent="0.25">
      <c r="A46" s="6" t="s">
        <v>183</v>
      </c>
      <c r="B46" s="15">
        <v>0</v>
      </c>
      <c r="C46" s="15">
        <v>0</v>
      </c>
      <c r="D46" s="15">
        <v>0</v>
      </c>
      <c r="E46" s="7">
        <v>0</v>
      </c>
      <c r="F46" s="15">
        <v>0</v>
      </c>
      <c r="G46" s="15">
        <v>299927440</v>
      </c>
      <c r="H46" s="15">
        <v>299927440</v>
      </c>
      <c r="I46" s="7">
        <v>7.2967425244690977E-4</v>
      </c>
    </row>
    <row r="47" spans="1:9" x14ac:dyDescent="0.25">
      <c r="A47" s="6" t="s">
        <v>182</v>
      </c>
      <c r="B47" s="15">
        <v>0</v>
      </c>
      <c r="C47" s="15">
        <v>0</v>
      </c>
      <c r="D47" s="15">
        <v>0</v>
      </c>
      <c r="E47" s="7">
        <v>0</v>
      </c>
      <c r="F47" s="15">
        <v>0</v>
      </c>
      <c r="G47" s="15">
        <v>-23113573</v>
      </c>
      <c r="H47" s="15">
        <v>-23113573</v>
      </c>
      <c r="I47" s="7">
        <v>-5.6231530866772563E-5</v>
      </c>
    </row>
    <row r="48" spans="1:9" x14ac:dyDescent="0.25">
      <c r="A48" s="6" t="s">
        <v>181</v>
      </c>
      <c r="B48" s="15">
        <v>0</v>
      </c>
      <c r="C48" s="15">
        <v>0</v>
      </c>
      <c r="D48" s="15">
        <v>0</v>
      </c>
      <c r="E48" s="7">
        <v>0</v>
      </c>
      <c r="F48" s="15">
        <v>0</v>
      </c>
      <c r="G48" s="15">
        <v>49988663</v>
      </c>
      <c r="H48" s="15">
        <v>49988663</v>
      </c>
      <c r="I48" s="7">
        <v>1.2161421544272673E-4</v>
      </c>
    </row>
    <row r="49" spans="1:9" x14ac:dyDescent="0.25">
      <c r="A49" s="6" t="s">
        <v>180</v>
      </c>
      <c r="B49" s="15">
        <v>0</v>
      </c>
      <c r="C49" s="15">
        <v>0</v>
      </c>
      <c r="D49" s="15">
        <v>0</v>
      </c>
      <c r="E49" s="7">
        <v>0</v>
      </c>
      <c r="F49" s="15">
        <v>0</v>
      </c>
      <c r="G49" s="15">
        <v>-137249186</v>
      </c>
      <c r="H49" s="15">
        <v>-137249186</v>
      </c>
      <c r="I49" s="7">
        <v>-3.3390475107411603E-4</v>
      </c>
    </row>
    <row r="50" spans="1:9" x14ac:dyDescent="0.25">
      <c r="A50" s="6" t="s">
        <v>179</v>
      </c>
      <c r="B50" s="15">
        <v>0</v>
      </c>
      <c r="C50" s="15">
        <v>0</v>
      </c>
      <c r="D50" s="15">
        <v>0</v>
      </c>
      <c r="E50" s="7">
        <v>0</v>
      </c>
      <c r="F50" s="15">
        <v>0</v>
      </c>
      <c r="G50" s="15">
        <v>2066660694</v>
      </c>
      <c r="H50" s="15">
        <v>2066660694</v>
      </c>
      <c r="I50" s="7">
        <v>5.0278463916334616E-3</v>
      </c>
    </row>
    <row r="51" spans="1:9" x14ac:dyDescent="0.25">
      <c r="A51" s="6" t="s">
        <v>178</v>
      </c>
      <c r="B51" s="15">
        <v>0</v>
      </c>
      <c r="C51" s="15">
        <v>0</v>
      </c>
      <c r="D51" s="15">
        <v>0</v>
      </c>
      <c r="E51" s="7">
        <v>0</v>
      </c>
      <c r="F51" s="15">
        <v>0</v>
      </c>
      <c r="G51" s="15">
        <v>2443270643</v>
      </c>
      <c r="H51" s="15">
        <v>2443270643</v>
      </c>
      <c r="I51" s="7">
        <v>5.944076607183742E-3</v>
      </c>
    </row>
    <row r="52" spans="1:9" x14ac:dyDescent="0.25">
      <c r="A52" s="6" t="s">
        <v>177</v>
      </c>
      <c r="B52" s="15">
        <v>0</v>
      </c>
      <c r="C52" s="15">
        <v>0</v>
      </c>
      <c r="D52" s="15">
        <v>0</v>
      </c>
      <c r="E52" s="7">
        <v>0</v>
      </c>
      <c r="F52" s="15">
        <v>0</v>
      </c>
      <c r="G52" s="15">
        <v>262945640</v>
      </c>
      <c r="H52" s="15">
        <v>262945640</v>
      </c>
      <c r="I52" s="7">
        <v>6.3970360064812427E-4</v>
      </c>
    </row>
    <row r="53" spans="1:9" x14ac:dyDescent="0.25">
      <c r="A53" s="6" t="s">
        <v>176</v>
      </c>
      <c r="B53" s="15">
        <v>0</v>
      </c>
      <c r="C53" s="15">
        <v>0</v>
      </c>
      <c r="D53" s="15">
        <v>0</v>
      </c>
      <c r="E53" s="7">
        <v>0</v>
      </c>
      <c r="F53" s="15">
        <v>0</v>
      </c>
      <c r="G53" s="15">
        <v>380000000</v>
      </c>
      <c r="H53" s="15">
        <v>380000000</v>
      </c>
      <c r="I53" s="7">
        <v>9.2447765342786134E-4</v>
      </c>
    </row>
    <row r="54" spans="1:9" x14ac:dyDescent="0.25">
      <c r="A54" s="6" t="s">
        <v>175</v>
      </c>
      <c r="B54" s="15">
        <v>0</v>
      </c>
      <c r="C54" s="15">
        <v>0</v>
      </c>
      <c r="D54" s="15">
        <v>0</v>
      </c>
      <c r="E54" s="7">
        <v>0</v>
      </c>
      <c r="F54" s="15">
        <v>0</v>
      </c>
      <c r="G54" s="15">
        <v>40000000</v>
      </c>
      <c r="H54" s="15">
        <v>40000000</v>
      </c>
      <c r="I54" s="7">
        <v>9.7313437202932774E-5</v>
      </c>
    </row>
    <row r="55" spans="1:9" x14ac:dyDescent="0.25">
      <c r="A55" s="6" t="s">
        <v>174</v>
      </c>
      <c r="B55" s="15">
        <v>0</v>
      </c>
      <c r="C55" s="15">
        <v>0</v>
      </c>
      <c r="D55" s="15">
        <v>0</v>
      </c>
      <c r="E55" s="7">
        <v>0</v>
      </c>
      <c r="F55" s="15">
        <v>0</v>
      </c>
      <c r="G55" s="15">
        <v>40000000</v>
      </c>
      <c r="H55" s="15">
        <v>40000000</v>
      </c>
      <c r="I55" s="7">
        <v>9.7313437202932774E-5</v>
      </c>
    </row>
    <row r="56" spans="1:9" ht="20.25" thickBot="1" x14ac:dyDescent="0.3">
      <c r="A56" s="6" t="s">
        <v>2</v>
      </c>
      <c r="B56" s="8">
        <f t="shared" ref="B56:I56" si="0">SUM(B10:B55)</f>
        <v>-3991043953</v>
      </c>
      <c r="C56" s="8">
        <f t="shared" si="0"/>
        <v>1063436197</v>
      </c>
      <c r="D56" s="8">
        <f t="shared" si="0"/>
        <v>-2927607756</v>
      </c>
      <c r="E56" s="9">
        <f t="shared" si="0"/>
        <v>-6.2738180747617025E-3</v>
      </c>
      <c r="F56" s="8">
        <f t="shared" si="0"/>
        <v>-3364917417</v>
      </c>
      <c r="G56" s="8">
        <f t="shared" si="0"/>
        <v>13921284835</v>
      </c>
      <c r="H56" s="8">
        <f t="shared" si="0"/>
        <v>10556367418</v>
      </c>
      <c r="I56" s="9">
        <f t="shared" si="0"/>
        <v>2.5681909945565708E-2</v>
      </c>
    </row>
    <row r="57" spans="1:9" ht="20.25" thickTop="1" x14ac:dyDescent="0.25"/>
  </sheetData>
  <mergeCells count="13">
    <mergeCell ref="C8:C9"/>
    <mergeCell ref="F8:F9"/>
    <mergeCell ref="G8:G9"/>
    <mergeCell ref="A1:I1"/>
    <mergeCell ref="A2:I2"/>
    <mergeCell ref="A3:I3"/>
    <mergeCell ref="H8:I8"/>
    <mergeCell ref="A8:A9"/>
    <mergeCell ref="D8:E8"/>
    <mergeCell ref="B8:B9"/>
    <mergeCell ref="B7:E7"/>
    <mergeCell ref="F7:I7"/>
    <mergeCell ref="A5:G5"/>
  </mergeCells>
  <conditionalFormatting sqref="F10 F4:F6">
    <cfRule type="duplicateValues" dxfId="2" priority="2"/>
    <cfRule type="duplicateValues" dxfId="1" priority="3"/>
  </conditionalFormatting>
  <conditionalFormatting sqref="F4:G6 F10:G10 A7:B7 G11:G12">
    <cfRule type="cellIs" dxfId="0" priority="1" operator="equal">
      <formula>-3000000000000</formula>
    </cfRule>
  </conditionalFormatting>
  <pageMargins left="0.7" right="0.7" top="0.75" bottom="0.75" header="0.3" footer="0.3"/>
  <pageSetup scale="40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0BC2-5B8B-41CA-A70E-31CD6A21240D}">
  <dimension ref="A1:C12"/>
  <sheetViews>
    <sheetView rightToLeft="1" tabSelected="1" view="pageBreakPreview" zoomScaleNormal="100" zoomScaleSheetLayoutView="100" workbookViewId="0">
      <selection activeCell="L25" sqref="L25"/>
    </sheetView>
  </sheetViews>
  <sheetFormatPr defaultColWidth="8.85546875" defaultRowHeight="19.5" x14ac:dyDescent="0.25"/>
  <cols>
    <col min="1" max="1" width="36.42578125" style="20" customWidth="1"/>
    <col min="2" max="3" width="31.140625" style="20" customWidth="1"/>
    <col min="4" max="16384" width="8.85546875" style="20"/>
  </cols>
  <sheetData>
    <row r="1" spans="1:3" ht="21" x14ac:dyDescent="0.25">
      <c r="A1" s="64" t="s">
        <v>117</v>
      </c>
      <c r="B1" s="64"/>
      <c r="C1" s="64"/>
    </row>
    <row r="2" spans="1:3" ht="21" x14ac:dyDescent="0.25">
      <c r="A2" s="64" t="s">
        <v>35</v>
      </c>
      <c r="B2" s="64"/>
      <c r="C2" s="64"/>
    </row>
    <row r="3" spans="1:3" ht="21" x14ac:dyDescent="0.25">
      <c r="A3" s="64" t="s">
        <v>43</v>
      </c>
      <c r="B3" s="64"/>
      <c r="C3" s="64"/>
    </row>
    <row r="4" spans="1:3" ht="21" x14ac:dyDescent="0.25">
      <c r="A4" s="3"/>
      <c r="B4" s="3"/>
      <c r="C4" s="3"/>
    </row>
    <row r="5" spans="1:3" ht="21" x14ac:dyDescent="0.25">
      <c r="A5" s="65" t="s">
        <v>239</v>
      </c>
      <c r="B5" s="65"/>
      <c r="C5" s="65"/>
    </row>
    <row r="6" spans="1:3" ht="20.25" thickBot="1" x14ac:dyDescent="0.3">
      <c r="A6" s="25"/>
      <c r="B6" s="4" t="s">
        <v>61</v>
      </c>
      <c r="C6" s="4" t="s">
        <v>62</v>
      </c>
    </row>
    <row r="7" spans="1:3" ht="16.5" customHeight="1" x14ac:dyDescent="0.25">
      <c r="A7" s="84" t="s">
        <v>14</v>
      </c>
      <c r="B7" s="77" t="s">
        <v>4</v>
      </c>
      <c r="C7" s="77" t="s">
        <v>4</v>
      </c>
    </row>
    <row r="8" spans="1:3" ht="20.25" thickBot="1" x14ac:dyDescent="0.3">
      <c r="A8" s="80"/>
      <c r="B8" s="78"/>
      <c r="C8" s="78"/>
    </row>
    <row r="9" spans="1:3" x14ac:dyDescent="0.25">
      <c r="A9" s="6" t="s">
        <v>65</v>
      </c>
      <c r="B9" s="15">
        <v>584765321</v>
      </c>
      <c r="C9" s="15">
        <v>728099072</v>
      </c>
    </row>
    <row r="10" spans="1:3" x14ac:dyDescent="0.25">
      <c r="A10" s="6" t="s">
        <v>14</v>
      </c>
      <c r="B10" s="15">
        <v>0</v>
      </c>
      <c r="C10" s="15">
        <v>317399099</v>
      </c>
    </row>
    <row r="11" spans="1:3" ht="20.25" thickBot="1" x14ac:dyDescent="0.3">
      <c r="A11" s="6" t="s">
        <v>2</v>
      </c>
      <c r="B11" s="8">
        <f>SUM(B9:B10)</f>
        <v>584765321</v>
      </c>
      <c r="C11" s="8">
        <f>SUM(C9:C10)</f>
        <v>1045498171</v>
      </c>
    </row>
    <row r="12" spans="1:3" ht="20.25" thickTop="1" x14ac:dyDescent="0.25"/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scale="86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73A5-D0B6-4601-91A5-9186AA375A62}">
  <dimension ref="A1:M14"/>
  <sheetViews>
    <sheetView rightToLeft="1" tabSelected="1" view="pageBreakPreview" zoomScale="98" zoomScaleNormal="100" zoomScaleSheetLayoutView="98" workbookViewId="0">
      <selection activeCell="L25" sqref="L25"/>
    </sheetView>
  </sheetViews>
  <sheetFormatPr defaultColWidth="9.140625" defaultRowHeight="17.25" x14ac:dyDescent="0.25"/>
  <cols>
    <col min="1" max="1" width="23.28515625" style="13" customWidth="1"/>
    <col min="2" max="2" width="14.28515625" style="13" customWidth="1"/>
    <col min="3" max="3" width="18.7109375" style="13" customWidth="1"/>
    <col min="4" max="4" width="16.28515625" style="13" customWidth="1"/>
    <col min="5" max="10" width="17" style="13" customWidth="1"/>
    <col min="11" max="16384" width="9.140625" style="13"/>
  </cols>
  <sheetData>
    <row r="1" spans="1:13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  <c r="J1" s="64"/>
    </row>
    <row r="2" spans="1:13" ht="21" x14ac:dyDescent="0.25">
      <c r="A2" s="64" t="s">
        <v>35</v>
      </c>
      <c r="B2" s="64"/>
      <c r="C2" s="64"/>
      <c r="D2" s="64"/>
      <c r="E2" s="64"/>
      <c r="F2" s="64"/>
      <c r="G2" s="64"/>
      <c r="H2" s="64"/>
      <c r="I2" s="64"/>
      <c r="J2" s="64"/>
    </row>
    <row r="3" spans="1:13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  <c r="J3" s="64"/>
    </row>
    <row r="4" spans="1:13" ht="2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ht="21" x14ac:dyDescent="0.25">
      <c r="A5" s="65" t="s">
        <v>172</v>
      </c>
      <c r="B5" s="65"/>
      <c r="C5" s="65"/>
      <c r="D5" s="65"/>
      <c r="E5" s="65"/>
      <c r="F5" s="65"/>
      <c r="G5" s="65"/>
      <c r="H5" s="65"/>
      <c r="I5" s="65"/>
      <c r="J5" s="65"/>
      <c r="K5" s="26"/>
      <c r="L5" s="26"/>
      <c r="M5" s="26"/>
    </row>
    <row r="6" spans="1:13" ht="18" thickBot="1" x14ac:dyDescent="0.3">
      <c r="B6" s="67" t="s">
        <v>225</v>
      </c>
      <c r="C6" s="67"/>
      <c r="D6" s="67"/>
      <c r="E6" s="78" t="s">
        <v>61</v>
      </c>
      <c r="F6" s="78"/>
      <c r="G6" s="78"/>
      <c r="H6" s="78" t="s">
        <v>62</v>
      </c>
      <c r="I6" s="78"/>
      <c r="J6" s="78"/>
      <c r="K6" s="22"/>
      <c r="L6" s="22"/>
      <c r="M6" s="22"/>
    </row>
    <row r="7" spans="1:13" ht="35.25" thickBot="1" x14ac:dyDescent="0.3">
      <c r="A7" s="54" t="s">
        <v>121</v>
      </c>
      <c r="B7" s="53" t="s">
        <v>224</v>
      </c>
      <c r="C7" s="53" t="s">
        <v>223</v>
      </c>
      <c r="D7" s="53" t="s">
        <v>222</v>
      </c>
      <c r="E7" s="53" t="s">
        <v>221</v>
      </c>
      <c r="F7" s="53" t="s">
        <v>24</v>
      </c>
      <c r="G7" s="53" t="s">
        <v>220</v>
      </c>
      <c r="H7" s="53" t="s">
        <v>221</v>
      </c>
      <c r="I7" s="53" t="s">
        <v>24</v>
      </c>
      <c r="J7" s="53" t="s">
        <v>220</v>
      </c>
    </row>
    <row r="8" spans="1:13" x14ac:dyDescent="0.25">
      <c r="A8" s="6" t="s">
        <v>96</v>
      </c>
      <c r="B8" s="15" t="s">
        <v>219</v>
      </c>
      <c r="C8" s="15">
        <v>3299000</v>
      </c>
      <c r="D8" s="15">
        <v>1500</v>
      </c>
      <c r="E8" s="14">
        <v>0</v>
      </c>
      <c r="F8" s="14">
        <v>0</v>
      </c>
      <c r="G8" s="14">
        <v>0</v>
      </c>
      <c r="H8" s="15">
        <v>4948500000</v>
      </c>
      <c r="I8" s="15">
        <v>0</v>
      </c>
      <c r="J8" s="15">
        <v>4948500000</v>
      </c>
    </row>
    <row r="9" spans="1:13" x14ac:dyDescent="0.25">
      <c r="A9" s="6" t="s">
        <v>80</v>
      </c>
      <c r="B9" s="15" t="s">
        <v>48</v>
      </c>
      <c r="C9" s="15">
        <v>550000</v>
      </c>
      <c r="D9" s="15">
        <v>8700</v>
      </c>
      <c r="E9" s="14">
        <v>0</v>
      </c>
      <c r="F9" s="14">
        <v>0</v>
      </c>
      <c r="G9" s="14">
        <v>0</v>
      </c>
      <c r="H9" s="15">
        <v>4785000000</v>
      </c>
      <c r="I9" s="15">
        <v>0</v>
      </c>
      <c r="J9" s="15">
        <v>4785000000</v>
      </c>
    </row>
    <row r="10" spans="1:13" x14ac:dyDescent="0.25">
      <c r="A10" s="6" t="s">
        <v>76</v>
      </c>
      <c r="B10" s="15" t="s">
        <v>218</v>
      </c>
      <c r="C10" s="15">
        <v>750000</v>
      </c>
      <c r="D10" s="15">
        <v>6928</v>
      </c>
      <c r="E10" s="15">
        <v>5196000000</v>
      </c>
      <c r="F10" s="15">
        <v>-723028302</v>
      </c>
      <c r="G10" s="15">
        <v>4472971698</v>
      </c>
      <c r="H10" s="15">
        <v>5196000000</v>
      </c>
      <c r="I10" s="15">
        <v>-723028302</v>
      </c>
      <c r="J10" s="15">
        <v>4472971698</v>
      </c>
    </row>
    <row r="11" spans="1:13" x14ac:dyDescent="0.25">
      <c r="A11" s="6" t="s">
        <v>71</v>
      </c>
      <c r="B11" s="15" t="s">
        <v>49</v>
      </c>
      <c r="C11" s="15">
        <v>350000</v>
      </c>
      <c r="D11" s="15">
        <v>9250</v>
      </c>
      <c r="E11" s="14">
        <v>0</v>
      </c>
      <c r="F11" s="14">
        <v>0</v>
      </c>
      <c r="G11" s="14">
        <v>0</v>
      </c>
      <c r="H11" s="15">
        <v>3237500000</v>
      </c>
      <c r="I11" s="15">
        <v>0</v>
      </c>
      <c r="J11" s="15">
        <v>3237500000</v>
      </c>
    </row>
    <row r="12" spans="1:13" x14ac:dyDescent="0.25">
      <c r="A12" s="6" t="s">
        <v>70</v>
      </c>
      <c r="B12" s="15" t="s">
        <v>45</v>
      </c>
      <c r="C12" s="15">
        <v>6338333</v>
      </c>
      <c r="D12" s="15">
        <v>200</v>
      </c>
      <c r="E12" s="15">
        <v>1267666600</v>
      </c>
      <c r="F12" s="15">
        <v>-49237873</v>
      </c>
      <c r="G12" s="15">
        <v>1218428727</v>
      </c>
      <c r="H12" s="15">
        <v>1267666600</v>
      </c>
      <c r="I12" s="15">
        <v>-49237873</v>
      </c>
      <c r="J12" s="15">
        <v>1218428727</v>
      </c>
    </row>
    <row r="13" spans="1:13" ht="18" thickBot="1" x14ac:dyDescent="0.3">
      <c r="A13" s="6" t="s">
        <v>2</v>
      </c>
      <c r="B13" s="15">
        <f t="shared" ref="B13:J13" si="0">SUM(B8:B12)</f>
        <v>0</v>
      </c>
      <c r="C13" s="15">
        <f t="shared" si="0"/>
        <v>11287333</v>
      </c>
      <c r="D13" s="15">
        <f t="shared" si="0"/>
        <v>26578</v>
      </c>
      <c r="E13" s="8">
        <f t="shared" si="0"/>
        <v>6463666600</v>
      </c>
      <c r="F13" s="8">
        <f t="shared" si="0"/>
        <v>-772266175</v>
      </c>
      <c r="G13" s="8">
        <f t="shared" si="0"/>
        <v>5691400425</v>
      </c>
      <c r="H13" s="8">
        <f t="shared" si="0"/>
        <v>19434666600</v>
      </c>
      <c r="I13" s="8">
        <f t="shared" si="0"/>
        <v>-772266175</v>
      </c>
      <c r="J13" s="8">
        <f t="shared" si="0"/>
        <v>18662400425</v>
      </c>
    </row>
    <row r="14" spans="1:13" ht="18" thickTop="1" x14ac:dyDescent="0.25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9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3A26-73FF-4508-8C23-7BF0D05BA813}">
  <dimension ref="A1:G11"/>
  <sheetViews>
    <sheetView rightToLeft="1" tabSelected="1" view="pageBreakPreview" zoomScale="115" zoomScaleNormal="100" zoomScaleSheetLayoutView="115" workbookViewId="0">
      <selection activeCell="L25" sqref="L25"/>
    </sheetView>
  </sheetViews>
  <sheetFormatPr defaultColWidth="8.85546875" defaultRowHeight="19.5" x14ac:dyDescent="0.25"/>
  <cols>
    <col min="1" max="1" width="29.140625" style="20" customWidth="1"/>
    <col min="2" max="2" width="23.7109375" style="20" customWidth="1"/>
    <col min="3" max="3" width="20.28515625" style="20" customWidth="1"/>
    <col min="4" max="4" width="22" style="20" customWidth="1"/>
    <col min="5" max="5" width="21.42578125" style="20" customWidth="1"/>
    <col min="6" max="6" width="16.5703125" style="20" customWidth="1"/>
    <col min="7" max="7" width="21.28515625" style="20" customWidth="1"/>
    <col min="8" max="16384" width="8.85546875" style="20"/>
  </cols>
  <sheetData>
    <row r="1" spans="1:7" x14ac:dyDescent="0.25">
      <c r="A1" s="85" t="s">
        <v>117</v>
      </c>
      <c r="B1" s="85"/>
      <c r="C1" s="85"/>
      <c r="D1" s="85"/>
      <c r="E1" s="85"/>
      <c r="F1" s="85"/>
      <c r="G1" s="85"/>
    </row>
    <row r="2" spans="1:7" x14ac:dyDescent="0.25">
      <c r="A2" s="85" t="s">
        <v>35</v>
      </c>
      <c r="B2" s="85"/>
      <c r="C2" s="85"/>
      <c r="D2" s="85"/>
      <c r="E2" s="85"/>
      <c r="F2" s="85"/>
      <c r="G2" s="85"/>
    </row>
    <row r="3" spans="1:7" x14ac:dyDescent="0.25">
      <c r="A3" s="85" t="s">
        <v>43</v>
      </c>
      <c r="B3" s="85"/>
      <c r="C3" s="85"/>
      <c r="D3" s="85"/>
      <c r="E3" s="85"/>
      <c r="F3" s="85"/>
      <c r="G3" s="85"/>
    </row>
    <row r="4" spans="1:7" x14ac:dyDescent="0.25">
      <c r="A4" s="36"/>
      <c r="B4" s="36"/>
      <c r="C4" s="36"/>
      <c r="D4" s="36"/>
      <c r="E4" s="36"/>
      <c r="F4" s="36"/>
      <c r="G4" s="36"/>
    </row>
    <row r="5" spans="1:7" ht="21" x14ac:dyDescent="0.25">
      <c r="A5" s="65" t="s">
        <v>40</v>
      </c>
      <c r="B5" s="65"/>
      <c r="C5" s="65"/>
      <c r="D5" s="65"/>
      <c r="E5" s="65"/>
      <c r="F5" s="65"/>
      <c r="G5" s="65"/>
    </row>
    <row r="6" spans="1:7" ht="20.25" thickBot="1" x14ac:dyDescent="0.3">
      <c r="A6" s="34"/>
      <c r="B6" s="78" t="s">
        <v>61</v>
      </c>
      <c r="C6" s="78"/>
      <c r="D6" s="78"/>
      <c r="E6" s="78" t="s">
        <v>62</v>
      </c>
      <c r="F6" s="78"/>
      <c r="G6" s="78"/>
    </row>
    <row r="7" spans="1:7" ht="38.25" customHeight="1" thickBot="1" x14ac:dyDescent="0.3">
      <c r="A7" s="2" t="s">
        <v>60</v>
      </c>
      <c r="B7" s="33" t="s">
        <v>36</v>
      </c>
      <c r="C7" s="33" t="s">
        <v>24</v>
      </c>
      <c r="D7" s="33" t="s">
        <v>25</v>
      </c>
      <c r="E7" s="33" t="s">
        <v>36</v>
      </c>
      <c r="F7" s="33" t="s">
        <v>24</v>
      </c>
      <c r="G7" s="33" t="s">
        <v>25</v>
      </c>
    </row>
    <row r="8" spans="1:7" x14ac:dyDescent="0.25">
      <c r="A8" s="6" t="s">
        <v>47</v>
      </c>
      <c r="B8" s="15">
        <v>7139620</v>
      </c>
      <c r="C8" s="15">
        <v>0</v>
      </c>
      <c r="D8" s="15">
        <v>7139620</v>
      </c>
      <c r="E8" s="15">
        <v>80993867</v>
      </c>
      <c r="F8" s="15">
        <v>0</v>
      </c>
      <c r="G8" s="15">
        <v>80993867</v>
      </c>
    </row>
    <row r="9" spans="1:7" x14ac:dyDescent="0.25">
      <c r="A9" s="6" t="s">
        <v>46</v>
      </c>
      <c r="B9" s="15">
        <v>2681059124</v>
      </c>
      <c r="C9" s="15">
        <v>-34983785</v>
      </c>
      <c r="D9" s="15">
        <v>2646075339</v>
      </c>
      <c r="E9" s="15">
        <v>11258985231</v>
      </c>
      <c r="F9" s="15">
        <v>-2044865</v>
      </c>
      <c r="G9" s="15">
        <v>11256940366</v>
      </c>
    </row>
    <row r="10" spans="1:7" ht="20.25" thickBot="1" x14ac:dyDescent="0.3">
      <c r="A10" s="6" t="s">
        <v>2</v>
      </c>
      <c r="B10" s="8">
        <f t="shared" ref="B10:G10" si="0">SUM(B8:B9)</f>
        <v>2688198744</v>
      </c>
      <c r="C10" s="8">
        <f t="shared" si="0"/>
        <v>-34983785</v>
      </c>
      <c r="D10" s="8">
        <f t="shared" si="0"/>
        <v>2653214959</v>
      </c>
      <c r="E10" s="8">
        <f t="shared" si="0"/>
        <v>11339979098</v>
      </c>
      <c r="F10" s="8">
        <f t="shared" si="0"/>
        <v>-2044865</v>
      </c>
      <c r="G10" s="8">
        <f t="shared" si="0"/>
        <v>11337934233</v>
      </c>
    </row>
    <row r="11" spans="1:7" ht="20.25" thickTop="1" x14ac:dyDescent="0.25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75" orientation="landscape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6BD1-EE6B-47D1-B355-37908C3DD51A}">
  <dimension ref="A1:I83"/>
  <sheetViews>
    <sheetView rightToLeft="1" tabSelected="1" view="pageBreakPreview" zoomScaleNormal="70" zoomScaleSheetLayoutView="100" workbookViewId="0">
      <selection activeCell="L25" sqref="L25"/>
    </sheetView>
  </sheetViews>
  <sheetFormatPr defaultColWidth="8.85546875" defaultRowHeight="19.5" x14ac:dyDescent="0.25"/>
  <cols>
    <col min="1" max="1" width="39.28515625" style="20" customWidth="1"/>
    <col min="2" max="2" width="17" style="20" customWidth="1"/>
    <col min="3" max="3" width="21" style="20" customWidth="1"/>
    <col min="4" max="4" width="20.85546875" style="20" customWidth="1"/>
    <col min="5" max="5" width="24" style="20" customWidth="1"/>
    <col min="6" max="6" width="17" style="20" customWidth="1"/>
    <col min="7" max="7" width="21" style="20" customWidth="1"/>
    <col min="8" max="8" width="20.85546875" style="20" customWidth="1"/>
    <col min="9" max="9" width="24" style="20" customWidth="1"/>
    <col min="10" max="16384" width="8.85546875" style="20"/>
  </cols>
  <sheetData>
    <row r="1" spans="1:9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</row>
    <row r="2" spans="1:9" ht="21" x14ac:dyDescent="0.25">
      <c r="A2" s="64" t="s">
        <v>35</v>
      </c>
      <c r="B2" s="64"/>
      <c r="C2" s="64"/>
      <c r="D2" s="64"/>
      <c r="E2" s="64"/>
      <c r="F2" s="64"/>
      <c r="G2" s="64"/>
      <c r="H2" s="64"/>
      <c r="I2" s="64"/>
    </row>
    <row r="3" spans="1:9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</row>
    <row r="4" spans="1:9" ht="2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1" x14ac:dyDescent="0.25">
      <c r="A5" s="65" t="s">
        <v>31</v>
      </c>
      <c r="B5" s="65"/>
      <c r="C5" s="65"/>
      <c r="D5" s="65"/>
      <c r="E5" s="65"/>
      <c r="F5" s="65"/>
      <c r="G5" s="65"/>
      <c r="H5" s="65"/>
      <c r="I5" s="65"/>
    </row>
    <row r="6" spans="1:9" ht="20.25" thickBot="1" x14ac:dyDescent="0.3">
      <c r="B6" s="78" t="s">
        <v>61</v>
      </c>
      <c r="C6" s="78"/>
      <c r="D6" s="78"/>
      <c r="E6" s="78"/>
      <c r="F6" s="78" t="s">
        <v>62</v>
      </c>
      <c r="G6" s="78"/>
      <c r="H6" s="78"/>
      <c r="I6" s="78"/>
    </row>
    <row r="7" spans="1:9" ht="20.25" thickBot="1" x14ac:dyDescent="0.3">
      <c r="A7" s="2" t="s">
        <v>22</v>
      </c>
      <c r="B7" s="35" t="s">
        <v>3</v>
      </c>
      <c r="C7" s="1" t="s">
        <v>11</v>
      </c>
      <c r="D7" s="35" t="s">
        <v>27</v>
      </c>
      <c r="E7" s="1" t="s">
        <v>29</v>
      </c>
      <c r="F7" s="35" t="s">
        <v>3</v>
      </c>
      <c r="G7" s="1" t="s">
        <v>11</v>
      </c>
      <c r="H7" s="35" t="s">
        <v>27</v>
      </c>
      <c r="I7" s="1" t="s">
        <v>29</v>
      </c>
    </row>
    <row r="8" spans="1:9" x14ac:dyDescent="0.25">
      <c r="A8" s="6" t="s">
        <v>174</v>
      </c>
      <c r="B8" s="15">
        <v>0</v>
      </c>
      <c r="C8" s="15">
        <v>0</v>
      </c>
      <c r="D8" s="15">
        <v>0</v>
      </c>
      <c r="E8" s="15">
        <v>0</v>
      </c>
      <c r="F8" s="15">
        <v>5000000</v>
      </c>
      <c r="G8" s="15">
        <v>39969725</v>
      </c>
      <c r="H8" s="15">
        <v>-30275</v>
      </c>
      <c r="I8" s="15">
        <v>40000000</v>
      </c>
    </row>
    <row r="9" spans="1:9" x14ac:dyDescent="0.25">
      <c r="A9" s="6" t="s">
        <v>185</v>
      </c>
      <c r="B9" s="15">
        <v>0</v>
      </c>
      <c r="C9" s="15">
        <v>0</v>
      </c>
      <c r="D9" s="15">
        <v>0</v>
      </c>
      <c r="E9" s="15">
        <v>0</v>
      </c>
      <c r="F9" s="15">
        <v>5000000</v>
      </c>
      <c r="G9" s="15">
        <v>76941700</v>
      </c>
      <c r="H9" s="15">
        <v>193166649</v>
      </c>
      <c r="I9" s="15">
        <v>-116224949</v>
      </c>
    </row>
    <row r="10" spans="1:9" x14ac:dyDescent="0.25">
      <c r="A10" s="6" t="s">
        <v>94</v>
      </c>
      <c r="B10" s="15">
        <v>0</v>
      </c>
      <c r="C10" s="15">
        <v>0</v>
      </c>
      <c r="D10" s="15">
        <v>0</v>
      </c>
      <c r="E10" s="15">
        <v>0</v>
      </c>
      <c r="F10" s="15">
        <v>400000</v>
      </c>
      <c r="G10" s="15">
        <v>4735112467</v>
      </c>
      <c r="H10" s="15">
        <v>4102862907</v>
      </c>
      <c r="I10" s="15">
        <v>632249560</v>
      </c>
    </row>
    <row r="11" spans="1:9" x14ac:dyDescent="0.25">
      <c r="A11" s="6" t="s">
        <v>76</v>
      </c>
      <c r="B11" s="15">
        <v>0</v>
      </c>
      <c r="C11" s="15">
        <v>0</v>
      </c>
      <c r="D11" s="15">
        <v>0</v>
      </c>
      <c r="E11" s="15">
        <v>0</v>
      </c>
      <c r="F11" s="15">
        <v>50000</v>
      </c>
      <c r="G11" s="15">
        <v>3345438305</v>
      </c>
      <c r="H11" s="15">
        <v>2323638386</v>
      </c>
      <c r="I11" s="15">
        <v>1021799919</v>
      </c>
    </row>
    <row r="12" spans="1:9" x14ac:dyDescent="0.25">
      <c r="A12" s="6" t="s">
        <v>81</v>
      </c>
      <c r="B12" s="15">
        <v>1</v>
      </c>
      <c r="C12" s="15">
        <v>1</v>
      </c>
      <c r="D12" s="15">
        <v>2995</v>
      </c>
      <c r="E12" s="15">
        <v>-2994</v>
      </c>
      <c r="F12" s="15">
        <v>800001</v>
      </c>
      <c r="G12" s="15">
        <v>3354666440</v>
      </c>
      <c r="H12" s="15">
        <v>2871297834</v>
      </c>
      <c r="I12" s="15">
        <v>483368606</v>
      </c>
    </row>
    <row r="13" spans="1:9" x14ac:dyDescent="0.25">
      <c r="A13" s="6" t="s">
        <v>153</v>
      </c>
      <c r="B13" s="15">
        <v>0</v>
      </c>
      <c r="C13" s="15">
        <v>0</v>
      </c>
      <c r="D13" s="15">
        <v>0</v>
      </c>
      <c r="E13" s="15">
        <v>0</v>
      </c>
      <c r="F13" s="15">
        <v>2300000</v>
      </c>
      <c r="G13" s="15">
        <v>17160317626</v>
      </c>
      <c r="H13" s="15">
        <v>18580529826</v>
      </c>
      <c r="I13" s="15">
        <v>-1420212200</v>
      </c>
    </row>
    <row r="14" spans="1:9" x14ac:dyDescent="0.25">
      <c r="A14" s="6" t="s">
        <v>233</v>
      </c>
      <c r="B14" s="15">
        <v>0</v>
      </c>
      <c r="C14" s="15">
        <v>0</v>
      </c>
      <c r="D14" s="15">
        <v>0</v>
      </c>
      <c r="E14" s="15">
        <v>0</v>
      </c>
      <c r="F14" s="15">
        <v>20000</v>
      </c>
      <c r="G14" s="15">
        <v>339744</v>
      </c>
      <c r="H14" s="15">
        <v>199892</v>
      </c>
      <c r="I14" s="15">
        <v>139852</v>
      </c>
    </row>
    <row r="15" spans="1:9" x14ac:dyDescent="0.25">
      <c r="A15" s="6" t="s">
        <v>150</v>
      </c>
      <c r="B15" s="15">
        <v>0</v>
      </c>
      <c r="C15" s="15">
        <v>0</v>
      </c>
      <c r="D15" s="15">
        <v>0</v>
      </c>
      <c r="E15" s="15">
        <v>0</v>
      </c>
      <c r="F15" s="15">
        <v>10800000</v>
      </c>
      <c r="G15" s="15">
        <v>6220739248</v>
      </c>
      <c r="H15" s="15">
        <v>6274283688</v>
      </c>
      <c r="I15" s="15">
        <v>-53544440</v>
      </c>
    </row>
    <row r="16" spans="1:9" x14ac:dyDescent="0.25">
      <c r="A16" s="6" t="s">
        <v>176</v>
      </c>
      <c r="B16" s="15">
        <v>0</v>
      </c>
      <c r="C16" s="15">
        <v>0</v>
      </c>
      <c r="D16" s="15">
        <v>0</v>
      </c>
      <c r="E16" s="15">
        <v>0</v>
      </c>
      <c r="F16" s="15">
        <v>77000000</v>
      </c>
      <c r="G16" s="15">
        <v>379712256</v>
      </c>
      <c r="H16" s="15">
        <v>-287744</v>
      </c>
      <c r="I16" s="15">
        <v>380000000</v>
      </c>
    </row>
    <row r="17" spans="1:9" x14ac:dyDescent="0.25">
      <c r="A17" s="6" t="s">
        <v>144</v>
      </c>
      <c r="B17" s="15">
        <v>0</v>
      </c>
      <c r="C17" s="15">
        <v>0</v>
      </c>
      <c r="D17" s="15">
        <v>0</v>
      </c>
      <c r="E17" s="15">
        <v>0</v>
      </c>
      <c r="F17" s="15">
        <v>750000</v>
      </c>
      <c r="G17" s="15">
        <v>9053223432</v>
      </c>
      <c r="H17" s="15">
        <v>6095734032</v>
      </c>
      <c r="I17" s="15">
        <v>2957489400</v>
      </c>
    </row>
    <row r="18" spans="1:9" x14ac:dyDescent="0.25">
      <c r="A18" s="6" t="s">
        <v>192</v>
      </c>
      <c r="B18" s="15">
        <v>0</v>
      </c>
      <c r="C18" s="15">
        <v>0</v>
      </c>
      <c r="D18" s="15">
        <v>0</v>
      </c>
      <c r="E18" s="15">
        <v>0</v>
      </c>
      <c r="F18" s="15">
        <v>5000000</v>
      </c>
      <c r="G18" s="15">
        <v>89931841</v>
      </c>
      <c r="H18" s="15">
        <v>29954541</v>
      </c>
      <c r="I18" s="15">
        <v>59977300</v>
      </c>
    </row>
    <row r="19" spans="1:9" x14ac:dyDescent="0.25">
      <c r="A19" s="6" t="s">
        <v>202</v>
      </c>
      <c r="B19" s="15">
        <v>0</v>
      </c>
      <c r="C19" s="15">
        <v>0</v>
      </c>
      <c r="D19" s="15">
        <v>0</v>
      </c>
      <c r="E19" s="15">
        <v>0</v>
      </c>
      <c r="F19" s="15">
        <v>8000000</v>
      </c>
      <c r="G19" s="15">
        <v>256805344</v>
      </c>
      <c r="H19" s="15">
        <v>31829545</v>
      </c>
      <c r="I19" s="15">
        <v>224975799</v>
      </c>
    </row>
    <row r="20" spans="1:9" x14ac:dyDescent="0.25">
      <c r="A20" s="6" t="s">
        <v>78</v>
      </c>
      <c r="B20" s="15">
        <v>0</v>
      </c>
      <c r="C20" s="15">
        <v>0</v>
      </c>
      <c r="D20" s="15">
        <v>0</v>
      </c>
      <c r="E20" s="15">
        <v>0</v>
      </c>
      <c r="F20" s="15">
        <v>100000</v>
      </c>
      <c r="G20" s="15">
        <v>6318775366</v>
      </c>
      <c r="H20" s="15">
        <v>4303656508</v>
      </c>
      <c r="I20" s="15">
        <v>2015118858</v>
      </c>
    </row>
    <row r="21" spans="1:9" x14ac:dyDescent="0.25">
      <c r="A21" s="6" t="s">
        <v>93</v>
      </c>
      <c r="B21" s="15">
        <v>0</v>
      </c>
      <c r="C21" s="15">
        <v>0</v>
      </c>
      <c r="D21" s="15">
        <v>0</v>
      </c>
      <c r="E21" s="15">
        <v>0</v>
      </c>
      <c r="F21" s="15">
        <v>100000</v>
      </c>
      <c r="G21" s="15">
        <v>2222684823</v>
      </c>
      <c r="H21" s="15">
        <v>2066451823</v>
      </c>
      <c r="I21" s="15">
        <v>156233000</v>
      </c>
    </row>
    <row r="22" spans="1:9" x14ac:dyDescent="0.25">
      <c r="A22" s="6" t="s">
        <v>85</v>
      </c>
      <c r="B22" s="15">
        <v>0</v>
      </c>
      <c r="C22" s="15">
        <v>0</v>
      </c>
      <c r="D22" s="15">
        <v>0</v>
      </c>
      <c r="E22" s="15">
        <v>0</v>
      </c>
      <c r="F22" s="15">
        <v>1100000</v>
      </c>
      <c r="G22" s="15">
        <v>14835801785</v>
      </c>
      <c r="H22" s="15">
        <v>12551375714</v>
      </c>
      <c r="I22" s="15">
        <v>2284426071</v>
      </c>
    </row>
    <row r="23" spans="1:9" x14ac:dyDescent="0.25">
      <c r="A23" s="6" t="s">
        <v>89</v>
      </c>
      <c r="B23" s="15">
        <v>401250</v>
      </c>
      <c r="C23" s="15">
        <v>6217960939</v>
      </c>
      <c r="D23" s="15">
        <v>3893229390</v>
      </c>
      <c r="E23" s="15">
        <v>2324731549</v>
      </c>
      <c r="F23" s="15">
        <v>535000</v>
      </c>
      <c r="G23" s="15">
        <v>11035555824</v>
      </c>
      <c r="H23" s="15">
        <v>7797367816</v>
      </c>
      <c r="I23" s="15">
        <v>3238188008</v>
      </c>
    </row>
    <row r="24" spans="1:9" x14ac:dyDescent="0.25">
      <c r="A24" s="6" t="s">
        <v>232</v>
      </c>
      <c r="B24" s="15">
        <v>0</v>
      </c>
      <c r="C24" s="15">
        <v>0</v>
      </c>
      <c r="D24" s="15">
        <v>0</v>
      </c>
      <c r="E24" s="15">
        <v>0</v>
      </c>
      <c r="F24" s="15">
        <v>3500000</v>
      </c>
      <c r="G24" s="15">
        <v>3004685259</v>
      </c>
      <c r="H24" s="15">
        <v>53764669</v>
      </c>
      <c r="I24" s="15">
        <v>2950920590</v>
      </c>
    </row>
    <row r="25" spans="1:9" x14ac:dyDescent="0.25">
      <c r="A25" s="6" t="s">
        <v>231</v>
      </c>
      <c r="B25" s="15">
        <v>0</v>
      </c>
      <c r="C25" s="15">
        <v>0</v>
      </c>
      <c r="D25" s="15">
        <v>0</v>
      </c>
      <c r="E25" s="15">
        <v>0</v>
      </c>
      <c r="F25" s="15">
        <v>5000000</v>
      </c>
      <c r="G25" s="15">
        <v>39969728</v>
      </c>
      <c r="H25" s="15">
        <v>-30272</v>
      </c>
      <c r="I25" s="15">
        <v>40000000</v>
      </c>
    </row>
    <row r="26" spans="1:9" x14ac:dyDescent="0.25">
      <c r="A26" s="6" t="s">
        <v>230</v>
      </c>
      <c r="B26" s="15">
        <v>0</v>
      </c>
      <c r="C26" s="15">
        <v>0</v>
      </c>
      <c r="D26" s="15">
        <v>0</v>
      </c>
      <c r="E26" s="15">
        <v>0</v>
      </c>
      <c r="F26" s="15">
        <v>6000000</v>
      </c>
      <c r="G26" s="15">
        <v>2470752400</v>
      </c>
      <c r="H26" s="15">
        <v>2814280790</v>
      </c>
      <c r="I26" s="15">
        <v>-343528390</v>
      </c>
    </row>
    <row r="27" spans="1:9" x14ac:dyDescent="0.25">
      <c r="A27" s="6" t="s">
        <v>129</v>
      </c>
      <c r="B27" s="15">
        <v>0</v>
      </c>
      <c r="C27" s="15">
        <v>0</v>
      </c>
      <c r="D27" s="15">
        <v>-463458240</v>
      </c>
      <c r="E27" s="15">
        <v>463458240</v>
      </c>
      <c r="F27" s="15">
        <v>13238820</v>
      </c>
      <c r="G27" s="15">
        <v>463107221</v>
      </c>
      <c r="H27" s="15">
        <v>-351019</v>
      </c>
      <c r="I27" s="15">
        <v>463458240</v>
      </c>
    </row>
    <row r="28" spans="1:9" x14ac:dyDescent="0.25">
      <c r="A28" s="6" t="s">
        <v>200</v>
      </c>
      <c r="B28" s="15">
        <v>0</v>
      </c>
      <c r="C28" s="15">
        <v>0</v>
      </c>
      <c r="D28" s="15">
        <v>0</v>
      </c>
      <c r="E28" s="15">
        <v>0</v>
      </c>
      <c r="F28" s="15">
        <v>100000</v>
      </c>
      <c r="G28" s="15">
        <v>1139636072</v>
      </c>
      <c r="H28" s="15">
        <v>570337002</v>
      </c>
      <c r="I28" s="15">
        <v>569299070</v>
      </c>
    </row>
    <row r="29" spans="1:9" x14ac:dyDescent="0.25">
      <c r="A29" s="6" t="s">
        <v>212</v>
      </c>
      <c r="B29" s="15">
        <v>0</v>
      </c>
      <c r="C29" s="15">
        <v>0</v>
      </c>
      <c r="D29" s="15">
        <v>0</v>
      </c>
      <c r="E29" s="15">
        <v>0</v>
      </c>
      <c r="F29" s="15">
        <v>1000000</v>
      </c>
      <c r="G29" s="15">
        <v>51960615</v>
      </c>
      <c r="H29" s="15">
        <v>83023483</v>
      </c>
      <c r="I29" s="15">
        <v>-31062868</v>
      </c>
    </row>
    <row r="30" spans="1:9" x14ac:dyDescent="0.25">
      <c r="A30" s="6" t="s">
        <v>128</v>
      </c>
      <c r="B30" s="15">
        <v>39816000</v>
      </c>
      <c r="C30" s="15">
        <v>8266696294</v>
      </c>
      <c r="D30" s="15">
        <v>8266696294</v>
      </c>
      <c r="E30" s="15">
        <v>0</v>
      </c>
      <c r="F30" s="15">
        <v>39816000</v>
      </c>
      <c r="G30" s="15">
        <v>8266696294</v>
      </c>
      <c r="H30" s="15">
        <v>8266696294</v>
      </c>
      <c r="I30" s="15">
        <v>0</v>
      </c>
    </row>
    <row r="31" spans="1:9" x14ac:dyDescent="0.25">
      <c r="A31" s="6" t="s">
        <v>187</v>
      </c>
      <c r="B31" s="15">
        <v>19908000</v>
      </c>
      <c r="C31" s="15">
        <v>233031408</v>
      </c>
      <c r="D31" s="15">
        <v>19746443</v>
      </c>
      <c r="E31" s="15">
        <v>213284965</v>
      </c>
      <c r="F31" s="15">
        <v>19908000</v>
      </c>
      <c r="G31" s="15">
        <v>233031408</v>
      </c>
      <c r="H31" s="15">
        <v>19746443</v>
      </c>
      <c r="I31" s="15">
        <v>213284965</v>
      </c>
    </row>
    <row r="32" spans="1:9" x14ac:dyDescent="0.25">
      <c r="A32" s="6" t="s">
        <v>198</v>
      </c>
      <c r="B32" s="15">
        <v>0</v>
      </c>
      <c r="C32" s="15">
        <v>0</v>
      </c>
      <c r="D32" s="15">
        <v>0</v>
      </c>
      <c r="E32" s="15">
        <v>0</v>
      </c>
      <c r="F32" s="15">
        <v>10000000</v>
      </c>
      <c r="G32" s="15">
        <v>99924294</v>
      </c>
      <c r="H32" s="15">
        <v>29947014</v>
      </c>
      <c r="I32" s="15">
        <v>69977280</v>
      </c>
    </row>
    <row r="33" spans="1:9" x14ac:dyDescent="0.25">
      <c r="A33" s="6" t="s">
        <v>214</v>
      </c>
      <c r="B33" s="15">
        <v>0</v>
      </c>
      <c r="C33" s="15">
        <v>0</v>
      </c>
      <c r="D33" s="15">
        <v>0</v>
      </c>
      <c r="E33" s="15">
        <v>0</v>
      </c>
      <c r="F33" s="15">
        <v>1000000</v>
      </c>
      <c r="G33" s="15">
        <v>381161053</v>
      </c>
      <c r="H33" s="15">
        <v>392413355</v>
      </c>
      <c r="I33" s="15">
        <v>-11252302</v>
      </c>
    </row>
    <row r="34" spans="1:9" x14ac:dyDescent="0.25">
      <c r="A34" s="6" t="s">
        <v>229</v>
      </c>
      <c r="B34" s="15">
        <v>0</v>
      </c>
      <c r="C34" s="15">
        <v>0</v>
      </c>
      <c r="D34" s="15">
        <v>0</v>
      </c>
      <c r="E34" s="15">
        <v>0</v>
      </c>
      <c r="F34" s="15">
        <v>100000</v>
      </c>
      <c r="G34" s="15">
        <v>146888649</v>
      </c>
      <c r="H34" s="15">
        <v>1389781</v>
      </c>
      <c r="I34" s="15">
        <v>145498868</v>
      </c>
    </row>
    <row r="35" spans="1:9" x14ac:dyDescent="0.25">
      <c r="A35" s="6" t="s">
        <v>131</v>
      </c>
      <c r="B35" s="15">
        <v>20000000</v>
      </c>
      <c r="C35" s="15">
        <v>356867546</v>
      </c>
      <c r="D35" s="15">
        <v>356867546</v>
      </c>
      <c r="E35" s="15">
        <v>0</v>
      </c>
      <c r="F35" s="15">
        <v>20000000</v>
      </c>
      <c r="G35" s="15">
        <v>356867546</v>
      </c>
      <c r="H35" s="15">
        <v>356867546</v>
      </c>
      <c r="I35" s="15">
        <v>0</v>
      </c>
    </row>
    <row r="36" spans="1:9" x14ac:dyDescent="0.25">
      <c r="A36" s="6" t="s">
        <v>80</v>
      </c>
      <c r="B36" s="15">
        <v>0</v>
      </c>
      <c r="C36" s="15">
        <v>0</v>
      </c>
      <c r="D36" s="15">
        <v>0</v>
      </c>
      <c r="E36" s="15">
        <v>0</v>
      </c>
      <c r="F36" s="15">
        <v>200000</v>
      </c>
      <c r="G36" s="15">
        <v>5665861700</v>
      </c>
      <c r="H36" s="15">
        <v>5510589160</v>
      </c>
      <c r="I36" s="15">
        <v>155272540</v>
      </c>
    </row>
    <row r="37" spans="1:9" x14ac:dyDescent="0.25">
      <c r="A37" s="6" t="s">
        <v>181</v>
      </c>
      <c r="B37" s="15">
        <v>0</v>
      </c>
      <c r="C37" s="15">
        <v>0</v>
      </c>
      <c r="D37" s="15">
        <v>0</v>
      </c>
      <c r="E37" s="15">
        <v>0</v>
      </c>
      <c r="F37" s="15">
        <v>5000000</v>
      </c>
      <c r="G37" s="15">
        <v>64950770</v>
      </c>
      <c r="H37" s="15">
        <v>14962107</v>
      </c>
      <c r="I37" s="15">
        <v>49988663</v>
      </c>
    </row>
    <row r="38" spans="1:9" x14ac:dyDescent="0.25">
      <c r="A38" s="6" t="s">
        <v>152</v>
      </c>
      <c r="B38" s="15">
        <v>0</v>
      </c>
      <c r="C38" s="15">
        <v>0</v>
      </c>
      <c r="D38" s="15">
        <v>0</v>
      </c>
      <c r="E38" s="15">
        <v>0</v>
      </c>
      <c r="F38" s="15">
        <v>562500</v>
      </c>
      <c r="G38" s="15">
        <v>4950825640</v>
      </c>
      <c r="H38" s="15">
        <v>5503880249</v>
      </c>
      <c r="I38" s="15">
        <v>-553054609</v>
      </c>
    </row>
    <row r="39" spans="1:9" x14ac:dyDescent="0.25">
      <c r="A39" s="6" t="s">
        <v>186</v>
      </c>
      <c r="B39" s="15">
        <v>0</v>
      </c>
      <c r="C39" s="15">
        <v>0</v>
      </c>
      <c r="D39" s="15">
        <v>0</v>
      </c>
      <c r="E39" s="15">
        <v>0</v>
      </c>
      <c r="F39" s="15">
        <v>11000000</v>
      </c>
      <c r="G39" s="15">
        <v>144890222</v>
      </c>
      <c r="H39" s="15">
        <v>64023467</v>
      </c>
      <c r="I39" s="15">
        <v>80866755</v>
      </c>
    </row>
    <row r="40" spans="1:9" x14ac:dyDescent="0.25">
      <c r="A40" s="6" t="s">
        <v>149</v>
      </c>
      <c r="B40" s="15">
        <v>0</v>
      </c>
      <c r="C40" s="15">
        <v>0</v>
      </c>
      <c r="D40" s="15">
        <v>0</v>
      </c>
      <c r="E40" s="15">
        <v>0</v>
      </c>
      <c r="F40" s="15">
        <v>1200000</v>
      </c>
      <c r="G40" s="15">
        <v>3952012977</v>
      </c>
      <c r="H40" s="15">
        <v>3772517754</v>
      </c>
      <c r="I40" s="15">
        <v>179495223</v>
      </c>
    </row>
    <row r="41" spans="1:9" x14ac:dyDescent="0.25">
      <c r="A41" s="6" t="s">
        <v>148</v>
      </c>
      <c r="B41" s="15">
        <v>0</v>
      </c>
      <c r="C41" s="15">
        <v>0</v>
      </c>
      <c r="D41" s="15">
        <v>0</v>
      </c>
      <c r="E41" s="15">
        <v>0</v>
      </c>
      <c r="F41" s="15">
        <v>2900000</v>
      </c>
      <c r="G41" s="15">
        <v>21814981638</v>
      </c>
      <c r="H41" s="15">
        <v>23394781032</v>
      </c>
      <c r="I41" s="15">
        <v>-1579799394</v>
      </c>
    </row>
    <row r="42" spans="1:9" x14ac:dyDescent="0.25">
      <c r="A42" s="6" t="s">
        <v>228</v>
      </c>
      <c r="B42" s="15">
        <v>0</v>
      </c>
      <c r="C42" s="15">
        <v>0</v>
      </c>
      <c r="D42" s="15">
        <v>0</v>
      </c>
      <c r="E42" s="15">
        <v>0</v>
      </c>
      <c r="F42" s="15">
        <v>700000</v>
      </c>
      <c r="G42" s="15">
        <v>10200715278</v>
      </c>
      <c r="H42" s="15">
        <v>10478287108</v>
      </c>
      <c r="I42" s="15">
        <v>-277571830</v>
      </c>
    </row>
    <row r="43" spans="1:9" x14ac:dyDescent="0.25">
      <c r="A43" s="6" t="s">
        <v>201</v>
      </c>
      <c r="B43" s="15">
        <v>0</v>
      </c>
      <c r="C43" s="15">
        <v>0</v>
      </c>
      <c r="D43" s="15">
        <v>0</v>
      </c>
      <c r="E43" s="15">
        <v>0</v>
      </c>
      <c r="F43" s="15">
        <v>8096000</v>
      </c>
      <c r="G43" s="15">
        <v>327383857</v>
      </c>
      <c r="H43" s="15">
        <v>32160346</v>
      </c>
      <c r="I43" s="15">
        <v>295223511</v>
      </c>
    </row>
    <row r="44" spans="1:9" x14ac:dyDescent="0.25">
      <c r="A44" s="6" t="s">
        <v>92</v>
      </c>
      <c r="B44" s="15">
        <v>0</v>
      </c>
      <c r="C44" s="15">
        <v>0</v>
      </c>
      <c r="D44" s="15">
        <v>0</v>
      </c>
      <c r="E44" s="15">
        <v>0</v>
      </c>
      <c r="F44" s="15">
        <v>3200000</v>
      </c>
      <c r="G44" s="15">
        <v>11113821014</v>
      </c>
      <c r="H44" s="15">
        <v>12416498507</v>
      </c>
      <c r="I44" s="15">
        <v>-1302677493</v>
      </c>
    </row>
    <row r="45" spans="1:9" x14ac:dyDescent="0.25">
      <c r="A45" s="6" t="s">
        <v>184</v>
      </c>
      <c r="B45" s="15">
        <v>0</v>
      </c>
      <c r="C45" s="15">
        <v>0</v>
      </c>
      <c r="D45" s="15">
        <v>0</v>
      </c>
      <c r="E45" s="15">
        <v>0</v>
      </c>
      <c r="F45" s="15">
        <v>8000000</v>
      </c>
      <c r="G45" s="15">
        <v>60953834</v>
      </c>
      <c r="H45" s="15">
        <v>88020450</v>
      </c>
      <c r="I45" s="15">
        <v>-27066616</v>
      </c>
    </row>
    <row r="46" spans="1:9" x14ac:dyDescent="0.25">
      <c r="A46" s="6" t="s">
        <v>210</v>
      </c>
      <c r="B46" s="15">
        <v>0</v>
      </c>
      <c r="C46" s="15">
        <v>0</v>
      </c>
      <c r="D46" s="15">
        <v>0</v>
      </c>
      <c r="E46" s="15">
        <v>0</v>
      </c>
      <c r="F46" s="15">
        <v>20000000</v>
      </c>
      <c r="G46" s="15">
        <v>348735672</v>
      </c>
      <c r="H46" s="15">
        <v>19750712</v>
      </c>
      <c r="I46" s="15">
        <v>328984960</v>
      </c>
    </row>
    <row r="47" spans="1:9" x14ac:dyDescent="0.25">
      <c r="A47" s="6" t="s">
        <v>177</v>
      </c>
      <c r="B47" s="15">
        <v>0</v>
      </c>
      <c r="C47" s="15">
        <v>0</v>
      </c>
      <c r="D47" s="15">
        <v>0</v>
      </c>
      <c r="E47" s="15">
        <v>0</v>
      </c>
      <c r="F47" s="15">
        <v>36000000</v>
      </c>
      <c r="G47" s="15">
        <v>334746428</v>
      </c>
      <c r="H47" s="15">
        <v>71800788</v>
      </c>
      <c r="I47" s="15">
        <v>262945640</v>
      </c>
    </row>
    <row r="48" spans="1:9" x14ac:dyDescent="0.25">
      <c r="A48" s="6" t="s">
        <v>86</v>
      </c>
      <c r="B48" s="15">
        <v>0</v>
      </c>
      <c r="C48" s="15">
        <v>0</v>
      </c>
      <c r="D48" s="15">
        <v>0</v>
      </c>
      <c r="E48" s="15">
        <v>0</v>
      </c>
      <c r="F48" s="15">
        <v>200000</v>
      </c>
      <c r="G48" s="15">
        <v>1738457084</v>
      </c>
      <c r="H48" s="15">
        <v>1728227686</v>
      </c>
      <c r="I48" s="15">
        <v>10229398</v>
      </c>
    </row>
    <row r="49" spans="1:9" x14ac:dyDescent="0.25">
      <c r="A49" s="6" t="s">
        <v>82</v>
      </c>
      <c r="B49" s="15">
        <v>0</v>
      </c>
      <c r="C49" s="15">
        <v>0</v>
      </c>
      <c r="D49" s="15">
        <v>0</v>
      </c>
      <c r="E49" s="15">
        <v>0</v>
      </c>
      <c r="F49" s="15">
        <v>49000</v>
      </c>
      <c r="G49" s="15">
        <v>1444536745</v>
      </c>
      <c r="H49" s="15">
        <v>1279640401</v>
      </c>
      <c r="I49" s="15">
        <v>164896344</v>
      </c>
    </row>
    <row r="50" spans="1:9" x14ac:dyDescent="0.25">
      <c r="A50" s="6" t="s">
        <v>72</v>
      </c>
      <c r="B50" s="15">
        <v>0</v>
      </c>
      <c r="C50" s="15">
        <v>0</v>
      </c>
      <c r="D50" s="15">
        <v>0</v>
      </c>
      <c r="E50" s="15">
        <v>0</v>
      </c>
      <c r="F50" s="15">
        <v>200000</v>
      </c>
      <c r="G50" s="15">
        <v>5146100772</v>
      </c>
      <c r="H50" s="15">
        <v>4429940696</v>
      </c>
      <c r="I50" s="15">
        <v>716160076</v>
      </c>
    </row>
    <row r="51" spans="1:9" x14ac:dyDescent="0.25">
      <c r="A51" s="6" t="s">
        <v>197</v>
      </c>
      <c r="B51" s="15">
        <v>0</v>
      </c>
      <c r="C51" s="15">
        <v>0</v>
      </c>
      <c r="D51" s="15">
        <v>0</v>
      </c>
      <c r="E51" s="15">
        <v>0</v>
      </c>
      <c r="F51" s="15">
        <v>10000000</v>
      </c>
      <c r="G51" s="15">
        <v>109916722</v>
      </c>
      <c r="H51" s="15">
        <v>64965912</v>
      </c>
      <c r="I51" s="15">
        <v>44950810</v>
      </c>
    </row>
    <row r="52" spans="1:9" x14ac:dyDescent="0.25">
      <c r="A52" s="6" t="s">
        <v>227</v>
      </c>
      <c r="B52" s="15">
        <v>0</v>
      </c>
      <c r="C52" s="15">
        <v>0</v>
      </c>
      <c r="D52" s="15">
        <v>0</v>
      </c>
      <c r="E52" s="15">
        <v>0</v>
      </c>
      <c r="F52" s="15">
        <v>50000</v>
      </c>
      <c r="G52" s="15">
        <v>4537500000</v>
      </c>
      <c r="H52" s="15">
        <v>5197247733</v>
      </c>
      <c r="I52" s="15">
        <v>-659747733</v>
      </c>
    </row>
    <row r="53" spans="1:9" x14ac:dyDescent="0.25">
      <c r="A53" s="6" t="s">
        <v>204</v>
      </c>
      <c r="B53" s="15">
        <v>0</v>
      </c>
      <c r="C53" s="15">
        <v>0</v>
      </c>
      <c r="D53" s="15">
        <v>0</v>
      </c>
      <c r="E53" s="15">
        <v>0</v>
      </c>
      <c r="F53" s="15">
        <v>200000</v>
      </c>
      <c r="G53" s="15">
        <v>1053201595</v>
      </c>
      <c r="H53" s="15">
        <v>1099234231</v>
      </c>
      <c r="I53" s="15">
        <v>-46032636</v>
      </c>
    </row>
    <row r="54" spans="1:9" x14ac:dyDescent="0.25">
      <c r="A54" s="6" t="s">
        <v>87</v>
      </c>
      <c r="B54" s="15">
        <v>1256499</v>
      </c>
      <c r="C54" s="15">
        <v>8354262824</v>
      </c>
      <c r="D54" s="15">
        <v>7883130608</v>
      </c>
      <c r="E54" s="15">
        <v>471132216</v>
      </c>
      <c r="F54" s="15">
        <v>2513000</v>
      </c>
      <c r="G54" s="15">
        <v>18054275583</v>
      </c>
      <c r="H54" s="15">
        <v>15755790082</v>
      </c>
      <c r="I54" s="15">
        <v>2298485501</v>
      </c>
    </row>
    <row r="55" spans="1:9" x14ac:dyDescent="0.25">
      <c r="A55" s="6" t="s">
        <v>126</v>
      </c>
      <c r="B55" s="15">
        <v>0</v>
      </c>
      <c r="C55" s="15">
        <v>0</v>
      </c>
      <c r="D55" s="15">
        <v>-386692992</v>
      </c>
      <c r="E55" s="15">
        <v>386692992</v>
      </c>
      <c r="F55" s="15">
        <v>4502052</v>
      </c>
      <c r="G55" s="15">
        <v>386400092</v>
      </c>
      <c r="H55" s="15">
        <v>-292900</v>
      </c>
      <c r="I55" s="15">
        <v>386692992</v>
      </c>
    </row>
    <row r="56" spans="1:9" x14ac:dyDescent="0.25">
      <c r="A56" s="6" t="s">
        <v>132</v>
      </c>
      <c r="B56" s="15">
        <v>10000000</v>
      </c>
      <c r="C56" s="15">
        <v>760623442</v>
      </c>
      <c r="D56" s="15">
        <v>760623442</v>
      </c>
      <c r="E56" s="15">
        <v>0</v>
      </c>
      <c r="F56" s="15">
        <v>10000000</v>
      </c>
      <c r="G56" s="15">
        <v>760623442</v>
      </c>
      <c r="H56" s="15">
        <v>760623442</v>
      </c>
      <c r="I56" s="15">
        <v>0</v>
      </c>
    </row>
    <row r="57" spans="1:9" x14ac:dyDescent="0.25">
      <c r="A57" s="6" t="s">
        <v>207</v>
      </c>
      <c r="B57" s="15">
        <v>0</v>
      </c>
      <c r="C57" s="15">
        <v>0</v>
      </c>
      <c r="D57" s="15">
        <v>0</v>
      </c>
      <c r="E57" s="15">
        <v>0</v>
      </c>
      <c r="F57" s="15">
        <v>8000000</v>
      </c>
      <c r="G57" s="15">
        <v>249810648</v>
      </c>
      <c r="H57" s="15">
        <v>55853032</v>
      </c>
      <c r="I57" s="15">
        <v>193957616</v>
      </c>
    </row>
    <row r="58" spans="1:9" x14ac:dyDescent="0.25">
      <c r="A58" s="6" t="s">
        <v>206</v>
      </c>
      <c r="B58" s="15">
        <v>0</v>
      </c>
      <c r="C58" s="15">
        <v>0</v>
      </c>
      <c r="D58" s="15">
        <v>0</v>
      </c>
      <c r="E58" s="15">
        <v>0</v>
      </c>
      <c r="F58" s="15">
        <v>25424000</v>
      </c>
      <c r="G58" s="15">
        <v>608223068</v>
      </c>
      <c r="H58" s="15">
        <v>324504958</v>
      </c>
      <c r="I58" s="15">
        <v>283718110</v>
      </c>
    </row>
    <row r="59" spans="1:9" x14ac:dyDescent="0.25">
      <c r="A59" s="6" t="s">
        <v>203</v>
      </c>
      <c r="B59" s="15">
        <v>0</v>
      </c>
      <c r="C59" s="15">
        <v>0</v>
      </c>
      <c r="D59" s="15">
        <v>0</v>
      </c>
      <c r="E59" s="15">
        <v>0</v>
      </c>
      <c r="F59" s="15">
        <v>5000000</v>
      </c>
      <c r="G59" s="15">
        <v>120908364</v>
      </c>
      <c r="H59" s="15">
        <v>14919709</v>
      </c>
      <c r="I59" s="15">
        <v>105988655</v>
      </c>
    </row>
    <row r="60" spans="1:9" x14ac:dyDescent="0.25">
      <c r="A60" s="6" t="s">
        <v>182</v>
      </c>
      <c r="B60" s="15">
        <v>0</v>
      </c>
      <c r="C60" s="15">
        <v>0</v>
      </c>
      <c r="D60" s="15">
        <v>0</v>
      </c>
      <c r="E60" s="15">
        <v>0</v>
      </c>
      <c r="F60" s="15">
        <v>14000000</v>
      </c>
      <c r="G60" s="15">
        <v>126903870</v>
      </c>
      <c r="H60" s="15">
        <v>150017443</v>
      </c>
      <c r="I60" s="15">
        <v>-23113573</v>
      </c>
    </row>
    <row r="61" spans="1:9" x14ac:dyDescent="0.25">
      <c r="A61" s="6" t="s">
        <v>151</v>
      </c>
      <c r="B61" s="15">
        <v>0</v>
      </c>
      <c r="C61" s="15">
        <v>0</v>
      </c>
      <c r="D61" s="15">
        <v>0</v>
      </c>
      <c r="E61" s="15">
        <v>0</v>
      </c>
      <c r="F61" s="15">
        <v>1105454</v>
      </c>
      <c r="G61" s="15">
        <v>5875656169</v>
      </c>
      <c r="H61" s="15">
        <v>5233649749</v>
      </c>
      <c r="I61" s="15">
        <v>642006420</v>
      </c>
    </row>
    <row r="62" spans="1:9" x14ac:dyDescent="0.25">
      <c r="A62" s="6" t="s">
        <v>106</v>
      </c>
      <c r="B62" s="15">
        <v>17696790</v>
      </c>
      <c r="C62" s="15">
        <v>17937126834</v>
      </c>
      <c r="D62" s="15">
        <v>19701689647</v>
      </c>
      <c r="E62" s="15">
        <v>-1764562813</v>
      </c>
      <c r="F62" s="15">
        <v>34226744</v>
      </c>
      <c r="G62" s="15">
        <v>39345258102</v>
      </c>
      <c r="H62" s="15">
        <v>44372336957</v>
      </c>
      <c r="I62" s="15">
        <v>-5027078855</v>
      </c>
    </row>
    <row r="63" spans="1:9" x14ac:dyDescent="0.25">
      <c r="A63" s="6" t="s">
        <v>100</v>
      </c>
      <c r="B63" s="15">
        <v>20000000</v>
      </c>
      <c r="C63" s="15">
        <v>41933330532</v>
      </c>
      <c r="D63" s="15">
        <v>36766330523</v>
      </c>
      <c r="E63" s="15">
        <v>5167000009</v>
      </c>
      <c r="F63" s="15">
        <v>29142000</v>
      </c>
      <c r="G63" s="15">
        <v>57558618062</v>
      </c>
      <c r="H63" s="15">
        <v>52420119420</v>
      </c>
      <c r="I63" s="15">
        <v>5138498642</v>
      </c>
    </row>
    <row r="64" spans="1:9" x14ac:dyDescent="0.25">
      <c r="A64" s="6" t="s">
        <v>199</v>
      </c>
      <c r="B64" s="15">
        <v>0</v>
      </c>
      <c r="C64" s="15">
        <v>0</v>
      </c>
      <c r="D64" s="15">
        <v>0</v>
      </c>
      <c r="E64" s="15">
        <v>0</v>
      </c>
      <c r="F64" s="15">
        <v>10009000</v>
      </c>
      <c r="G64" s="15">
        <v>155143432</v>
      </c>
      <c r="H64" s="15">
        <v>70088537</v>
      </c>
      <c r="I64" s="15">
        <v>85054895</v>
      </c>
    </row>
    <row r="65" spans="1:9" x14ac:dyDescent="0.25">
      <c r="A65" s="6" t="s">
        <v>146</v>
      </c>
      <c r="B65" s="15">
        <v>0</v>
      </c>
      <c r="C65" s="15">
        <v>0</v>
      </c>
      <c r="D65" s="15">
        <v>0</v>
      </c>
      <c r="E65" s="15">
        <v>0</v>
      </c>
      <c r="F65" s="15">
        <v>2450000</v>
      </c>
      <c r="G65" s="15">
        <v>9241456646</v>
      </c>
      <c r="H65" s="15">
        <v>10267435753</v>
      </c>
      <c r="I65" s="15">
        <v>-1025979107</v>
      </c>
    </row>
    <row r="66" spans="1:9" x14ac:dyDescent="0.25">
      <c r="A66" s="6" t="s">
        <v>88</v>
      </c>
      <c r="B66" s="15">
        <v>0</v>
      </c>
      <c r="C66" s="15">
        <v>0</v>
      </c>
      <c r="D66" s="15">
        <v>0</v>
      </c>
      <c r="E66" s="15">
        <v>0</v>
      </c>
      <c r="F66" s="15">
        <v>170000</v>
      </c>
      <c r="G66" s="15">
        <v>2753946186</v>
      </c>
      <c r="H66" s="15">
        <v>2564501033</v>
      </c>
      <c r="I66" s="15">
        <v>189445153</v>
      </c>
    </row>
    <row r="67" spans="1:9" x14ac:dyDescent="0.25">
      <c r="A67" s="6" t="s">
        <v>178</v>
      </c>
      <c r="B67" s="15">
        <v>0</v>
      </c>
      <c r="C67" s="15">
        <v>0</v>
      </c>
      <c r="D67" s="15">
        <v>0</v>
      </c>
      <c r="E67" s="15">
        <v>0</v>
      </c>
      <c r="F67" s="15">
        <v>148596000</v>
      </c>
      <c r="G67" s="15">
        <v>2596420247</v>
      </c>
      <c r="H67" s="15">
        <v>153149604</v>
      </c>
      <c r="I67" s="15">
        <v>2443270643</v>
      </c>
    </row>
    <row r="68" spans="1:9" x14ac:dyDescent="0.25">
      <c r="A68" s="6" t="s">
        <v>179</v>
      </c>
      <c r="B68" s="15">
        <v>0</v>
      </c>
      <c r="C68" s="15">
        <v>0</v>
      </c>
      <c r="D68" s="15">
        <v>0</v>
      </c>
      <c r="E68" s="15">
        <v>0</v>
      </c>
      <c r="F68" s="15">
        <v>5149000</v>
      </c>
      <c r="G68" s="15">
        <v>2128867180</v>
      </c>
      <c r="H68" s="15">
        <v>62206486</v>
      </c>
      <c r="I68" s="15">
        <v>2066660694</v>
      </c>
    </row>
    <row r="69" spans="1:9" x14ac:dyDescent="0.25">
      <c r="A69" s="6" t="s">
        <v>209</v>
      </c>
      <c r="B69" s="15">
        <v>0</v>
      </c>
      <c r="C69" s="15">
        <v>0</v>
      </c>
      <c r="D69" s="15">
        <v>0</v>
      </c>
      <c r="E69" s="15">
        <v>0</v>
      </c>
      <c r="F69" s="15">
        <v>4000000</v>
      </c>
      <c r="G69" s="15">
        <v>1402936497</v>
      </c>
      <c r="H69" s="15">
        <v>1316934107</v>
      </c>
      <c r="I69" s="15">
        <v>86002390</v>
      </c>
    </row>
    <row r="70" spans="1:9" x14ac:dyDescent="0.25">
      <c r="A70" s="6" t="s">
        <v>83</v>
      </c>
      <c r="B70" s="15">
        <v>0</v>
      </c>
      <c r="C70" s="15">
        <v>0</v>
      </c>
      <c r="D70" s="15">
        <v>0</v>
      </c>
      <c r="E70" s="15">
        <v>0</v>
      </c>
      <c r="F70" s="15">
        <v>200000</v>
      </c>
      <c r="G70" s="15">
        <v>1492374080</v>
      </c>
      <c r="H70" s="15">
        <v>1290832722</v>
      </c>
      <c r="I70" s="15">
        <v>201541358</v>
      </c>
    </row>
    <row r="71" spans="1:9" x14ac:dyDescent="0.25">
      <c r="A71" s="6" t="s">
        <v>211</v>
      </c>
      <c r="B71" s="15">
        <v>0</v>
      </c>
      <c r="C71" s="15">
        <v>0</v>
      </c>
      <c r="D71" s="15">
        <v>0</v>
      </c>
      <c r="E71" s="15">
        <v>0</v>
      </c>
      <c r="F71" s="15">
        <v>1000000</v>
      </c>
      <c r="G71" s="15">
        <v>77980889</v>
      </c>
      <c r="H71" s="15">
        <v>1942399</v>
      </c>
      <c r="I71" s="15">
        <v>76038490</v>
      </c>
    </row>
    <row r="72" spans="1:9" x14ac:dyDescent="0.25">
      <c r="A72" s="6" t="s">
        <v>180</v>
      </c>
      <c r="B72" s="15">
        <v>0</v>
      </c>
      <c r="C72" s="15">
        <v>0</v>
      </c>
      <c r="D72" s="15">
        <v>0</v>
      </c>
      <c r="E72" s="15">
        <v>0</v>
      </c>
      <c r="F72" s="15">
        <v>11000000</v>
      </c>
      <c r="G72" s="15">
        <v>191854617</v>
      </c>
      <c r="H72" s="15">
        <v>329103803</v>
      </c>
      <c r="I72" s="15">
        <v>-137249186</v>
      </c>
    </row>
    <row r="73" spans="1:9" x14ac:dyDescent="0.25">
      <c r="A73" s="6" t="s">
        <v>96</v>
      </c>
      <c r="B73" s="15">
        <v>0</v>
      </c>
      <c r="C73" s="15">
        <v>0</v>
      </c>
      <c r="D73" s="15">
        <v>0</v>
      </c>
      <c r="E73" s="15">
        <v>0</v>
      </c>
      <c r="F73" s="15">
        <v>301000</v>
      </c>
      <c r="G73" s="15">
        <v>4325866110</v>
      </c>
      <c r="H73" s="15">
        <v>4207461025</v>
      </c>
      <c r="I73" s="15">
        <v>118405085</v>
      </c>
    </row>
    <row r="74" spans="1:9" x14ac:dyDescent="0.25">
      <c r="A74" s="6" t="s">
        <v>194</v>
      </c>
      <c r="B74" s="15">
        <v>0</v>
      </c>
      <c r="C74" s="15">
        <v>0</v>
      </c>
      <c r="D74" s="15">
        <v>0</v>
      </c>
      <c r="E74" s="15">
        <v>0</v>
      </c>
      <c r="F74" s="15">
        <v>15000000</v>
      </c>
      <c r="G74" s="15">
        <v>551581958</v>
      </c>
      <c r="H74" s="15">
        <v>669138695</v>
      </c>
      <c r="I74" s="15">
        <v>-117556737</v>
      </c>
    </row>
    <row r="75" spans="1:9" x14ac:dyDescent="0.25">
      <c r="A75" s="6" t="s">
        <v>226</v>
      </c>
      <c r="B75" s="15">
        <v>0</v>
      </c>
      <c r="C75" s="15">
        <v>0</v>
      </c>
      <c r="D75" s="15">
        <v>0</v>
      </c>
      <c r="E75" s="15">
        <v>0</v>
      </c>
      <c r="F75" s="15">
        <v>16000000</v>
      </c>
      <c r="G75" s="15">
        <v>136896309</v>
      </c>
      <c r="H75" s="15">
        <v>31920468</v>
      </c>
      <c r="I75" s="15">
        <v>104975841</v>
      </c>
    </row>
    <row r="76" spans="1:9" x14ac:dyDescent="0.25">
      <c r="A76" s="6" t="s">
        <v>183</v>
      </c>
      <c r="B76" s="15">
        <v>0</v>
      </c>
      <c r="C76" s="15">
        <v>0</v>
      </c>
      <c r="D76" s="15">
        <v>0</v>
      </c>
      <c r="E76" s="15">
        <v>0</v>
      </c>
      <c r="F76" s="15">
        <v>32000000</v>
      </c>
      <c r="G76" s="15">
        <v>395700166</v>
      </c>
      <c r="H76" s="15">
        <v>95772726</v>
      </c>
      <c r="I76" s="15">
        <v>299927440</v>
      </c>
    </row>
    <row r="77" spans="1:9" x14ac:dyDescent="0.25">
      <c r="A77" s="6" t="s">
        <v>205</v>
      </c>
      <c r="B77" s="15">
        <v>0</v>
      </c>
      <c r="C77" s="15">
        <v>0</v>
      </c>
      <c r="D77" s="15">
        <v>0</v>
      </c>
      <c r="E77" s="15">
        <v>0</v>
      </c>
      <c r="F77" s="15">
        <v>100000</v>
      </c>
      <c r="G77" s="15">
        <v>139894951</v>
      </c>
      <c r="H77" s="15">
        <v>112979266</v>
      </c>
      <c r="I77" s="15">
        <v>26915685</v>
      </c>
    </row>
    <row r="78" spans="1:9" x14ac:dyDescent="0.25">
      <c r="A78" s="6" t="s">
        <v>75</v>
      </c>
      <c r="B78" s="15">
        <v>0</v>
      </c>
      <c r="C78" s="15">
        <v>0</v>
      </c>
      <c r="D78" s="15">
        <v>0</v>
      </c>
      <c r="E78" s="15">
        <v>0</v>
      </c>
      <c r="F78" s="15">
        <v>50000</v>
      </c>
      <c r="G78" s="15">
        <v>2588588775</v>
      </c>
      <c r="H78" s="15">
        <v>2526991446</v>
      </c>
      <c r="I78" s="15">
        <v>61597329</v>
      </c>
    </row>
    <row r="79" spans="1:9" x14ac:dyDescent="0.25">
      <c r="A79" s="6" t="s">
        <v>110</v>
      </c>
      <c r="B79" s="15">
        <v>837500</v>
      </c>
      <c r="C79" s="15">
        <v>3812916154</v>
      </c>
      <c r="D79" s="15">
        <v>3595343584</v>
      </c>
      <c r="E79" s="15">
        <v>217572570</v>
      </c>
      <c r="F79" s="15">
        <v>1675000</v>
      </c>
      <c r="G79" s="15">
        <v>8348086329</v>
      </c>
      <c r="H79" s="15">
        <v>7185060607</v>
      </c>
      <c r="I79" s="15">
        <v>1163025722</v>
      </c>
    </row>
    <row r="80" spans="1:9" x14ac:dyDescent="0.25">
      <c r="A80" s="6" t="s">
        <v>193</v>
      </c>
      <c r="B80" s="15">
        <v>0</v>
      </c>
      <c r="C80" s="15">
        <v>0</v>
      </c>
      <c r="D80" s="15">
        <v>0</v>
      </c>
      <c r="E80" s="15">
        <v>0</v>
      </c>
      <c r="F80" s="15">
        <v>10000000</v>
      </c>
      <c r="G80" s="15">
        <v>134897786</v>
      </c>
      <c r="H80" s="15">
        <v>99973520</v>
      </c>
      <c r="I80" s="15">
        <v>34924266</v>
      </c>
    </row>
    <row r="81" spans="1:9" x14ac:dyDescent="0.25">
      <c r="A81" s="6" t="s">
        <v>215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-2675971415</v>
      </c>
      <c r="I81" s="15">
        <v>2675971415</v>
      </c>
    </row>
    <row r="82" spans="1:9" ht="20.25" thickBot="1" x14ac:dyDescent="0.3">
      <c r="A82" s="6" t="s">
        <v>2</v>
      </c>
      <c r="B82" s="15"/>
      <c r="C82" s="8">
        <f>SUM(C8:C81)</f>
        <v>87872815974</v>
      </c>
      <c r="D82" s="8">
        <f>SUM(D8:D81)</f>
        <v>80393509240</v>
      </c>
      <c r="E82" s="8">
        <f>SUM(E8:E81)</f>
        <v>7479306734</v>
      </c>
      <c r="F82" s="15"/>
      <c r="G82" s="8">
        <f>SUM(G8:G81)</f>
        <v>328539457971</v>
      </c>
      <c r="H82" s="8">
        <f>SUM(H8:H81)</f>
        <v>302373687241</v>
      </c>
      <c r="I82" s="8">
        <f>SUM(I8:I81)</f>
        <v>26165770730</v>
      </c>
    </row>
    <row r="83" spans="1:9" ht="20.25" thickTop="1" x14ac:dyDescent="0.25"/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3B02-2D33-492D-8C45-8F857765EF39}">
  <dimension ref="A1:I84"/>
  <sheetViews>
    <sheetView rightToLeft="1" tabSelected="1" view="pageBreakPreview" zoomScale="55" zoomScaleNormal="70" zoomScaleSheetLayoutView="55" workbookViewId="0">
      <selection activeCell="L25" sqref="L25"/>
    </sheetView>
  </sheetViews>
  <sheetFormatPr defaultColWidth="8.85546875" defaultRowHeight="19.5" x14ac:dyDescent="0.25"/>
  <cols>
    <col min="1" max="1" width="41" style="20" customWidth="1"/>
    <col min="2" max="2" width="19" style="20" customWidth="1"/>
    <col min="3" max="3" width="22.85546875" style="20" customWidth="1"/>
    <col min="4" max="4" width="20.5703125" style="20" customWidth="1"/>
    <col min="5" max="5" width="24.42578125" style="20" customWidth="1"/>
    <col min="6" max="6" width="19" style="20" customWidth="1"/>
    <col min="7" max="7" width="22.85546875" style="20" customWidth="1"/>
    <col min="8" max="8" width="20.5703125" style="20" customWidth="1"/>
    <col min="9" max="9" width="24.42578125" style="20" customWidth="1"/>
    <col min="10" max="16384" width="8.85546875" style="20"/>
  </cols>
  <sheetData>
    <row r="1" spans="1:9" ht="21" x14ac:dyDescent="0.25">
      <c r="A1" s="64" t="s">
        <v>117</v>
      </c>
      <c r="B1" s="64"/>
      <c r="C1" s="64"/>
      <c r="D1" s="64"/>
      <c r="E1" s="64"/>
      <c r="F1" s="64"/>
      <c r="G1" s="64"/>
      <c r="H1" s="64"/>
      <c r="I1" s="64"/>
    </row>
    <row r="2" spans="1:9" ht="21" x14ac:dyDescent="0.25">
      <c r="A2" s="64" t="s">
        <v>35</v>
      </c>
      <c r="B2" s="64"/>
      <c r="C2" s="64"/>
      <c r="D2" s="64"/>
      <c r="E2" s="64"/>
      <c r="F2" s="64"/>
      <c r="G2" s="64"/>
      <c r="H2" s="64"/>
      <c r="I2" s="64"/>
    </row>
    <row r="3" spans="1:9" ht="21" x14ac:dyDescent="0.25">
      <c r="A3" s="64" t="s">
        <v>43</v>
      </c>
      <c r="B3" s="64"/>
      <c r="C3" s="64"/>
      <c r="D3" s="64"/>
      <c r="E3" s="64"/>
      <c r="F3" s="64"/>
      <c r="G3" s="64"/>
      <c r="H3" s="64"/>
      <c r="I3" s="64"/>
    </row>
    <row r="4" spans="1:9" ht="2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1" x14ac:dyDescent="0.25">
      <c r="A5" s="65" t="s">
        <v>26</v>
      </c>
      <c r="B5" s="65"/>
      <c r="C5" s="65"/>
      <c r="D5" s="65"/>
    </row>
    <row r="6" spans="1:9" ht="20.25" thickBot="1" x14ac:dyDescent="0.3">
      <c r="B6" s="78" t="s">
        <v>61</v>
      </c>
      <c r="C6" s="78"/>
      <c r="D6" s="78"/>
      <c r="E6" s="78"/>
      <c r="F6" s="78" t="s">
        <v>62</v>
      </c>
      <c r="G6" s="78"/>
      <c r="H6" s="78"/>
      <c r="I6" s="78"/>
    </row>
    <row r="7" spans="1:9" ht="20.25" thickBot="1" x14ac:dyDescent="0.3">
      <c r="A7" s="2" t="s">
        <v>22</v>
      </c>
      <c r="B7" s="35" t="s">
        <v>3</v>
      </c>
      <c r="C7" s="1" t="s">
        <v>11</v>
      </c>
      <c r="D7" s="35" t="s">
        <v>27</v>
      </c>
      <c r="E7" s="1" t="s">
        <v>28</v>
      </c>
      <c r="F7" s="35" t="s">
        <v>3</v>
      </c>
      <c r="G7" s="1" t="s">
        <v>11</v>
      </c>
      <c r="H7" s="35" t="s">
        <v>27</v>
      </c>
      <c r="I7" s="1" t="s">
        <v>28</v>
      </c>
    </row>
    <row r="8" spans="1:9" x14ac:dyDescent="0.25">
      <c r="A8" s="6" t="s">
        <v>111</v>
      </c>
      <c r="B8" s="15">
        <v>1600000</v>
      </c>
      <c r="C8" s="15">
        <v>16177970080</v>
      </c>
      <c r="D8" s="15">
        <v>9367028800</v>
      </c>
      <c r="E8" s="15">
        <v>6810941280</v>
      </c>
      <c r="F8" s="15">
        <v>1600000</v>
      </c>
      <c r="G8" s="15">
        <v>16177970080</v>
      </c>
      <c r="H8" s="15">
        <v>10423704772</v>
      </c>
      <c r="I8" s="15">
        <v>5754265308</v>
      </c>
    </row>
    <row r="9" spans="1:9" x14ac:dyDescent="0.25">
      <c r="A9" s="6" t="s">
        <v>110</v>
      </c>
      <c r="B9" s="15">
        <v>0</v>
      </c>
      <c r="C9" s="15">
        <v>0</v>
      </c>
      <c r="D9" s="15">
        <v>-201219213</v>
      </c>
      <c r="E9" s="15">
        <v>201219213</v>
      </c>
      <c r="F9" s="15">
        <v>0</v>
      </c>
      <c r="G9" s="15">
        <v>0</v>
      </c>
      <c r="H9" s="15">
        <v>0</v>
      </c>
      <c r="I9" s="15">
        <v>0</v>
      </c>
    </row>
    <row r="10" spans="1:9" x14ac:dyDescent="0.25">
      <c r="A10" s="6" t="s">
        <v>132</v>
      </c>
      <c r="B10" s="15">
        <v>-10000000</v>
      </c>
      <c r="C10" s="15">
        <v>-1139136450</v>
      </c>
      <c r="D10" s="15">
        <v>-761200000</v>
      </c>
      <c r="E10" s="15">
        <v>-377936450</v>
      </c>
      <c r="F10" s="15">
        <v>-10000000</v>
      </c>
      <c r="G10" s="15">
        <v>-1139136450</v>
      </c>
      <c r="H10" s="15">
        <v>-761200000</v>
      </c>
      <c r="I10" s="15">
        <v>-377936450</v>
      </c>
    </row>
    <row r="11" spans="1:9" x14ac:dyDescent="0.25">
      <c r="A11" s="6" t="s">
        <v>216</v>
      </c>
      <c r="B11" s="15">
        <v>0</v>
      </c>
      <c r="C11" s="15">
        <v>0</v>
      </c>
      <c r="D11" s="15">
        <v>2498107</v>
      </c>
      <c r="E11" s="15">
        <v>-2498107</v>
      </c>
      <c r="F11" s="15">
        <v>0</v>
      </c>
      <c r="G11" s="15">
        <v>0</v>
      </c>
      <c r="H11" s="15">
        <v>2498107</v>
      </c>
      <c r="I11" s="15">
        <v>-2498107</v>
      </c>
    </row>
    <row r="12" spans="1:9" x14ac:dyDescent="0.25">
      <c r="A12" s="6" t="s">
        <v>212</v>
      </c>
      <c r="B12" s="15">
        <v>0</v>
      </c>
      <c r="C12" s="15">
        <v>0</v>
      </c>
      <c r="D12" s="15">
        <v>-17986365</v>
      </c>
      <c r="E12" s="15">
        <v>17986365</v>
      </c>
      <c r="F12" s="15">
        <v>0</v>
      </c>
      <c r="G12" s="15">
        <v>0</v>
      </c>
      <c r="H12" s="15">
        <v>0</v>
      </c>
      <c r="I12" s="15">
        <v>0</v>
      </c>
    </row>
    <row r="13" spans="1:9" x14ac:dyDescent="0.25">
      <c r="A13" s="6" t="s">
        <v>206</v>
      </c>
      <c r="B13" s="15">
        <v>0</v>
      </c>
      <c r="C13" s="15">
        <v>0</v>
      </c>
      <c r="D13" s="15">
        <v>67041178</v>
      </c>
      <c r="E13" s="15">
        <v>-67041178</v>
      </c>
      <c r="F13" s="15">
        <v>0</v>
      </c>
      <c r="G13" s="15">
        <v>0</v>
      </c>
      <c r="H13" s="15">
        <v>0</v>
      </c>
      <c r="I13" s="15">
        <v>0</v>
      </c>
    </row>
    <row r="14" spans="1:9" x14ac:dyDescent="0.25">
      <c r="A14" s="6" t="s">
        <v>211</v>
      </c>
      <c r="B14" s="15">
        <v>0</v>
      </c>
      <c r="C14" s="15">
        <v>0</v>
      </c>
      <c r="D14" s="15">
        <v>2362210</v>
      </c>
      <c r="E14" s="15">
        <v>-2362210</v>
      </c>
      <c r="F14" s="15">
        <v>0</v>
      </c>
      <c r="G14" s="15">
        <v>0</v>
      </c>
      <c r="H14" s="15">
        <v>0</v>
      </c>
      <c r="I14" s="15">
        <v>0</v>
      </c>
    </row>
    <row r="15" spans="1:9" x14ac:dyDescent="0.25">
      <c r="A15" s="6" t="s">
        <v>210</v>
      </c>
      <c r="B15" s="15">
        <v>0</v>
      </c>
      <c r="C15" s="15">
        <v>0</v>
      </c>
      <c r="D15" s="15">
        <v>39969700</v>
      </c>
      <c r="E15" s="15">
        <v>-39969700</v>
      </c>
      <c r="F15" s="15">
        <v>0</v>
      </c>
      <c r="G15" s="15">
        <v>0</v>
      </c>
      <c r="H15" s="15">
        <v>0</v>
      </c>
      <c r="I15" s="15">
        <v>0</v>
      </c>
    </row>
    <row r="16" spans="1:9" x14ac:dyDescent="0.25">
      <c r="A16" s="6" t="s">
        <v>213</v>
      </c>
      <c r="B16" s="15">
        <v>0</v>
      </c>
      <c r="C16" s="15">
        <v>0</v>
      </c>
      <c r="D16" s="15">
        <v>16531468</v>
      </c>
      <c r="E16" s="15">
        <v>-16531468</v>
      </c>
      <c r="F16" s="15">
        <v>0</v>
      </c>
      <c r="G16" s="15">
        <v>0</v>
      </c>
      <c r="H16" s="15">
        <v>16531468</v>
      </c>
      <c r="I16" s="15">
        <v>-16531468</v>
      </c>
    </row>
    <row r="17" spans="1:9" x14ac:dyDescent="0.25">
      <c r="A17" s="6" t="s">
        <v>209</v>
      </c>
      <c r="B17" s="15">
        <v>0</v>
      </c>
      <c r="C17" s="15">
        <v>0</v>
      </c>
      <c r="D17" s="15">
        <v>-39969700</v>
      </c>
      <c r="E17" s="15">
        <v>39969700</v>
      </c>
      <c r="F17" s="15">
        <v>0</v>
      </c>
      <c r="G17" s="15">
        <v>0</v>
      </c>
      <c r="H17" s="15">
        <v>0</v>
      </c>
      <c r="I17" s="15">
        <v>0</v>
      </c>
    </row>
    <row r="18" spans="1:9" x14ac:dyDescent="0.25">
      <c r="A18" s="6" t="s">
        <v>203</v>
      </c>
      <c r="B18" s="15">
        <v>0</v>
      </c>
      <c r="C18" s="15">
        <v>0</v>
      </c>
      <c r="D18" s="15">
        <v>49962125</v>
      </c>
      <c r="E18" s="15">
        <v>-49962125</v>
      </c>
      <c r="F18" s="15">
        <v>0</v>
      </c>
      <c r="G18" s="15">
        <v>0</v>
      </c>
      <c r="H18" s="15">
        <v>0</v>
      </c>
      <c r="I18" s="15">
        <v>0</v>
      </c>
    </row>
    <row r="19" spans="1:9" x14ac:dyDescent="0.25">
      <c r="A19" s="6" t="s">
        <v>192</v>
      </c>
      <c r="B19" s="15">
        <v>0</v>
      </c>
      <c r="C19" s="15">
        <v>0</v>
      </c>
      <c r="D19" s="15">
        <v>11219495</v>
      </c>
      <c r="E19" s="15">
        <v>-11219495</v>
      </c>
      <c r="F19" s="15">
        <v>0</v>
      </c>
      <c r="G19" s="15">
        <v>0</v>
      </c>
      <c r="H19" s="15">
        <v>0</v>
      </c>
      <c r="I19" s="15">
        <v>0</v>
      </c>
    </row>
    <row r="20" spans="1:9" x14ac:dyDescent="0.25">
      <c r="A20" s="6" t="s">
        <v>131</v>
      </c>
      <c r="B20" s="15">
        <v>-20000000</v>
      </c>
      <c r="C20" s="15">
        <v>-739439450</v>
      </c>
      <c r="D20" s="15">
        <v>-357138000</v>
      </c>
      <c r="E20" s="15">
        <v>-382301450</v>
      </c>
      <c r="F20" s="15">
        <v>-20000000</v>
      </c>
      <c r="G20" s="15">
        <v>-739439450</v>
      </c>
      <c r="H20" s="15">
        <v>-357138000</v>
      </c>
      <c r="I20" s="15">
        <v>-382301450</v>
      </c>
    </row>
    <row r="21" spans="1:9" x14ac:dyDescent="0.25">
      <c r="A21" s="6" t="s">
        <v>232</v>
      </c>
      <c r="B21" s="15">
        <v>0</v>
      </c>
      <c r="C21" s="15">
        <v>0</v>
      </c>
      <c r="D21" s="15">
        <v>32183602</v>
      </c>
      <c r="E21" s="15">
        <v>-32183602</v>
      </c>
      <c r="F21" s="15">
        <v>0</v>
      </c>
      <c r="G21" s="15">
        <v>0</v>
      </c>
      <c r="H21" s="15">
        <v>0</v>
      </c>
      <c r="I21" s="15">
        <v>0</v>
      </c>
    </row>
    <row r="22" spans="1:9" x14ac:dyDescent="0.25">
      <c r="A22" s="6" t="s">
        <v>200</v>
      </c>
      <c r="B22" s="15">
        <v>0</v>
      </c>
      <c r="C22" s="15">
        <v>0</v>
      </c>
      <c r="D22" s="15">
        <v>126154366</v>
      </c>
      <c r="E22" s="15">
        <v>-126154366</v>
      </c>
      <c r="F22" s="15">
        <v>0</v>
      </c>
      <c r="G22" s="15">
        <v>0</v>
      </c>
      <c r="H22" s="15">
        <v>0</v>
      </c>
      <c r="I22" s="15">
        <v>0</v>
      </c>
    </row>
    <row r="23" spans="1:9" x14ac:dyDescent="0.25">
      <c r="A23" s="6" t="s">
        <v>205</v>
      </c>
      <c r="B23" s="15">
        <v>0</v>
      </c>
      <c r="C23" s="15">
        <v>0</v>
      </c>
      <c r="D23" s="15">
        <v>-68448111</v>
      </c>
      <c r="E23" s="15">
        <v>68448111</v>
      </c>
      <c r="F23" s="15">
        <v>0</v>
      </c>
      <c r="G23" s="15">
        <v>0</v>
      </c>
      <c r="H23" s="15">
        <v>0</v>
      </c>
      <c r="I23" s="15">
        <v>0</v>
      </c>
    </row>
    <row r="24" spans="1:9" x14ac:dyDescent="0.25">
      <c r="A24" s="6" t="s">
        <v>229</v>
      </c>
      <c r="B24" s="15">
        <v>0</v>
      </c>
      <c r="C24" s="15">
        <v>0</v>
      </c>
      <c r="D24" s="15">
        <v>1598788</v>
      </c>
      <c r="E24" s="15">
        <v>-1598788</v>
      </c>
      <c r="F24" s="15">
        <v>0</v>
      </c>
      <c r="G24" s="15">
        <v>0</v>
      </c>
      <c r="H24" s="15">
        <v>0</v>
      </c>
      <c r="I24" s="15">
        <v>0</v>
      </c>
    </row>
    <row r="25" spans="1:9" x14ac:dyDescent="0.25">
      <c r="A25" s="6" t="s">
        <v>227</v>
      </c>
      <c r="B25" s="15">
        <v>0</v>
      </c>
      <c r="C25" s="15">
        <v>0</v>
      </c>
      <c r="D25" s="15">
        <v>20484472</v>
      </c>
      <c r="E25" s="15">
        <v>-20484472</v>
      </c>
      <c r="F25" s="15">
        <v>0</v>
      </c>
      <c r="G25" s="15">
        <v>0</v>
      </c>
      <c r="H25" s="15">
        <v>0</v>
      </c>
      <c r="I25" s="15">
        <v>0</v>
      </c>
    </row>
    <row r="26" spans="1:9" x14ac:dyDescent="0.25">
      <c r="A26" s="6" t="s">
        <v>226</v>
      </c>
      <c r="B26" s="15">
        <v>0</v>
      </c>
      <c r="C26" s="15">
        <v>0</v>
      </c>
      <c r="D26" s="15">
        <v>74940162</v>
      </c>
      <c r="E26" s="15">
        <v>-74940162</v>
      </c>
      <c r="F26" s="15">
        <v>0</v>
      </c>
      <c r="G26" s="15">
        <v>0</v>
      </c>
      <c r="H26" s="15">
        <v>0</v>
      </c>
      <c r="I26" s="15">
        <v>0</v>
      </c>
    </row>
    <row r="27" spans="1:9" x14ac:dyDescent="0.25">
      <c r="A27" s="6" t="s">
        <v>129</v>
      </c>
      <c r="B27" s="15">
        <v>0</v>
      </c>
      <c r="C27" s="15">
        <v>-304262207</v>
      </c>
      <c r="D27" s="15">
        <v>79823284</v>
      </c>
      <c r="E27" s="15">
        <v>-384085491</v>
      </c>
      <c r="F27" s="15">
        <v>0</v>
      </c>
      <c r="G27" s="15">
        <v>-304262207</v>
      </c>
      <c r="H27" s="15">
        <v>0</v>
      </c>
      <c r="I27" s="15">
        <v>-304262207</v>
      </c>
    </row>
    <row r="28" spans="1:9" x14ac:dyDescent="0.25">
      <c r="A28" s="6" t="s">
        <v>128</v>
      </c>
      <c r="B28" s="15">
        <v>-39816000</v>
      </c>
      <c r="C28" s="15">
        <v>-10423889918</v>
      </c>
      <c r="D28" s="15">
        <v>-8272962792</v>
      </c>
      <c r="E28" s="15">
        <v>-2150927126</v>
      </c>
      <c r="F28" s="15">
        <v>-39816000</v>
      </c>
      <c r="G28" s="15">
        <v>-10423889918</v>
      </c>
      <c r="H28" s="15">
        <v>-8272962792</v>
      </c>
      <c r="I28" s="15">
        <v>-2150927126</v>
      </c>
    </row>
    <row r="29" spans="1:9" x14ac:dyDescent="0.25">
      <c r="A29" s="6" t="s">
        <v>214</v>
      </c>
      <c r="B29" s="15">
        <v>0</v>
      </c>
      <c r="C29" s="15">
        <v>0</v>
      </c>
      <c r="D29" s="15">
        <v>-81937885</v>
      </c>
      <c r="E29" s="15">
        <v>81937885</v>
      </c>
      <c r="F29" s="15">
        <v>0</v>
      </c>
      <c r="G29" s="15">
        <v>0</v>
      </c>
      <c r="H29" s="15">
        <v>0</v>
      </c>
      <c r="I29" s="15">
        <v>0</v>
      </c>
    </row>
    <row r="30" spans="1:9" x14ac:dyDescent="0.25">
      <c r="A30" s="6" t="s">
        <v>215</v>
      </c>
      <c r="B30" s="15">
        <v>0</v>
      </c>
      <c r="C30" s="15">
        <v>0</v>
      </c>
      <c r="D30" s="15">
        <v>363724270</v>
      </c>
      <c r="E30" s="15">
        <v>-363724270</v>
      </c>
      <c r="F30" s="15">
        <v>0</v>
      </c>
      <c r="G30" s="15">
        <v>0</v>
      </c>
      <c r="H30" s="15">
        <v>0</v>
      </c>
      <c r="I30" s="15">
        <v>0</v>
      </c>
    </row>
    <row r="31" spans="1:9" x14ac:dyDescent="0.25">
      <c r="A31" s="6" t="s">
        <v>193</v>
      </c>
      <c r="B31" s="15">
        <v>0</v>
      </c>
      <c r="C31" s="15">
        <v>0</v>
      </c>
      <c r="D31" s="15">
        <v>45068175</v>
      </c>
      <c r="E31" s="15">
        <v>-45068175</v>
      </c>
      <c r="F31" s="15">
        <v>0</v>
      </c>
      <c r="G31" s="15">
        <v>0</v>
      </c>
      <c r="H31" s="15">
        <v>0</v>
      </c>
      <c r="I31" s="15">
        <v>0</v>
      </c>
    </row>
    <row r="32" spans="1:9" x14ac:dyDescent="0.25">
      <c r="A32" s="6" t="s">
        <v>197</v>
      </c>
      <c r="B32" s="15">
        <v>0</v>
      </c>
      <c r="C32" s="15">
        <v>0</v>
      </c>
      <c r="D32" s="15">
        <v>29977274</v>
      </c>
      <c r="E32" s="15">
        <v>-29977274</v>
      </c>
      <c r="F32" s="15">
        <v>0</v>
      </c>
      <c r="G32" s="15">
        <v>0</v>
      </c>
      <c r="H32" s="15">
        <v>0</v>
      </c>
      <c r="I32" s="15">
        <v>0</v>
      </c>
    </row>
    <row r="33" spans="1:9" x14ac:dyDescent="0.25">
      <c r="A33" s="6" t="s">
        <v>201</v>
      </c>
      <c r="B33" s="15">
        <v>0</v>
      </c>
      <c r="C33" s="15">
        <v>0</v>
      </c>
      <c r="D33" s="15">
        <v>32359469</v>
      </c>
      <c r="E33" s="15">
        <v>-32359469</v>
      </c>
      <c r="F33" s="15">
        <v>0</v>
      </c>
      <c r="G33" s="15">
        <v>0</v>
      </c>
      <c r="H33" s="15">
        <v>0</v>
      </c>
      <c r="I33" s="15">
        <v>0</v>
      </c>
    </row>
    <row r="34" spans="1:9" x14ac:dyDescent="0.25">
      <c r="A34" s="6" t="s">
        <v>202</v>
      </c>
      <c r="B34" s="15">
        <v>0</v>
      </c>
      <c r="C34" s="15">
        <v>0</v>
      </c>
      <c r="D34" s="15">
        <v>4996212</v>
      </c>
      <c r="E34" s="15">
        <v>-4996212</v>
      </c>
      <c r="F34" s="15">
        <v>0</v>
      </c>
      <c r="G34" s="15">
        <v>0</v>
      </c>
      <c r="H34" s="15">
        <v>0</v>
      </c>
      <c r="I34" s="15">
        <v>0</v>
      </c>
    </row>
    <row r="35" spans="1:9" x14ac:dyDescent="0.25">
      <c r="A35" s="6" t="s">
        <v>207</v>
      </c>
      <c r="B35" s="15">
        <v>0</v>
      </c>
      <c r="C35" s="15">
        <v>0</v>
      </c>
      <c r="D35" s="15">
        <v>13639660</v>
      </c>
      <c r="E35" s="15">
        <v>-13639660</v>
      </c>
      <c r="F35" s="15">
        <v>0</v>
      </c>
      <c r="G35" s="15">
        <v>0</v>
      </c>
      <c r="H35" s="15">
        <v>0</v>
      </c>
      <c r="I35" s="15">
        <v>0</v>
      </c>
    </row>
    <row r="36" spans="1:9" x14ac:dyDescent="0.25">
      <c r="A36" s="6" t="s">
        <v>126</v>
      </c>
      <c r="B36" s="15">
        <v>0</v>
      </c>
      <c r="C36" s="15">
        <v>-130460609</v>
      </c>
      <c r="D36" s="15">
        <v>-90163028</v>
      </c>
      <c r="E36" s="15">
        <v>-40297581</v>
      </c>
      <c r="F36" s="15">
        <v>0</v>
      </c>
      <c r="G36" s="15">
        <v>-130460609</v>
      </c>
      <c r="H36" s="15">
        <v>0</v>
      </c>
      <c r="I36" s="15">
        <v>-130460609</v>
      </c>
    </row>
    <row r="37" spans="1:9" x14ac:dyDescent="0.25">
      <c r="A37" s="6" t="s">
        <v>204</v>
      </c>
      <c r="B37" s="15">
        <v>0</v>
      </c>
      <c r="C37" s="15">
        <v>0</v>
      </c>
      <c r="D37" s="15">
        <v>-65017255</v>
      </c>
      <c r="E37" s="15">
        <v>65017255</v>
      </c>
      <c r="F37" s="15">
        <v>0</v>
      </c>
      <c r="G37" s="15">
        <v>0</v>
      </c>
      <c r="H37" s="15">
        <v>0</v>
      </c>
      <c r="I37" s="15">
        <v>0</v>
      </c>
    </row>
    <row r="38" spans="1:9" x14ac:dyDescent="0.25">
      <c r="A38" s="6" t="s">
        <v>199</v>
      </c>
      <c r="B38" s="15">
        <v>0</v>
      </c>
      <c r="C38" s="15">
        <v>0</v>
      </c>
      <c r="D38" s="15">
        <v>13989395</v>
      </c>
      <c r="E38" s="15">
        <v>-13989395</v>
      </c>
      <c r="F38" s="15">
        <v>0</v>
      </c>
      <c r="G38" s="15">
        <v>0</v>
      </c>
      <c r="H38" s="15">
        <v>0</v>
      </c>
      <c r="I38" s="15">
        <v>0</v>
      </c>
    </row>
    <row r="39" spans="1:9" x14ac:dyDescent="0.25">
      <c r="A39" s="6" t="s">
        <v>194</v>
      </c>
      <c r="B39" s="15">
        <v>0</v>
      </c>
      <c r="C39" s="15">
        <v>0</v>
      </c>
      <c r="D39" s="15">
        <v>-49962125</v>
      </c>
      <c r="E39" s="15">
        <v>49962125</v>
      </c>
      <c r="F39" s="15">
        <v>0</v>
      </c>
      <c r="G39" s="15">
        <v>0</v>
      </c>
      <c r="H39" s="15">
        <v>0</v>
      </c>
      <c r="I39" s="15">
        <v>0</v>
      </c>
    </row>
    <row r="40" spans="1:9" x14ac:dyDescent="0.25">
      <c r="A40" s="6" t="s">
        <v>233</v>
      </c>
      <c r="B40" s="15">
        <v>0</v>
      </c>
      <c r="C40" s="15">
        <v>0</v>
      </c>
      <c r="D40" s="15">
        <v>139893</v>
      </c>
      <c r="E40" s="15">
        <v>-139893</v>
      </c>
      <c r="F40" s="15">
        <v>0</v>
      </c>
      <c r="G40" s="15">
        <v>0</v>
      </c>
      <c r="H40" s="15">
        <v>0</v>
      </c>
      <c r="I40" s="15">
        <v>0</v>
      </c>
    </row>
    <row r="41" spans="1:9" x14ac:dyDescent="0.25">
      <c r="A41" s="6" t="s">
        <v>198</v>
      </c>
      <c r="B41" s="15">
        <v>0</v>
      </c>
      <c r="C41" s="15">
        <v>0</v>
      </c>
      <c r="D41" s="15">
        <v>29977275</v>
      </c>
      <c r="E41" s="15">
        <v>-29977275</v>
      </c>
      <c r="F41" s="15">
        <v>0</v>
      </c>
      <c r="G41" s="15">
        <v>0</v>
      </c>
      <c r="H41" s="15">
        <v>0</v>
      </c>
      <c r="I41" s="15">
        <v>0</v>
      </c>
    </row>
    <row r="42" spans="1:9" x14ac:dyDescent="0.25">
      <c r="A42" s="6" t="s">
        <v>109</v>
      </c>
      <c r="B42" s="15">
        <v>9890291</v>
      </c>
      <c r="C42" s="15">
        <v>35300379065</v>
      </c>
      <c r="D42" s="15">
        <v>21060498603</v>
      </c>
      <c r="E42" s="15">
        <v>14239880462</v>
      </c>
      <c r="F42" s="15">
        <v>9890291</v>
      </c>
      <c r="G42" s="15">
        <v>35300379065</v>
      </c>
      <c r="H42" s="15">
        <v>20583450426</v>
      </c>
      <c r="I42" s="15">
        <v>14716928639</v>
      </c>
    </row>
    <row r="43" spans="1:9" x14ac:dyDescent="0.25">
      <c r="A43" s="6" t="s">
        <v>108</v>
      </c>
      <c r="B43" s="15">
        <v>43438000</v>
      </c>
      <c r="C43" s="15">
        <v>24826881174</v>
      </c>
      <c r="D43" s="15">
        <v>19870125384</v>
      </c>
      <c r="E43" s="15">
        <v>4956755790</v>
      </c>
      <c r="F43" s="15">
        <v>43438000</v>
      </c>
      <c r="G43" s="15">
        <v>24826881174</v>
      </c>
      <c r="H43" s="15">
        <v>26809583490</v>
      </c>
      <c r="I43" s="15">
        <v>-1982702316</v>
      </c>
    </row>
    <row r="44" spans="1:9" x14ac:dyDescent="0.25">
      <c r="A44" s="6" t="s">
        <v>107</v>
      </c>
      <c r="B44" s="15">
        <v>10000000</v>
      </c>
      <c r="C44" s="15">
        <v>31216814200</v>
      </c>
      <c r="D44" s="15">
        <v>31095618483</v>
      </c>
      <c r="E44" s="15">
        <v>121195717</v>
      </c>
      <c r="F44" s="15">
        <v>10000000</v>
      </c>
      <c r="G44" s="15">
        <v>31216814200</v>
      </c>
      <c r="H44" s="15">
        <v>31095618483</v>
      </c>
      <c r="I44" s="15">
        <v>121195717</v>
      </c>
    </row>
    <row r="45" spans="1:9" x14ac:dyDescent="0.25">
      <c r="A45" s="6" t="s">
        <v>106</v>
      </c>
      <c r="B45" s="15">
        <v>162137779</v>
      </c>
      <c r="C45" s="15">
        <v>213332785962</v>
      </c>
      <c r="D45" s="15">
        <v>174385213197</v>
      </c>
      <c r="E45" s="15">
        <v>38947572765</v>
      </c>
      <c r="F45" s="15">
        <v>162137779</v>
      </c>
      <c r="G45" s="15">
        <v>213332785962</v>
      </c>
      <c r="H45" s="15">
        <v>181415512995</v>
      </c>
      <c r="I45" s="15">
        <v>31917272967</v>
      </c>
    </row>
    <row r="46" spans="1:9" x14ac:dyDescent="0.25">
      <c r="A46" s="6" t="s">
        <v>105</v>
      </c>
      <c r="B46" s="15">
        <v>2000000</v>
      </c>
      <c r="C46" s="15">
        <v>15022967800</v>
      </c>
      <c r="D46" s="15">
        <v>15400918958</v>
      </c>
      <c r="E46" s="15">
        <v>-377951158</v>
      </c>
      <c r="F46" s="15">
        <v>2000000</v>
      </c>
      <c r="G46" s="15">
        <v>15022967800</v>
      </c>
      <c r="H46" s="15">
        <v>15400918958</v>
      </c>
      <c r="I46" s="15">
        <v>-377951158</v>
      </c>
    </row>
    <row r="47" spans="1:9" x14ac:dyDescent="0.25">
      <c r="A47" s="6" t="s">
        <v>104</v>
      </c>
      <c r="B47" s="15">
        <v>7493258</v>
      </c>
      <c r="C47" s="15">
        <v>16558491303</v>
      </c>
      <c r="D47" s="15">
        <v>13462609491</v>
      </c>
      <c r="E47" s="15">
        <v>3095881812</v>
      </c>
      <c r="F47" s="15">
        <v>7493258</v>
      </c>
      <c r="G47" s="15">
        <v>16558491303</v>
      </c>
      <c r="H47" s="15">
        <v>15906274164</v>
      </c>
      <c r="I47" s="15">
        <v>652217139</v>
      </c>
    </row>
    <row r="48" spans="1:9" x14ac:dyDescent="0.25">
      <c r="A48" s="6" t="s">
        <v>103</v>
      </c>
      <c r="B48" s="15">
        <v>0</v>
      </c>
      <c r="C48" s="15">
        <v>0</v>
      </c>
      <c r="D48" s="15">
        <v>-9039693</v>
      </c>
      <c r="E48" s="15">
        <v>9039693</v>
      </c>
      <c r="F48" s="15">
        <v>0</v>
      </c>
      <c r="G48" s="15">
        <v>0</v>
      </c>
      <c r="H48" s="15">
        <v>0</v>
      </c>
      <c r="I48" s="15">
        <v>0</v>
      </c>
    </row>
    <row r="49" spans="1:9" x14ac:dyDescent="0.25">
      <c r="A49" s="6" t="s">
        <v>102</v>
      </c>
      <c r="B49" s="15">
        <v>200000</v>
      </c>
      <c r="C49" s="15">
        <v>3381656160</v>
      </c>
      <c r="D49" s="15">
        <v>3135267771</v>
      </c>
      <c r="E49" s="15">
        <v>246388389</v>
      </c>
      <c r="F49" s="15">
        <v>200000</v>
      </c>
      <c r="G49" s="15">
        <v>3381656160</v>
      </c>
      <c r="H49" s="15">
        <v>3135267771</v>
      </c>
      <c r="I49" s="15">
        <v>246388389</v>
      </c>
    </row>
    <row r="50" spans="1:9" x14ac:dyDescent="0.25">
      <c r="A50" s="6" t="s">
        <v>101</v>
      </c>
      <c r="B50" s="15">
        <v>870000</v>
      </c>
      <c r="C50" s="15">
        <v>15754766925</v>
      </c>
      <c r="D50" s="15">
        <v>15265432832</v>
      </c>
      <c r="E50" s="15">
        <v>489334093</v>
      </c>
      <c r="F50" s="15">
        <v>870000</v>
      </c>
      <c r="G50" s="15">
        <v>15754766925</v>
      </c>
      <c r="H50" s="15">
        <v>15265432832</v>
      </c>
      <c r="I50" s="15">
        <v>489334093</v>
      </c>
    </row>
    <row r="51" spans="1:9" x14ac:dyDescent="0.25">
      <c r="A51" s="6" t="s">
        <v>100</v>
      </c>
      <c r="B51" s="15">
        <v>66000000</v>
      </c>
      <c r="C51" s="15">
        <v>134188641180</v>
      </c>
      <c r="D51" s="15">
        <v>119647515691</v>
      </c>
      <c r="E51" s="15">
        <v>14541125489</v>
      </c>
      <c r="F51" s="15">
        <v>66000000</v>
      </c>
      <c r="G51" s="15">
        <v>134188641180</v>
      </c>
      <c r="H51" s="15">
        <v>122406899971</v>
      </c>
      <c r="I51" s="15">
        <v>11781741209</v>
      </c>
    </row>
    <row r="52" spans="1:9" x14ac:dyDescent="0.25">
      <c r="A52" s="6" t="s">
        <v>99</v>
      </c>
      <c r="B52" s="15">
        <v>350000</v>
      </c>
      <c r="C52" s="15">
        <v>21546150780</v>
      </c>
      <c r="D52" s="15">
        <v>12315062970</v>
      </c>
      <c r="E52" s="15">
        <v>9231087810</v>
      </c>
      <c r="F52" s="15">
        <v>350000</v>
      </c>
      <c r="G52" s="15">
        <v>21546150780</v>
      </c>
      <c r="H52" s="15">
        <v>13384730030</v>
      </c>
      <c r="I52" s="15">
        <v>8161420750</v>
      </c>
    </row>
    <row r="53" spans="1:9" x14ac:dyDescent="0.25">
      <c r="A53" s="6" t="s">
        <v>98</v>
      </c>
      <c r="B53" s="15">
        <v>4933333</v>
      </c>
      <c r="C53" s="15">
        <v>69707624303</v>
      </c>
      <c r="D53" s="15">
        <v>54014404821</v>
      </c>
      <c r="E53" s="15">
        <v>15693219482</v>
      </c>
      <c r="F53" s="15">
        <v>4933333</v>
      </c>
      <c r="G53" s="15">
        <v>69707624303</v>
      </c>
      <c r="H53" s="15">
        <v>55401526774</v>
      </c>
      <c r="I53" s="15">
        <v>14306097529</v>
      </c>
    </row>
    <row r="54" spans="1:9" x14ac:dyDescent="0.25">
      <c r="A54" s="6" t="s">
        <v>97</v>
      </c>
      <c r="B54" s="15">
        <v>0</v>
      </c>
      <c r="C54" s="15">
        <v>0</v>
      </c>
      <c r="D54" s="15">
        <v>1928732687</v>
      </c>
      <c r="E54" s="15">
        <v>-1928732687</v>
      </c>
      <c r="F54" s="15">
        <v>0</v>
      </c>
      <c r="G54" s="15">
        <v>0</v>
      </c>
      <c r="H54" s="15">
        <v>0</v>
      </c>
      <c r="I54" s="15">
        <v>0</v>
      </c>
    </row>
    <row r="55" spans="1:9" x14ac:dyDescent="0.25">
      <c r="A55" s="6" t="s">
        <v>96</v>
      </c>
      <c r="B55" s="15">
        <v>7800000</v>
      </c>
      <c r="C55" s="15">
        <v>116327781180</v>
      </c>
      <c r="D55" s="15">
        <v>109307335314</v>
      </c>
      <c r="E55" s="15">
        <v>7020445866</v>
      </c>
      <c r="F55" s="15">
        <v>7800000</v>
      </c>
      <c r="G55" s="15">
        <v>116327781180</v>
      </c>
      <c r="H55" s="15">
        <v>120227727076</v>
      </c>
      <c r="I55" s="15">
        <v>-3899945896</v>
      </c>
    </row>
    <row r="56" spans="1:9" x14ac:dyDescent="0.25">
      <c r="A56" s="6" t="s">
        <v>95</v>
      </c>
      <c r="B56" s="15">
        <v>1100000</v>
      </c>
      <c r="C56" s="15">
        <v>31620668090</v>
      </c>
      <c r="D56" s="15">
        <v>18173425050</v>
      </c>
      <c r="E56" s="15">
        <v>13447243040</v>
      </c>
      <c r="F56" s="15">
        <v>1100000</v>
      </c>
      <c r="G56" s="15">
        <v>31620668090</v>
      </c>
      <c r="H56" s="15">
        <v>20640208270</v>
      </c>
      <c r="I56" s="15">
        <v>10980459820</v>
      </c>
    </row>
    <row r="57" spans="1:9" x14ac:dyDescent="0.25">
      <c r="A57" s="6" t="s">
        <v>94</v>
      </c>
      <c r="B57" s="15">
        <v>9200000</v>
      </c>
      <c r="C57" s="15">
        <v>114658783040</v>
      </c>
      <c r="D57" s="15">
        <v>76682625600</v>
      </c>
      <c r="E57" s="15">
        <v>37976157440</v>
      </c>
      <c r="F57" s="15">
        <v>9200000</v>
      </c>
      <c r="G57" s="15">
        <v>114658783040</v>
      </c>
      <c r="H57" s="15">
        <v>95214260120</v>
      </c>
      <c r="I57" s="15">
        <v>19444522920</v>
      </c>
    </row>
    <row r="58" spans="1:9" x14ac:dyDescent="0.25">
      <c r="A58" s="6" t="s">
        <v>93</v>
      </c>
      <c r="B58" s="15">
        <v>2000000</v>
      </c>
      <c r="C58" s="15">
        <v>33737180000</v>
      </c>
      <c r="D58" s="15">
        <v>30556229463</v>
      </c>
      <c r="E58" s="15">
        <v>3180950537</v>
      </c>
      <c r="F58" s="15">
        <v>2000000</v>
      </c>
      <c r="G58" s="15">
        <v>33737180000</v>
      </c>
      <c r="H58" s="15">
        <v>33568761183</v>
      </c>
      <c r="I58" s="15">
        <v>168418817</v>
      </c>
    </row>
    <row r="59" spans="1:9" x14ac:dyDescent="0.25">
      <c r="A59" s="6" t="s">
        <v>92</v>
      </c>
      <c r="B59" s="15">
        <v>22820100</v>
      </c>
      <c r="C59" s="15">
        <v>47280046909</v>
      </c>
      <c r="D59" s="15">
        <v>41370041046</v>
      </c>
      <c r="E59" s="15">
        <v>5910005863</v>
      </c>
      <c r="F59" s="15">
        <v>22820100</v>
      </c>
      <c r="G59" s="15">
        <v>47280046909</v>
      </c>
      <c r="H59" s="15">
        <v>69118575261</v>
      </c>
      <c r="I59" s="15">
        <v>-21838528352</v>
      </c>
    </row>
    <row r="60" spans="1:9" x14ac:dyDescent="0.25">
      <c r="A60" s="6" t="s">
        <v>91</v>
      </c>
      <c r="B60" s="15">
        <v>20000000</v>
      </c>
      <c r="C60" s="15">
        <v>43382044400</v>
      </c>
      <c r="D60" s="15">
        <v>42483040215</v>
      </c>
      <c r="E60" s="15">
        <v>899004185</v>
      </c>
      <c r="F60" s="15">
        <v>20000000</v>
      </c>
      <c r="G60" s="15">
        <v>43382044400</v>
      </c>
      <c r="H60" s="15">
        <v>42483040215</v>
      </c>
      <c r="I60" s="15">
        <v>899004185</v>
      </c>
    </row>
    <row r="61" spans="1:9" x14ac:dyDescent="0.25">
      <c r="A61" s="6" t="s">
        <v>90</v>
      </c>
      <c r="B61" s="15">
        <v>250000</v>
      </c>
      <c r="C61" s="15">
        <v>9587808875</v>
      </c>
      <c r="D61" s="15">
        <v>8923353585</v>
      </c>
      <c r="E61" s="15">
        <v>664455290</v>
      </c>
      <c r="F61" s="15">
        <v>250000</v>
      </c>
      <c r="G61" s="15">
        <v>9587808875</v>
      </c>
      <c r="H61" s="15">
        <v>8923353585</v>
      </c>
      <c r="I61" s="15">
        <v>664455290</v>
      </c>
    </row>
    <row r="62" spans="1:9" x14ac:dyDescent="0.25">
      <c r="A62" s="6" t="s">
        <v>89</v>
      </c>
      <c r="B62" s="15">
        <v>0</v>
      </c>
      <c r="C62" s="15">
        <v>0</v>
      </c>
      <c r="D62" s="15">
        <v>1081769033</v>
      </c>
      <c r="E62" s="15">
        <v>-1081769033</v>
      </c>
      <c r="F62" s="15">
        <v>0</v>
      </c>
      <c r="G62" s="15">
        <v>0</v>
      </c>
      <c r="H62" s="15">
        <v>0</v>
      </c>
      <c r="I62" s="15">
        <v>0</v>
      </c>
    </row>
    <row r="63" spans="1:9" x14ac:dyDescent="0.25">
      <c r="A63" s="6" t="s">
        <v>88</v>
      </c>
      <c r="B63" s="15">
        <v>800000</v>
      </c>
      <c r="C63" s="15">
        <v>11796105760</v>
      </c>
      <c r="D63" s="15">
        <v>9436884608</v>
      </c>
      <c r="E63" s="15">
        <v>2359221152</v>
      </c>
      <c r="F63" s="15">
        <v>800000</v>
      </c>
      <c r="G63" s="15">
        <v>11796105760</v>
      </c>
      <c r="H63" s="15">
        <v>12680340666</v>
      </c>
      <c r="I63" s="15">
        <v>-884234906</v>
      </c>
    </row>
    <row r="64" spans="1:9" x14ac:dyDescent="0.25">
      <c r="A64" s="6" t="s">
        <v>87</v>
      </c>
      <c r="B64" s="15">
        <v>0</v>
      </c>
      <c r="C64" s="15">
        <v>0</v>
      </c>
      <c r="D64" s="15">
        <v>-280476328</v>
      </c>
      <c r="E64" s="15">
        <v>280476328</v>
      </c>
      <c r="F64" s="15">
        <v>0</v>
      </c>
      <c r="G64" s="15">
        <v>0</v>
      </c>
      <c r="H64" s="15">
        <v>0</v>
      </c>
      <c r="I64" s="15">
        <v>0</v>
      </c>
    </row>
    <row r="65" spans="1:9" x14ac:dyDescent="0.25">
      <c r="A65" s="6" t="s">
        <v>86</v>
      </c>
      <c r="B65" s="15">
        <v>7200000</v>
      </c>
      <c r="C65" s="15">
        <v>82017069120</v>
      </c>
      <c r="D65" s="15">
        <v>66524092934</v>
      </c>
      <c r="E65" s="15">
        <v>15492976186</v>
      </c>
      <c r="F65" s="15">
        <v>7200000</v>
      </c>
      <c r="G65" s="15">
        <v>82017069120</v>
      </c>
      <c r="H65" s="15">
        <v>67722791063</v>
      </c>
      <c r="I65" s="15">
        <v>14294278057</v>
      </c>
    </row>
    <row r="66" spans="1:9" x14ac:dyDescent="0.25">
      <c r="A66" s="6" t="s">
        <v>85</v>
      </c>
      <c r="B66" s="15">
        <v>11000000</v>
      </c>
      <c r="C66" s="15">
        <v>240893387900</v>
      </c>
      <c r="D66" s="15">
        <v>160442644379</v>
      </c>
      <c r="E66" s="15">
        <v>80450743521</v>
      </c>
      <c r="F66" s="15">
        <v>11000000</v>
      </c>
      <c r="G66" s="15">
        <v>240893387900</v>
      </c>
      <c r="H66" s="15">
        <v>133875792612</v>
      </c>
      <c r="I66" s="15">
        <v>107017595288</v>
      </c>
    </row>
    <row r="67" spans="1:9" x14ac:dyDescent="0.25">
      <c r="A67" s="6" t="s">
        <v>84</v>
      </c>
      <c r="B67" s="15">
        <v>14070541</v>
      </c>
      <c r="C67" s="15">
        <v>127889865578</v>
      </c>
      <c r="D67" s="15">
        <v>72559368463</v>
      </c>
      <c r="E67" s="15">
        <v>55330497115</v>
      </c>
      <c r="F67" s="15">
        <v>14070541</v>
      </c>
      <c r="G67" s="15">
        <v>127889865578</v>
      </c>
      <c r="H67" s="15">
        <v>78064675699</v>
      </c>
      <c r="I67" s="15">
        <v>49825189879</v>
      </c>
    </row>
    <row r="68" spans="1:9" x14ac:dyDescent="0.25">
      <c r="A68" s="6" t="s">
        <v>83</v>
      </c>
      <c r="B68" s="15">
        <v>5275000</v>
      </c>
      <c r="C68" s="15">
        <v>60664659057</v>
      </c>
      <c r="D68" s="15">
        <v>36801976478</v>
      </c>
      <c r="E68" s="15">
        <v>23862682579</v>
      </c>
      <c r="F68" s="15">
        <v>5275000</v>
      </c>
      <c r="G68" s="15">
        <v>60664659057</v>
      </c>
      <c r="H68" s="15">
        <v>34866212922</v>
      </c>
      <c r="I68" s="15">
        <v>25798446135</v>
      </c>
    </row>
    <row r="69" spans="1:9" x14ac:dyDescent="0.25">
      <c r="A69" s="6" t="s">
        <v>82</v>
      </c>
      <c r="B69" s="15">
        <v>300000</v>
      </c>
      <c r="C69" s="15">
        <v>12972937980</v>
      </c>
      <c r="D69" s="15">
        <v>8325442916</v>
      </c>
      <c r="E69" s="15">
        <v>4647495064</v>
      </c>
      <c r="F69" s="15">
        <v>300000</v>
      </c>
      <c r="G69" s="15">
        <v>12972937980</v>
      </c>
      <c r="H69" s="15">
        <v>8456422556</v>
      </c>
      <c r="I69" s="15">
        <v>4516515424</v>
      </c>
    </row>
    <row r="70" spans="1:9" x14ac:dyDescent="0.25">
      <c r="A70" s="6" t="s">
        <v>81</v>
      </c>
      <c r="B70" s="15">
        <v>5684429</v>
      </c>
      <c r="C70" s="15">
        <v>29217729725</v>
      </c>
      <c r="D70" s="15">
        <v>17440390094</v>
      </c>
      <c r="E70" s="15">
        <v>11777339631</v>
      </c>
      <c r="F70" s="15">
        <v>5684429</v>
      </c>
      <c r="G70" s="15">
        <v>29217729725</v>
      </c>
      <c r="H70" s="15">
        <v>17022388855</v>
      </c>
      <c r="I70" s="15">
        <v>12195340870</v>
      </c>
    </row>
    <row r="71" spans="1:9" x14ac:dyDescent="0.25">
      <c r="A71" s="6" t="s">
        <v>80</v>
      </c>
      <c r="B71" s="15">
        <v>2811149</v>
      </c>
      <c r="C71" s="15">
        <v>80753674788</v>
      </c>
      <c r="D71" s="15">
        <v>71396967273</v>
      </c>
      <c r="E71" s="15">
        <v>9356707515</v>
      </c>
      <c r="F71" s="15">
        <v>2811149</v>
      </c>
      <c r="G71" s="15">
        <v>80753674788</v>
      </c>
      <c r="H71" s="15">
        <v>80579334626</v>
      </c>
      <c r="I71" s="15">
        <v>174340162</v>
      </c>
    </row>
    <row r="72" spans="1:9" x14ac:dyDescent="0.25">
      <c r="A72" s="6" t="s">
        <v>79</v>
      </c>
      <c r="B72" s="15">
        <v>3000000</v>
      </c>
      <c r="C72" s="15">
        <v>34620300300</v>
      </c>
      <c r="D72" s="15">
        <v>26329116240</v>
      </c>
      <c r="E72" s="15">
        <v>8291184060</v>
      </c>
      <c r="F72" s="15">
        <v>3000000</v>
      </c>
      <c r="G72" s="15">
        <v>34620300300</v>
      </c>
      <c r="H72" s="15">
        <v>28866696331</v>
      </c>
      <c r="I72" s="15">
        <v>5753603969</v>
      </c>
    </row>
    <row r="73" spans="1:9" x14ac:dyDescent="0.25">
      <c r="A73" s="6" t="s">
        <v>78</v>
      </c>
      <c r="B73" s="15">
        <v>454</v>
      </c>
      <c r="C73" s="15">
        <v>30038712</v>
      </c>
      <c r="D73" s="15">
        <v>23740854</v>
      </c>
      <c r="E73" s="15">
        <v>6297858</v>
      </c>
      <c r="F73" s="15">
        <v>454</v>
      </c>
      <c r="G73" s="15">
        <v>30038712</v>
      </c>
      <c r="H73" s="15">
        <v>19762080</v>
      </c>
      <c r="I73" s="15">
        <v>10276632</v>
      </c>
    </row>
    <row r="74" spans="1:9" x14ac:dyDescent="0.25">
      <c r="A74" s="6" t="s">
        <v>77</v>
      </c>
      <c r="B74" s="15">
        <v>200000</v>
      </c>
      <c r="C74" s="15">
        <v>7789319500</v>
      </c>
      <c r="D74" s="15">
        <v>6953828160</v>
      </c>
      <c r="E74" s="15">
        <v>835491340</v>
      </c>
      <c r="F74" s="15">
        <v>200000</v>
      </c>
      <c r="G74" s="15">
        <v>7789319500</v>
      </c>
      <c r="H74" s="15">
        <v>12095771300</v>
      </c>
      <c r="I74" s="15">
        <v>-4306451800</v>
      </c>
    </row>
    <row r="75" spans="1:9" x14ac:dyDescent="0.25">
      <c r="A75" s="6" t="s">
        <v>76</v>
      </c>
      <c r="B75" s="15">
        <v>750000</v>
      </c>
      <c r="C75" s="15">
        <v>51238342125</v>
      </c>
      <c r="D75" s="15">
        <v>36156334260</v>
      </c>
      <c r="E75" s="15">
        <v>15082007865</v>
      </c>
      <c r="F75" s="15">
        <v>750000</v>
      </c>
      <c r="G75" s="15">
        <v>51238342125</v>
      </c>
      <c r="H75" s="15">
        <v>35245501211</v>
      </c>
      <c r="I75" s="15">
        <v>15992840914</v>
      </c>
    </row>
    <row r="76" spans="1:9" x14ac:dyDescent="0.25">
      <c r="A76" s="6" t="s">
        <v>75</v>
      </c>
      <c r="B76" s="15">
        <v>450000</v>
      </c>
      <c r="C76" s="15">
        <v>26188485975</v>
      </c>
      <c r="D76" s="15">
        <v>16289104320</v>
      </c>
      <c r="E76" s="15">
        <v>9899381655</v>
      </c>
      <c r="F76" s="15">
        <v>450000</v>
      </c>
      <c r="G76" s="15">
        <v>26188485975</v>
      </c>
      <c r="H76" s="15">
        <v>22924413809</v>
      </c>
      <c r="I76" s="15">
        <v>3264072166</v>
      </c>
    </row>
    <row r="77" spans="1:9" x14ac:dyDescent="0.25">
      <c r="A77" s="6" t="s">
        <v>74</v>
      </c>
      <c r="B77" s="15">
        <v>3441130</v>
      </c>
      <c r="C77" s="15">
        <v>9328496138</v>
      </c>
      <c r="D77" s="15">
        <v>6525167520</v>
      </c>
      <c r="E77" s="15">
        <v>2803328618</v>
      </c>
      <c r="F77" s="15">
        <v>3441130</v>
      </c>
      <c r="G77" s="15">
        <v>9328496138</v>
      </c>
      <c r="H77" s="15">
        <v>9552583290</v>
      </c>
      <c r="I77" s="15">
        <v>-224087152</v>
      </c>
    </row>
    <row r="78" spans="1:9" x14ac:dyDescent="0.25">
      <c r="A78" s="6" t="s">
        <v>73</v>
      </c>
      <c r="B78" s="15">
        <v>4671455</v>
      </c>
      <c r="C78" s="15">
        <v>59888652915</v>
      </c>
      <c r="D78" s="15">
        <v>48328103351</v>
      </c>
      <c r="E78" s="15">
        <v>11560549564</v>
      </c>
      <c r="F78" s="15">
        <v>4671455</v>
      </c>
      <c r="G78" s="15">
        <v>59888652915</v>
      </c>
      <c r="H78" s="15">
        <v>47041933068</v>
      </c>
      <c r="I78" s="15">
        <v>12846719847</v>
      </c>
    </row>
    <row r="79" spans="1:9" x14ac:dyDescent="0.25">
      <c r="A79" s="6" t="s">
        <v>72</v>
      </c>
      <c r="B79" s="15">
        <v>1200000</v>
      </c>
      <c r="C79" s="15">
        <v>30696864720</v>
      </c>
      <c r="D79" s="15">
        <v>18070427424</v>
      </c>
      <c r="E79" s="15">
        <v>12626437296</v>
      </c>
      <c r="F79" s="15">
        <v>1200000</v>
      </c>
      <c r="G79" s="15">
        <v>30696864720</v>
      </c>
      <c r="H79" s="15">
        <v>26820179544</v>
      </c>
      <c r="I79" s="15">
        <v>3876685176</v>
      </c>
    </row>
    <row r="80" spans="1:9" x14ac:dyDescent="0.25">
      <c r="A80" s="6" t="s">
        <v>71</v>
      </c>
      <c r="B80" s="15">
        <v>800000</v>
      </c>
      <c r="C80" s="15">
        <v>104704330400</v>
      </c>
      <c r="D80" s="15">
        <v>91958500893</v>
      </c>
      <c r="E80" s="15">
        <v>12745829507</v>
      </c>
      <c r="F80" s="15">
        <v>800000</v>
      </c>
      <c r="G80" s="15">
        <v>104704330400</v>
      </c>
      <c r="H80" s="15">
        <v>88952056293</v>
      </c>
      <c r="I80" s="15">
        <v>15752274107</v>
      </c>
    </row>
    <row r="81" spans="1:9" x14ac:dyDescent="0.25">
      <c r="A81" s="6" t="s">
        <v>70</v>
      </c>
      <c r="B81" s="15">
        <v>6338333</v>
      </c>
      <c r="C81" s="15">
        <v>15094410446</v>
      </c>
      <c r="D81" s="15">
        <v>13234475047</v>
      </c>
      <c r="E81" s="15">
        <v>1859935399</v>
      </c>
      <c r="F81" s="15">
        <v>6338333</v>
      </c>
      <c r="G81" s="15">
        <v>15094410446</v>
      </c>
      <c r="H81" s="15">
        <v>16672705625</v>
      </c>
      <c r="I81" s="15">
        <v>-1578295179</v>
      </c>
    </row>
    <row r="82" spans="1:9" x14ac:dyDescent="0.25">
      <c r="A82" s="6" t="s">
        <v>69</v>
      </c>
      <c r="B82" s="15">
        <v>695370</v>
      </c>
      <c r="C82" s="15">
        <v>965992706</v>
      </c>
      <c r="D82" s="15">
        <v>1073768188</v>
      </c>
      <c r="E82" s="15">
        <v>-107775482</v>
      </c>
      <c r="F82" s="15">
        <v>695370</v>
      </c>
      <c r="G82" s="15">
        <v>965992706</v>
      </c>
      <c r="H82" s="15">
        <v>1073768188</v>
      </c>
      <c r="I82" s="15">
        <v>-107775482</v>
      </c>
    </row>
    <row r="83" spans="1:9" ht="20.25" thickBot="1" x14ac:dyDescent="0.3">
      <c r="A83" s="6" t="s">
        <v>2</v>
      </c>
      <c r="B83" s="15"/>
      <c r="C83" s="8">
        <f>SUM(C8:C82)</f>
        <v>1967622916637</v>
      </c>
      <c r="D83" s="8">
        <f>SUM(D8:D82)</f>
        <v>1518159702481</v>
      </c>
      <c r="E83" s="8">
        <f>SUM(E8:E82)</f>
        <v>449463214156</v>
      </c>
      <c r="F83" s="15"/>
      <c r="G83" s="8">
        <f>SUM(G8:G82)</f>
        <v>1967622916637</v>
      </c>
      <c r="H83" s="8">
        <f>SUM(H8:H82)</f>
        <v>1614565904897</v>
      </c>
      <c r="I83" s="8">
        <f>SUM(I8:I82)</f>
        <v>353057011740</v>
      </c>
    </row>
    <row r="84" spans="1:9" ht="20.25" thickTop="1" x14ac:dyDescent="0.25"/>
  </sheetData>
  <mergeCells count="6"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سربرگ</vt:lpstr>
      <vt:lpstr> سهام</vt:lpstr>
      <vt:lpstr>اوراق مشتقه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'تعدیل قیمت'!Print_Area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Ghazal Nezakati</cp:lastModifiedBy>
  <cp:lastPrinted>2026-07-01T11:07:40Z</cp:lastPrinted>
  <dcterms:created xsi:type="dcterms:W3CDTF">2017-11-22T14:26:20Z</dcterms:created>
  <dcterms:modified xsi:type="dcterms:W3CDTF">2026-07-01T11:10:15Z</dcterms:modified>
</cp:coreProperties>
</file>