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ranjbar\Downloads\"/>
    </mc:Choice>
  </mc:AlternateContent>
  <xr:revisionPtr revIDLastSave="0" documentId="13_ncr:1_{59C3931A-98D5-49ED-814E-C739E61072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" sheetId="17" r:id="rId1"/>
    <sheet name="1" sheetId="2" r:id="rId2"/>
    <sheet name="2" sheetId="6" r:id="rId3"/>
    <sheet name="3" sheetId="8" r:id="rId4"/>
    <sheet name="4" sheetId="13" r:id="rId5"/>
    <sheet name="5" sheetId="14" r:id="rId6"/>
    <sheet name="6" sheetId="15" r:id="rId7"/>
    <sheet name="7" sheetId="16" r:id="rId8"/>
    <sheet name="8" sheetId="9" r:id="rId9"/>
    <sheet name="9" sheetId="10" r:id="rId10"/>
    <sheet name="10" sheetId="18" r:id="rId11"/>
    <sheet name="11" sheetId="11" r:id="rId12"/>
    <sheet name="12" sheetId="12" r:id="rId13"/>
  </sheets>
  <definedNames>
    <definedName name="_xlnm.Print_Area" localSheetId="0">'0'!$A$1:$J$32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1" i="12" l="1"/>
  <c r="O111" i="12"/>
  <c r="M111" i="12"/>
  <c r="I111" i="12"/>
  <c r="G111" i="12"/>
  <c r="E111" i="12"/>
  <c r="Q102" i="12"/>
  <c r="O102" i="12"/>
  <c r="M102" i="12"/>
  <c r="I102" i="12"/>
  <c r="G102" i="12"/>
  <c r="E102" i="12"/>
  <c r="I93" i="12"/>
  <c r="I71" i="12"/>
  <c r="Q31" i="12"/>
  <c r="Q40" i="12" s="1"/>
  <c r="Q62" i="12" s="1"/>
  <c r="Q71" i="12" s="1"/>
  <c r="Q93" i="12" s="1"/>
  <c r="O31" i="12"/>
  <c r="O40" i="12" s="1"/>
  <c r="O62" i="12" s="1"/>
  <c r="O71" i="12" s="1"/>
  <c r="O93" i="12" s="1"/>
  <c r="M31" i="12"/>
  <c r="M40" i="12" s="1"/>
  <c r="M62" i="12" s="1"/>
  <c r="M71" i="12" s="1"/>
  <c r="M93" i="12" s="1"/>
  <c r="I31" i="12"/>
  <c r="I40" i="12" s="1"/>
  <c r="I62" i="12" s="1"/>
  <c r="G31" i="12"/>
  <c r="G40" i="12" s="1"/>
  <c r="G62" i="12" s="1"/>
  <c r="G71" i="12" s="1"/>
  <c r="G93" i="12" s="1"/>
  <c r="E31" i="12"/>
  <c r="E40" i="12" s="1"/>
  <c r="E62" i="12" s="1"/>
  <c r="E71" i="12" s="1"/>
  <c r="E93" i="12" s="1"/>
  <c r="Q136" i="11"/>
  <c r="O136" i="11"/>
  <c r="M136" i="11"/>
  <c r="I136" i="11"/>
  <c r="G136" i="11"/>
  <c r="E136" i="11"/>
  <c r="Q129" i="11"/>
  <c r="M129" i="11"/>
  <c r="I129" i="11"/>
  <c r="G129" i="11"/>
  <c r="E129" i="11"/>
  <c r="O99" i="11"/>
  <c r="O120" i="11" s="1"/>
  <c r="O129" i="11" s="1"/>
  <c r="M99" i="11"/>
  <c r="M120" i="11" s="1"/>
  <c r="O60" i="11"/>
  <c r="O69" i="11" s="1"/>
  <c r="O90" i="11" s="1"/>
  <c r="I39" i="11"/>
  <c r="I60" i="11" s="1"/>
  <c r="I69" i="11" s="1"/>
  <c r="I90" i="11" s="1"/>
  <c r="I99" i="11" s="1"/>
  <c r="I120" i="11" s="1"/>
  <c r="Q30" i="11"/>
  <c r="Q39" i="11" s="1"/>
  <c r="Q60" i="11" s="1"/>
  <c r="Q69" i="11" s="1"/>
  <c r="Q90" i="11" s="1"/>
  <c r="Q99" i="11" s="1"/>
  <c r="Q120" i="11" s="1"/>
  <c r="O30" i="11"/>
  <c r="O39" i="11" s="1"/>
  <c r="M30" i="11"/>
  <c r="M39" i="11" s="1"/>
  <c r="M60" i="11" s="1"/>
  <c r="M69" i="11" s="1"/>
  <c r="M90" i="11" s="1"/>
  <c r="I30" i="11"/>
  <c r="G30" i="11"/>
  <c r="G39" i="11" s="1"/>
  <c r="G60" i="11" s="1"/>
  <c r="G69" i="11" s="1"/>
  <c r="G90" i="11" s="1"/>
  <c r="G99" i="11" s="1"/>
  <c r="G120" i="11" s="1"/>
  <c r="E30" i="11"/>
  <c r="E39" i="11" s="1"/>
  <c r="E60" i="11" s="1"/>
  <c r="E69" i="11" s="1"/>
  <c r="E90" i="11" s="1"/>
  <c r="E99" i="11" s="1"/>
  <c r="E120" i="11" s="1"/>
  <c r="S57" i="9"/>
  <c r="Q57" i="9"/>
  <c r="O57" i="9"/>
  <c r="M57" i="9"/>
  <c r="K57" i="9"/>
  <c r="I57" i="9"/>
  <c r="S39" i="9"/>
  <c r="Q39" i="9"/>
  <c r="O39" i="9"/>
  <c r="M39" i="9"/>
  <c r="K39" i="9"/>
  <c r="I39" i="9"/>
  <c r="S30" i="9"/>
  <c r="Q30" i="9"/>
  <c r="O30" i="9"/>
  <c r="K30" i="9"/>
  <c r="I30" i="9"/>
  <c r="U136" i="13"/>
  <c r="S136" i="13"/>
  <c r="Q136" i="13"/>
  <c r="O136" i="13"/>
  <c r="M136" i="13"/>
  <c r="K136" i="13"/>
  <c r="I136" i="13"/>
  <c r="G136" i="13"/>
  <c r="E136" i="13"/>
  <c r="C136" i="13"/>
  <c r="U123" i="13"/>
  <c r="Q123" i="13"/>
  <c r="O123" i="13"/>
  <c r="K123" i="13"/>
  <c r="G123" i="13"/>
  <c r="C123" i="13"/>
  <c r="G85" i="13"/>
  <c r="G114" i="13" s="1"/>
  <c r="U38" i="13"/>
  <c r="U47" i="13" s="1"/>
  <c r="U76" i="13" s="1"/>
  <c r="U85" i="13" s="1"/>
  <c r="U114" i="13" s="1"/>
  <c r="Q38" i="13"/>
  <c r="Q47" i="13" s="1"/>
  <c r="Q76" i="13" s="1"/>
  <c r="Q85" i="13" s="1"/>
  <c r="Q114" i="13" s="1"/>
  <c r="O38" i="13"/>
  <c r="O47" i="13" s="1"/>
  <c r="O76" i="13" s="1"/>
  <c r="O85" i="13" s="1"/>
  <c r="O114" i="13" s="1"/>
  <c r="M38" i="13"/>
  <c r="K38" i="13"/>
  <c r="K47" i="13" s="1"/>
  <c r="K76" i="13" s="1"/>
  <c r="K85" i="13" s="1"/>
  <c r="K114" i="13" s="1"/>
  <c r="G38" i="13"/>
  <c r="G47" i="13" s="1"/>
  <c r="G76" i="13" s="1"/>
  <c r="E38" i="13"/>
  <c r="C38" i="13"/>
  <c r="C47" i="13" s="1"/>
  <c r="C76" i="13" s="1"/>
  <c r="C85" i="13" s="1"/>
  <c r="C114" i="13" s="1"/>
  <c r="W92" i="2"/>
  <c r="U92" i="2"/>
  <c r="S92" i="2"/>
  <c r="M92" i="2"/>
  <c r="J92" i="2"/>
  <c r="G92" i="2"/>
  <c r="E92" i="2"/>
  <c r="W89" i="2"/>
  <c r="U89" i="2"/>
  <c r="S89" i="2"/>
  <c r="M89" i="2"/>
  <c r="J89" i="2"/>
  <c r="G89" i="2"/>
  <c r="E89" i="2"/>
  <c r="M50" i="2"/>
  <c r="M78" i="2" s="1"/>
  <c r="W39" i="2"/>
  <c r="W50" i="2" s="1"/>
  <c r="W78" i="2" s="1"/>
  <c r="U39" i="2"/>
  <c r="U50" i="2" s="1"/>
  <c r="U78" i="2" s="1"/>
  <c r="S39" i="2"/>
  <c r="S50" i="2" s="1"/>
  <c r="S78" i="2" s="1"/>
  <c r="M39" i="2"/>
  <c r="J39" i="2"/>
  <c r="J50" i="2" s="1"/>
  <c r="J78" i="2" s="1"/>
  <c r="G39" i="2"/>
  <c r="G50" i="2" s="1"/>
  <c r="G78" i="2" s="1"/>
  <c r="E39" i="2"/>
  <c r="E50" i="2" s="1"/>
  <c r="E78" i="2" s="1"/>
  <c r="M28" i="9"/>
  <c r="M2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27" i="9"/>
  <c r="M26" i="9"/>
  <c r="M25" i="9"/>
  <c r="M24" i="9"/>
  <c r="M22" i="9"/>
  <c r="M21" i="9"/>
  <c r="M10" i="9"/>
  <c r="M11" i="9"/>
  <c r="M12" i="9"/>
  <c r="M13" i="9"/>
  <c r="M30" i="9" s="1"/>
  <c r="M14" i="9"/>
  <c r="M15" i="9"/>
  <c r="M16" i="9"/>
  <c r="M17" i="9"/>
  <c r="M18" i="9"/>
  <c r="M19" i="9"/>
  <c r="M9" i="9"/>
  <c r="E11" i="8"/>
  <c r="E10" i="8"/>
  <c r="E9" i="8"/>
  <c r="Q9" i="14"/>
  <c r="I9" i="14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86" i="13"/>
  <c r="S87" i="13"/>
  <c r="S88" i="13"/>
  <c r="S89" i="13"/>
  <c r="S90" i="13"/>
  <c r="S91" i="13"/>
  <c r="S92" i="13"/>
  <c r="S93" i="13"/>
  <c r="S94" i="13"/>
  <c r="S95" i="13"/>
  <c r="S96" i="13"/>
  <c r="S97" i="13"/>
  <c r="S98" i="13"/>
  <c r="S99" i="13"/>
  <c r="S100" i="13"/>
  <c r="S101" i="13"/>
  <c r="S102" i="13"/>
  <c r="S103" i="13"/>
  <c r="S104" i="13"/>
  <c r="S105" i="13"/>
  <c r="S106" i="13"/>
  <c r="S107" i="13"/>
  <c r="S108" i="13"/>
  <c r="S109" i="13"/>
  <c r="S110" i="13"/>
  <c r="S111" i="13"/>
  <c r="S112" i="13"/>
  <c r="S113" i="13"/>
  <c r="S124" i="13"/>
  <c r="S125" i="13"/>
  <c r="S126" i="13"/>
  <c r="S127" i="13"/>
  <c r="S128" i="13"/>
  <c r="S129" i="13"/>
  <c r="S130" i="13"/>
  <c r="S131" i="13"/>
  <c r="S132" i="13"/>
  <c r="S133" i="13"/>
  <c r="S134" i="13"/>
  <c r="S135" i="13"/>
  <c r="S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9" i="13"/>
  <c r="M47" i="13" l="1"/>
  <c r="M76" i="13" s="1"/>
  <c r="M85" i="13" s="1"/>
  <c r="M114" i="13" s="1"/>
  <c r="M123" i="13" s="1"/>
  <c r="E47" i="13"/>
  <c r="E76" i="13" s="1"/>
  <c r="E85" i="13" s="1"/>
  <c r="E114" i="13" s="1"/>
  <c r="E123" i="13" s="1"/>
  <c r="S38" i="13"/>
  <c r="I38" i="13"/>
  <c r="I47" i="13" s="1"/>
  <c r="I76" i="13" s="1"/>
  <c r="I85" i="13" s="1"/>
  <c r="I114" i="13" s="1"/>
  <c r="I123" i="13" s="1"/>
  <c r="S47" i="13" l="1"/>
  <c r="S76" i="13" s="1"/>
  <c r="S85" i="13" s="1"/>
  <c r="S114" i="13" s="1"/>
  <c r="S123" i="13" s="1"/>
  <c r="O11" i="18"/>
  <c r="M11" i="18"/>
  <c r="K11" i="18"/>
  <c r="I11" i="18"/>
  <c r="G11" i="18"/>
  <c r="E11" i="18"/>
  <c r="E8" i="8" l="1"/>
  <c r="E12" i="8" s="1"/>
  <c r="E11" i="16"/>
  <c r="C11" i="16"/>
  <c r="I11" i="15"/>
  <c r="E11" i="15"/>
  <c r="K10" i="15"/>
  <c r="G10" i="15"/>
  <c r="G11" i="15" s="1"/>
  <c r="K9" i="15"/>
  <c r="K11" i="15" s="1"/>
  <c r="G9" i="15"/>
  <c r="Q10" i="14"/>
  <c r="O10" i="14"/>
  <c r="M10" i="14"/>
  <c r="K10" i="14"/>
  <c r="I10" i="14"/>
  <c r="G10" i="14"/>
  <c r="E10" i="14"/>
  <c r="C10" i="14"/>
  <c r="S10" i="10"/>
  <c r="Q10" i="10"/>
  <c r="O10" i="10"/>
  <c r="M10" i="10"/>
  <c r="K10" i="10"/>
  <c r="I10" i="10"/>
  <c r="M11" i="6"/>
  <c r="K11" i="6"/>
  <c r="I11" i="6"/>
  <c r="G11" i="6"/>
  <c r="E11" i="6"/>
  <c r="G10" i="8" l="1"/>
  <c r="G9" i="8"/>
  <c r="G11" i="8"/>
  <c r="G8" i="8"/>
  <c r="I12" i="8"/>
  <c r="G12" i="8" l="1"/>
</calcChain>
</file>

<file path=xl/sharedStrings.xml><?xml version="1.0" encoding="utf-8"?>
<sst xmlns="http://schemas.openxmlformats.org/spreadsheetml/2006/main" count="855" uniqueCount="246">
  <si>
    <t>‫سرمایه گذاری قابل معامله شاخصی بازار آشنا</t>
  </si>
  <si>
    <t>‫صورت وضعیت پورتفوی</t>
  </si>
  <si>
    <t>‫برای ماه منتهی به 1403/08/30</t>
  </si>
  <si>
    <t>‫1- سرمایه گذاری ها</t>
  </si>
  <si>
    <t>‫1-1- سرمایه گذاری در سهام و حق تقدم سهام</t>
  </si>
  <si>
    <t>‫1403/07/30</t>
  </si>
  <si>
    <t>‫تغییرات طی دوره</t>
  </si>
  <si>
    <t>‫1403/08/30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</si>
  <si>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</si>
  <si>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</si>
  <si>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</si>
  <si>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</si>
  <si>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</si>
  <si>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</si>
  <si>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</si>
  <si>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</si>
  <si>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</si>
  <si>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‫آلومينيوم ايران</t>
  </si>
  <si>
    <t>‫اختيارخ خساپا-2200-1403/08/30</t>
  </si>
  <si>
    <t>‫اختيارخ خودرو-2400-1403/09/07</t>
  </si>
  <si>
    <t>‫اختيارخ خودرو-2800-1403/10/05</t>
  </si>
  <si>
    <t>‫اختيارخ ذوب-400-1403/09/28</t>
  </si>
  <si>
    <t>‫اختيارخ شستا-1150-1403/10/12</t>
  </si>
  <si>
    <t>‫اختيارخ وتجارت-1400-1403/08/16</t>
  </si>
  <si>
    <t>‫ارتباطات سیار</t>
  </si>
  <si>
    <t>‫ايران ترانسفو</t>
  </si>
  <si>
    <t>‫ايران خودرو</t>
  </si>
  <si>
    <t>‫بانك تجارت</t>
  </si>
  <si>
    <t>‫بانك صادرات</t>
  </si>
  <si>
    <t>‫بانك ملت</t>
  </si>
  <si>
    <t>‫بانك پارسيان</t>
  </si>
  <si>
    <t>‫بانك پاسارگاد</t>
  </si>
  <si>
    <t>‫بين المللي توسعه ص. معادن غدير</t>
  </si>
  <si>
    <t>‫توسعه معادن وص.معدني خاورميانه</t>
  </si>
  <si>
    <t>‫توسعه‌معادن‌وفلزات‌</t>
  </si>
  <si>
    <t>‫دارويي تامين</t>
  </si>
  <si>
    <t>‫ذوب آهن  اصفهان</t>
  </si>
  <si>
    <t>‫زامياد</t>
  </si>
  <si>
    <t>‫زرین معدن آسیا</t>
  </si>
  <si>
    <t>‫سايپا</t>
  </si>
  <si>
    <t>‫سرمايه گذاري تامين اجتماعي</t>
  </si>
  <si>
    <t>‫سرمايه گذاري جامي</t>
  </si>
  <si>
    <t>‫سرمايه گذاري رنا</t>
  </si>
  <si>
    <t>‫سرمايه گذاري صدرتامين</t>
  </si>
  <si>
    <t>‫سرمايه گذاري غدير</t>
  </si>
  <si>
    <t>‫سرمايه گذاري ملي ايران</t>
  </si>
  <si>
    <t>‫سيمان سپاهان</t>
  </si>
  <si>
    <t>‫صنايع شيميايي كيمياگران امروز</t>
  </si>
  <si>
    <t>‫صنايع پتروشيمي خليج فارس</t>
  </si>
  <si>
    <t>‫صندوق بازنشستگي</t>
  </si>
  <si>
    <t>‫صنعتی صبانور</t>
  </si>
  <si>
    <t>‫فولاد خوزستان</t>
  </si>
  <si>
    <t>‫فولاد مباركه</t>
  </si>
  <si>
    <t>‫كشت وصنعت شريف آباد</t>
  </si>
  <si>
    <t>‫كشتيراني ايران</t>
  </si>
  <si>
    <t>‫مبين انرژي خليج فارس</t>
  </si>
  <si>
    <t>‫مخابرات</t>
  </si>
  <si>
    <t>‫مس شهيد باهنر</t>
  </si>
  <si>
    <t>‫ملي مس</t>
  </si>
  <si>
    <t>‫مپنا</t>
  </si>
  <si>
    <t>‫نفت اصفهان</t>
  </si>
  <si>
    <t>‫نفت بندر عباس</t>
  </si>
  <si>
    <t>‫نفت بهران</t>
  </si>
  <si>
    <t>‫نفت تبريز</t>
  </si>
  <si>
    <t>‫نفت تهران</t>
  </si>
  <si>
    <t>‫نفت و گاز پارسیان</t>
  </si>
  <si>
    <t>‫پتروشيمي بوعلي سينا</t>
  </si>
  <si>
    <t>‫پتروشيمي جم</t>
  </si>
  <si>
    <t>‫پتروشيمي نوري</t>
  </si>
  <si>
    <t>‫پتروشيمي پارس</t>
  </si>
  <si>
    <t>‫پتروشيمی پردیس</t>
  </si>
  <si>
    <t>‫پتروشیمی تامین</t>
  </si>
  <si>
    <t>‫چادرملو</t>
  </si>
  <si>
    <t>‫گل گهر</t>
  </si>
  <si>
    <t>‫جمع</t>
  </si>
  <si>
    <t>‫نام سهام</t>
  </si>
  <si>
    <t>‫تاریخ سررسید</t>
  </si>
  <si>
    <t>‫سپرده‌های بانکی</t>
  </si>
  <si>
    <t>‫نرخ سود علی الحساب</t>
  </si>
  <si>
    <t>‫مبلغ</t>
  </si>
  <si>
    <t>‫افزایش</t>
  </si>
  <si>
    <t>‫کاهش</t>
  </si>
  <si>
    <t>‫23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</si>
  <si>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</si>
  <si>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</si>
  <si>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</si>
  <si>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</si>
  <si>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</si>
  <si>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</si>
  <si>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</si>
  <si>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</si>
  <si>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‫2-2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</si>
  <si>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</si>
  <si>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</si>
  <si>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</si>
  <si>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</si>
  <si>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</si>
  <si>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</si>
  <si>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</si>
  <si>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</si>
  <si>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</si>
  <si>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</si>
  <si>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</si>
  <si>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‫1403/04/30</t>
  </si>
  <si>
    <t>‫آنتي بيوتيك سازي ايران</t>
  </si>
  <si>
    <t>‫1403/02/24</t>
  </si>
  <si>
    <t>‫اقتصاد نوين</t>
  </si>
  <si>
    <t>‫1403/04/13</t>
  </si>
  <si>
    <t>‫1403/03/31</t>
  </si>
  <si>
    <t>‫1403/03/30</t>
  </si>
  <si>
    <t>‫1403/04/31</t>
  </si>
  <si>
    <t>‫1403/03/23</t>
  </si>
  <si>
    <t>‫1403/04/19</t>
  </si>
  <si>
    <t>‫1403/06/18</t>
  </si>
  <si>
    <t>‫1403/07/28</t>
  </si>
  <si>
    <t>‫1403/05/30</t>
  </si>
  <si>
    <t>‫1403/01/28</t>
  </si>
  <si>
    <t>‫1403/07/11</t>
  </si>
  <si>
    <t>‫1403/07/08</t>
  </si>
  <si>
    <t>‫1403/05/16</t>
  </si>
  <si>
    <t>‫نشاسته و گلوكز آردينه</t>
  </si>
  <si>
    <t>‫1403/03/09</t>
  </si>
  <si>
    <t>‫1403/04/28</t>
  </si>
  <si>
    <t>‫1403/04/24</t>
  </si>
  <si>
    <t>‫1403/04/17</t>
  </si>
  <si>
    <t>‫1403/04/11</t>
  </si>
  <si>
    <t>‫پتروشيمي شازند</t>
  </si>
  <si>
    <t>‫1403/04/29</t>
  </si>
  <si>
    <t>‫1403/04/16</t>
  </si>
  <si>
    <t>‫1402/10/06</t>
  </si>
  <si>
    <t>‫1403/04/06</t>
  </si>
  <si>
    <t>‫گروه بهمن</t>
  </si>
  <si>
    <t>‫گسترش سوخت سبززاگرس(سهامي عام)</t>
  </si>
  <si>
    <t>‫1403/04/20</t>
  </si>
  <si>
    <t>‫تاریخ دریافت سود</t>
  </si>
  <si>
    <t>‫درآمد سود</t>
  </si>
  <si>
    <t>‫خالص درآمد</t>
  </si>
  <si>
    <t>‫اجاره تابان فردا آشنا14060627</t>
  </si>
  <si>
    <t>‫1403/09/27</t>
  </si>
  <si>
    <t>‫1406/06/27</t>
  </si>
  <si>
    <t>‫سود(زیان) حاصل از فروش اوراق بهادار</t>
  </si>
  <si>
    <t>‫ارزش دفتری</t>
  </si>
  <si>
    <t>‫سود و زیان ناشی از فروش</t>
  </si>
  <si>
    <t>‫اختيارخ خساپا-2400-1403/06/28</t>
  </si>
  <si>
    <t>‫اختيارخ خساپا-2400-1403/07/25</t>
  </si>
  <si>
    <t>‫اختيارخ خساپا-2400-1403/08/30</t>
  </si>
  <si>
    <t>‫اختيارخ خساپا-2600-1403/07/25</t>
  </si>
  <si>
    <t>‫اختيارخ خساپا-2600-1403/08/30</t>
  </si>
  <si>
    <t>‫اختيارخ خودرو-2200-1403/06/07</t>
  </si>
  <si>
    <t>‫اختيارخ خودرو-2400-1403/06/07</t>
  </si>
  <si>
    <t>‫اختيارخ خودرو-2600-1403/09/07</t>
  </si>
  <si>
    <t>‫اختيارخ خودرو-2800-1403/09/07</t>
  </si>
  <si>
    <t>‫اختيارخ خگستر-3500-1403/08/02</t>
  </si>
  <si>
    <t>‫اختيارخ خگستر-3750-1403/08/02</t>
  </si>
  <si>
    <t>‫اختيارخ خگستر-4000-1403/08/02</t>
  </si>
  <si>
    <t>‫اختيارخ ذوب-400-1403/07/22</t>
  </si>
  <si>
    <t>‫اختيارخ ذوب-500-1403/09/28</t>
  </si>
  <si>
    <t>‫اختيارخ شستا-1200-1403/07/11</t>
  </si>
  <si>
    <t>‫اختيارخ شپنا-4390-1403/06/21</t>
  </si>
  <si>
    <t>‫اختيارخ فولاد-4500-1403/09/21</t>
  </si>
  <si>
    <t>‫اختيارخ فولاد-4600-1403/07/18</t>
  </si>
  <si>
    <t>‫اختيارخ وبصادر-1900-1403/09/21</t>
  </si>
  <si>
    <t>‫اختيارخ وبملت-2200-1403/07/25</t>
  </si>
  <si>
    <t>‫اختيارخ وبملت-2400-1403/07/25</t>
  </si>
  <si>
    <t>‫تجلي توسعه معادن و فلزات</t>
  </si>
  <si>
    <t>‫دكترعبيدي</t>
  </si>
  <si>
    <t>‫سرمايه گذاري اميد</t>
  </si>
  <si>
    <t>‫فروشگاههاي زنجيره اي افق كوروش</t>
  </si>
  <si>
    <t>‫پاکشو</t>
  </si>
  <si>
    <t>‫پلي پروپيلن جم - جم پيلن</t>
  </si>
  <si>
    <t>‫گروه مالي داتام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</si>
  <si>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</si>
  <si>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</si>
  <si>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</si>
  <si>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</si>
  <si>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</si>
  <si>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</si>
  <si>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</si>
  <si>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</si>
  <si>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‫بانك صادرات ايران</t>
  </si>
  <si>
    <t>‫توسعه معدني و صنعتي صبانور</t>
  </si>
  <si>
    <t>‫ذوب آهن اصفهان</t>
  </si>
  <si>
    <t>‫س. نفت و گاز و پتروشيمي تامين</t>
  </si>
  <si>
    <t>‫سرمايه گذاري توسعه معادن و فلزات (هلدينگ)</t>
  </si>
  <si>
    <t>‫سرمايه گذاري دارويي تامين</t>
  </si>
  <si>
    <t>‫سرمايه گذاري صندوق بازنشستگي كشوري (هلدينگ)</t>
  </si>
  <si>
    <t>‫سرمايه گذاري غدير (هلدينگ)</t>
  </si>
  <si>
    <t>‫سرمايه گذاري گروه صنعتي رنا</t>
  </si>
  <si>
    <t>‫شركت ارتباطات سيار ايران</t>
  </si>
  <si>
    <t>‫شركت زرين معدن آسيا</t>
  </si>
  <si>
    <t>‫شركت مخابرات ايران</t>
  </si>
  <si>
    <t>‫شركت پالايش نفت بندر عباس</t>
  </si>
  <si>
    <t>‫شركت گسترش نفت و گاز پارسيان</t>
  </si>
  <si>
    <t>‫فولاد مباركه اصفهان</t>
  </si>
  <si>
    <t>‫كشتيراني جمهوري اسلامي ايران</t>
  </si>
  <si>
    <t>‫معدني و صنعتي چادر ملو</t>
  </si>
  <si>
    <t>‫معدني و صنعتي گل گهر</t>
  </si>
  <si>
    <t>‫ملي صنايع مس ايران</t>
  </si>
  <si>
    <t>‫پالايش نفت اصفهان</t>
  </si>
  <si>
    <t>‫پالايش نفت تبريز</t>
  </si>
  <si>
    <t>‫پالايش نفت تهران</t>
  </si>
  <si>
    <t>‫پتروشيمي پرديس</t>
  </si>
  <si>
    <t>‫گروه مپنا</t>
  </si>
  <si>
    <t>‫بانك اقتصاد نوين</t>
  </si>
  <si>
    <t>‫لابراتوار دكتر عبيدي</t>
  </si>
  <si>
    <t>‫گروه صنعتي پاكشو</t>
  </si>
  <si>
    <t>‫گروه مديريت سرمايه گذاري اميد</t>
  </si>
  <si>
    <t>‫2-2- درآمد حاصل از سرمایه گذاری در اوراق بهادار با درآمد ثابت:</t>
  </si>
  <si>
    <t>‫درآمد سود اوراق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</si>
  <si>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</si>
  <si>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</si>
  <si>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</si>
  <si>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</si>
  <si>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رکن صندوق</t>
  </si>
  <si>
    <t>شرکت</t>
  </si>
  <si>
    <t>نماینده</t>
  </si>
  <si>
    <t xml:space="preserve">امضا </t>
  </si>
  <si>
    <t>مدیر صندوق</t>
  </si>
  <si>
    <t>شرکت سبدگردان سهم آشنا</t>
  </si>
  <si>
    <t>علی اسماعیلی</t>
  </si>
  <si>
    <t>‫سپرده های بانکی نزد بانک پاسارگاد</t>
  </si>
  <si>
    <t>‫سپرده های بانکی نزد بانک گردشگری</t>
  </si>
  <si>
    <t>‫1-2- سرمایه گذاری در سپرده بانکی</t>
  </si>
  <si>
    <t>تعداد حساب</t>
  </si>
  <si>
    <t>اختیارخ شستا-1100-1403/05/03</t>
  </si>
  <si>
    <t>اختیارخ شستا-1100-1403/08/09</t>
  </si>
  <si>
    <t>‫اختيارخ شستا-1200-1403/09/14</t>
  </si>
  <si>
    <t>‫اختيارخ شستا-1300-1403/10/12</t>
  </si>
  <si>
    <t>‫اختيارخ فولاد-5500-1403/05/31</t>
  </si>
  <si>
    <t>اختیار ف خودرو-2600-1403/07/04</t>
  </si>
  <si>
    <t>اختیار ف خودرو-2600-1403/08/02</t>
  </si>
  <si>
    <t>‫2-1- درآمد حاصل از سرمایه گذاری در سهام و حق تقدم سهام:</t>
  </si>
  <si>
    <t>‫2-3- درآمد حاصل از سرمایه گذاری در سپرده بانکی و گواهی سپرده:</t>
  </si>
  <si>
    <t>سپرده های بانکی نزد بانک پاسارگاد</t>
  </si>
  <si>
    <t>سپرده های بانکی نزد بانک گردشگری</t>
  </si>
  <si>
    <t>‫2-4- سایر درآمدها:</t>
  </si>
  <si>
    <t>سایر درآمدها</t>
  </si>
  <si>
    <t>تعدیل کارمزد کارگزاری</t>
  </si>
  <si>
    <t>2-1</t>
  </si>
  <si>
    <t>2-3</t>
  </si>
  <si>
    <t>2-4</t>
  </si>
  <si>
    <t>‫سود اوراق بهادار با درآمد ثابت</t>
  </si>
  <si>
    <t>‫سود سپرده بانکی</t>
  </si>
  <si>
    <t>ارتباطات سیار</t>
  </si>
  <si>
    <t>نقل به صفحه بعد</t>
  </si>
  <si>
    <t>نقل از صفحه قبل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</si>
</sst>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b/>
      <u/>
      <sz val="16"/>
      <name val="B Zar"/>
      <charset val="178"/>
    </font>
    <font>
      <b/>
      <sz val="12"/>
      <name val="B Zar"/>
      <charset val="178"/>
    </font>
    <font>
      <sz val="12"/>
      <name val="B Zar"/>
      <charset val="178"/>
    </font>
    <font>
      <b/>
      <sz val="12"/>
      <color indexed="8"/>
      <name val="B Zar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6"/>
  </cellStyleXfs>
  <cellXfs count="47">
    <xf numFmtId="0" fontId="0" fillId="0" borderId="0" xfId="0"/>
    <xf numFmtId="0" fontId="3" fillId="2" borderId="6" xfId="1" applyFont="1"/>
    <xf numFmtId="0" fontId="3" fillId="0" borderId="0" xfId="0" applyFont="1"/>
    <xf numFmtId="37" fontId="8" fillId="0" borderId="1" xfId="0" applyNumberFormat="1" applyFont="1" applyBorder="1" applyAlignment="1">
      <alignment horizontal="center" vertical="center"/>
    </xf>
    <xf numFmtId="37" fontId="8" fillId="0" borderId="0" xfId="0" applyNumberFormat="1" applyFont="1" applyAlignment="1">
      <alignment horizontal="right" vertical="center" wrapText="1"/>
    </xf>
    <xf numFmtId="3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37" fontId="8" fillId="0" borderId="3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37" fontId="8" fillId="0" borderId="4" xfId="0" applyNumberFormat="1" applyFont="1" applyBorder="1" applyAlignment="1">
      <alignment horizontal="center" vertical="center"/>
    </xf>
    <xf numFmtId="37" fontId="8" fillId="0" borderId="6" xfId="0" applyNumberFormat="1" applyFont="1" applyBorder="1" applyAlignment="1">
      <alignment horizontal="center" vertical="center"/>
    </xf>
    <xf numFmtId="37" fontId="7" fillId="0" borderId="1" xfId="0" applyNumberFormat="1" applyFont="1" applyBorder="1" applyAlignment="1">
      <alignment horizontal="center" vertical="center"/>
    </xf>
    <xf numFmtId="37" fontId="7" fillId="0" borderId="1" xfId="0" applyNumberFormat="1" applyFont="1" applyBorder="1" applyAlignment="1">
      <alignment horizontal="center" vertical="center" wrapText="1"/>
    </xf>
    <xf numFmtId="37" fontId="8" fillId="0" borderId="0" xfId="0" applyNumberFormat="1" applyFont="1" applyAlignment="1">
      <alignment horizontal="center" vertical="center" wrapText="1"/>
    </xf>
    <xf numFmtId="37" fontId="3" fillId="0" borderId="0" xfId="0" applyNumberFormat="1" applyFont="1"/>
    <xf numFmtId="37" fontId="8" fillId="2" borderId="6" xfId="0" applyNumberFormat="1" applyFont="1" applyFill="1" applyBorder="1" applyAlignment="1">
      <alignment horizontal="center" vertical="center"/>
    </xf>
    <xf numFmtId="10" fontId="8" fillId="0" borderId="9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2" borderId="6" xfId="0" applyNumberFormat="1" applyFont="1" applyFill="1" applyBorder="1" applyAlignment="1"/>
    <xf numFmtId="9" fontId="8" fillId="0" borderId="3" xfId="0" applyNumberFormat="1" applyFont="1" applyBorder="1" applyAlignment="1">
      <alignment horizontal="center" vertical="center"/>
    </xf>
    <xf numFmtId="37" fontId="7" fillId="0" borderId="0" xfId="0" applyNumberFormat="1" applyFont="1" applyAlignment="1">
      <alignment horizontal="right" vertical="center"/>
    </xf>
    <xf numFmtId="37" fontId="7" fillId="0" borderId="1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37" fontId="7" fillId="0" borderId="0" xfId="0" applyNumberFormat="1" applyFont="1" applyAlignment="1">
      <alignment horizontal="center" vertical="center"/>
    </xf>
    <xf numFmtId="37" fontId="7" fillId="0" borderId="10" xfId="0" applyNumberFormat="1" applyFont="1" applyBorder="1" applyAlignment="1">
      <alignment horizontal="center" vertical="center"/>
    </xf>
    <xf numFmtId="0" fontId="5" fillId="2" borderId="6" xfId="1" applyFont="1" applyAlignment="1">
      <alignment horizontal="center" vertical="center" wrapText="1" readingOrder="2"/>
    </xf>
    <xf numFmtId="37" fontId="2" fillId="2" borderId="6" xfId="1" applyNumberFormat="1" applyFont="1" applyAlignment="1">
      <alignment horizontal="center" vertical="center"/>
    </xf>
    <xf numFmtId="0" fontId="3" fillId="2" borderId="6" xfId="1" applyFont="1"/>
    <xf numFmtId="0" fontId="4" fillId="3" borderId="6" xfId="1" applyFont="1" applyFill="1" applyAlignment="1">
      <alignment horizontal="center" vertical="center" wrapText="1" readingOrder="2"/>
    </xf>
    <xf numFmtId="37" fontId="7" fillId="0" borderId="1" xfId="0" applyNumberFormat="1" applyFont="1" applyBorder="1" applyAlignment="1">
      <alignment horizontal="center" vertical="center"/>
    </xf>
    <xf numFmtId="0" fontId="3" fillId="2" borderId="2" xfId="0" applyNumberFormat="1" applyFont="1" applyFill="1" applyBorder="1"/>
    <xf numFmtId="0" fontId="8" fillId="0" borderId="0" xfId="0" applyFont="1" applyAlignment="1">
      <alignment horizontal="center" vertical="center"/>
    </xf>
    <xf numFmtId="37" fontId="8" fillId="0" borderId="1" xfId="0" applyNumberFormat="1" applyFont="1" applyBorder="1" applyAlignment="1">
      <alignment horizontal="center" vertical="center"/>
    </xf>
    <xf numFmtId="0" fontId="3" fillId="0" borderId="0" xfId="0" applyFont="1"/>
    <xf numFmtId="37" fontId="8" fillId="0" borderId="0" xfId="0" applyNumberFormat="1" applyFont="1" applyAlignment="1">
      <alignment horizontal="center" vertical="center" wrapText="1"/>
    </xf>
    <xf numFmtId="37" fontId="6" fillId="0" borderId="0" xfId="0" applyNumberFormat="1" applyFont="1" applyAlignment="1">
      <alignment horizontal="center" vertical="center"/>
    </xf>
    <xf numFmtId="37" fontId="7" fillId="0" borderId="0" xfId="0" applyNumberFormat="1" applyFont="1" applyAlignment="1">
      <alignment horizontal="right" vertical="center"/>
    </xf>
    <xf numFmtId="37" fontId="7" fillId="0" borderId="10" xfId="0" applyNumberFormat="1" applyFont="1" applyBorder="1" applyAlignment="1">
      <alignment horizontal="center" vertical="center"/>
    </xf>
    <xf numFmtId="37" fontId="9" fillId="0" borderId="0" xfId="0" applyNumberFormat="1" applyFont="1" applyAlignment="1">
      <alignment horizontal="right" vertical="center"/>
    </xf>
    <xf numFmtId="0" fontId="9" fillId="0" borderId="0" xfId="0" applyFont="1"/>
    <xf numFmtId="37" fontId="8" fillId="0" borderId="5" xfId="0" applyNumberFormat="1" applyFont="1" applyBorder="1" applyAlignment="1">
      <alignment horizontal="center" vertical="center"/>
    </xf>
    <xf numFmtId="0" fontId="3" fillId="2" borderId="7" xfId="0" applyNumberFormat="1" applyFont="1" applyFill="1" applyBorder="1"/>
    <xf numFmtId="0" fontId="3" fillId="2" borderId="8" xfId="0" applyNumberFormat="1" applyFont="1" applyFill="1" applyBorder="1"/>
    <xf numFmtId="10" fontId="8" fillId="0" borderId="12" xfId="0" applyNumberFormat="1" applyFont="1" applyBorder="1" applyAlignment="1">
      <alignment horizontal="center" vertical="center"/>
    </xf>
    <xf numFmtId="37" fontId="8" fillId="0" borderId="12" xfId="0" applyNumberFormat="1" applyFont="1" applyBorder="1" applyAlignment="1">
      <alignment horizontal="center" vertical="center"/>
    </xf>
    <xf numFmtId="37" fontId="7" fillId="0" borderId="6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B9F0A353-F8B4-4C27-910F-9B3DE6C211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406400</xdr:colOff>
      <xdr:row>6</xdr:row>
      <xdr:rowOff>76200</xdr:rowOff>
    </xdr:from>
    <xdr:to>
      <xdr:col>6</xdr:col>
      <xdr:colOff>371448</xdr:colOff>
      <xdr:row>13</xdr:row>
      <xdr:rowOff>155575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76F742-1813-4F80-A40E-9A913F979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6860592" y="1493520"/>
          <a:ext cx="1999588" cy="1732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15241</xdr:rowOff>
    </xdr:from>
    <xdr:to>
      <xdr:col>0</xdr:col>
      <xdr:colOff>966168</xdr:colOff>
      <xdr:row>3</xdr:row>
      <xdr:rowOff>121921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25EDB2-FADE-40FE-958C-624239458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403272" y="15241"/>
          <a:ext cx="966167" cy="861060"/>
        </a:xfrm>
        <a:prstGeom prst="rect">
          <a:avLst/>
        </a:prstGeom>
      </xdr:spPr>
    </xdr:pic>
    <xdr:clientData/>
  </xdr:twoCellAnchor>
  <xdr:oneCellAnchor>
    <xdr:from>
      <xdr:col>0</xdr:col>
      <xdr:colOff>1</xdr:colOff>
      <xdr:row>39</xdr:row>
      <xdr:rowOff>15241</xdr:rowOff>
    </xdr:from>
    <xdr:ext cx="966167" cy="868680"/>
    <xdr:pic>
      <xdr:nvPicPr>
        <xdr:cNvPr id="3" name="Picture 2">
          <a:extLst>
            <a:ext uri="{FF2B5EF4-FFF2-40B4-BE49-F238E27FC236}">
              <a16:creationId xmlns:a16="http://schemas.microsoft.com/office/drawing/2014/main" id="{AF21CD7F-370A-48A1-9AB4-FC27A5CC0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3363707" y="15241"/>
          <a:ext cx="966167" cy="868680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78</xdr:row>
      <xdr:rowOff>15241</xdr:rowOff>
    </xdr:from>
    <xdr:ext cx="966167" cy="868680"/>
    <xdr:pic>
      <xdr:nvPicPr>
        <xdr:cNvPr id="4" name="Picture 3">
          <a:extLst>
            <a:ext uri="{FF2B5EF4-FFF2-40B4-BE49-F238E27FC236}">
              <a16:creationId xmlns:a16="http://schemas.microsoft.com/office/drawing/2014/main" id="{19722113-DF76-4753-BC60-806656F82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3363707" y="10460991"/>
          <a:ext cx="966167" cy="86868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0</xdr:col>
      <xdr:colOff>966167</xdr:colOff>
      <xdr:row>3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FA0E1E-6ECE-4617-9B3A-8F04DCD68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083233" y="7620"/>
          <a:ext cx="966167" cy="8686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966167</xdr:colOff>
      <xdr:row>3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6AE60-5939-4F59-8EEA-11AE0973F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896793" y="0"/>
          <a:ext cx="966167" cy="876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8965</xdr:rowOff>
    </xdr:from>
    <xdr:to>
      <xdr:col>0</xdr:col>
      <xdr:colOff>966167</xdr:colOff>
      <xdr:row>3</xdr:row>
      <xdr:rowOff>132230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16C29D-7F53-4621-A873-4E2C2DBA2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6711151" y="8965"/>
          <a:ext cx="966167" cy="87630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38</xdr:row>
      <xdr:rowOff>8965</xdr:rowOff>
    </xdr:from>
    <xdr:ext cx="966167" cy="885265"/>
    <xdr:pic>
      <xdr:nvPicPr>
        <xdr:cNvPr id="3" name="Picture 2">
          <a:extLst>
            <a:ext uri="{FF2B5EF4-FFF2-40B4-BE49-F238E27FC236}">
              <a16:creationId xmlns:a16="http://schemas.microsoft.com/office/drawing/2014/main" id="{7EF99B54-948E-4D40-9347-70DCE15CE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776583" y="8965"/>
          <a:ext cx="966167" cy="88526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8965</xdr:rowOff>
    </xdr:from>
    <xdr:ext cx="966167" cy="885265"/>
    <xdr:pic>
      <xdr:nvPicPr>
        <xdr:cNvPr id="4" name="Picture 3">
          <a:extLst>
            <a:ext uri="{FF2B5EF4-FFF2-40B4-BE49-F238E27FC236}">
              <a16:creationId xmlns:a16="http://schemas.microsoft.com/office/drawing/2014/main" id="{C7AC3001-3B48-4A44-93D9-C11F7635A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776583" y="10708715"/>
          <a:ext cx="966167" cy="88526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8965</xdr:rowOff>
    </xdr:from>
    <xdr:ext cx="966167" cy="885265"/>
    <xdr:pic>
      <xdr:nvPicPr>
        <xdr:cNvPr id="5" name="Picture 4">
          <a:extLst>
            <a:ext uri="{FF2B5EF4-FFF2-40B4-BE49-F238E27FC236}">
              <a16:creationId xmlns:a16="http://schemas.microsoft.com/office/drawing/2014/main" id="{9DC04589-711C-47E6-959E-8CDBE5CA0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776583" y="21408465"/>
          <a:ext cx="966167" cy="88526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0</xdr:col>
      <xdr:colOff>966167</xdr:colOff>
      <xdr:row>3</xdr:row>
      <xdr:rowOff>146125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2853E7-3CC9-492E-9744-E7D3134A3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929053" y="15240"/>
          <a:ext cx="966167" cy="8852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966167</xdr:colOff>
      <xdr:row>3</xdr:row>
      <xdr:rowOff>138505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DF3A2A-25A1-4856-81AA-CE7EFDF61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647113" y="0"/>
          <a:ext cx="966167" cy="8928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15241</xdr:rowOff>
    </xdr:from>
    <xdr:to>
      <xdr:col>0</xdr:col>
      <xdr:colOff>703104</xdr:colOff>
      <xdr:row>2</xdr:row>
      <xdr:rowOff>167641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60EF28-DB62-4AB2-9267-5E0B57E60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382616" y="15241"/>
          <a:ext cx="703104" cy="6553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0</xdr:col>
      <xdr:colOff>822960</xdr:colOff>
      <xdr:row>3</xdr:row>
      <xdr:rowOff>33836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98B12B-8AC9-4AA4-9A09-45C8960E0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355980" y="15240"/>
          <a:ext cx="822960" cy="772976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30</xdr:row>
      <xdr:rowOff>15240</xdr:rowOff>
    </xdr:from>
    <xdr:ext cx="822960" cy="780596"/>
    <xdr:pic>
      <xdr:nvPicPr>
        <xdr:cNvPr id="3" name="Picture 2">
          <a:extLst>
            <a:ext uri="{FF2B5EF4-FFF2-40B4-BE49-F238E27FC236}">
              <a16:creationId xmlns:a16="http://schemas.microsoft.com/office/drawing/2014/main" id="{12100582-72EE-41CB-B3B6-62EE71C34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3316415" y="15240"/>
          <a:ext cx="822960" cy="78059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0</xdr:col>
      <xdr:colOff>822960</xdr:colOff>
      <xdr:row>3</xdr:row>
      <xdr:rowOff>41456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BBB337-8ECA-4DF9-858E-985382022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5883540" y="15240"/>
          <a:ext cx="822960" cy="78059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0</xdr:col>
      <xdr:colOff>822960</xdr:colOff>
      <xdr:row>3</xdr:row>
      <xdr:rowOff>49076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2325B5-03AF-4477-9D68-07EF86352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171320" y="15240"/>
          <a:ext cx="822960" cy="7882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0</xdr:col>
      <xdr:colOff>822960</xdr:colOff>
      <xdr:row>3</xdr:row>
      <xdr:rowOff>56696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3A3A4A-584A-4D6E-B79E-96A638A0D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331340" y="15240"/>
          <a:ext cx="822960" cy="795836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30</xdr:row>
      <xdr:rowOff>15240</xdr:rowOff>
    </xdr:from>
    <xdr:ext cx="822960" cy="803456"/>
    <xdr:pic>
      <xdr:nvPicPr>
        <xdr:cNvPr id="3" name="Picture 2">
          <a:extLst>
            <a:ext uri="{FF2B5EF4-FFF2-40B4-BE49-F238E27FC236}">
              <a16:creationId xmlns:a16="http://schemas.microsoft.com/office/drawing/2014/main" id="{5A1E0C74-C488-470A-863F-8FC5A40F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189540" y="15240"/>
          <a:ext cx="822960" cy="80345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15240</xdr:rowOff>
    </xdr:from>
    <xdr:ext cx="822960" cy="803456"/>
    <xdr:pic>
      <xdr:nvPicPr>
        <xdr:cNvPr id="4" name="Picture 3">
          <a:extLst>
            <a:ext uri="{FF2B5EF4-FFF2-40B4-BE49-F238E27FC236}">
              <a16:creationId xmlns:a16="http://schemas.microsoft.com/office/drawing/2014/main" id="{BC348451-0038-4F46-9563-0F65E8579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189540" y="8301990"/>
          <a:ext cx="822960" cy="80345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15240</xdr:rowOff>
    </xdr:from>
    <xdr:ext cx="822960" cy="803456"/>
    <xdr:pic>
      <xdr:nvPicPr>
        <xdr:cNvPr id="5" name="Picture 4">
          <a:extLst>
            <a:ext uri="{FF2B5EF4-FFF2-40B4-BE49-F238E27FC236}">
              <a16:creationId xmlns:a16="http://schemas.microsoft.com/office/drawing/2014/main" id="{E4E96E37-1099-4046-B2AB-0F9526976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189540" y="16588740"/>
          <a:ext cx="822960" cy="80345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15240</xdr:rowOff>
    </xdr:from>
    <xdr:ext cx="822960" cy="803456"/>
    <xdr:pic>
      <xdr:nvPicPr>
        <xdr:cNvPr id="6" name="Picture 5">
          <a:extLst>
            <a:ext uri="{FF2B5EF4-FFF2-40B4-BE49-F238E27FC236}">
              <a16:creationId xmlns:a16="http://schemas.microsoft.com/office/drawing/2014/main" id="{9A77CC60-8EF9-48B5-A2E9-F900906CC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189540" y="24875490"/>
          <a:ext cx="822960" cy="80345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0</xdr:col>
      <xdr:colOff>822960</xdr:colOff>
      <xdr:row>3</xdr:row>
      <xdr:rowOff>64316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56B378-197E-4A15-91B4-E58D8924D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689480" y="15240"/>
          <a:ext cx="822960" cy="803456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31</xdr:row>
      <xdr:rowOff>15240</xdr:rowOff>
    </xdr:from>
    <xdr:ext cx="822960" cy="811076"/>
    <xdr:pic>
      <xdr:nvPicPr>
        <xdr:cNvPr id="3" name="Picture 2">
          <a:extLst>
            <a:ext uri="{FF2B5EF4-FFF2-40B4-BE49-F238E27FC236}">
              <a16:creationId xmlns:a16="http://schemas.microsoft.com/office/drawing/2014/main" id="{E5CE42D7-EA7E-49EF-ADE9-D22EB45DD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475290" y="15240"/>
          <a:ext cx="822960" cy="8110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15240</xdr:rowOff>
    </xdr:from>
    <xdr:ext cx="822960" cy="811076"/>
    <xdr:pic>
      <xdr:nvPicPr>
        <xdr:cNvPr id="4" name="Picture 3">
          <a:extLst>
            <a:ext uri="{FF2B5EF4-FFF2-40B4-BE49-F238E27FC236}">
              <a16:creationId xmlns:a16="http://schemas.microsoft.com/office/drawing/2014/main" id="{DB87D280-7EF3-4E50-B24B-BA573A695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475290" y="8571865"/>
          <a:ext cx="822960" cy="8110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15240</xdr:rowOff>
    </xdr:from>
    <xdr:ext cx="822960" cy="811076"/>
    <xdr:pic>
      <xdr:nvPicPr>
        <xdr:cNvPr id="5" name="Picture 4">
          <a:extLst>
            <a:ext uri="{FF2B5EF4-FFF2-40B4-BE49-F238E27FC236}">
              <a16:creationId xmlns:a16="http://schemas.microsoft.com/office/drawing/2014/main" id="{6125F73E-E9E3-4EE4-979B-CA5344697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475290" y="17128490"/>
          <a:ext cx="822960" cy="8110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2636-7EA6-4DF0-B4C9-712EE07523E2}">
  <sheetPr>
    <pageSetUpPr fitToPage="1"/>
  </sheetPr>
  <dimension ref="A19:J28"/>
  <sheetViews>
    <sheetView rightToLeft="1" tabSelected="1" view="pageBreakPreview" zoomScale="60" zoomScaleNormal="100" workbookViewId="0">
      <selection activeCell="A21" sqref="A21:J21"/>
    </sheetView>
  </sheetViews>
  <sheetFormatPr defaultColWidth="8.85546875" defaultRowHeight="19.5" x14ac:dyDescent="0.55000000000000004"/>
  <cols>
    <col min="1" max="16384" width="8.85546875" style="1"/>
  </cols>
  <sheetData>
    <row r="19" spans="1:10" ht="40.15" customHeight="1" x14ac:dyDescent="0.55000000000000004">
      <c r="A19" s="27" t="s">
        <v>0</v>
      </c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40.15" customHeight="1" x14ac:dyDescent="0.55000000000000004">
      <c r="A20" s="27" t="s">
        <v>1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40.15" customHeight="1" x14ac:dyDescent="0.55000000000000004">
      <c r="A21" s="27" t="s">
        <v>2</v>
      </c>
      <c r="B21" s="28"/>
      <c r="C21" s="28"/>
      <c r="D21" s="28"/>
      <c r="E21" s="28"/>
      <c r="F21" s="28"/>
      <c r="G21" s="28"/>
      <c r="H21" s="28"/>
      <c r="I21" s="28"/>
      <c r="J21" s="28"/>
    </row>
    <row r="27" spans="1:10" ht="43.5" customHeight="1" x14ac:dyDescent="0.55000000000000004">
      <c r="B27" s="29" t="s">
        <v>213</v>
      </c>
      <c r="C27" s="29"/>
      <c r="D27" s="29" t="s">
        <v>214</v>
      </c>
      <c r="E27" s="29"/>
      <c r="F27" s="29" t="s">
        <v>215</v>
      </c>
      <c r="G27" s="29"/>
      <c r="H27" s="29" t="s">
        <v>216</v>
      </c>
      <c r="I27" s="29"/>
    </row>
    <row r="28" spans="1:10" ht="39.75" customHeight="1" x14ac:dyDescent="0.55000000000000004">
      <c r="B28" s="26" t="s">
        <v>217</v>
      </c>
      <c r="C28" s="26"/>
      <c r="D28" s="26" t="s">
        <v>218</v>
      </c>
      <c r="E28" s="26"/>
      <c r="F28" s="26" t="s">
        <v>219</v>
      </c>
      <c r="G28" s="26"/>
      <c r="H28" s="26"/>
      <c r="I28" s="26"/>
    </row>
  </sheetData>
  <mergeCells count="11">
    <mergeCell ref="B28:C28"/>
    <mergeCell ref="D28:E28"/>
    <mergeCell ref="F28:G28"/>
    <mergeCell ref="H28:I28"/>
    <mergeCell ref="A19:J19"/>
    <mergeCell ref="A20:J20"/>
    <mergeCell ref="A21:J21"/>
    <mergeCell ref="B27:C27"/>
    <mergeCell ref="D27:E27"/>
    <mergeCell ref="F27:G27"/>
    <mergeCell ref="H27:I27"/>
  </mergeCells>
  <pageMargins left="0.7" right="0.7" top="0.75" bottom="0.75" header="0.3" footer="0.3"/>
  <pageSetup paperSize="9" scale="9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93"/>
  <sheetViews>
    <sheetView rightToLeft="1" view="pageBreakPreview" zoomScale="60" zoomScaleNormal="55" workbookViewId="0">
      <selection activeCell="A81" sqref="A81:W81"/>
    </sheetView>
  </sheetViews>
  <sheetFormatPr defaultColWidth="8.85546875" defaultRowHeight="19.5" x14ac:dyDescent="0.55000000000000004"/>
  <cols>
    <col min="1" max="1" width="30.140625" style="2" customWidth="1"/>
    <col min="2" max="2" width="1.42578125" style="2" customWidth="1"/>
    <col min="3" max="3" width="12.85546875" style="2" customWidth="1"/>
    <col min="4" max="4" width="1.42578125" style="2" customWidth="1"/>
    <col min="5" max="5" width="17" style="2" customWidth="1"/>
    <col min="6" max="6" width="1.42578125" style="2" customWidth="1"/>
    <col min="7" max="7" width="17" style="2" customWidth="1"/>
    <col min="8" max="8" width="1.42578125" style="2" customWidth="1"/>
    <col min="9" max="9" width="11.42578125" style="2" customWidth="1"/>
    <col min="10" max="10" width="17" style="2" customWidth="1"/>
    <col min="11" max="11" width="1.42578125" style="2" customWidth="1"/>
    <col min="12" max="12" width="11.42578125" style="2" customWidth="1"/>
    <col min="13" max="13" width="17" style="2" customWidth="1"/>
    <col min="14" max="14" width="1.42578125" style="2" customWidth="1"/>
    <col min="15" max="15" width="12.85546875" style="2" customWidth="1"/>
    <col min="16" max="16" width="1.42578125" style="2" customWidth="1"/>
    <col min="17" max="17" width="11.42578125" style="2" customWidth="1"/>
    <col min="18" max="18" width="1.42578125" style="2" customWidth="1"/>
    <col min="19" max="19" width="17" style="2" customWidth="1"/>
    <col min="20" max="20" width="1.42578125" style="2" customWidth="1"/>
    <col min="21" max="21" width="17" style="2" customWidth="1"/>
    <col min="22" max="22" width="1.42578125" style="2" customWidth="1"/>
    <col min="23" max="23" width="8.42578125" style="2" customWidth="1"/>
    <col min="24" max="16384" width="8.85546875" style="2"/>
  </cols>
  <sheetData>
    <row r="1" spans="1:23" ht="19.899999999999999" customHeight="1" x14ac:dyDescent="0.55000000000000004">
      <c r="A1" s="36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23" ht="19.899999999999999" customHeight="1" x14ac:dyDescent="0.55000000000000004">
      <c r="A2" s="36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3" ht="19.899999999999999" customHeight="1" x14ac:dyDescent="0.55000000000000004">
      <c r="A3" s="36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5" spans="1:23" ht="21" x14ac:dyDescent="0.55000000000000004">
      <c r="A5" s="37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</row>
    <row r="6" spans="1:23" ht="21" x14ac:dyDescent="0.55000000000000004">
      <c r="A6" s="37" t="s">
        <v>4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</row>
    <row r="8" spans="1:23" ht="21" x14ac:dyDescent="0.55000000000000004">
      <c r="C8" s="30" t="s">
        <v>5</v>
      </c>
      <c r="D8" s="31"/>
      <c r="E8" s="31"/>
      <c r="F8" s="31"/>
      <c r="G8" s="31"/>
      <c r="I8" s="30" t="s">
        <v>6</v>
      </c>
      <c r="J8" s="31"/>
      <c r="K8" s="31"/>
      <c r="L8" s="31"/>
      <c r="M8" s="31"/>
      <c r="O8" s="30" t="s">
        <v>7</v>
      </c>
      <c r="P8" s="31"/>
      <c r="Q8" s="31"/>
      <c r="R8" s="31"/>
      <c r="S8" s="31"/>
      <c r="T8" s="31"/>
      <c r="U8" s="31"/>
      <c r="V8" s="31"/>
      <c r="W8" s="31"/>
    </row>
    <row r="9" spans="1:23" ht="21" x14ac:dyDescent="0.55000000000000004">
      <c r="A9" s="32" t="s">
        <v>8</v>
      </c>
      <c r="C9" s="32" t="s">
        <v>9</v>
      </c>
      <c r="E9" s="32" t="s">
        <v>10</v>
      </c>
      <c r="G9" s="32" t="s">
        <v>11</v>
      </c>
      <c r="I9" s="32" t="s">
        <v>12</v>
      </c>
      <c r="J9" s="34"/>
      <c r="L9" s="32" t="s">
        <v>13</v>
      </c>
      <c r="M9" s="34"/>
      <c r="O9" s="32" t="s">
        <v>9</v>
      </c>
      <c r="Q9" s="35" t="s">
        <v>14</v>
      </c>
      <c r="S9" s="32" t="s">
        <v>10</v>
      </c>
      <c r="U9" s="32" t="s">
        <v>11</v>
      </c>
      <c r="W9" s="35" t="s">
        <v>15</v>
      </c>
    </row>
    <row r="10" spans="1:23" ht="21" x14ac:dyDescent="0.55000000000000004">
      <c r="A10" s="33"/>
      <c r="C10" s="33"/>
      <c r="E10" s="33"/>
      <c r="G10" s="33"/>
      <c r="I10" s="3" t="s">
        <v>9</v>
      </c>
      <c r="J10" s="3" t="s">
        <v>10</v>
      </c>
      <c r="L10" s="3" t="s">
        <v>9</v>
      </c>
      <c r="M10" s="3" t="s">
        <v>16</v>
      </c>
      <c r="O10" s="33"/>
      <c r="Q10" s="33"/>
      <c r="S10" s="33"/>
      <c r="U10" s="33"/>
      <c r="W10" s="33"/>
    </row>
    <row r="11" spans="1:23" ht="21" x14ac:dyDescent="0.55000000000000004">
      <c r="A11" s="4" t="s">
        <v>17</v>
      </c>
      <c r="C11" s="5">
        <v>467651</v>
      </c>
      <c r="E11" s="5">
        <v>2921674505</v>
      </c>
      <c r="G11" s="5">
        <v>2598614784</v>
      </c>
      <c r="I11" s="5">
        <v>0</v>
      </c>
      <c r="J11" s="5">
        <v>0</v>
      </c>
      <c r="L11" s="5">
        <v>0</v>
      </c>
      <c r="M11" s="5">
        <v>0</v>
      </c>
      <c r="N11" s="6"/>
      <c r="O11" s="5">
        <v>467651</v>
      </c>
      <c r="Q11" s="5">
        <v>5890</v>
      </c>
      <c r="S11" s="5">
        <v>2921674505</v>
      </c>
      <c r="U11" s="5">
        <v>2807805598</v>
      </c>
      <c r="W11" s="7">
        <v>2.9268271666513133E-3</v>
      </c>
    </row>
    <row r="12" spans="1:23" ht="21" x14ac:dyDescent="0.55000000000000004">
      <c r="A12" s="4" t="s">
        <v>18</v>
      </c>
      <c r="C12" s="5">
        <v>0</v>
      </c>
      <c r="D12" s="5"/>
      <c r="E12" s="5">
        <v>0</v>
      </c>
      <c r="F12" s="5"/>
      <c r="G12" s="5">
        <v>0</v>
      </c>
      <c r="H12" s="6"/>
      <c r="I12" s="5">
        <v>6600000</v>
      </c>
      <c r="J12" s="5">
        <v>482652220</v>
      </c>
      <c r="L12" s="5">
        <v>0</v>
      </c>
      <c r="M12" s="5">
        <v>0</v>
      </c>
      <c r="O12" s="5">
        <v>0</v>
      </c>
      <c r="Q12" s="5">
        <v>0</v>
      </c>
      <c r="S12" s="5">
        <v>0</v>
      </c>
      <c r="U12" s="5">
        <v>0</v>
      </c>
      <c r="W12" s="7">
        <v>0</v>
      </c>
    </row>
    <row r="13" spans="1:23" ht="21" x14ac:dyDescent="0.55000000000000004">
      <c r="A13" s="4" t="s">
        <v>19</v>
      </c>
      <c r="C13" s="5">
        <v>0</v>
      </c>
      <c r="D13" s="5"/>
      <c r="E13" s="5">
        <v>0</v>
      </c>
      <c r="F13" s="5"/>
      <c r="G13" s="5">
        <v>0</v>
      </c>
      <c r="H13" s="6"/>
      <c r="I13" s="5">
        <v>7700000</v>
      </c>
      <c r="J13" s="5">
        <v>177145552</v>
      </c>
      <c r="L13" s="5">
        <v>0</v>
      </c>
      <c r="M13" s="5">
        <v>0</v>
      </c>
      <c r="O13" s="5">
        <v>0</v>
      </c>
      <c r="Q13" s="5">
        <v>0</v>
      </c>
      <c r="S13" s="5">
        <v>0</v>
      </c>
      <c r="U13" s="5">
        <v>0</v>
      </c>
      <c r="W13" s="7">
        <v>0</v>
      </c>
    </row>
    <row r="14" spans="1:23" ht="21" x14ac:dyDescent="0.55000000000000004">
      <c r="A14" s="4" t="s">
        <v>20</v>
      </c>
      <c r="C14" s="5">
        <v>0</v>
      </c>
      <c r="D14" s="5"/>
      <c r="E14" s="5">
        <v>0</v>
      </c>
      <c r="F14" s="5"/>
      <c r="G14" s="5">
        <v>0</v>
      </c>
      <c r="H14" s="6"/>
      <c r="I14" s="5">
        <v>10000000</v>
      </c>
      <c r="J14" s="5">
        <v>488208606</v>
      </c>
      <c r="L14" s="5">
        <v>0</v>
      </c>
      <c r="M14" s="5">
        <v>0</v>
      </c>
      <c r="O14" s="5">
        <v>0</v>
      </c>
      <c r="Q14" s="5">
        <v>0</v>
      </c>
      <c r="S14" s="5">
        <v>0</v>
      </c>
      <c r="U14" s="5">
        <v>0</v>
      </c>
      <c r="W14" s="7">
        <v>0</v>
      </c>
    </row>
    <row r="15" spans="1:23" ht="21" x14ac:dyDescent="0.55000000000000004">
      <c r="A15" s="4" t="s">
        <v>21</v>
      </c>
      <c r="C15" s="5">
        <v>0</v>
      </c>
      <c r="D15" s="5"/>
      <c r="E15" s="5">
        <v>0</v>
      </c>
      <c r="F15" s="5"/>
      <c r="G15" s="5">
        <v>0</v>
      </c>
      <c r="H15" s="6"/>
      <c r="I15" s="5">
        <v>10000000</v>
      </c>
      <c r="J15" s="5">
        <v>310079770</v>
      </c>
      <c r="L15" s="5">
        <v>25900000</v>
      </c>
      <c r="M15" s="5">
        <v>879885503</v>
      </c>
      <c r="O15" s="5">
        <v>0</v>
      </c>
      <c r="Q15" s="5">
        <v>0</v>
      </c>
      <c r="S15" s="5">
        <v>0</v>
      </c>
      <c r="U15" s="5">
        <v>0</v>
      </c>
      <c r="W15" s="7">
        <v>0</v>
      </c>
    </row>
    <row r="16" spans="1:23" ht="21" x14ac:dyDescent="0.55000000000000004">
      <c r="A16" s="4" t="s">
        <v>22</v>
      </c>
      <c r="C16" s="5">
        <v>0</v>
      </c>
      <c r="D16" s="5"/>
      <c r="E16" s="5">
        <v>0</v>
      </c>
      <c r="F16" s="5"/>
      <c r="G16" s="5">
        <v>0</v>
      </c>
      <c r="H16" s="6"/>
      <c r="I16" s="5">
        <v>25000000</v>
      </c>
      <c r="J16" s="5">
        <v>392760022</v>
      </c>
      <c r="L16" s="5">
        <v>0</v>
      </c>
      <c r="M16" s="5">
        <v>0</v>
      </c>
      <c r="O16" s="5">
        <v>0</v>
      </c>
      <c r="Q16" s="5">
        <v>0</v>
      </c>
      <c r="S16" s="5">
        <v>0</v>
      </c>
      <c r="U16" s="5">
        <v>0</v>
      </c>
      <c r="W16" s="7">
        <v>0</v>
      </c>
    </row>
    <row r="17" spans="1:23" ht="21" x14ac:dyDescent="0.55000000000000004">
      <c r="A17" s="4" t="s">
        <v>23</v>
      </c>
      <c r="C17" s="5">
        <v>0</v>
      </c>
      <c r="D17" s="5"/>
      <c r="E17" s="5">
        <v>0</v>
      </c>
      <c r="F17" s="5"/>
      <c r="G17" s="5">
        <v>0</v>
      </c>
      <c r="H17" s="6"/>
      <c r="I17" s="5">
        <v>3000000</v>
      </c>
      <c r="J17" s="5">
        <v>39010029</v>
      </c>
      <c r="L17" s="5">
        <v>0</v>
      </c>
      <c r="M17" s="5">
        <v>0</v>
      </c>
      <c r="O17" s="5">
        <v>0</v>
      </c>
      <c r="Q17" s="5">
        <v>0</v>
      </c>
      <c r="S17" s="5">
        <v>0</v>
      </c>
      <c r="U17" s="5">
        <v>0</v>
      </c>
      <c r="W17" s="7">
        <v>0</v>
      </c>
    </row>
    <row r="18" spans="1:23" ht="21" x14ac:dyDescent="0.55000000000000004">
      <c r="A18" s="4" t="s">
        <v>24</v>
      </c>
      <c r="C18" s="5">
        <v>2000000</v>
      </c>
      <c r="E18" s="5">
        <v>8799272430</v>
      </c>
      <c r="G18" s="5">
        <v>7099505100</v>
      </c>
      <c r="I18" s="5">
        <v>0</v>
      </c>
      <c r="J18" s="5">
        <v>0</v>
      </c>
      <c r="L18" s="5">
        <v>0</v>
      </c>
      <c r="M18" s="5">
        <v>0</v>
      </c>
      <c r="N18" s="6"/>
      <c r="O18" s="5">
        <v>2000000</v>
      </c>
      <c r="Q18" s="5">
        <v>4044</v>
      </c>
      <c r="S18" s="5">
        <v>8799272430</v>
      </c>
      <c r="U18" s="5">
        <v>8151210000</v>
      </c>
      <c r="W18" s="7">
        <v>8.4967359870189458E-3</v>
      </c>
    </row>
    <row r="19" spans="1:23" ht="21" x14ac:dyDescent="0.55000000000000004">
      <c r="A19" s="4" t="s">
        <v>25</v>
      </c>
      <c r="C19" s="5">
        <v>0</v>
      </c>
      <c r="D19" s="5"/>
      <c r="E19" s="5">
        <v>0</v>
      </c>
      <c r="F19" s="5"/>
      <c r="G19" s="5">
        <v>0</v>
      </c>
      <c r="H19" s="6"/>
      <c r="I19" s="5">
        <v>1200000</v>
      </c>
      <c r="J19" s="5">
        <v>2680485128</v>
      </c>
      <c r="L19" s="5">
        <v>1200000</v>
      </c>
      <c r="M19" s="5">
        <v>2958546390</v>
      </c>
      <c r="O19" s="5">
        <v>0</v>
      </c>
      <c r="Q19" s="5">
        <v>0</v>
      </c>
      <c r="S19" s="5">
        <v>0</v>
      </c>
      <c r="U19" s="5">
        <v>0</v>
      </c>
      <c r="W19" s="7">
        <v>0</v>
      </c>
    </row>
    <row r="20" spans="1:23" ht="21" x14ac:dyDescent="0.55000000000000004">
      <c r="A20" s="4" t="s">
        <v>26</v>
      </c>
      <c r="C20" s="5">
        <v>7726948</v>
      </c>
      <c r="E20" s="5">
        <v>17704787532</v>
      </c>
      <c r="G20" s="5">
        <v>16652348726</v>
      </c>
      <c r="I20" s="5">
        <v>0</v>
      </c>
      <c r="J20" s="5">
        <v>0</v>
      </c>
      <c r="L20" s="5">
        <v>0</v>
      </c>
      <c r="M20" s="5">
        <v>0</v>
      </c>
      <c r="N20" s="6"/>
      <c r="O20" s="5">
        <v>7726948</v>
      </c>
      <c r="Q20" s="5">
        <v>2920</v>
      </c>
      <c r="S20" s="5">
        <v>17704787532</v>
      </c>
      <c r="U20" s="5">
        <v>22735679072</v>
      </c>
      <c r="W20" s="7">
        <v>2.369943389513654E-2</v>
      </c>
    </row>
    <row r="21" spans="1:23" ht="21" x14ac:dyDescent="0.55000000000000004">
      <c r="A21" s="4" t="s">
        <v>27</v>
      </c>
      <c r="C21" s="5">
        <v>10000000</v>
      </c>
      <c r="E21" s="5">
        <v>14560081342</v>
      </c>
      <c r="G21" s="5">
        <v>13449496500</v>
      </c>
      <c r="I21" s="5">
        <v>0</v>
      </c>
      <c r="J21" s="5">
        <v>0</v>
      </c>
      <c r="L21" s="5">
        <v>0</v>
      </c>
      <c r="M21" s="5">
        <v>0</v>
      </c>
      <c r="N21" s="6"/>
      <c r="O21" s="5">
        <v>10000000</v>
      </c>
      <c r="Q21" s="5">
        <v>1451</v>
      </c>
      <c r="S21" s="5">
        <v>14560081342</v>
      </c>
      <c r="U21" s="5">
        <v>14413725000</v>
      </c>
      <c r="W21" s="7">
        <v>1.5024716074606672E-2</v>
      </c>
    </row>
    <row r="22" spans="1:23" ht="21" x14ac:dyDescent="0.55000000000000004">
      <c r="A22" s="4" t="s">
        <v>28</v>
      </c>
      <c r="C22" s="5">
        <v>1339175</v>
      </c>
      <c r="E22" s="5">
        <v>2842458949</v>
      </c>
      <c r="G22" s="5">
        <v>2063370709</v>
      </c>
      <c r="I22" s="5">
        <v>0</v>
      </c>
      <c r="J22" s="5">
        <v>0</v>
      </c>
      <c r="L22" s="5">
        <v>0</v>
      </c>
      <c r="M22" s="5">
        <v>0</v>
      </c>
      <c r="N22" s="6"/>
      <c r="O22" s="5">
        <v>1339175</v>
      </c>
      <c r="Q22" s="5">
        <v>1749</v>
      </c>
      <c r="S22" s="5">
        <v>2842458949</v>
      </c>
      <c r="U22" s="5">
        <v>2324287263</v>
      </c>
      <c r="W22" s="7">
        <v>2.4228127151308663E-3</v>
      </c>
    </row>
    <row r="23" spans="1:23" ht="21" x14ac:dyDescent="0.55000000000000004">
      <c r="A23" s="4" t="s">
        <v>29</v>
      </c>
      <c r="C23" s="5">
        <v>13300000</v>
      </c>
      <c r="E23" s="5">
        <v>17656503651</v>
      </c>
      <c r="G23" s="5">
        <v>24498262845</v>
      </c>
      <c r="I23" s="5">
        <v>1400000</v>
      </c>
      <c r="J23" s="5">
        <v>2716718762</v>
      </c>
      <c r="L23" s="5">
        <v>1000000</v>
      </c>
      <c r="M23" s="5">
        <v>1994064327</v>
      </c>
      <c r="O23" s="5">
        <v>13700000</v>
      </c>
      <c r="Q23" s="5">
        <v>2319</v>
      </c>
      <c r="S23" s="5">
        <v>18987288916</v>
      </c>
      <c r="U23" s="5">
        <v>31499555805</v>
      </c>
      <c r="W23" s="7">
        <v>3.2834807271982326E-2</v>
      </c>
    </row>
    <row r="24" spans="1:23" ht="21" x14ac:dyDescent="0.55000000000000004">
      <c r="A24" s="4" t="s">
        <v>30</v>
      </c>
      <c r="C24" s="5">
        <v>4500000</v>
      </c>
      <c r="E24" s="5">
        <v>10342093798</v>
      </c>
      <c r="G24" s="5">
        <v>10096068825</v>
      </c>
      <c r="I24" s="5">
        <v>10000000</v>
      </c>
      <c r="J24" s="5">
        <v>22661009777</v>
      </c>
      <c r="L24" s="5">
        <v>14500000</v>
      </c>
      <c r="M24" s="5">
        <v>33865295400</v>
      </c>
      <c r="O24" s="5">
        <v>0</v>
      </c>
      <c r="Q24" s="5">
        <v>0</v>
      </c>
      <c r="S24" s="5">
        <v>0</v>
      </c>
      <c r="U24" s="5">
        <v>0</v>
      </c>
      <c r="W24" s="7">
        <v>0</v>
      </c>
    </row>
    <row r="25" spans="1:23" ht="21" x14ac:dyDescent="0.55000000000000004">
      <c r="A25" s="4" t="s">
        <v>31</v>
      </c>
      <c r="C25" s="5">
        <v>1650000</v>
      </c>
      <c r="E25" s="5">
        <v>3940903732</v>
      </c>
      <c r="G25" s="5">
        <v>3290206095</v>
      </c>
      <c r="I25" s="5">
        <v>0</v>
      </c>
      <c r="J25" s="5">
        <v>0</v>
      </c>
      <c r="L25" s="5">
        <v>1650000</v>
      </c>
      <c r="M25" s="5">
        <v>3280365066</v>
      </c>
      <c r="O25" s="5">
        <v>0</v>
      </c>
      <c r="Q25" s="5">
        <v>0</v>
      </c>
      <c r="S25" s="5">
        <v>0</v>
      </c>
      <c r="U25" s="5">
        <v>0</v>
      </c>
      <c r="W25" s="7">
        <v>0</v>
      </c>
    </row>
    <row r="26" spans="1:23" ht="21" x14ac:dyDescent="0.55000000000000004">
      <c r="A26" s="4" t="s">
        <v>32</v>
      </c>
      <c r="C26" s="5">
        <v>0</v>
      </c>
      <c r="D26" s="5"/>
      <c r="E26" s="5">
        <v>0</v>
      </c>
      <c r="F26" s="5"/>
      <c r="G26" s="5">
        <v>0</v>
      </c>
      <c r="H26" s="6"/>
      <c r="I26" s="5">
        <v>1700000</v>
      </c>
      <c r="J26" s="5">
        <v>8016464339</v>
      </c>
      <c r="L26" s="5">
        <v>0</v>
      </c>
      <c r="M26" s="5">
        <v>0</v>
      </c>
      <c r="O26" s="5">
        <v>1700000</v>
      </c>
      <c r="Q26" s="5">
        <v>4656</v>
      </c>
      <c r="S26" s="5">
        <v>8016464339</v>
      </c>
      <c r="U26" s="5">
        <v>7824167550</v>
      </c>
      <c r="W26" s="7">
        <v>8.1558303602226982E-3</v>
      </c>
    </row>
    <row r="27" spans="1:23" ht="21" x14ac:dyDescent="0.55000000000000004">
      <c r="A27" s="4" t="s">
        <v>33</v>
      </c>
      <c r="C27" s="5">
        <v>3833971</v>
      </c>
      <c r="E27" s="5">
        <v>16769757302</v>
      </c>
      <c r="G27" s="5">
        <v>19551245016</v>
      </c>
      <c r="I27" s="5">
        <v>0</v>
      </c>
      <c r="J27" s="5">
        <v>0</v>
      </c>
      <c r="L27" s="5">
        <v>3233971</v>
      </c>
      <c r="M27" s="5">
        <v>16477537836</v>
      </c>
      <c r="O27" s="5">
        <v>600000</v>
      </c>
      <c r="Q27" s="5">
        <v>5100</v>
      </c>
      <c r="S27" s="5">
        <v>2624395015</v>
      </c>
      <c r="U27" s="5">
        <v>3083543100</v>
      </c>
      <c r="W27" s="7">
        <v>3.2142530526503379E-3</v>
      </c>
    </row>
    <row r="28" spans="1:23" ht="21" x14ac:dyDescent="0.55000000000000004">
      <c r="A28" s="4" t="s">
        <v>34</v>
      </c>
      <c r="C28" s="5">
        <v>5800000</v>
      </c>
      <c r="E28" s="5">
        <v>16350923338</v>
      </c>
      <c r="G28" s="5">
        <v>15451513200</v>
      </c>
      <c r="I28" s="5">
        <v>0</v>
      </c>
      <c r="J28" s="5">
        <v>0</v>
      </c>
      <c r="L28" s="5">
        <v>0</v>
      </c>
      <c r="M28" s="5">
        <v>0</v>
      </c>
      <c r="N28" s="6"/>
      <c r="O28" s="5">
        <v>5800000</v>
      </c>
      <c r="Q28" s="5">
        <v>3339</v>
      </c>
      <c r="S28" s="5">
        <v>16350923338</v>
      </c>
      <c r="U28" s="5">
        <v>19389342870</v>
      </c>
      <c r="W28" s="7">
        <v>2.0211248063560894E-2</v>
      </c>
    </row>
    <row r="29" spans="1:23" ht="21" x14ac:dyDescent="0.55000000000000004">
      <c r="A29" s="4" t="s">
        <v>35</v>
      </c>
      <c r="C29" s="5">
        <v>310000</v>
      </c>
      <c r="E29" s="5">
        <v>7981854649</v>
      </c>
      <c r="G29" s="5">
        <v>6135376005</v>
      </c>
      <c r="I29" s="5">
        <v>200000</v>
      </c>
      <c r="J29" s="5">
        <v>4027734195</v>
      </c>
      <c r="L29" s="5">
        <v>0</v>
      </c>
      <c r="M29" s="5">
        <v>0</v>
      </c>
      <c r="O29" s="5">
        <v>510000</v>
      </c>
      <c r="Q29" s="5">
        <v>20530</v>
      </c>
      <c r="S29" s="5">
        <v>12009588844</v>
      </c>
      <c r="U29" s="5">
        <v>10367444475</v>
      </c>
      <c r="W29" s="7">
        <v>1.0806915606904157E-2</v>
      </c>
    </row>
    <row r="30" spans="1:23" ht="21" x14ac:dyDescent="0.55000000000000004">
      <c r="A30" s="4" t="s">
        <v>36</v>
      </c>
      <c r="C30" s="5">
        <v>10900000</v>
      </c>
      <c r="E30" s="5">
        <v>4983019745</v>
      </c>
      <c r="G30" s="5">
        <v>3965663070</v>
      </c>
      <c r="I30" s="5">
        <v>10000000</v>
      </c>
      <c r="J30" s="5">
        <v>4089702441</v>
      </c>
      <c r="L30" s="5">
        <v>0</v>
      </c>
      <c r="M30" s="5">
        <v>0</v>
      </c>
      <c r="O30" s="5">
        <v>20900000</v>
      </c>
      <c r="Q30" s="5">
        <v>417</v>
      </c>
      <c r="S30" s="5">
        <v>9072722186</v>
      </c>
      <c r="U30" s="5">
        <v>8684219610</v>
      </c>
      <c r="W30" s="7">
        <v>9.052339625584745E-3</v>
      </c>
    </row>
    <row r="31" spans="1:23" ht="21" x14ac:dyDescent="0.55000000000000004">
      <c r="A31" s="4" t="s">
        <v>37</v>
      </c>
      <c r="C31" s="5">
        <v>0</v>
      </c>
      <c r="D31" s="5"/>
      <c r="E31" s="5">
        <v>0</v>
      </c>
      <c r="F31" s="5"/>
      <c r="G31" s="5">
        <v>0</v>
      </c>
      <c r="H31" s="6"/>
      <c r="I31" s="5">
        <v>4000000</v>
      </c>
      <c r="J31" s="5">
        <v>14101073535</v>
      </c>
      <c r="L31" s="5">
        <v>4000000</v>
      </c>
      <c r="M31" s="5">
        <v>16314348684</v>
      </c>
      <c r="O31" s="5">
        <v>0</v>
      </c>
      <c r="Q31" s="5">
        <v>0</v>
      </c>
      <c r="S31" s="5">
        <v>0</v>
      </c>
      <c r="U31" s="5">
        <v>0</v>
      </c>
      <c r="W31" s="7">
        <v>0</v>
      </c>
    </row>
    <row r="32" spans="1:23" ht="21" x14ac:dyDescent="0.55000000000000004">
      <c r="A32" s="4" t="s">
        <v>38</v>
      </c>
      <c r="C32" s="5">
        <v>0</v>
      </c>
      <c r="D32" s="5"/>
      <c r="E32" s="5">
        <v>0</v>
      </c>
      <c r="F32" s="5"/>
      <c r="G32" s="5">
        <v>0</v>
      </c>
      <c r="H32" s="6"/>
      <c r="I32" s="5">
        <v>4600000</v>
      </c>
      <c r="J32" s="5">
        <v>14116377905</v>
      </c>
      <c r="L32" s="5">
        <v>1500000</v>
      </c>
      <c r="M32" s="5">
        <v>4753404312</v>
      </c>
      <c r="O32" s="5">
        <v>3100000</v>
      </c>
      <c r="Q32" s="5">
        <v>3153</v>
      </c>
      <c r="S32" s="5">
        <v>9513211197</v>
      </c>
      <c r="U32" s="5">
        <v>9614451600</v>
      </c>
      <c r="W32" s="7">
        <v>1.0022003715420395E-2</v>
      </c>
    </row>
    <row r="33" spans="1:23" ht="21" x14ac:dyDescent="0.55000000000000004">
      <c r="A33" s="4" t="s">
        <v>39</v>
      </c>
      <c r="C33" s="5">
        <v>6600000</v>
      </c>
      <c r="E33" s="5">
        <v>13488862871</v>
      </c>
      <c r="G33" s="5">
        <v>14059644390</v>
      </c>
      <c r="I33" s="5">
        <v>0</v>
      </c>
      <c r="J33" s="5">
        <v>0</v>
      </c>
      <c r="L33" s="5">
        <v>6600000</v>
      </c>
      <c r="M33" s="5">
        <v>14459849061</v>
      </c>
      <c r="O33" s="5">
        <v>0</v>
      </c>
      <c r="Q33" s="5">
        <v>0</v>
      </c>
      <c r="S33" s="5">
        <v>0</v>
      </c>
      <c r="U33" s="5">
        <v>0</v>
      </c>
      <c r="W33" s="7">
        <v>0</v>
      </c>
    </row>
    <row r="34" spans="1:23" ht="21" x14ac:dyDescent="0.55000000000000004">
      <c r="A34" s="4" t="s">
        <v>40</v>
      </c>
      <c r="C34" s="5">
        <v>48341699</v>
      </c>
      <c r="E34" s="5">
        <v>55319589566</v>
      </c>
      <c r="G34" s="5">
        <v>52378931821</v>
      </c>
      <c r="I34" s="5">
        <v>0</v>
      </c>
      <c r="J34" s="5">
        <v>0</v>
      </c>
      <c r="L34" s="5">
        <v>23341699</v>
      </c>
      <c r="M34" s="5">
        <v>25651587137</v>
      </c>
      <c r="O34" s="5">
        <v>25000000</v>
      </c>
      <c r="Q34" s="5">
        <v>1097</v>
      </c>
      <c r="S34" s="5">
        <v>28608629149</v>
      </c>
      <c r="U34" s="5">
        <v>27460631250</v>
      </c>
      <c r="W34" s="7">
        <v>2.8624674590414435E-2</v>
      </c>
    </row>
    <row r="35" spans="1:23" ht="21" x14ac:dyDescent="0.55000000000000004">
      <c r="A35" s="4" t="s">
        <v>41</v>
      </c>
      <c r="C35" s="5">
        <v>0</v>
      </c>
      <c r="D35" s="5"/>
      <c r="E35" s="5">
        <v>0</v>
      </c>
      <c r="F35" s="5"/>
      <c r="G35" s="5">
        <v>0</v>
      </c>
      <c r="H35" s="6"/>
      <c r="I35" s="5">
        <v>33191778</v>
      </c>
      <c r="J35" s="5">
        <v>41809888041</v>
      </c>
      <c r="L35" s="5">
        <v>0</v>
      </c>
      <c r="M35" s="5">
        <v>0</v>
      </c>
      <c r="O35" s="5">
        <v>33191778</v>
      </c>
      <c r="Q35" s="5">
        <v>1230</v>
      </c>
      <c r="S35" s="5">
        <v>41809888041</v>
      </c>
      <c r="U35" s="5">
        <v>39758115740</v>
      </c>
      <c r="W35" s="7">
        <v>4.1443443707636335E-2</v>
      </c>
    </row>
    <row r="36" spans="1:23" ht="21" x14ac:dyDescent="0.55000000000000004">
      <c r="A36" s="4" t="s">
        <v>42</v>
      </c>
      <c r="C36" s="5">
        <v>0</v>
      </c>
      <c r="D36" s="5"/>
      <c r="E36" s="5">
        <v>0</v>
      </c>
      <c r="F36" s="5"/>
      <c r="G36" s="5">
        <v>0</v>
      </c>
      <c r="H36" s="6"/>
      <c r="I36" s="5">
        <v>1450000</v>
      </c>
      <c r="J36" s="5">
        <v>7307474972</v>
      </c>
      <c r="L36" s="5">
        <v>1450000</v>
      </c>
      <c r="M36" s="5">
        <v>7788197000</v>
      </c>
      <c r="O36" s="5">
        <v>0</v>
      </c>
      <c r="Q36" s="5">
        <v>0</v>
      </c>
      <c r="S36" s="5">
        <v>0</v>
      </c>
      <c r="U36" s="5">
        <v>0</v>
      </c>
      <c r="W36" s="7">
        <v>0</v>
      </c>
    </row>
    <row r="37" spans="1:23" ht="21" x14ac:dyDescent="0.55000000000000004">
      <c r="A37" s="4" t="s">
        <v>43</v>
      </c>
      <c r="C37" s="5">
        <v>288004</v>
      </c>
      <c r="E37" s="5">
        <v>2499578702</v>
      </c>
      <c r="G37" s="5">
        <v>2547984348</v>
      </c>
      <c r="I37" s="5">
        <v>600000</v>
      </c>
      <c r="J37" s="5">
        <v>5769348974</v>
      </c>
      <c r="L37" s="5">
        <v>0</v>
      </c>
      <c r="M37" s="5">
        <v>0</v>
      </c>
      <c r="O37" s="5">
        <v>888004</v>
      </c>
      <c r="Q37" s="5">
        <v>10100</v>
      </c>
      <c r="S37" s="5">
        <v>8268927676</v>
      </c>
      <c r="U37" s="5">
        <v>8906648596</v>
      </c>
      <c r="W37" s="7">
        <v>9.2841972724742663E-3</v>
      </c>
    </row>
    <row r="38" spans="1:23" ht="21" x14ac:dyDescent="0.55000000000000004">
      <c r="A38" s="4" t="s">
        <v>44</v>
      </c>
      <c r="C38" s="5">
        <v>3279048</v>
      </c>
      <c r="E38" s="5">
        <v>19971482566</v>
      </c>
      <c r="G38" s="5">
        <v>21838902351</v>
      </c>
      <c r="I38" s="5">
        <v>0</v>
      </c>
      <c r="J38" s="5">
        <v>0</v>
      </c>
      <c r="L38" s="5">
        <v>0</v>
      </c>
      <c r="M38" s="5">
        <v>0</v>
      </c>
      <c r="N38" s="6"/>
      <c r="O38" s="5">
        <v>3279048</v>
      </c>
      <c r="Q38" s="5">
        <v>7880</v>
      </c>
      <c r="S38" s="5">
        <v>19971482566</v>
      </c>
      <c r="U38" s="5">
        <v>25554775289</v>
      </c>
      <c r="W38" s="7">
        <v>2.6638030284856944E-2</v>
      </c>
    </row>
    <row r="39" spans="1:23" ht="21" x14ac:dyDescent="0.55000000000000004">
      <c r="A39" s="4" t="s">
        <v>244</v>
      </c>
      <c r="C39" s="5"/>
      <c r="E39" s="45">
        <f>SUM(E11:E38)</f>
        <v>216132844678</v>
      </c>
      <c r="G39" s="45">
        <f>SUM(G11:G38)</f>
        <v>215677133785</v>
      </c>
      <c r="I39" s="5"/>
      <c r="J39" s="45">
        <f>SUM(J11:J38)</f>
        <v>129186134268</v>
      </c>
      <c r="L39" s="5"/>
      <c r="M39" s="45">
        <f>SUM(M11:M38)</f>
        <v>128423080716</v>
      </c>
      <c r="N39" s="6"/>
      <c r="O39" s="5"/>
      <c r="Q39" s="5"/>
      <c r="S39" s="45">
        <f>SUM(S11:S38)</f>
        <v>222061796025</v>
      </c>
      <c r="U39" s="45">
        <f>SUM(U11:U38)</f>
        <v>242575602818</v>
      </c>
      <c r="W39" s="44">
        <f>SUM(W11:W38)</f>
        <v>0.25285826939025186</v>
      </c>
    </row>
    <row r="40" spans="1:23" ht="19.899999999999999" customHeight="1" x14ac:dyDescent="0.55000000000000004">
      <c r="A40" s="36" t="s">
        <v>0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</row>
    <row r="41" spans="1:23" ht="19.899999999999999" customHeight="1" x14ac:dyDescent="0.55000000000000004">
      <c r="A41" s="36" t="s">
        <v>1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</row>
    <row r="42" spans="1:23" ht="19.899999999999999" customHeight="1" x14ac:dyDescent="0.55000000000000004">
      <c r="A42" s="36" t="s">
        <v>2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</row>
    <row r="44" spans="1:23" ht="21" x14ac:dyDescent="0.55000000000000004">
      <c r="A44" s="37" t="s">
        <v>3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</row>
    <row r="45" spans="1:23" ht="21" x14ac:dyDescent="0.55000000000000004">
      <c r="A45" s="37" t="s">
        <v>4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</row>
    <row r="47" spans="1:23" ht="21" x14ac:dyDescent="0.55000000000000004">
      <c r="C47" s="30" t="s">
        <v>5</v>
      </c>
      <c r="D47" s="31"/>
      <c r="E47" s="31"/>
      <c r="F47" s="31"/>
      <c r="G47" s="31"/>
      <c r="I47" s="30" t="s">
        <v>6</v>
      </c>
      <c r="J47" s="31"/>
      <c r="K47" s="31"/>
      <c r="L47" s="31"/>
      <c r="M47" s="31"/>
      <c r="O47" s="30" t="s">
        <v>7</v>
      </c>
      <c r="P47" s="31"/>
      <c r="Q47" s="31"/>
      <c r="R47" s="31"/>
      <c r="S47" s="31"/>
      <c r="T47" s="31"/>
      <c r="U47" s="31"/>
      <c r="V47" s="31"/>
      <c r="W47" s="31"/>
    </row>
    <row r="48" spans="1:23" ht="21" x14ac:dyDescent="0.55000000000000004">
      <c r="A48" s="32" t="s">
        <v>8</v>
      </c>
      <c r="C48" s="32" t="s">
        <v>9</v>
      </c>
      <c r="E48" s="32" t="s">
        <v>10</v>
      </c>
      <c r="G48" s="32" t="s">
        <v>11</v>
      </c>
      <c r="I48" s="32" t="s">
        <v>12</v>
      </c>
      <c r="J48" s="34"/>
      <c r="L48" s="32" t="s">
        <v>13</v>
      </c>
      <c r="M48" s="34"/>
      <c r="O48" s="32" t="s">
        <v>9</v>
      </c>
      <c r="Q48" s="35" t="s">
        <v>14</v>
      </c>
      <c r="S48" s="32" t="s">
        <v>10</v>
      </c>
      <c r="U48" s="32" t="s">
        <v>11</v>
      </c>
      <c r="W48" s="35" t="s">
        <v>15</v>
      </c>
    </row>
    <row r="49" spans="1:23" ht="21" x14ac:dyDescent="0.55000000000000004">
      <c r="A49" s="33"/>
      <c r="C49" s="33"/>
      <c r="E49" s="33"/>
      <c r="G49" s="33"/>
      <c r="I49" s="3" t="s">
        <v>9</v>
      </c>
      <c r="J49" s="3" t="s">
        <v>10</v>
      </c>
      <c r="L49" s="3" t="s">
        <v>9</v>
      </c>
      <c r="M49" s="3" t="s">
        <v>16</v>
      </c>
      <c r="O49" s="33"/>
      <c r="Q49" s="33"/>
      <c r="S49" s="33"/>
      <c r="U49" s="33"/>
      <c r="W49" s="33"/>
    </row>
    <row r="50" spans="1:23" ht="21" x14ac:dyDescent="0.55000000000000004">
      <c r="A50" s="4" t="s">
        <v>245</v>
      </c>
      <c r="C50" s="11"/>
      <c r="E50" s="11">
        <f>E39</f>
        <v>216132844678</v>
      </c>
      <c r="G50" s="11">
        <f>G39</f>
        <v>215677133785</v>
      </c>
      <c r="I50" s="11"/>
      <c r="J50" s="11">
        <f>J39</f>
        <v>129186134268</v>
      </c>
      <c r="L50" s="11"/>
      <c r="M50" s="11">
        <f>M39</f>
        <v>128423080716</v>
      </c>
      <c r="O50" s="11"/>
      <c r="Q50" s="11"/>
      <c r="S50" s="11">
        <f>S39</f>
        <v>222061796025</v>
      </c>
      <c r="U50" s="11">
        <f>U39</f>
        <v>242575602818</v>
      </c>
      <c r="W50" s="7">
        <f>W39</f>
        <v>0.25285826939025186</v>
      </c>
    </row>
    <row r="51" spans="1:23" ht="21" x14ac:dyDescent="0.55000000000000004">
      <c r="A51" s="4" t="s">
        <v>45</v>
      </c>
      <c r="C51" s="5">
        <v>0</v>
      </c>
      <c r="D51" s="5"/>
      <c r="E51" s="5">
        <v>0</v>
      </c>
      <c r="F51" s="5"/>
      <c r="G51" s="5">
        <v>0</v>
      </c>
      <c r="H51" s="6"/>
      <c r="I51" s="5">
        <v>1200000</v>
      </c>
      <c r="J51" s="5">
        <v>8660029020</v>
      </c>
      <c r="L51" s="5">
        <v>0</v>
      </c>
      <c r="M51" s="5">
        <v>0</v>
      </c>
      <c r="O51" s="5">
        <v>1200000</v>
      </c>
      <c r="Q51" s="5">
        <v>7130</v>
      </c>
      <c r="S51" s="5">
        <v>8660029020</v>
      </c>
      <c r="U51" s="5">
        <v>8409663000</v>
      </c>
      <c r="W51" s="7">
        <v>8.7661446890463755E-3</v>
      </c>
    </row>
    <row r="52" spans="1:23" ht="21" x14ac:dyDescent="0.55000000000000004">
      <c r="A52" s="4" t="s">
        <v>46</v>
      </c>
      <c r="C52" s="5">
        <v>0</v>
      </c>
      <c r="D52" s="5"/>
      <c r="E52" s="5">
        <v>0</v>
      </c>
      <c r="F52" s="5"/>
      <c r="G52" s="5">
        <v>0</v>
      </c>
      <c r="H52" s="6"/>
      <c r="I52" s="5">
        <v>1183146</v>
      </c>
      <c r="J52" s="5">
        <v>11365470572</v>
      </c>
      <c r="L52" s="5">
        <v>0</v>
      </c>
      <c r="M52" s="5">
        <v>0</v>
      </c>
      <c r="O52" s="5">
        <v>1183146</v>
      </c>
      <c r="Q52" s="5">
        <v>9190</v>
      </c>
      <c r="S52" s="5">
        <v>11365470572</v>
      </c>
      <c r="U52" s="5">
        <v>10784894600</v>
      </c>
      <c r="W52" s="7">
        <v>1.1242061247842505E-2</v>
      </c>
    </row>
    <row r="53" spans="1:23" ht="21" x14ac:dyDescent="0.55000000000000004">
      <c r="A53" s="4" t="s">
        <v>47</v>
      </c>
      <c r="C53" s="5">
        <v>7800000</v>
      </c>
      <c r="E53" s="5">
        <v>25845245830</v>
      </c>
      <c r="G53" s="5">
        <v>23601927960</v>
      </c>
      <c r="I53" s="5">
        <v>0</v>
      </c>
      <c r="J53" s="5">
        <v>0</v>
      </c>
      <c r="L53" s="5">
        <v>0</v>
      </c>
      <c r="M53" s="5">
        <v>0</v>
      </c>
      <c r="N53" s="6"/>
      <c r="O53" s="5">
        <v>7800000</v>
      </c>
      <c r="Q53" s="5">
        <v>3670</v>
      </c>
      <c r="S53" s="5">
        <v>25845245830</v>
      </c>
      <c r="U53" s="5">
        <v>28688283000</v>
      </c>
      <c r="W53" s="7">
        <v>2.9904365925044727E-2</v>
      </c>
    </row>
    <row r="54" spans="1:23" ht="21" x14ac:dyDescent="0.55000000000000004">
      <c r="A54" s="4" t="s">
        <v>48</v>
      </c>
      <c r="C54" s="5">
        <v>11399204</v>
      </c>
      <c r="E54" s="5">
        <v>71901725476</v>
      </c>
      <c r="G54" s="5">
        <v>72860765274</v>
      </c>
      <c r="I54" s="5">
        <v>0</v>
      </c>
      <c r="J54" s="5">
        <v>0</v>
      </c>
      <c r="L54" s="5">
        <v>0</v>
      </c>
      <c r="M54" s="5">
        <v>0</v>
      </c>
      <c r="N54" s="6"/>
      <c r="O54" s="5">
        <v>11399204</v>
      </c>
      <c r="Q54" s="5">
        <v>7370</v>
      </c>
      <c r="S54" s="5">
        <v>71901725476</v>
      </c>
      <c r="U54" s="5">
        <v>84645399159</v>
      </c>
      <c r="W54" s="7">
        <v>8.8233478117955316E-2</v>
      </c>
    </row>
    <row r="55" spans="1:23" ht="21" x14ac:dyDescent="0.55000000000000004">
      <c r="A55" s="4" t="s">
        <v>49</v>
      </c>
      <c r="C55" s="5">
        <v>1092665</v>
      </c>
      <c r="E55" s="5">
        <v>20222828436</v>
      </c>
      <c r="G55" s="5">
        <v>17813083749</v>
      </c>
      <c r="I55" s="5">
        <v>0</v>
      </c>
      <c r="J55" s="5">
        <v>0</v>
      </c>
      <c r="L55" s="5">
        <v>0</v>
      </c>
      <c r="M55" s="5">
        <v>0</v>
      </c>
      <c r="N55" s="6"/>
      <c r="O55" s="5">
        <v>1092665</v>
      </c>
      <c r="Q55" s="5">
        <v>18060</v>
      </c>
      <c r="S55" s="5">
        <v>20222828436</v>
      </c>
      <c r="U55" s="5">
        <v>19540083942</v>
      </c>
      <c r="W55" s="7">
        <v>2.0368378979238964E-2</v>
      </c>
    </row>
    <row r="56" spans="1:23" ht="21" x14ac:dyDescent="0.55000000000000004">
      <c r="A56" s="4" t="s">
        <v>50</v>
      </c>
      <c r="C56" s="5">
        <v>0</v>
      </c>
      <c r="D56" s="5"/>
      <c r="E56" s="5">
        <v>0</v>
      </c>
      <c r="F56" s="5"/>
      <c r="G56" s="5">
        <v>0</v>
      </c>
      <c r="H56" s="6"/>
      <c r="I56" s="5">
        <v>3800000</v>
      </c>
      <c r="J56" s="5">
        <v>22878313850</v>
      </c>
      <c r="L56" s="5">
        <v>0</v>
      </c>
      <c r="M56" s="5">
        <v>0</v>
      </c>
      <c r="O56" s="5">
        <v>3800000</v>
      </c>
      <c r="Q56" s="5">
        <v>5960</v>
      </c>
      <c r="S56" s="5">
        <v>22878313850</v>
      </c>
      <c r="U56" s="5">
        <v>22475470500</v>
      </c>
      <c r="W56" s="7">
        <v>2.3428195203231507E-2</v>
      </c>
    </row>
    <row r="57" spans="1:23" ht="21" x14ac:dyDescent="0.55000000000000004">
      <c r="A57" s="4" t="s">
        <v>51</v>
      </c>
      <c r="C57" s="5">
        <v>4500000</v>
      </c>
      <c r="E57" s="5">
        <v>16025515173</v>
      </c>
      <c r="G57" s="5">
        <v>10516551975</v>
      </c>
      <c r="I57" s="5">
        <v>0</v>
      </c>
      <c r="J57" s="5">
        <v>0</v>
      </c>
      <c r="L57" s="5">
        <v>0</v>
      </c>
      <c r="M57" s="5">
        <v>0</v>
      </c>
      <c r="N57" s="6"/>
      <c r="O57" s="5">
        <v>4500000</v>
      </c>
      <c r="Q57" s="5">
        <v>2519</v>
      </c>
      <c r="S57" s="5">
        <v>16025515173</v>
      </c>
      <c r="U57" s="5">
        <v>11268053775</v>
      </c>
      <c r="W57" s="7">
        <v>1.1745701314738202E-2</v>
      </c>
    </row>
    <row r="58" spans="1:23" ht="21" x14ac:dyDescent="0.55000000000000004">
      <c r="A58" s="4" t="s">
        <v>52</v>
      </c>
      <c r="C58" s="5">
        <v>18449752</v>
      </c>
      <c r="E58" s="5">
        <v>75481345217</v>
      </c>
      <c r="G58" s="5">
        <v>70425507746</v>
      </c>
      <c r="I58" s="5">
        <v>0</v>
      </c>
      <c r="J58" s="5">
        <v>0</v>
      </c>
      <c r="L58" s="5">
        <v>8000000</v>
      </c>
      <c r="M58" s="5">
        <v>35677289564</v>
      </c>
      <c r="O58" s="5">
        <v>10449752</v>
      </c>
      <c r="Q58" s="5">
        <v>4674</v>
      </c>
      <c r="S58" s="5">
        <v>42751866700</v>
      </c>
      <c r="U58" s="5">
        <v>48499592230</v>
      </c>
      <c r="W58" s="7">
        <v>5.0555467305637501E-2</v>
      </c>
    </row>
    <row r="59" spans="1:23" ht="21" x14ac:dyDescent="0.55000000000000004">
      <c r="A59" s="4" t="s">
        <v>53</v>
      </c>
      <c r="C59" s="5">
        <v>0</v>
      </c>
      <c r="D59" s="5"/>
      <c r="E59" s="5">
        <v>0</v>
      </c>
      <c r="F59" s="5"/>
      <c r="G59" s="5">
        <v>0</v>
      </c>
      <c r="H59" s="6"/>
      <c r="I59" s="5">
        <v>446158</v>
      </c>
      <c r="J59" s="5">
        <v>2310378449</v>
      </c>
      <c r="L59" s="5">
        <v>446158</v>
      </c>
      <c r="M59" s="5">
        <v>2559745340</v>
      </c>
      <c r="O59" s="5">
        <v>0</v>
      </c>
      <c r="Q59" s="5">
        <v>0</v>
      </c>
      <c r="S59" s="5">
        <v>0</v>
      </c>
      <c r="U59" s="5">
        <v>0</v>
      </c>
      <c r="W59" s="7">
        <v>0</v>
      </c>
    </row>
    <row r="60" spans="1:23" ht="21" x14ac:dyDescent="0.55000000000000004">
      <c r="A60" s="4" t="s">
        <v>54</v>
      </c>
      <c r="C60" s="5">
        <v>1341844</v>
      </c>
      <c r="E60" s="5">
        <v>11432747846</v>
      </c>
      <c r="G60" s="5">
        <v>10764250428</v>
      </c>
      <c r="I60" s="5">
        <v>0</v>
      </c>
      <c r="J60" s="5">
        <v>0</v>
      </c>
      <c r="L60" s="5">
        <v>0</v>
      </c>
      <c r="M60" s="5">
        <v>0</v>
      </c>
      <c r="N60" s="6"/>
      <c r="O60" s="5">
        <v>1341844</v>
      </c>
      <c r="Q60" s="5">
        <v>8790</v>
      </c>
      <c r="S60" s="5">
        <v>11432747846</v>
      </c>
      <c r="U60" s="5">
        <v>11684613847</v>
      </c>
      <c r="W60" s="7">
        <v>1.2179919173745344E-2</v>
      </c>
    </row>
    <row r="61" spans="1:23" ht="21" x14ac:dyDescent="0.55000000000000004">
      <c r="A61" s="4" t="s">
        <v>55</v>
      </c>
      <c r="C61" s="5">
        <v>1240000</v>
      </c>
      <c r="E61" s="5">
        <v>10120241831</v>
      </c>
      <c r="G61" s="5">
        <v>8677658880</v>
      </c>
      <c r="I61" s="5">
        <v>0</v>
      </c>
      <c r="J61" s="5">
        <v>0</v>
      </c>
      <c r="L61" s="5">
        <v>1240000</v>
      </c>
      <c r="M61" s="5">
        <v>9644329641</v>
      </c>
      <c r="O61" s="5">
        <v>0</v>
      </c>
      <c r="Q61" s="5">
        <v>0</v>
      </c>
      <c r="S61" s="5">
        <v>0</v>
      </c>
      <c r="U61" s="5">
        <v>0</v>
      </c>
      <c r="W61" s="7">
        <v>0</v>
      </c>
    </row>
    <row r="62" spans="1:23" ht="21" x14ac:dyDescent="0.55000000000000004">
      <c r="A62" s="4" t="s">
        <v>56</v>
      </c>
      <c r="C62" s="5">
        <v>1250000</v>
      </c>
      <c r="E62" s="5">
        <v>8819935931</v>
      </c>
      <c r="G62" s="5">
        <v>9008578125</v>
      </c>
      <c r="I62" s="5">
        <v>0</v>
      </c>
      <c r="J62" s="5">
        <v>0</v>
      </c>
      <c r="L62" s="5">
        <v>0</v>
      </c>
      <c r="M62" s="5">
        <v>0</v>
      </c>
      <c r="N62" s="6"/>
      <c r="O62" s="5">
        <v>1250000</v>
      </c>
      <c r="Q62" s="5">
        <v>7960</v>
      </c>
      <c r="S62" s="5">
        <v>8819935931</v>
      </c>
      <c r="U62" s="5">
        <v>9915648750</v>
      </c>
      <c r="W62" s="7">
        <v>1.0335968472013901E-2</v>
      </c>
    </row>
    <row r="63" spans="1:23" ht="21" x14ac:dyDescent="0.55000000000000004">
      <c r="A63" s="4" t="s">
        <v>57</v>
      </c>
      <c r="C63" s="5">
        <v>0</v>
      </c>
      <c r="D63" s="5"/>
      <c r="E63" s="5">
        <v>0</v>
      </c>
      <c r="F63" s="5"/>
      <c r="G63" s="5">
        <v>0</v>
      </c>
      <c r="H63" s="6"/>
      <c r="I63" s="5">
        <v>200000</v>
      </c>
      <c r="J63" s="5">
        <v>1064987345</v>
      </c>
      <c r="L63" s="5">
        <v>200000</v>
      </c>
      <c r="M63" s="5">
        <v>1148127765</v>
      </c>
      <c r="O63" s="5">
        <v>0</v>
      </c>
      <c r="Q63" s="5">
        <v>0</v>
      </c>
      <c r="S63" s="5">
        <v>0</v>
      </c>
      <c r="U63" s="5">
        <v>0</v>
      </c>
      <c r="W63" s="7">
        <v>0</v>
      </c>
    </row>
    <row r="64" spans="1:23" ht="21" x14ac:dyDescent="0.55000000000000004">
      <c r="A64" s="4" t="s">
        <v>58</v>
      </c>
      <c r="C64" s="5">
        <v>12320000</v>
      </c>
      <c r="E64" s="5">
        <v>66980930022</v>
      </c>
      <c r="G64" s="5">
        <v>70418502000</v>
      </c>
      <c r="I64" s="5">
        <v>800000</v>
      </c>
      <c r="J64" s="5">
        <v>4784435791</v>
      </c>
      <c r="L64" s="5">
        <v>800000</v>
      </c>
      <c r="M64" s="5">
        <v>4874821248</v>
      </c>
      <c r="O64" s="5">
        <v>12320000</v>
      </c>
      <c r="Q64" s="5">
        <v>6520</v>
      </c>
      <c r="S64" s="5">
        <v>67389428873</v>
      </c>
      <c r="U64" s="5">
        <v>79725990960</v>
      </c>
      <c r="W64" s="7">
        <v>8.3105538501716814E-2</v>
      </c>
    </row>
    <row r="65" spans="1:23" ht="21" x14ac:dyDescent="0.55000000000000004">
      <c r="A65" s="4" t="s">
        <v>59</v>
      </c>
      <c r="C65" s="5">
        <v>910000</v>
      </c>
      <c r="E65" s="5">
        <v>13303123191</v>
      </c>
      <c r="G65" s="5">
        <v>9606698010</v>
      </c>
      <c r="I65" s="5">
        <v>0</v>
      </c>
      <c r="J65" s="5">
        <v>0</v>
      </c>
      <c r="L65" s="5">
        <v>0</v>
      </c>
      <c r="M65" s="5">
        <v>0</v>
      </c>
      <c r="N65" s="6"/>
      <c r="O65" s="5">
        <v>910000</v>
      </c>
      <c r="Q65" s="5">
        <v>12920</v>
      </c>
      <c r="S65" s="5">
        <v>13303123191</v>
      </c>
      <c r="U65" s="5">
        <v>11732473935</v>
      </c>
      <c r="W65" s="7">
        <v>1.2229808028535185E-2</v>
      </c>
    </row>
    <row r="66" spans="1:23" ht="21" x14ac:dyDescent="0.55000000000000004">
      <c r="A66" s="4" t="s">
        <v>60</v>
      </c>
      <c r="C66" s="5">
        <v>12000000</v>
      </c>
      <c r="E66" s="5">
        <v>44423511238</v>
      </c>
      <c r="G66" s="5">
        <v>38994593400</v>
      </c>
      <c r="I66" s="5">
        <v>0</v>
      </c>
      <c r="J66" s="5">
        <v>0</v>
      </c>
      <c r="L66" s="5">
        <v>2000000</v>
      </c>
      <c r="M66" s="5">
        <v>6640382525</v>
      </c>
      <c r="O66" s="5">
        <v>10000000</v>
      </c>
      <c r="Q66" s="5">
        <v>3676</v>
      </c>
      <c r="S66" s="5">
        <v>37019592698</v>
      </c>
      <c r="U66" s="5">
        <v>36998541000</v>
      </c>
      <c r="W66" s="7">
        <v>3.8566891882542094E-2</v>
      </c>
    </row>
    <row r="67" spans="1:23" ht="21" x14ac:dyDescent="0.55000000000000004">
      <c r="A67" s="4" t="s">
        <v>61</v>
      </c>
      <c r="C67" s="5">
        <v>2574124</v>
      </c>
      <c r="E67" s="5">
        <v>18304802709</v>
      </c>
      <c r="G67" s="5">
        <v>16964896789</v>
      </c>
      <c r="I67" s="5">
        <v>0</v>
      </c>
      <c r="J67" s="5">
        <v>0</v>
      </c>
      <c r="L67" s="5">
        <v>2574124</v>
      </c>
      <c r="M67" s="5">
        <v>17174970716</v>
      </c>
      <c r="O67" s="5">
        <v>0</v>
      </c>
      <c r="Q67" s="5">
        <v>0</v>
      </c>
      <c r="S67" s="5">
        <v>0</v>
      </c>
      <c r="U67" s="5">
        <v>0</v>
      </c>
      <c r="W67" s="7">
        <v>0</v>
      </c>
    </row>
    <row r="68" spans="1:23" ht="21" x14ac:dyDescent="0.55000000000000004">
      <c r="A68" s="4" t="s">
        <v>62</v>
      </c>
      <c r="C68" s="5">
        <v>500000</v>
      </c>
      <c r="E68" s="5">
        <v>8492517918</v>
      </c>
      <c r="G68" s="5">
        <v>5800281750</v>
      </c>
      <c r="I68" s="5">
        <v>0</v>
      </c>
      <c r="J68" s="5">
        <v>0</v>
      </c>
      <c r="L68" s="5">
        <v>0</v>
      </c>
      <c r="M68" s="5">
        <v>0</v>
      </c>
      <c r="N68" s="6"/>
      <c r="O68" s="5">
        <v>500000</v>
      </c>
      <c r="Q68" s="5">
        <v>13370</v>
      </c>
      <c r="S68" s="5">
        <v>8492517918</v>
      </c>
      <c r="U68" s="5">
        <v>6525938250</v>
      </c>
      <c r="W68" s="7">
        <v>6.8025697261926074E-3</v>
      </c>
    </row>
    <row r="69" spans="1:23" ht="21" x14ac:dyDescent="0.55000000000000004">
      <c r="A69" s="4" t="s">
        <v>63</v>
      </c>
      <c r="C69" s="5">
        <v>650000</v>
      </c>
      <c r="E69" s="5">
        <v>10060967998</v>
      </c>
      <c r="G69" s="5">
        <v>6668087400</v>
      </c>
      <c r="I69" s="5">
        <v>0</v>
      </c>
      <c r="J69" s="5">
        <v>0</v>
      </c>
      <c r="L69" s="5">
        <v>0</v>
      </c>
      <c r="M69" s="5">
        <v>0</v>
      </c>
      <c r="N69" s="6"/>
      <c r="O69" s="5">
        <v>650000</v>
      </c>
      <c r="Q69" s="5">
        <v>11490</v>
      </c>
      <c r="S69" s="5">
        <v>10060967998</v>
      </c>
      <c r="U69" s="5">
        <v>7475753025</v>
      </c>
      <c r="W69" s="7">
        <v>7.7926467061434123E-3</v>
      </c>
    </row>
    <row r="70" spans="1:23" ht="21" x14ac:dyDescent="0.55000000000000004">
      <c r="A70" s="4" t="s">
        <v>64</v>
      </c>
      <c r="C70" s="5">
        <v>8288661</v>
      </c>
      <c r="E70" s="5">
        <v>21827637733</v>
      </c>
      <c r="G70" s="5">
        <v>16033762387</v>
      </c>
      <c r="I70" s="5">
        <v>0</v>
      </c>
      <c r="J70" s="5">
        <v>0</v>
      </c>
      <c r="L70" s="5">
        <v>0</v>
      </c>
      <c r="M70" s="5">
        <v>0</v>
      </c>
      <c r="N70" s="6"/>
      <c r="O70" s="5">
        <v>8288661</v>
      </c>
      <c r="Q70" s="5">
        <v>2278</v>
      </c>
      <c r="S70" s="5">
        <v>21827637733</v>
      </c>
      <c r="U70" s="5">
        <v>18769224418</v>
      </c>
      <c r="W70" s="7">
        <v>1.9564843079844015E-2</v>
      </c>
    </row>
    <row r="71" spans="1:23" ht="21" x14ac:dyDescent="0.55000000000000004">
      <c r="A71" s="4" t="s">
        <v>65</v>
      </c>
      <c r="C71" s="5">
        <v>607000</v>
      </c>
      <c r="E71" s="5">
        <v>21314456002</v>
      </c>
      <c r="G71" s="5">
        <v>21589235163</v>
      </c>
      <c r="I71" s="5">
        <v>0</v>
      </c>
      <c r="J71" s="5">
        <v>0</v>
      </c>
      <c r="L71" s="5">
        <v>0</v>
      </c>
      <c r="M71" s="5">
        <v>0</v>
      </c>
      <c r="N71" s="6"/>
      <c r="O71" s="5">
        <v>607000</v>
      </c>
      <c r="Q71" s="5">
        <v>43940</v>
      </c>
      <c r="S71" s="5">
        <v>21314456002</v>
      </c>
      <c r="U71" s="5">
        <v>26705968371</v>
      </c>
      <c r="W71" s="7">
        <v>2.7838021904240649E-2</v>
      </c>
    </row>
    <row r="72" spans="1:23" ht="21" x14ac:dyDescent="0.55000000000000004">
      <c r="A72" s="4" t="s">
        <v>66</v>
      </c>
      <c r="C72" s="5">
        <v>200000</v>
      </c>
      <c r="E72" s="5">
        <v>11554712809</v>
      </c>
      <c r="G72" s="5">
        <v>10505120400</v>
      </c>
      <c r="I72" s="5">
        <v>0</v>
      </c>
      <c r="J72" s="5">
        <v>0</v>
      </c>
      <c r="L72" s="5">
        <v>0</v>
      </c>
      <c r="M72" s="5">
        <v>0</v>
      </c>
      <c r="N72" s="6"/>
      <c r="O72" s="5">
        <v>200000</v>
      </c>
      <c r="Q72" s="5">
        <v>64040</v>
      </c>
      <c r="S72" s="5">
        <v>11554712809</v>
      </c>
      <c r="U72" s="5">
        <v>12851078400</v>
      </c>
      <c r="W72" s="7">
        <v>1.3395829614656211E-2</v>
      </c>
    </row>
    <row r="73" spans="1:23" ht="21" x14ac:dyDescent="0.55000000000000004">
      <c r="A73" s="4" t="s">
        <v>67</v>
      </c>
      <c r="C73" s="5">
        <v>285000</v>
      </c>
      <c r="E73" s="5">
        <v>12204019862</v>
      </c>
      <c r="G73" s="5">
        <v>13394624940</v>
      </c>
      <c r="I73" s="5">
        <v>0</v>
      </c>
      <c r="J73" s="5">
        <v>0</v>
      </c>
      <c r="L73" s="5">
        <v>0</v>
      </c>
      <c r="M73" s="5">
        <v>0</v>
      </c>
      <c r="N73" s="6"/>
      <c r="O73" s="5">
        <v>285000</v>
      </c>
      <c r="Q73" s="5">
        <v>49060</v>
      </c>
      <c r="S73" s="5">
        <v>12204019862</v>
      </c>
      <c r="U73" s="5">
        <v>13731756997</v>
      </c>
      <c r="W73" s="7">
        <v>1.4313839766293484E-2</v>
      </c>
    </row>
    <row r="74" spans="1:23" ht="21" x14ac:dyDescent="0.55000000000000004">
      <c r="A74" s="4" t="s">
        <v>68</v>
      </c>
      <c r="C74" s="5">
        <v>113500</v>
      </c>
      <c r="E74" s="5">
        <v>17986494619</v>
      </c>
      <c r="G74" s="5">
        <v>19482564879</v>
      </c>
      <c r="I74" s="5">
        <v>0</v>
      </c>
      <c r="J74" s="5">
        <v>0</v>
      </c>
      <c r="L74" s="5">
        <v>0</v>
      </c>
      <c r="M74" s="5">
        <v>0</v>
      </c>
      <c r="N74" s="6"/>
      <c r="O74" s="5">
        <v>113500</v>
      </c>
      <c r="Q74" s="5">
        <v>208440</v>
      </c>
      <c r="S74" s="5">
        <v>17986494619</v>
      </c>
      <c r="U74" s="5">
        <v>23659334347</v>
      </c>
      <c r="W74" s="7">
        <v>2.4662242486093267E-2</v>
      </c>
    </row>
    <row r="75" spans="1:23" ht="21" x14ac:dyDescent="0.55000000000000004">
      <c r="A75" s="4" t="s">
        <v>69</v>
      </c>
      <c r="C75" s="5">
        <v>3000000</v>
      </c>
      <c r="E75" s="5">
        <v>6520206627</v>
      </c>
      <c r="G75" s="5">
        <v>6769480500</v>
      </c>
      <c r="I75" s="5">
        <v>0</v>
      </c>
      <c r="J75" s="5">
        <v>0</v>
      </c>
      <c r="L75" s="5">
        <v>0</v>
      </c>
      <c r="M75" s="5">
        <v>0</v>
      </c>
      <c r="N75" s="6"/>
      <c r="O75" s="5">
        <v>3000000</v>
      </c>
      <c r="Q75" s="5">
        <v>2708</v>
      </c>
      <c r="S75" s="5">
        <v>6520206627</v>
      </c>
      <c r="U75" s="5">
        <v>8001108450</v>
      </c>
      <c r="W75" s="7">
        <v>8.3402717023799387E-3</v>
      </c>
    </row>
    <row r="76" spans="1:23" ht="21" x14ac:dyDescent="0.55000000000000004">
      <c r="A76" s="4" t="s">
        <v>70</v>
      </c>
      <c r="C76" s="5">
        <v>128000</v>
      </c>
      <c r="E76" s="5">
        <v>17760573980</v>
      </c>
      <c r="G76" s="5">
        <v>25358613120</v>
      </c>
      <c r="I76" s="5">
        <v>0</v>
      </c>
      <c r="J76" s="5">
        <v>0</v>
      </c>
      <c r="L76" s="5">
        <v>0</v>
      </c>
      <c r="M76" s="5">
        <v>0</v>
      </c>
      <c r="N76" s="6"/>
      <c r="O76" s="5">
        <v>128000</v>
      </c>
      <c r="Q76" s="5">
        <v>227180</v>
      </c>
      <c r="S76" s="5">
        <v>17760573980</v>
      </c>
      <c r="U76" s="5">
        <v>29268649152</v>
      </c>
      <c r="W76" s="7">
        <v>3.0509333527320479E-2</v>
      </c>
    </row>
    <row r="77" spans="1:23" ht="21" x14ac:dyDescent="0.55000000000000004">
      <c r="A77" s="4" t="s">
        <v>71</v>
      </c>
      <c r="C77" s="5">
        <v>1218099</v>
      </c>
      <c r="E77" s="5">
        <v>13852230236</v>
      </c>
      <c r="G77" s="5">
        <v>15111424361</v>
      </c>
      <c r="I77" s="5">
        <v>0</v>
      </c>
      <c r="J77" s="5">
        <v>0</v>
      </c>
      <c r="L77" s="5">
        <v>0</v>
      </c>
      <c r="M77" s="5">
        <v>0</v>
      </c>
      <c r="N77" s="6"/>
      <c r="O77" s="5">
        <v>1218099</v>
      </c>
      <c r="Q77" s="5">
        <v>14890</v>
      </c>
      <c r="S77" s="5">
        <v>13852230236</v>
      </c>
      <c r="U77" s="5">
        <v>18235420743</v>
      </c>
      <c r="W77" s="7">
        <v>1.9008411716233523E-2</v>
      </c>
    </row>
    <row r="78" spans="1:23" ht="21" x14ac:dyDescent="0.55000000000000004">
      <c r="A78" s="4" t="s">
        <v>244</v>
      </c>
      <c r="C78" s="5"/>
      <c r="E78" s="45">
        <f>SUM(E50:E77)</f>
        <v>740568615362</v>
      </c>
      <c r="G78" s="45">
        <f>SUM(G50:G77)</f>
        <v>716043343021</v>
      </c>
      <c r="I78" s="5"/>
      <c r="J78" s="45">
        <f>SUM(J50:J77)</f>
        <v>180249749295</v>
      </c>
      <c r="L78" s="5"/>
      <c r="M78" s="45">
        <f>SUM(M50:M77)</f>
        <v>206142747515</v>
      </c>
      <c r="N78" s="6"/>
      <c r="O78" s="5"/>
      <c r="Q78" s="5"/>
      <c r="S78" s="45">
        <f>SUM(S50:S77)</f>
        <v>721251437405</v>
      </c>
      <c r="U78" s="45">
        <f>SUM(U50:U77)</f>
        <v>792168543669</v>
      </c>
      <c r="W78" s="44">
        <f>SUM(W50:W77)</f>
        <v>0.82574819846093817</v>
      </c>
    </row>
    <row r="79" spans="1:23" ht="19.899999999999999" customHeight="1" x14ac:dyDescent="0.55000000000000004">
      <c r="A79" s="36" t="s">
        <v>0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</row>
    <row r="80" spans="1:23" ht="19.899999999999999" customHeight="1" x14ac:dyDescent="0.55000000000000004">
      <c r="A80" s="36" t="s">
        <v>1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</row>
    <row r="81" spans="1:23" ht="19.899999999999999" customHeight="1" x14ac:dyDescent="0.55000000000000004">
      <c r="A81" s="36" t="s">
        <v>2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</row>
    <row r="83" spans="1:23" ht="21" x14ac:dyDescent="0.55000000000000004">
      <c r="A83" s="37" t="s">
        <v>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</row>
    <row r="84" spans="1:23" ht="21" x14ac:dyDescent="0.55000000000000004">
      <c r="A84" s="37" t="s">
        <v>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</row>
    <row r="86" spans="1:23" ht="21" x14ac:dyDescent="0.55000000000000004">
      <c r="C86" s="30" t="s">
        <v>5</v>
      </c>
      <c r="D86" s="31"/>
      <c r="E86" s="31"/>
      <c r="F86" s="31"/>
      <c r="G86" s="31"/>
      <c r="I86" s="30" t="s">
        <v>6</v>
      </c>
      <c r="J86" s="31"/>
      <c r="K86" s="31"/>
      <c r="L86" s="31"/>
      <c r="M86" s="31"/>
      <c r="O86" s="30" t="s">
        <v>7</v>
      </c>
      <c r="P86" s="31"/>
      <c r="Q86" s="31"/>
      <c r="R86" s="31"/>
      <c r="S86" s="31"/>
      <c r="T86" s="31"/>
      <c r="U86" s="31"/>
      <c r="V86" s="31"/>
      <c r="W86" s="31"/>
    </row>
    <row r="87" spans="1:23" ht="21" x14ac:dyDescent="0.55000000000000004">
      <c r="A87" s="32" t="s">
        <v>8</v>
      </c>
      <c r="C87" s="32" t="s">
        <v>9</v>
      </c>
      <c r="E87" s="32" t="s">
        <v>10</v>
      </c>
      <c r="G87" s="32" t="s">
        <v>11</v>
      </c>
      <c r="I87" s="32" t="s">
        <v>12</v>
      </c>
      <c r="J87" s="34"/>
      <c r="L87" s="32" t="s">
        <v>13</v>
      </c>
      <c r="M87" s="34"/>
      <c r="O87" s="32" t="s">
        <v>9</v>
      </c>
      <c r="Q87" s="35" t="s">
        <v>14</v>
      </c>
      <c r="S87" s="32" t="s">
        <v>10</v>
      </c>
      <c r="U87" s="32" t="s">
        <v>11</v>
      </c>
      <c r="W87" s="35" t="s">
        <v>15</v>
      </c>
    </row>
    <row r="88" spans="1:23" ht="21" x14ac:dyDescent="0.55000000000000004">
      <c r="A88" s="33"/>
      <c r="C88" s="33"/>
      <c r="E88" s="33"/>
      <c r="G88" s="33"/>
      <c r="I88" s="3" t="s">
        <v>9</v>
      </c>
      <c r="J88" s="3" t="s">
        <v>10</v>
      </c>
      <c r="L88" s="3" t="s">
        <v>9</v>
      </c>
      <c r="M88" s="3" t="s">
        <v>16</v>
      </c>
      <c r="O88" s="33"/>
      <c r="Q88" s="33"/>
      <c r="S88" s="33"/>
      <c r="U88" s="33"/>
      <c r="W88" s="33"/>
    </row>
    <row r="89" spans="1:23" ht="21" x14ac:dyDescent="0.55000000000000004">
      <c r="A89" s="4" t="s">
        <v>245</v>
      </c>
      <c r="C89" s="11"/>
      <c r="E89" s="11">
        <f>E78</f>
        <v>740568615362</v>
      </c>
      <c r="G89" s="11">
        <f>G78</f>
        <v>716043343021</v>
      </c>
      <c r="I89" s="11"/>
      <c r="J89" s="11">
        <f>J78</f>
        <v>180249749295</v>
      </c>
      <c r="L89" s="11"/>
      <c r="M89" s="11">
        <f>M78</f>
        <v>206142747515</v>
      </c>
      <c r="O89" s="11"/>
      <c r="Q89" s="11"/>
      <c r="S89" s="11">
        <f>S78</f>
        <v>721251437405</v>
      </c>
      <c r="U89" s="11">
        <f>U78</f>
        <v>792168543669</v>
      </c>
      <c r="W89" s="7">
        <f>W78</f>
        <v>0.82574819846093817</v>
      </c>
    </row>
    <row r="90" spans="1:23" ht="21" x14ac:dyDescent="0.55000000000000004">
      <c r="A90" s="4" t="s">
        <v>72</v>
      </c>
      <c r="C90" s="5">
        <v>5947863</v>
      </c>
      <c r="E90" s="5">
        <v>22525014926</v>
      </c>
      <c r="G90" s="5">
        <v>17778806958</v>
      </c>
      <c r="I90" s="5">
        <v>1200000</v>
      </c>
      <c r="J90" s="5">
        <v>3643878360</v>
      </c>
      <c r="L90" s="5">
        <v>0</v>
      </c>
      <c r="M90" s="5">
        <v>0</v>
      </c>
      <c r="O90" s="5">
        <v>7147863</v>
      </c>
      <c r="Q90" s="5">
        <v>3071</v>
      </c>
      <c r="S90" s="5">
        <v>26168893286</v>
      </c>
      <c r="U90" s="5">
        <v>21919952969</v>
      </c>
      <c r="W90" s="7">
        <v>2.2849129543400928E-2</v>
      </c>
    </row>
    <row r="91" spans="1:23" ht="21" x14ac:dyDescent="0.55000000000000004">
      <c r="A91" s="4" t="s">
        <v>73</v>
      </c>
      <c r="C91" s="5">
        <v>6286264</v>
      </c>
      <c r="E91" s="5">
        <v>16102955538</v>
      </c>
      <c r="G91" s="5">
        <v>17803004217</v>
      </c>
      <c r="I91" s="5">
        <v>0</v>
      </c>
      <c r="J91" s="5">
        <v>0</v>
      </c>
      <c r="L91" s="5">
        <v>0</v>
      </c>
      <c r="M91" s="5">
        <v>0</v>
      </c>
      <c r="N91" s="6"/>
      <c r="O91" s="5">
        <v>6286264</v>
      </c>
      <c r="Q91" s="5">
        <v>3115</v>
      </c>
      <c r="S91" s="5">
        <v>16102955538</v>
      </c>
      <c r="U91" s="5">
        <v>19371468261</v>
      </c>
      <c r="W91" s="7">
        <v>2.0192615758229025E-2</v>
      </c>
    </row>
    <row r="92" spans="1:23" ht="21.75" thickBot="1" x14ac:dyDescent="0.6">
      <c r="A92" s="8" t="s">
        <v>74</v>
      </c>
      <c r="C92" s="11"/>
      <c r="E92" s="8">
        <f>SUM(E89:E91)</f>
        <v>779196585826</v>
      </c>
      <c r="G92" s="8">
        <f>SUM(G89:G91)</f>
        <v>751625154196</v>
      </c>
      <c r="I92" s="11"/>
      <c r="J92" s="8">
        <f>SUM(J89:J91)</f>
        <v>183893627655</v>
      </c>
      <c r="L92" s="11"/>
      <c r="M92" s="8">
        <f>SUM(M89:M91)</f>
        <v>206142747515</v>
      </c>
      <c r="O92" s="11"/>
      <c r="Q92" s="11"/>
      <c r="S92" s="8">
        <f>SUM(S89:S91)</f>
        <v>763523286229</v>
      </c>
      <c r="U92" s="8">
        <f>SUM(U89:U91)</f>
        <v>833459964899</v>
      </c>
      <c r="W92" s="17">
        <f>SUM(W89:W91)</f>
        <v>0.86878994376256813</v>
      </c>
    </row>
    <row r="93" spans="1:23" ht="21.75" thickTop="1" x14ac:dyDescent="0.55000000000000004">
      <c r="C93" s="11"/>
      <c r="E93" s="10"/>
      <c r="G93" s="10"/>
      <c r="I93" s="11"/>
      <c r="J93" s="10"/>
      <c r="L93" s="11"/>
      <c r="M93" s="10"/>
      <c r="O93" s="11"/>
      <c r="Q93" s="11"/>
      <c r="S93" s="10"/>
      <c r="U93" s="10"/>
      <c r="W93" s="10"/>
    </row>
  </sheetData>
  <mergeCells count="57">
    <mergeCell ref="C86:G86"/>
    <mergeCell ref="I86:M86"/>
    <mergeCell ref="O86:W86"/>
    <mergeCell ref="A87:A88"/>
    <mergeCell ref="C87:C88"/>
    <mergeCell ref="E87:E88"/>
    <mergeCell ref="G87:G88"/>
    <mergeCell ref="I87:J87"/>
    <mergeCell ref="L87:M87"/>
    <mergeCell ref="O87:O88"/>
    <mergeCell ref="Q87:Q88"/>
    <mergeCell ref="S87:S88"/>
    <mergeCell ref="U87:U88"/>
    <mergeCell ref="W87:W88"/>
    <mergeCell ref="A79:W79"/>
    <mergeCell ref="A80:W80"/>
    <mergeCell ref="A81:W81"/>
    <mergeCell ref="A83:W83"/>
    <mergeCell ref="A84:W84"/>
    <mergeCell ref="C47:G47"/>
    <mergeCell ref="I47:M47"/>
    <mergeCell ref="O47:W47"/>
    <mergeCell ref="A48:A49"/>
    <mergeCell ref="C48:C49"/>
    <mergeCell ref="E48:E49"/>
    <mergeCell ref="G48:G49"/>
    <mergeCell ref="I48:J48"/>
    <mergeCell ref="L48:M48"/>
    <mergeCell ref="O48:O49"/>
    <mergeCell ref="Q48:Q49"/>
    <mergeCell ref="S48:S49"/>
    <mergeCell ref="U48:U49"/>
    <mergeCell ref="W48:W49"/>
    <mergeCell ref="A40:W40"/>
    <mergeCell ref="A41:W41"/>
    <mergeCell ref="A42:W42"/>
    <mergeCell ref="A44:W44"/>
    <mergeCell ref="A45:W45"/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</mergeCells>
  <pageMargins left="0.7" right="0.7" top="0.75" bottom="0.75" header="0.3" footer="0.3"/>
  <pageSetup paperSize="9" scale="61" fitToHeight="0" orientation="landscape" r:id="rId1"/>
  <rowBreaks count="2" manualBreakCount="2">
    <brk id="39" max="22" man="1"/>
    <brk id="78" max="2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2"/>
  <sheetViews>
    <sheetView rightToLeft="1" view="pageBreakPreview" zoomScale="60" zoomScaleNormal="100" workbookViewId="0">
      <selection activeCell="A5" sqref="A5:M5"/>
    </sheetView>
  </sheetViews>
  <sheetFormatPr defaultColWidth="8.85546875" defaultRowHeight="19.5" x14ac:dyDescent="0.55000000000000004"/>
  <cols>
    <col min="1" max="1" width="33" style="2" customWidth="1"/>
    <col min="2" max="2" width="1.42578125" style="2" customWidth="1"/>
    <col min="3" max="3" width="11.42578125" style="2" customWidth="1"/>
    <col min="4" max="4" width="1.42578125" style="2" customWidth="1"/>
    <col min="5" max="5" width="18.42578125" style="2" customWidth="1"/>
    <col min="6" max="6" width="1.42578125" style="2" customWidth="1"/>
    <col min="7" max="7" width="18.42578125" style="2" customWidth="1"/>
    <col min="8" max="8" width="1.42578125" style="2" customWidth="1"/>
    <col min="9" max="9" width="18.42578125" style="2" customWidth="1"/>
    <col min="10" max="10" width="1.42578125" style="2" customWidth="1"/>
    <col min="11" max="11" width="18.42578125" style="2" customWidth="1"/>
    <col min="12" max="12" width="1.42578125" style="2" customWidth="1"/>
    <col min="13" max="13" width="10.5703125" style="2" customWidth="1"/>
    <col min="14" max="16384" width="8.85546875" style="2"/>
  </cols>
  <sheetData>
    <row r="1" spans="1:13" ht="19.899999999999999" customHeight="1" x14ac:dyDescent="0.55000000000000004">
      <c r="A1" s="36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19.899999999999999" customHeight="1" x14ac:dyDescent="0.55000000000000004">
      <c r="A2" s="36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19.899999999999999" customHeight="1" x14ac:dyDescent="0.55000000000000004">
      <c r="A3" s="36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5" spans="1:13" ht="21" x14ac:dyDescent="0.55000000000000004">
      <c r="A5" s="37" t="s">
        <v>222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7" spans="1:13" ht="21" x14ac:dyDescent="0.55000000000000004">
      <c r="B7" s="31"/>
      <c r="C7" s="31"/>
      <c r="E7" s="12" t="s">
        <v>5</v>
      </c>
      <c r="G7" s="30" t="s">
        <v>6</v>
      </c>
      <c r="H7" s="31"/>
      <c r="I7" s="31"/>
      <c r="K7" s="30" t="s">
        <v>7</v>
      </c>
      <c r="L7" s="31"/>
      <c r="M7" s="31"/>
    </row>
    <row r="8" spans="1:13" ht="63" x14ac:dyDescent="0.55000000000000004">
      <c r="A8" s="12" t="s">
        <v>77</v>
      </c>
      <c r="C8" s="12" t="s">
        <v>223</v>
      </c>
      <c r="E8" s="12" t="s">
        <v>79</v>
      </c>
      <c r="G8" s="12" t="s">
        <v>80</v>
      </c>
      <c r="I8" s="12" t="s">
        <v>81</v>
      </c>
      <c r="K8" s="12" t="s">
        <v>79</v>
      </c>
      <c r="M8" s="13" t="s">
        <v>15</v>
      </c>
    </row>
    <row r="9" spans="1:13" ht="21" x14ac:dyDescent="0.55000000000000004">
      <c r="A9" s="4" t="s">
        <v>220</v>
      </c>
      <c r="C9" s="6">
        <v>1</v>
      </c>
      <c r="E9" s="5">
        <v>4083488392</v>
      </c>
      <c r="G9" s="5">
        <v>273519394665</v>
      </c>
      <c r="I9" s="5">
        <v>263127216840</v>
      </c>
      <c r="K9" s="5">
        <v>14475666217</v>
      </c>
      <c r="M9" s="7">
        <v>1.5089282950881931E-2</v>
      </c>
    </row>
    <row r="10" spans="1:13" ht="21" x14ac:dyDescent="0.55000000000000004">
      <c r="A10" s="4" t="s">
        <v>221</v>
      </c>
      <c r="C10" s="6">
        <v>2</v>
      </c>
      <c r="E10" s="5">
        <v>230390774952</v>
      </c>
      <c r="G10" s="5">
        <v>124608126755</v>
      </c>
      <c r="I10" s="5">
        <v>256801800000</v>
      </c>
      <c r="K10" s="5">
        <v>98197101707</v>
      </c>
      <c r="M10" s="7">
        <v>0.10235963101120281</v>
      </c>
    </row>
    <row r="11" spans="1:13" ht="21.75" thickBot="1" x14ac:dyDescent="0.6">
      <c r="A11" s="8" t="s">
        <v>74</v>
      </c>
      <c r="E11" s="8">
        <f>SUM(E9:$E$10)</f>
        <v>234474263344</v>
      </c>
      <c r="G11" s="8">
        <f>SUM(G9:$G$10)</f>
        <v>398127521420</v>
      </c>
      <c r="I11" s="8">
        <f>SUM(I9:$I$10)</f>
        <v>519929016840</v>
      </c>
      <c r="K11" s="8">
        <f>SUM(K9:$K$10)</f>
        <v>112672767924</v>
      </c>
      <c r="M11" s="9">
        <f>SUM(M9:$M$10)</f>
        <v>0.11744891396208473</v>
      </c>
    </row>
    <row r="12" spans="1:13" ht="21.75" thickTop="1" x14ac:dyDescent="0.55000000000000004">
      <c r="E12" s="10"/>
      <c r="G12" s="10"/>
      <c r="I12" s="10"/>
      <c r="K12" s="10"/>
      <c r="M12" s="10"/>
    </row>
  </sheetData>
  <mergeCells count="7">
    <mergeCell ref="A1:M1"/>
    <mergeCell ref="A2:M2"/>
    <mergeCell ref="A3:M3"/>
    <mergeCell ref="A5:M5"/>
    <mergeCell ref="B7:C7"/>
    <mergeCell ref="G7:I7"/>
    <mergeCell ref="K7:M7"/>
  </mergeCells>
  <pageMargins left="0.7" right="0.7" top="0.75" bottom="0.75" header="0.3" footer="0.3"/>
  <pageSetup paperSize="9" scale="9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13"/>
  <sheetViews>
    <sheetView rightToLeft="1" view="pageBreakPreview" zoomScale="60" zoomScaleNormal="100" workbookViewId="0">
      <selection activeCell="K1" sqref="K1:M1048576"/>
    </sheetView>
  </sheetViews>
  <sheetFormatPr defaultColWidth="8.85546875" defaultRowHeight="19.5" x14ac:dyDescent="0.55000000000000004"/>
  <cols>
    <col min="1" max="1" width="56.28515625" style="2" bestFit="1" customWidth="1"/>
    <col min="2" max="2" width="1.42578125" style="2" customWidth="1"/>
    <col min="3" max="3" width="11.42578125" style="2" customWidth="1"/>
    <col min="4" max="4" width="1.42578125" style="2" customWidth="1"/>
    <col min="5" max="5" width="21.28515625" style="2" customWidth="1"/>
    <col min="6" max="6" width="1.42578125" style="2" customWidth="1"/>
    <col min="7" max="7" width="11.42578125" style="2" customWidth="1"/>
    <col min="8" max="8" width="1.42578125" style="2" customWidth="1"/>
    <col min="9" max="9" width="11.42578125" style="2" customWidth="1"/>
    <col min="10" max="16384" width="8.85546875" style="2"/>
  </cols>
  <sheetData>
    <row r="1" spans="1:9" ht="19.899999999999999" customHeight="1" x14ac:dyDescent="0.55000000000000004">
      <c r="A1" s="36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9.899999999999999" customHeight="1" x14ac:dyDescent="0.55000000000000004">
      <c r="A2" s="36" t="s">
        <v>83</v>
      </c>
      <c r="B2" s="34"/>
      <c r="C2" s="34"/>
      <c r="D2" s="34"/>
      <c r="E2" s="34"/>
      <c r="F2" s="34"/>
      <c r="G2" s="34"/>
      <c r="H2" s="34"/>
      <c r="I2" s="34"/>
    </row>
    <row r="3" spans="1:9" ht="19.899999999999999" customHeight="1" x14ac:dyDescent="0.55000000000000004">
      <c r="A3" s="36" t="s">
        <v>2</v>
      </c>
      <c r="B3" s="34"/>
      <c r="C3" s="34"/>
      <c r="D3" s="34"/>
      <c r="E3" s="34"/>
      <c r="F3" s="34"/>
      <c r="G3" s="34"/>
      <c r="H3" s="34"/>
      <c r="I3" s="34"/>
    </row>
    <row r="5" spans="1:9" ht="21" x14ac:dyDescent="0.55000000000000004">
      <c r="A5" s="37" t="s">
        <v>84</v>
      </c>
      <c r="B5" s="34"/>
      <c r="C5" s="34"/>
      <c r="D5" s="34"/>
      <c r="E5" s="34"/>
      <c r="F5" s="34"/>
      <c r="G5" s="34"/>
      <c r="H5" s="34"/>
      <c r="I5" s="34"/>
    </row>
    <row r="7" spans="1:9" ht="63" x14ac:dyDescent="0.55000000000000004">
      <c r="A7" s="12" t="s">
        <v>85</v>
      </c>
      <c r="C7" s="12" t="s">
        <v>86</v>
      </c>
      <c r="E7" s="12" t="s">
        <v>79</v>
      </c>
      <c r="G7" s="13" t="s">
        <v>87</v>
      </c>
      <c r="I7" s="13" t="s">
        <v>88</v>
      </c>
    </row>
    <row r="8" spans="1:9" ht="21" x14ac:dyDescent="0.55000000000000004">
      <c r="A8" s="21" t="s">
        <v>89</v>
      </c>
      <c r="C8" s="23" t="s">
        <v>238</v>
      </c>
      <c r="E8" s="5">
        <f>'4'!$S$136</f>
        <v>32236204239</v>
      </c>
      <c r="G8" s="7">
        <f>E8/$E$12</f>
        <v>0.70996355324453664</v>
      </c>
      <c r="I8" s="7">
        <v>3.3602681889241474E-2</v>
      </c>
    </row>
    <row r="9" spans="1:9" ht="21" x14ac:dyDescent="0.55000000000000004">
      <c r="A9" s="21" t="s">
        <v>90</v>
      </c>
      <c r="C9" s="23" t="s">
        <v>91</v>
      </c>
      <c r="E9" s="5">
        <f>'5'!$Q$10</f>
        <v>3380671363</v>
      </c>
      <c r="G9" s="7">
        <f t="shared" ref="G9:G11" si="0">E9/$E$12</f>
        <v>7.4455213009346113E-2</v>
      </c>
      <c r="I9" s="7">
        <v>3.5239764440232173E-3</v>
      </c>
    </row>
    <row r="10" spans="1:9" ht="21" x14ac:dyDescent="0.55000000000000004">
      <c r="A10" s="21" t="s">
        <v>92</v>
      </c>
      <c r="C10" s="23" t="s">
        <v>239</v>
      </c>
      <c r="E10" s="5">
        <f>'6'!$I$11</f>
        <v>9592001123</v>
      </c>
      <c r="G10" s="7">
        <f t="shared" si="0"/>
        <v>0.21125226622592955</v>
      </c>
      <c r="I10" s="7">
        <v>9.9986015731799629E-3</v>
      </c>
    </row>
    <row r="11" spans="1:9" ht="21" x14ac:dyDescent="0.55000000000000004">
      <c r="A11" s="21" t="s">
        <v>93</v>
      </c>
      <c r="C11" s="23" t="s">
        <v>240</v>
      </c>
      <c r="E11" s="5">
        <f>'7'!$E$11</f>
        <v>196558655</v>
      </c>
      <c r="G11" s="7">
        <f t="shared" si="0"/>
        <v>4.3289675201876677E-3</v>
      </c>
      <c r="I11" s="7">
        <v>2.0489068463437225E-4</v>
      </c>
    </row>
    <row r="12" spans="1:9" ht="21.75" thickBot="1" x14ac:dyDescent="0.6">
      <c r="A12" s="22" t="s">
        <v>74</v>
      </c>
      <c r="E12" s="8">
        <f>SUM(E8:$E$11)</f>
        <v>45405435380</v>
      </c>
      <c r="G12" s="9">
        <f>SUM(G8:$G$11)</f>
        <v>0.99999999999999989</v>
      </c>
      <c r="I12" s="9">
        <f>SUM(I8:$I$11)</f>
        <v>4.7330150591079027E-2</v>
      </c>
    </row>
    <row r="13" spans="1:9" ht="21.75" thickTop="1" x14ac:dyDescent="0.55000000000000004">
      <c r="E13" s="10"/>
      <c r="G13" s="10"/>
      <c r="I13" s="10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4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W140"/>
  <sheetViews>
    <sheetView rightToLeft="1" view="pageBreakPreview" zoomScale="60" zoomScaleNormal="85" workbookViewId="0">
      <selection activeCell="C122" sqref="C122"/>
    </sheetView>
  </sheetViews>
  <sheetFormatPr defaultColWidth="8.85546875" defaultRowHeight="19.5" x14ac:dyDescent="0.55000000000000004"/>
  <cols>
    <col min="1" max="1" width="47.42578125" style="2" customWidth="1"/>
    <col min="2" max="2" width="1.42578125" style="2" customWidth="1"/>
    <col min="3" max="3" width="17" style="2" customWidth="1"/>
    <col min="4" max="4" width="1.42578125" style="2" customWidth="1"/>
    <col min="5" max="5" width="17" style="2" customWidth="1"/>
    <col min="6" max="6" width="1.42578125" style="2" customWidth="1"/>
    <col min="7" max="7" width="17" style="2" customWidth="1"/>
    <col min="8" max="8" width="1.42578125" style="2" customWidth="1"/>
    <col min="9" max="9" width="17" style="2" customWidth="1"/>
    <col min="10" max="10" width="1.42578125" style="2" customWidth="1"/>
    <col min="11" max="11" width="10.5703125" style="2" customWidth="1"/>
    <col min="12" max="12" width="1.42578125" style="2" customWidth="1"/>
    <col min="13" max="13" width="17" style="2" customWidth="1"/>
    <col min="14" max="14" width="1.42578125" style="2" customWidth="1"/>
    <col min="15" max="15" width="17" style="2" customWidth="1"/>
    <col min="16" max="16" width="1.42578125" style="2" customWidth="1"/>
    <col min="17" max="17" width="17" style="2" customWidth="1"/>
    <col min="18" max="18" width="1.42578125" style="2" customWidth="1"/>
    <col min="19" max="19" width="17" style="2" customWidth="1"/>
    <col min="20" max="20" width="1.42578125" style="2" customWidth="1"/>
    <col min="21" max="21" width="10.5703125" style="2" customWidth="1"/>
    <col min="22" max="16384" width="8.85546875" style="2"/>
  </cols>
  <sheetData>
    <row r="1" spans="1:21" ht="19.899999999999999" customHeight="1" x14ac:dyDescent="0.55000000000000004">
      <c r="A1" s="36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 ht="19.899999999999999" customHeight="1" x14ac:dyDescent="0.55000000000000004">
      <c r="A2" s="36" t="s">
        <v>83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ht="19.899999999999999" customHeight="1" x14ac:dyDescent="0.55000000000000004">
      <c r="A3" s="36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5" spans="1:21" ht="21" x14ac:dyDescent="0.55000000000000004">
      <c r="A5" s="37" t="s">
        <v>231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7"/>
      <c r="O5" s="34"/>
      <c r="P5" s="34"/>
      <c r="Q5" s="34"/>
      <c r="R5" s="34"/>
      <c r="S5" s="34"/>
      <c r="T5" s="34"/>
      <c r="U5" s="34"/>
    </row>
    <row r="7" spans="1:21" ht="21" x14ac:dyDescent="0.55000000000000004">
      <c r="C7" s="30" t="s">
        <v>96</v>
      </c>
      <c r="D7" s="31"/>
      <c r="E7" s="31"/>
      <c r="F7" s="31"/>
      <c r="G7" s="31"/>
      <c r="H7" s="31"/>
      <c r="I7" s="31"/>
      <c r="J7" s="31"/>
      <c r="K7" s="31"/>
      <c r="M7" s="30" t="s">
        <v>7</v>
      </c>
      <c r="N7" s="31"/>
      <c r="O7" s="31"/>
      <c r="P7" s="31"/>
      <c r="Q7" s="31"/>
      <c r="R7" s="31"/>
      <c r="S7" s="31"/>
      <c r="T7" s="31"/>
      <c r="U7" s="31"/>
    </row>
    <row r="8" spans="1:21" ht="63" x14ac:dyDescent="0.55000000000000004">
      <c r="A8" s="12" t="s">
        <v>174</v>
      </c>
      <c r="C8" s="13" t="s">
        <v>94</v>
      </c>
      <c r="E8" s="13" t="s">
        <v>175</v>
      </c>
      <c r="G8" s="13" t="s">
        <v>176</v>
      </c>
      <c r="I8" s="13" t="s">
        <v>177</v>
      </c>
      <c r="K8" s="13" t="s">
        <v>178</v>
      </c>
      <c r="M8" s="13" t="s">
        <v>94</v>
      </c>
      <c r="O8" s="13" t="s">
        <v>175</v>
      </c>
      <c r="Q8" s="13" t="s">
        <v>176</v>
      </c>
      <c r="S8" s="13" t="s">
        <v>177</v>
      </c>
      <c r="U8" s="13" t="s">
        <v>178</v>
      </c>
    </row>
    <row r="9" spans="1:21" ht="21" x14ac:dyDescent="0.55000000000000004">
      <c r="A9" s="14" t="s">
        <v>17</v>
      </c>
      <c r="C9" s="5">
        <v>0</v>
      </c>
      <c r="E9" s="5">
        <v>209190814</v>
      </c>
      <c r="G9" s="5">
        <v>0</v>
      </c>
      <c r="I9" s="5">
        <f>C9+E9+G9</f>
        <v>209190814</v>
      </c>
      <c r="K9" s="7">
        <v>1.7290179130163604E-3</v>
      </c>
      <c r="M9" s="5">
        <v>140295300</v>
      </c>
      <c r="O9" s="5">
        <v>-113868907</v>
      </c>
      <c r="Q9" s="5">
        <v>0</v>
      </c>
      <c r="S9" s="5">
        <f>M9+O9+Q9</f>
        <v>26426393</v>
      </c>
      <c r="U9" s="7">
        <v>5.8200944528681152E-4</v>
      </c>
    </row>
    <row r="10" spans="1:21" ht="21" x14ac:dyDescent="0.55000000000000004">
      <c r="A10" s="14" t="s">
        <v>25</v>
      </c>
      <c r="C10" s="5">
        <v>0</v>
      </c>
      <c r="E10" s="5">
        <v>0</v>
      </c>
      <c r="G10" s="5">
        <v>295769908</v>
      </c>
      <c r="I10" s="5">
        <f t="shared" ref="I10:I93" si="0">C10+E10+G10</f>
        <v>295769908</v>
      </c>
      <c r="K10" s="7">
        <v>2.4446172338294016E-3</v>
      </c>
      <c r="M10" s="5">
        <v>0</v>
      </c>
      <c r="O10" s="5">
        <v>0</v>
      </c>
      <c r="Q10" s="5">
        <v>295769908</v>
      </c>
      <c r="S10" s="5">
        <f t="shared" ref="S10:S93" si="1">M10+O10+Q10</f>
        <v>295769908</v>
      </c>
      <c r="U10" s="7">
        <v>6.5139756336633336E-3</v>
      </c>
    </row>
    <row r="11" spans="1:21" ht="21" x14ac:dyDescent="0.55000000000000004">
      <c r="A11" s="14" t="s">
        <v>26</v>
      </c>
      <c r="C11" s="5">
        <v>0</v>
      </c>
      <c r="E11" s="5">
        <v>6083330346</v>
      </c>
      <c r="G11" s="5">
        <v>0</v>
      </c>
      <c r="I11" s="5">
        <f t="shared" si="0"/>
        <v>6083330346</v>
      </c>
      <c r="K11" s="7">
        <v>5.0280349016807273E-2</v>
      </c>
      <c r="M11" s="5">
        <v>0</v>
      </c>
      <c r="O11" s="5">
        <v>1259679516</v>
      </c>
      <c r="Q11" s="5">
        <v>-666318163</v>
      </c>
      <c r="S11" s="5">
        <f t="shared" si="1"/>
        <v>593361353</v>
      </c>
      <c r="U11" s="7">
        <v>1.3068068423646086E-2</v>
      </c>
    </row>
    <row r="12" spans="1:21" ht="21" x14ac:dyDescent="0.55000000000000004">
      <c r="A12" s="14" t="s">
        <v>27</v>
      </c>
      <c r="C12" s="5">
        <v>0</v>
      </c>
      <c r="E12" s="5">
        <v>964228500</v>
      </c>
      <c r="G12" s="5">
        <v>0</v>
      </c>
      <c r="I12" s="5">
        <f t="shared" si="0"/>
        <v>964228500</v>
      </c>
      <c r="K12" s="7">
        <v>7.9696059155871714E-3</v>
      </c>
      <c r="M12" s="5">
        <v>660000000</v>
      </c>
      <c r="O12" s="5">
        <v>-1795917000</v>
      </c>
      <c r="Q12" s="5">
        <v>-1069344414</v>
      </c>
      <c r="S12" s="5">
        <f t="shared" si="1"/>
        <v>-2205261414</v>
      </c>
      <c r="U12" s="7">
        <v>-4.8568223906855154E-2</v>
      </c>
    </row>
    <row r="13" spans="1:21" ht="21" x14ac:dyDescent="0.55000000000000004">
      <c r="A13" s="14" t="s">
        <v>179</v>
      </c>
      <c r="C13" s="5">
        <v>0</v>
      </c>
      <c r="E13" s="5">
        <v>260916554</v>
      </c>
      <c r="G13" s="5">
        <v>0</v>
      </c>
      <c r="I13" s="5">
        <f t="shared" si="0"/>
        <v>260916554</v>
      </c>
      <c r="K13" s="7">
        <v>2.1565449602796633E-3</v>
      </c>
      <c r="M13" s="5">
        <v>22765975</v>
      </c>
      <c r="O13" s="5">
        <v>-109655696</v>
      </c>
      <c r="Q13" s="5">
        <v>534832494</v>
      </c>
      <c r="S13" s="5">
        <f t="shared" si="1"/>
        <v>447942773</v>
      </c>
      <c r="U13" s="7">
        <v>9.8653995206219071E-3</v>
      </c>
    </row>
    <row r="14" spans="1:21" ht="21" x14ac:dyDescent="0.55000000000000004">
      <c r="A14" s="14" t="s">
        <v>29</v>
      </c>
      <c r="C14" s="5">
        <v>0</v>
      </c>
      <c r="E14" s="5">
        <v>6619883813</v>
      </c>
      <c r="G14" s="5">
        <v>-329309615</v>
      </c>
      <c r="I14" s="5">
        <f t="shared" si="0"/>
        <v>6290574198</v>
      </c>
      <c r="K14" s="7">
        <v>5.199327476922827E-2</v>
      </c>
      <c r="M14" s="5">
        <v>1090603045</v>
      </c>
      <c r="O14" s="5">
        <v>-494185916</v>
      </c>
      <c r="Q14" s="5">
        <v>-329309615</v>
      </c>
      <c r="S14" s="5">
        <f t="shared" si="1"/>
        <v>267107514</v>
      </c>
      <c r="U14" s="7">
        <v>5.8827209621486838E-3</v>
      </c>
    </row>
    <row r="15" spans="1:21" ht="21" x14ac:dyDescent="0.55000000000000004">
      <c r="A15" s="14" t="s">
        <v>30</v>
      </c>
      <c r="C15" s="5">
        <v>0</v>
      </c>
      <c r="E15" s="5">
        <v>-773077668</v>
      </c>
      <c r="G15" s="5">
        <v>2083999066</v>
      </c>
      <c r="I15" s="5">
        <f t="shared" si="0"/>
        <v>1310921398</v>
      </c>
      <c r="K15" s="7">
        <v>1.083511525366716E-2</v>
      </c>
      <c r="M15" s="5">
        <v>0</v>
      </c>
      <c r="O15" s="5">
        <v>0</v>
      </c>
      <c r="Q15" s="5">
        <v>2311509516</v>
      </c>
      <c r="S15" s="5">
        <f t="shared" si="1"/>
        <v>2311509516</v>
      </c>
      <c r="U15" s="7">
        <v>5.0908210257160191E-2</v>
      </c>
    </row>
    <row r="16" spans="1:21" ht="21" x14ac:dyDescent="0.55000000000000004">
      <c r="A16" s="14" t="s">
        <v>31</v>
      </c>
      <c r="C16" s="5">
        <v>0</v>
      </c>
      <c r="E16" s="5">
        <v>650697637</v>
      </c>
      <c r="G16" s="5">
        <v>-640903732</v>
      </c>
      <c r="I16" s="5">
        <f t="shared" si="0"/>
        <v>9793905</v>
      </c>
      <c r="K16" s="7">
        <v>8.094923892490086E-5</v>
      </c>
      <c r="M16" s="5">
        <v>369600000</v>
      </c>
      <c r="O16" s="5">
        <v>0</v>
      </c>
      <c r="Q16" s="5">
        <v>-1609168012</v>
      </c>
      <c r="S16" s="5">
        <f t="shared" si="1"/>
        <v>-1239568012</v>
      </c>
      <c r="U16" s="7">
        <v>-2.7299990999883932E-2</v>
      </c>
    </row>
    <row r="17" spans="1:21" ht="21" x14ac:dyDescent="0.55000000000000004">
      <c r="A17" s="14" t="s">
        <v>32</v>
      </c>
      <c r="C17" s="5">
        <v>0</v>
      </c>
      <c r="E17" s="5">
        <v>-192296789</v>
      </c>
      <c r="G17" s="5">
        <v>0</v>
      </c>
      <c r="I17" s="5">
        <f t="shared" si="0"/>
        <v>-192296789</v>
      </c>
      <c r="K17" s="7">
        <v>-1.5893842871921107E-3</v>
      </c>
      <c r="M17" s="5">
        <v>0</v>
      </c>
      <c r="O17" s="5">
        <v>-192296789</v>
      </c>
      <c r="Q17" s="5">
        <v>1127860371</v>
      </c>
      <c r="S17" s="5">
        <f t="shared" si="1"/>
        <v>935563582</v>
      </c>
      <c r="U17" s="7">
        <v>2.0604659946984155E-2</v>
      </c>
    </row>
    <row r="18" spans="1:21" ht="21" x14ac:dyDescent="0.55000000000000004">
      <c r="A18" s="14" t="s">
        <v>33</v>
      </c>
      <c r="C18" s="5">
        <v>0</v>
      </c>
      <c r="E18" s="5">
        <v>5774229864</v>
      </c>
      <c r="G18" s="5">
        <v>-5665766020</v>
      </c>
      <c r="I18" s="5">
        <f t="shared" si="0"/>
        <v>108463844</v>
      </c>
      <c r="K18" s="7">
        <v>8.9648262084114302E-4</v>
      </c>
      <c r="M18" s="5">
        <v>612146750</v>
      </c>
      <c r="O18" s="5">
        <v>-1043011859</v>
      </c>
      <c r="Q18" s="5">
        <v>-8128622394</v>
      </c>
      <c r="S18" s="5">
        <f t="shared" si="1"/>
        <v>-8559487503</v>
      </c>
      <c r="U18" s="7">
        <v>-0.18851239265080277</v>
      </c>
    </row>
    <row r="19" spans="1:21" ht="21" x14ac:dyDescent="0.55000000000000004">
      <c r="A19" s="14" t="s">
        <v>180</v>
      </c>
      <c r="C19" s="5">
        <v>0</v>
      </c>
      <c r="E19" s="5">
        <v>-402843350</v>
      </c>
      <c r="G19" s="5">
        <v>0</v>
      </c>
      <c r="I19" s="5">
        <f t="shared" si="0"/>
        <v>-402843350</v>
      </c>
      <c r="K19" s="7">
        <v>-3.3296078110271097E-3</v>
      </c>
      <c r="M19" s="5">
        <v>0</v>
      </c>
      <c r="O19" s="5">
        <v>-402843350</v>
      </c>
      <c r="Q19" s="5">
        <v>0</v>
      </c>
      <c r="S19" s="5">
        <f t="shared" si="1"/>
        <v>-402843350</v>
      </c>
      <c r="U19" s="7">
        <v>-8.87213910241102E-3</v>
      </c>
    </row>
    <row r="20" spans="1:21" ht="21" x14ac:dyDescent="0.55000000000000004">
      <c r="A20" s="14" t="s">
        <v>181</v>
      </c>
      <c r="C20" s="5">
        <v>0</v>
      </c>
      <c r="E20" s="5">
        <v>628854099</v>
      </c>
      <c r="G20" s="5">
        <v>0</v>
      </c>
      <c r="I20" s="5">
        <f t="shared" si="0"/>
        <v>628854099</v>
      </c>
      <c r="K20" s="7">
        <v>5.1976469762422921E-3</v>
      </c>
      <c r="M20" s="5">
        <v>0</v>
      </c>
      <c r="O20" s="5">
        <v>-388502576</v>
      </c>
      <c r="Q20" s="5">
        <v>0</v>
      </c>
      <c r="S20" s="5">
        <f t="shared" si="1"/>
        <v>-388502576</v>
      </c>
      <c r="U20" s="7">
        <v>-8.5563008447750444E-3</v>
      </c>
    </row>
    <row r="21" spans="1:21" ht="21" x14ac:dyDescent="0.55000000000000004">
      <c r="A21" s="14" t="s">
        <v>37</v>
      </c>
      <c r="C21" s="5">
        <v>0</v>
      </c>
      <c r="E21" s="5">
        <v>0</v>
      </c>
      <c r="G21" s="5">
        <v>2310926465</v>
      </c>
      <c r="I21" s="5">
        <f t="shared" si="0"/>
        <v>2310926465</v>
      </c>
      <c r="K21" s="7">
        <v>1.9100424044664673E-2</v>
      </c>
      <c r="M21" s="5">
        <v>0</v>
      </c>
      <c r="O21" s="5">
        <v>0</v>
      </c>
      <c r="Q21" s="5">
        <v>2310926465</v>
      </c>
      <c r="S21" s="5">
        <f t="shared" si="1"/>
        <v>2310926465</v>
      </c>
      <c r="U21" s="7">
        <v>5.0895369261830865E-2</v>
      </c>
    </row>
    <row r="22" spans="1:21" ht="21" x14ac:dyDescent="0.55000000000000004">
      <c r="A22" s="14" t="s">
        <v>182</v>
      </c>
      <c r="C22" s="5">
        <v>0</v>
      </c>
      <c r="E22" s="5">
        <v>3123996382</v>
      </c>
      <c r="G22" s="5">
        <v>0</v>
      </c>
      <c r="I22" s="5">
        <f t="shared" si="0"/>
        <v>3123996382</v>
      </c>
      <c r="K22" s="7">
        <v>2.5820663925884911E-2</v>
      </c>
      <c r="M22" s="5">
        <v>2036198000</v>
      </c>
      <c r="O22" s="5">
        <v>-3953537329</v>
      </c>
      <c r="Q22" s="5">
        <v>-2884761030</v>
      </c>
      <c r="S22" s="5">
        <f t="shared" si="1"/>
        <v>-4802100359</v>
      </c>
      <c r="U22" s="7">
        <v>-0.10576047083509235</v>
      </c>
    </row>
    <row r="23" spans="1:21" ht="21" x14ac:dyDescent="0.55000000000000004">
      <c r="A23" s="14" t="s">
        <v>39</v>
      </c>
      <c r="C23" s="5">
        <v>0</v>
      </c>
      <c r="E23" s="5">
        <v>2899842660</v>
      </c>
      <c r="G23" s="5">
        <v>-2413087050</v>
      </c>
      <c r="I23" s="5">
        <f t="shared" si="0"/>
        <v>486755610</v>
      </c>
      <c r="K23" s="7">
        <v>4.0231650370231142E-3</v>
      </c>
      <c r="M23" s="5">
        <v>0</v>
      </c>
      <c r="O23" s="5">
        <v>0</v>
      </c>
      <c r="Q23" s="5">
        <v>-2173594980</v>
      </c>
      <c r="S23" s="5">
        <f t="shared" si="1"/>
        <v>-2173594980</v>
      </c>
      <c r="U23" s="7">
        <v>-4.7870808876111025E-2</v>
      </c>
    </row>
    <row r="24" spans="1:21" ht="21" x14ac:dyDescent="0.55000000000000004">
      <c r="A24" s="14" t="s">
        <v>40</v>
      </c>
      <c r="C24" s="5">
        <v>7251254850</v>
      </c>
      <c r="E24" s="5">
        <v>3375633108</v>
      </c>
      <c r="G24" s="5">
        <v>-2488806478</v>
      </c>
      <c r="I24" s="5">
        <f t="shared" si="0"/>
        <v>8138081480</v>
      </c>
      <c r="K24" s="7">
        <v>6.7263415574771335E-2</v>
      </c>
      <c r="M24" s="5">
        <v>7251254850</v>
      </c>
      <c r="O24" s="5">
        <v>-2843432817</v>
      </c>
      <c r="Q24" s="5">
        <v>-5161445666</v>
      </c>
      <c r="S24" s="5">
        <f t="shared" si="1"/>
        <v>-753623633</v>
      </c>
      <c r="U24" s="7">
        <v>-1.6597651923111929E-2</v>
      </c>
    </row>
    <row r="25" spans="1:21" ht="21" x14ac:dyDescent="0.55000000000000004">
      <c r="A25" s="14" t="s">
        <v>183</v>
      </c>
      <c r="C25" s="5">
        <v>0</v>
      </c>
      <c r="E25" s="5">
        <v>3937829670</v>
      </c>
      <c r="G25" s="5">
        <v>0</v>
      </c>
      <c r="I25" s="5">
        <f t="shared" si="0"/>
        <v>3937829670</v>
      </c>
      <c r="K25" s="7">
        <v>3.2547213272172186E-2</v>
      </c>
      <c r="M25" s="5">
        <v>2088000000</v>
      </c>
      <c r="O25" s="5">
        <v>-543628872</v>
      </c>
      <c r="Q25" s="5">
        <v>-1058802300</v>
      </c>
      <c r="S25" s="5">
        <f t="shared" si="1"/>
        <v>485568828</v>
      </c>
      <c r="U25" s="7">
        <v>1.0694068018773777E-2</v>
      </c>
    </row>
    <row r="26" spans="1:21" ht="21" x14ac:dyDescent="0.55000000000000004">
      <c r="A26" s="14" t="s">
        <v>41</v>
      </c>
      <c r="C26" s="5">
        <v>0</v>
      </c>
      <c r="E26" s="5">
        <v>-2051772301</v>
      </c>
      <c r="G26" s="5">
        <v>0</v>
      </c>
      <c r="I26" s="5">
        <f t="shared" si="0"/>
        <v>-2051772301</v>
      </c>
      <c r="K26" s="7">
        <v>-1.6958445708136091E-2</v>
      </c>
      <c r="M26" s="5">
        <v>0</v>
      </c>
      <c r="O26" s="5">
        <v>-2051772301</v>
      </c>
      <c r="Q26" s="5">
        <v>0</v>
      </c>
      <c r="S26" s="5">
        <f t="shared" si="1"/>
        <v>-2051772301</v>
      </c>
      <c r="U26" s="7">
        <v>-4.5187811244608939E-2</v>
      </c>
    </row>
    <row r="27" spans="1:21" ht="21" x14ac:dyDescent="0.55000000000000004">
      <c r="A27" s="14" t="s">
        <v>184</v>
      </c>
      <c r="C27" s="5">
        <v>0</v>
      </c>
      <c r="E27" s="5">
        <v>204334275</v>
      </c>
      <c r="G27" s="5">
        <v>0</v>
      </c>
      <c r="I27" s="5">
        <f t="shared" si="0"/>
        <v>204334275</v>
      </c>
      <c r="K27" s="7">
        <v>1.6888773219182131E-3</v>
      </c>
      <c r="M27" s="5">
        <v>930000000</v>
      </c>
      <c r="O27" s="5">
        <v>-1642144369</v>
      </c>
      <c r="Q27" s="5">
        <v>-728288941</v>
      </c>
      <c r="S27" s="5">
        <f t="shared" si="1"/>
        <v>-1440433310</v>
      </c>
      <c r="U27" s="7">
        <v>-3.1723807018451053E-2</v>
      </c>
    </row>
    <row r="28" spans="1:21" ht="21" x14ac:dyDescent="0.55000000000000004">
      <c r="A28" s="14" t="s">
        <v>43</v>
      </c>
      <c r="C28" s="5">
        <v>0</v>
      </c>
      <c r="E28" s="5">
        <v>589315274</v>
      </c>
      <c r="G28" s="5">
        <v>0</v>
      </c>
      <c r="I28" s="5">
        <f t="shared" si="0"/>
        <v>589315274</v>
      </c>
      <c r="K28" s="7">
        <v>4.8708480342743183E-3</v>
      </c>
      <c r="M28" s="5">
        <v>273603800</v>
      </c>
      <c r="O28" s="5">
        <v>575000755</v>
      </c>
      <c r="Q28" s="5">
        <v>-158383982</v>
      </c>
      <c r="S28" s="5">
        <f t="shared" si="1"/>
        <v>690220573</v>
      </c>
      <c r="U28" s="7">
        <v>1.5201275967449482E-2</v>
      </c>
    </row>
    <row r="29" spans="1:21" ht="21" x14ac:dyDescent="0.55000000000000004">
      <c r="A29" s="14" t="s">
        <v>185</v>
      </c>
      <c r="C29" s="5">
        <v>0</v>
      </c>
      <c r="E29" s="5">
        <v>1727000193</v>
      </c>
      <c r="G29" s="5">
        <v>0</v>
      </c>
      <c r="I29" s="5">
        <f t="shared" si="0"/>
        <v>1727000193</v>
      </c>
      <c r="K29" s="7">
        <v>1.4274117550303674E-2</v>
      </c>
      <c r="M29" s="5">
        <v>3190581800</v>
      </c>
      <c r="O29" s="5">
        <v>-682744494</v>
      </c>
      <c r="Q29" s="5">
        <v>0</v>
      </c>
      <c r="S29" s="5">
        <f t="shared" si="1"/>
        <v>2507837306</v>
      </c>
      <c r="U29" s="7">
        <v>5.5232093132597845E-2</v>
      </c>
    </row>
    <row r="30" spans="1:21" ht="21" x14ac:dyDescent="0.55000000000000004">
      <c r="A30" s="14" t="s">
        <v>186</v>
      </c>
      <c r="C30" s="5">
        <v>0</v>
      </c>
      <c r="E30" s="5">
        <v>3715872938</v>
      </c>
      <c r="G30" s="5">
        <v>0</v>
      </c>
      <c r="I30" s="5">
        <f t="shared" si="0"/>
        <v>3715872938</v>
      </c>
      <c r="K30" s="7">
        <v>3.0712681639523287E-2</v>
      </c>
      <c r="M30" s="5">
        <v>7366293000</v>
      </c>
      <c r="O30" s="5">
        <v>-645540945</v>
      </c>
      <c r="Q30" s="5">
        <v>-4246775433</v>
      </c>
      <c r="S30" s="5">
        <f t="shared" si="1"/>
        <v>2473976622</v>
      </c>
      <c r="U30" s="7">
        <v>5.4486352391064488E-2</v>
      </c>
    </row>
    <row r="31" spans="1:21" ht="21" x14ac:dyDescent="0.55000000000000004">
      <c r="A31" s="14" t="s">
        <v>45</v>
      </c>
      <c r="C31" s="5">
        <v>0</v>
      </c>
      <c r="E31" s="5">
        <v>-250366020</v>
      </c>
      <c r="G31" s="5">
        <v>0</v>
      </c>
      <c r="I31" s="5">
        <f t="shared" si="0"/>
        <v>-250366020</v>
      </c>
      <c r="K31" s="7">
        <v>-2.0693419807172428E-3</v>
      </c>
      <c r="M31" s="5">
        <v>0</v>
      </c>
      <c r="O31" s="5">
        <v>-250366020</v>
      </c>
      <c r="Q31" s="5">
        <v>0</v>
      </c>
      <c r="S31" s="5">
        <f t="shared" si="1"/>
        <v>-250366020</v>
      </c>
      <c r="U31" s="7">
        <v>-5.5140097409005747E-3</v>
      </c>
    </row>
    <row r="32" spans="1:21" ht="21" x14ac:dyDescent="0.55000000000000004">
      <c r="A32" s="14" t="s">
        <v>187</v>
      </c>
      <c r="C32" s="5">
        <v>0</v>
      </c>
      <c r="E32" s="5">
        <v>0</v>
      </c>
      <c r="G32" s="5">
        <v>527339148</v>
      </c>
      <c r="I32" s="5">
        <f t="shared" si="0"/>
        <v>527339148</v>
      </c>
      <c r="K32" s="7">
        <v>4.3585988107813639E-3</v>
      </c>
      <c r="M32" s="5">
        <v>0</v>
      </c>
      <c r="O32" s="5">
        <v>0</v>
      </c>
      <c r="Q32" s="5">
        <v>527339148</v>
      </c>
      <c r="S32" s="5">
        <f t="shared" si="1"/>
        <v>527339148</v>
      </c>
      <c r="U32" s="7">
        <v>1.1614008957086948E-2</v>
      </c>
    </row>
    <row r="33" spans="1:21" ht="21" x14ac:dyDescent="0.55000000000000004">
      <c r="A33" s="14" t="s">
        <v>46</v>
      </c>
      <c r="C33" s="5">
        <v>0</v>
      </c>
      <c r="E33" s="5">
        <v>-580575972</v>
      </c>
      <c r="G33" s="5">
        <v>0</v>
      </c>
      <c r="I33" s="5">
        <f t="shared" si="0"/>
        <v>-580575972</v>
      </c>
      <c r="K33" s="7">
        <v>-4.7986153706294429E-3</v>
      </c>
      <c r="M33" s="5">
        <v>0</v>
      </c>
      <c r="O33" s="5">
        <v>-580575972</v>
      </c>
      <c r="Q33" s="5">
        <v>0</v>
      </c>
      <c r="S33" s="5">
        <f t="shared" si="1"/>
        <v>-580575972</v>
      </c>
      <c r="U33" s="7">
        <v>-1.2786485821601587E-2</v>
      </c>
    </row>
    <row r="34" spans="1:21" ht="21" x14ac:dyDescent="0.55000000000000004">
      <c r="A34" s="14" t="s">
        <v>188</v>
      </c>
      <c r="C34" s="5">
        <v>0</v>
      </c>
      <c r="E34" s="5">
        <v>1051704900</v>
      </c>
      <c r="G34" s="5">
        <v>0</v>
      </c>
      <c r="I34" s="5">
        <f t="shared" si="0"/>
        <v>1051704900</v>
      </c>
      <c r="K34" s="7">
        <v>8.692621709990956E-3</v>
      </c>
      <c r="M34" s="5">
        <v>1181400000</v>
      </c>
      <c r="O34" s="5">
        <v>-648062430</v>
      </c>
      <c r="Q34" s="5">
        <v>-1271313720</v>
      </c>
      <c r="S34" s="5">
        <f t="shared" si="1"/>
        <v>-737976150</v>
      </c>
      <c r="U34" s="7">
        <v>-1.625303497516278E-2</v>
      </c>
    </row>
    <row r="35" spans="1:21" ht="21" x14ac:dyDescent="0.55000000000000004">
      <c r="A35" s="14" t="s">
        <v>189</v>
      </c>
      <c r="C35" s="5">
        <v>0</v>
      </c>
      <c r="E35" s="5">
        <v>101240403</v>
      </c>
      <c r="G35" s="5">
        <v>178689520</v>
      </c>
      <c r="I35" s="5">
        <f t="shared" si="0"/>
        <v>279929923</v>
      </c>
      <c r="K35" s="7">
        <v>2.3136955299399068E-3</v>
      </c>
      <c r="M35" s="5">
        <v>0</v>
      </c>
      <c r="O35" s="5">
        <v>101240403</v>
      </c>
      <c r="Q35" s="5">
        <v>178689520</v>
      </c>
      <c r="S35" s="5">
        <f t="shared" si="1"/>
        <v>279929923</v>
      </c>
      <c r="U35" s="7">
        <v>6.1651190612509949E-3</v>
      </c>
    </row>
    <row r="36" spans="1:21" ht="21" x14ac:dyDescent="0.55000000000000004">
      <c r="A36" s="14" t="s">
        <v>190</v>
      </c>
      <c r="C36" s="5">
        <v>0</v>
      </c>
      <c r="E36" s="5">
        <v>907070625</v>
      </c>
      <c r="G36" s="5">
        <v>0</v>
      </c>
      <c r="I36" s="5">
        <f t="shared" si="0"/>
        <v>907070625</v>
      </c>
      <c r="K36" s="7">
        <v>7.4971808226528798E-3</v>
      </c>
      <c r="M36" s="5">
        <v>621215130</v>
      </c>
      <c r="O36" s="5">
        <v>-5032378125</v>
      </c>
      <c r="Q36" s="5">
        <v>-6939629287</v>
      </c>
      <c r="S36" s="5">
        <f t="shared" si="1"/>
        <v>-11350792282</v>
      </c>
      <c r="U36" s="7">
        <v>-0.24998751511841369</v>
      </c>
    </row>
    <row r="37" spans="1:21" ht="21" x14ac:dyDescent="0.55000000000000004">
      <c r="A37" s="14" t="s">
        <v>191</v>
      </c>
      <c r="C37" s="5">
        <v>0</v>
      </c>
      <c r="E37" s="5">
        <v>9339649062</v>
      </c>
      <c r="G37" s="5">
        <v>-9026772751</v>
      </c>
      <c r="I37" s="5">
        <f t="shared" si="0"/>
        <v>312876311</v>
      </c>
      <c r="K37" s="7">
        <v>2.5860062205096527E-3</v>
      </c>
      <c r="M37" s="5">
        <v>3861186000</v>
      </c>
      <c r="O37" s="5">
        <v>0</v>
      </c>
      <c r="Q37" s="5">
        <v>-9026772751</v>
      </c>
      <c r="S37" s="5">
        <f t="shared" si="1"/>
        <v>-5165586751</v>
      </c>
      <c r="U37" s="7">
        <v>-0.11376582038761071</v>
      </c>
    </row>
    <row r="38" spans="1:21" ht="21" x14ac:dyDescent="0.55000000000000004">
      <c r="A38" s="14" t="s">
        <v>244</v>
      </c>
      <c r="C38" s="45">
        <f>SUM(C9:C37)</f>
        <v>7251254850</v>
      </c>
      <c r="E38" s="45">
        <f>SUM(E9:E37)</f>
        <v>47913889017</v>
      </c>
      <c r="G38" s="45">
        <f>SUM(G9:G37)</f>
        <v>-15167921539</v>
      </c>
      <c r="I38" s="45">
        <f>SUM(I9:I37)</f>
        <v>39997222328</v>
      </c>
      <c r="K38" s="44">
        <f>SUM(K9:K37)</f>
        <v>0.33058771823513217</v>
      </c>
      <c r="M38" s="45">
        <f>SUM(M9:M37)</f>
        <v>31695143650</v>
      </c>
      <c r="O38" s="45">
        <f>SUM(O9:O37)</f>
        <v>-21478545093</v>
      </c>
      <c r="Q38" s="45">
        <f>SUM(Q9:Q37)</f>
        <v>-38165603266</v>
      </c>
      <c r="S38" s="45">
        <f>SUM(S9:S37)</f>
        <v>-27949004709</v>
      </c>
      <c r="U38" s="44">
        <f>SUM(U9:U37)</f>
        <v>-0.61554313246622705</v>
      </c>
    </row>
    <row r="39" spans="1:21" ht="19.899999999999999" customHeight="1" x14ac:dyDescent="0.55000000000000004">
      <c r="A39" s="36" t="s">
        <v>0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</row>
    <row r="40" spans="1:21" ht="19.899999999999999" customHeight="1" x14ac:dyDescent="0.55000000000000004">
      <c r="A40" s="36" t="s">
        <v>83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</row>
    <row r="41" spans="1:21" ht="19.899999999999999" customHeight="1" x14ac:dyDescent="0.55000000000000004">
      <c r="A41" s="36" t="s">
        <v>2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</row>
    <row r="43" spans="1:21" ht="21" x14ac:dyDescent="0.55000000000000004">
      <c r="A43" s="37" t="s">
        <v>231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7"/>
      <c r="O43" s="34"/>
      <c r="P43" s="34"/>
      <c r="Q43" s="34"/>
      <c r="R43" s="34"/>
      <c r="S43" s="34"/>
      <c r="T43" s="34"/>
      <c r="U43" s="34"/>
    </row>
    <row r="45" spans="1:21" ht="21" x14ac:dyDescent="0.55000000000000004">
      <c r="C45" s="30" t="s">
        <v>96</v>
      </c>
      <c r="D45" s="31"/>
      <c r="E45" s="31"/>
      <c r="F45" s="31"/>
      <c r="G45" s="31"/>
      <c r="H45" s="31"/>
      <c r="I45" s="31"/>
      <c r="J45" s="31"/>
      <c r="K45" s="31"/>
      <c r="M45" s="30" t="s">
        <v>7</v>
      </c>
      <c r="N45" s="31"/>
      <c r="O45" s="31"/>
      <c r="P45" s="31"/>
      <c r="Q45" s="31"/>
      <c r="R45" s="31"/>
      <c r="S45" s="31"/>
      <c r="T45" s="31"/>
      <c r="U45" s="31"/>
    </row>
    <row r="46" spans="1:21" ht="63" x14ac:dyDescent="0.55000000000000004">
      <c r="A46" s="12" t="s">
        <v>174</v>
      </c>
      <c r="C46" s="13" t="s">
        <v>94</v>
      </c>
      <c r="E46" s="13" t="s">
        <v>175</v>
      </c>
      <c r="G46" s="13" t="s">
        <v>176</v>
      </c>
      <c r="I46" s="13" t="s">
        <v>177</v>
      </c>
      <c r="K46" s="13" t="s">
        <v>178</v>
      </c>
      <c r="M46" s="13" t="s">
        <v>94</v>
      </c>
      <c r="O46" s="13" t="s">
        <v>175</v>
      </c>
      <c r="Q46" s="13" t="s">
        <v>176</v>
      </c>
      <c r="S46" s="13" t="s">
        <v>177</v>
      </c>
      <c r="U46" s="13" t="s">
        <v>178</v>
      </c>
    </row>
    <row r="47" spans="1:21" ht="21" x14ac:dyDescent="0.55000000000000004">
      <c r="A47" s="14" t="s">
        <v>245</v>
      </c>
      <c r="C47" s="5">
        <f>C38</f>
        <v>7251254850</v>
      </c>
      <c r="E47" s="5">
        <f>E38</f>
        <v>47913889017</v>
      </c>
      <c r="G47" s="5">
        <f>G38</f>
        <v>-15167921539</v>
      </c>
      <c r="I47" s="5">
        <f>I38</f>
        <v>39997222328</v>
      </c>
      <c r="K47" s="7">
        <f>K38</f>
        <v>0.33058771823513217</v>
      </c>
      <c r="M47" s="5">
        <f>M38</f>
        <v>31695143650</v>
      </c>
      <c r="O47" s="5">
        <f>O38</f>
        <v>-21478545093</v>
      </c>
      <c r="Q47" s="5">
        <f>Q38</f>
        <v>-38165603266</v>
      </c>
      <c r="S47" s="5">
        <f>S38</f>
        <v>-27949004709</v>
      </c>
      <c r="U47" s="7">
        <f>U38</f>
        <v>-0.61554313246622705</v>
      </c>
    </row>
    <row r="48" spans="1:21" ht="21" x14ac:dyDescent="0.55000000000000004">
      <c r="A48" s="14" t="s">
        <v>192</v>
      </c>
      <c r="C48" s="5">
        <v>0</v>
      </c>
      <c r="E48" s="5">
        <v>5116733208</v>
      </c>
      <c r="G48" s="5">
        <v>0</v>
      </c>
      <c r="I48" s="5">
        <f t="shared" si="0"/>
        <v>5116733208</v>
      </c>
      <c r="K48" s="7">
        <v>4.2291165675934828E-2</v>
      </c>
      <c r="M48" s="5">
        <v>0</v>
      </c>
      <c r="O48" s="5">
        <v>5391512369</v>
      </c>
      <c r="Q48" s="5">
        <v>0</v>
      </c>
      <c r="S48" s="5">
        <f t="shared" si="1"/>
        <v>5391512369</v>
      </c>
      <c r="U48" s="7">
        <v>0.11874155974062268</v>
      </c>
    </row>
    <row r="49" spans="1:21" ht="21" x14ac:dyDescent="0.55000000000000004">
      <c r="A49" s="14" t="s">
        <v>47</v>
      </c>
      <c r="C49" s="5">
        <v>0</v>
      </c>
      <c r="E49" s="5">
        <v>5086355040</v>
      </c>
      <c r="G49" s="5">
        <v>0</v>
      </c>
      <c r="I49" s="5">
        <f t="shared" si="0"/>
        <v>5086355040</v>
      </c>
      <c r="K49" s="7">
        <v>4.2040082009150964E-2</v>
      </c>
      <c r="M49" s="5">
        <v>0</v>
      </c>
      <c r="O49" s="5">
        <v>2843037170</v>
      </c>
      <c r="Q49" s="5">
        <v>0</v>
      </c>
      <c r="S49" s="5">
        <f t="shared" si="1"/>
        <v>2843037170</v>
      </c>
      <c r="U49" s="7">
        <v>6.2614466009095024E-2</v>
      </c>
    </row>
    <row r="50" spans="1:21" ht="21" x14ac:dyDescent="0.55000000000000004">
      <c r="A50" s="14" t="s">
        <v>48</v>
      </c>
      <c r="C50" s="5">
        <v>6155570160</v>
      </c>
      <c r="E50" s="5">
        <v>11784633885</v>
      </c>
      <c r="G50" s="5">
        <v>0</v>
      </c>
      <c r="I50" s="5">
        <f t="shared" si="0"/>
        <v>17940204045</v>
      </c>
      <c r="K50" s="7">
        <v>0.14828057486775478</v>
      </c>
      <c r="M50" s="5">
        <v>6155570160</v>
      </c>
      <c r="O50" s="5">
        <v>-200292169</v>
      </c>
      <c r="Q50" s="5">
        <v>0</v>
      </c>
      <c r="S50" s="5">
        <f t="shared" si="1"/>
        <v>5955277991</v>
      </c>
      <c r="U50" s="7">
        <v>0.13115781787059125</v>
      </c>
    </row>
    <row r="51" spans="1:21" ht="21" x14ac:dyDescent="0.55000000000000004">
      <c r="A51" s="14" t="s">
        <v>51</v>
      </c>
      <c r="C51" s="5">
        <v>0</v>
      </c>
      <c r="E51" s="5">
        <v>751501800</v>
      </c>
      <c r="G51" s="5">
        <v>0</v>
      </c>
      <c r="I51" s="5">
        <f t="shared" si="0"/>
        <v>751501800</v>
      </c>
      <c r="K51" s="7">
        <v>6.2113629610143313E-3</v>
      </c>
      <c r="M51" s="5">
        <v>1147500000</v>
      </c>
      <c r="O51" s="5">
        <v>-4643207549</v>
      </c>
      <c r="Q51" s="5">
        <v>3724158520</v>
      </c>
      <c r="S51" s="5">
        <f t="shared" si="1"/>
        <v>228450971</v>
      </c>
      <c r="U51" s="7">
        <v>5.0313572081874154E-3</v>
      </c>
    </row>
    <row r="52" spans="1:21" ht="21" x14ac:dyDescent="0.55000000000000004">
      <c r="A52" s="14" t="s">
        <v>193</v>
      </c>
      <c r="C52" s="5">
        <v>0</v>
      </c>
      <c r="E52" s="5">
        <v>15818641751</v>
      </c>
      <c r="G52" s="5">
        <v>-1853717590</v>
      </c>
      <c r="I52" s="5">
        <f t="shared" si="0"/>
        <v>13964924161</v>
      </c>
      <c r="K52" s="7">
        <v>0.11542382558100264</v>
      </c>
      <c r="M52" s="5">
        <v>8240000000</v>
      </c>
      <c r="O52" s="5">
        <v>-803065618</v>
      </c>
      <c r="Q52" s="5">
        <v>-2963839943</v>
      </c>
      <c r="S52" s="5">
        <f t="shared" si="1"/>
        <v>4473094439</v>
      </c>
      <c r="U52" s="7">
        <v>9.8514512107570312E-2</v>
      </c>
    </row>
    <row r="53" spans="1:21" ht="21" x14ac:dyDescent="0.55000000000000004">
      <c r="A53" s="14" t="s">
        <v>53</v>
      </c>
      <c r="C53" s="5">
        <v>0</v>
      </c>
      <c r="E53" s="5">
        <v>0</v>
      </c>
      <c r="G53" s="5">
        <v>264688441</v>
      </c>
      <c r="I53" s="5">
        <f t="shared" si="0"/>
        <v>264688441</v>
      </c>
      <c r="K53" s="7">
        <v>2.18772061309238E-3</v>
      </c>
      <c r="M53" s="5">
        <v>0</v>
      </c>
      <c r="O53" s="5">
        <v>0</v>
      </c>
      <c r="Q53" s="5">
        <v>264688441</v>
      </c>
      <c r="S53" s="5">
        <f t="shared" si="1"/>
        <v>264688441</v>
      </c>
      <c r="U53" s="7">
        <v>5.8294437958385367E-3</v>
      </c>
    </row>
    <row r="54" spans="1:21" ht="21" x14ac:dyDescent="0.55000000000000004">
      <c r="A54" s="14" t="s">
        <v>194</v>
      </c>
      <c r="C54" s="5">
        <v>0</v>
      </c>
      <c r="E54" s="5">
        <v>920363419</v>
      </c>
      <c r="G54" s="5">
        <v>0</v>
      </c>
      <c r="I54" s="5">
        <f t="shared" si="0"/>
        <v>920363419</v>
      </c>
      <c r="K54" s="7">
        <v>7.6070493130543579E-3</v>
      </c>
      <c r="M54" s="5">
        <v>1476028400</v>
      </c>
      <c r="O54" s="5">
        <v>-391632397</v>
      </c>
      <c r="Q54" s="5">
        <v>-936644980</v>
      </c>
      <c r="S54" s="5">
        <f t="shared" si="1"/>
        <v>147751023</v>
      </c>
      <c r="U54" s="7">
        <v>3.2540381480283343E-3</v>
      </c>
    </row>
    <row r="55" spans="1:21" ht="21" x14ac:dyDescent="0.55000000000000004">
      <c r="A55" s="14" t="s">
        <v>55</v>
      </c>
      <c r="C55" s="5">
        <v>0</v>
      </c>
      <c r="E55" s="5">
        <v>1442582951</v>
      </c>
      <c r="G55" s="5">
        <v>-418185001</v>
      </c>
      <c r="I55" s="5">
        <f t="shared" si="0"/>
        <v>1024397950</v>
      </c>
      <c r="K55" s="7">
        <v>8.4669224797186259E-3</v>
      </c>
      <c r="M55" s="5">
        <v>2957254200</v>
      </c>
      <c r="O55" s="5">
        <v>0</v>
      </c>
      <c r="Q55" s="5">
        <v>-864294806</v>
      </c>
      <c r="S55" s="5">
        <f t="shared" si="1"/>
        <v>2092959394</v>
      </c>
      <c r="U55" s="7">
        <v>4.6094907311404976E-2</v>
      </c>
    </row>
    <row r="56" spans="1:21" ht="21" x14ac:dyDescent="0.55000000000000004">
      <c r="A56" s="14" t="s">
        <v>57</v>
      </c>
      <c r="C56" s="5">
        <v>0</v>
      </c>
      <c r="E56" s="5">
        <v>0</v>
      </c>
      <c r="G56" s="5">
        <v>90012655</v>
      </c>
      <c r="I56" s="5">
        <f t="shared" si="0"/>
        <v>90012655</v>
      </c>
      <c r="K56" s="7">
        <v>7.4397861893286412E-4</v>
      </c>
      <c r="M56" s="5">
        <v>0</v>
      </c>
      <c r="O56" s="5">
        <v>0</v>
      </c>
      <c r="Q56" s="5">
        <v>90012655</v>
      </c>
      <c r="S56" s="5">
        <f t="shared" si="1"/>
        <v>90012655</v>
      </c>
      <c r="U56" s="7">
        <v>1.9824202041248363E-3</v>
      </c>
    </row>
    <row r="57" spans="1:21" ht="21" x14ac:dyDescent="0.55000000000000004">
      <c r="A57" s="14" t="s">
        <v>195</v>
      </c>
      <c r="C57" s="5">
        <v>0</v>
      </c>
      <c r="E57" s="5">
        <v>497267651</v>
      </c>
      <c r="G57" s="5">
        <v>0</v>
      </c>
      <c r="I57" s="5">
        <f t="shared" si="0"/>
        <v>497267651</v>
      </c>
      <c r="K57" s="7">
        <v>4.1100498616663339E-3</v>
      </c>
      <c r="M57" s="5">
        <v>3439675060</v>
      </c>
      <c r="O57" s="5">
        <v>-6768572551</v>
      </c>
      <c r="Q57" s="5">
        <v>-1498340018</v>
      </c>
      <c r="S57" s="5">
        <f t="shared" si="1"/>
        <v>-4827237509</v>
      </c>
      <c r="U57" s="7">
        <v>-0.1063140862576584</v>
      </c>
    </row>
    <row r="58" spans="1:21" ht="21" x14ac:dyDescent="0.55000000000000004">
      <c r="A58" s="14" t="s">
        <v>196</v>
      </c>
      <c r="C58" s="5">
        <v>0</v>
      </c>
      <c r="E58" s="5">
        <v>1568464044</v>
      </c>
      <c r="G58" s="5">
        <v>0</v>
      </c>
      <c r="I58" s="5">
        <f t="shared" si="0"/>
        <v>1568464044</v>
      </c>
      <c r="K58" s="7">
        <v>1.2963773963794036E-2</v>
      </c>
      <c r="M58" s="5">
        <v>1973847300</v>
      </c>
      <c r="O58" s="5">
        <v>-8664535939</v>
      </c>
      <c r="Q58" s="5">
        <v>85922324</v>
      </c>
      <c r="S58" s="5">
        <f t="shared" si="1"/>
        <v>-6604766315</v>
      </c>
      <c r="U58" s="7">
        <v>-0.14546201516196963</v>
      </c>
    </row>
    <row r="59" spans="1:21" ht="21" x14ac:dyDescent="0.55000000000000004">
      <c r="A59" s="14" t="s">
        <v>197</v>
      </c>
      <c r="C59" s="5">
        <v>0</v>
      </c>
      <c r="E59" s="5">
        <v>9677360706</v>
      </c>
      <c r="G59" s="5">
        <v>-250307537</v>
      </c>
      <c r="I59" s="5">
        <f t="shared" si="0"/>
        <v>9427053169</v>
      </c>
      <c r="K59" s="7">
        <v>7.7917110624937128E-2</v>
      </c>
      <c r="M59" s="5">
        <v>4262400000</v>
      </c>
      <c r="O59" s="5">
        <v>349654898</v>
      </c>
      <c r="Q59" s="5">
        <v>-250307537</v>
      </c>
      <c r="S59" s="5">
        <f t="shared" si="1"/>
        <v>4361747361</v>
      </c>
      <c r="U59" s="7">
        <v>9.6062226958360308E-2</v>
      </c>
    </row>
    <row r="60" spans="1:21" ht="21" x14ac:dyDescent="0.55000000000000004">
      <c r="A60" s="14" t="s">
        <v>62</v>
      </c>
      <c r="C60" s="5">
        <v>0</v>
      </c>
      <c r="E60" s="5">
        <v>725656500</v>
      </c>
      <c r="G60" s="5">
        <v>0</v>
      </c>
      <c r="I60" s="5">
        <f t="shared" si="0"/>
        <v>725656500</v>
      </c>
      <c r="K60" s="7">
        <v>5.9977446581223042E-3</v>
      </c>
      <c r="M60" s="5">
        <v>2512500760</v>
      </c>
      <c r="O60" s="5">
        <v>-1013863786</v>
      </c>
      <c r="Q60" s="5">
        <v>-4495866151</v>
      </c>
      <c r="S60" s="5">
        <f t="shared" si="1"/>
        <v>-2997229177</v>
      </c>
      <c r="U60" s="7">
        <v>-6.6010359064258853E-2</v>
      </c>
    </row>
    <row r="61" spans="1:21" ht="21" x14ac:dyDescent="0.55000000000000004">
      <c r="A61" s="14" t="s">
        <v>198</v>
      </c>
      <c r="C61" s="5">
        <v>0</v>
      </c>
      <c r="E61" s="5">
        <v>7585240666</v>
      </c>
      <c r="G61" s="5">
        <v>-2901163873</v>
      </c>
      <c r="I61" s="5">
        <f t="shared" si="0"/>
        <v>4684076793</v>
      </c>
      <c r="K61" s="7">
        <v>3.8715144925251001E-2</v>
      </c>
      <c r="M61" s="5">
        <v>4425879400</v>
      </c>
      <c r="O61" s="5">
        <v>-10907924327</v>
      </c>
      <c r="Q61" s="5">
        <v>-2901163873</v>
      </c>
      <c r="S61" s="5">
        <f t="shared" si="1"/>
        <v>-9383208800</v>
      </c>
      <c r="U61" s="7">
        <v>-0.20665386111143993</v>
      </c>
    </row>
    <row r="62" spans="1:21" ht="21" x14ac:dyDescent="0.55000000000000004">
      <c r="A62" s="14" t="s">
        <v>199</v>
      </c>
      <c r="C62" s="5">
        <v>0</v>
      </c>
      <c r="E62" s="5">
        <v>807665625</v>
      </c>
      <c r="G62" s="5">
        <v>0</v>
      </c>
      <c r="I62" s="5">
        <f t="shared" si="0"/>
        <v>807665625</v>
      </c>
      <c r="K62" s="7">
        <v>6.6755719653758521E-3</v>
      </c>
      <c r="M62" s="5">
        <v>2711538480</v>
      </c>
      <c r="O62" s="5">
        <v>-1014428025</v>
      </c>
      <c r="Q62" s="5">
        <v>-2580275242</v>
      </c>
      <c r="S62" s="5">
        <f t="shared" si="1"/>
        <v>-883164787</v>
      </c>
      <c r="U62" s="7">
        <v>-1.9450639660838886E-2</v>
      </c>
    </row>
    <row r="63" spans="1:21" ht="21" x14ac:dyDescent="0.55000000000000004">
      <c r="A63" s="14" t="s">
        <v>200</v>
      </c>
      <c r="C63" s="5">
        <v>0</v>
      </c>
      <c r="E63" s="5">
        <v>2735462031</v>
      </c>
      <c r="G63" s="5">
        <v>0</v>
      </c>
      <c r="I63" s="5">
        <f t="shared" si="0"/>
        <v>2735462031</v>
      </c>
      <c r="K63" s="7">
        <v>2.260932381082046E-2</v>
      </c>
      <c r="M63" s="5">
        <v>2155051860</v>
      </c>
      <c r="O63" s="5">
        <v>-7034378758</v>
      </c>
      <c r="Q63" s="5">
        <v>-2918135760</v>
      </c>
      <c r="S63" s="5">
        <f t="shared" si="1"/>
        <v>-7797462658</v>
      </c>
      <c r="U63" s="7">
        <v>-0.17172971416217139</v>
      </c>
    </row>
    <row r="64" spans="1:21" ht="21" x14ac:dyDescent="0.55000000000000004">
      <c r="A64" s="14" t="s">
        <v>66</v>
      </c>
      <c r="C64" s="5">
        <v>0</v>
      </c>
      <c r="E64" s="5">
        <v>2345958000</v>
      </c>
      <c r="G64" s="5">
        <v>0</v>
      </c>
      <c r="I64" s="5">
        <f t="shared" si="0"/>
        <v>2345958000</v>
      </c>
      <c r="K64" s="7">
        <v>1.9389969031737859E-2</v>
      </c>
      <c r="M64" s="5">
        <v>0</v>
      </c>
      <c r="O64" s="5">
        <v>1296365591</v>
      </c>
      <c r="Q64" s="5">
        <v>1064326375</v>
      </c>
      <c r="S64" s="5">
        <f t="shared" si="1"/>
        <v>2360691966</v>
      </c>
      <c r="U64" s="7">
        <v>5.1991394422412948E-2</v>
      </c>
    </row>
    <row r="65" spans="1:21" ht="21" x14ac:dyDescent="0.55000000000000004">
      <c r="A65" s="14" t="s">
        <v>67</v>
      </c>
      <c r="C65" s="5">
        <v>0</v>
      </c>
      <c r="E65" s="5">
        <v>337132057</v>
      </c>
      <c r="G65" s="5">
        <v>0</v>
      </c>
      <c r="I65" s="5">
        <f t="shared" si="0"/>
        <v>337132057</v>
      </c>
      <c r="K65" s="7">
        <v>2.7864864353224069E-3</v>
      </c>
      <c r="M65" s="5">
        <v>1864000000</v>
      </c>
      <c r="O65" s="5">
        <v>1527737135</v>
      </c>
      <c r="Q65" s="5">
        <v>2663767254</v>
      </c>
      <c r="S65" s="5">
        <f t="shared" si="1"/>
        <v>6055504389</v>
      </c>
      <c r="U65" s="7">
        <v>0.13336518345026288</v>
      </c>
    </row>
    <row r="66" spans="1:21" ht="21" x14ac:dyDescent="0.55000000000000004">
      <c r="A66" s="14" t="s">
        <v>68</v>
      </c>
      <c r="C66" s="5">
        <v>0</v>
      </c>
      <c r="E66" s="5">
        <v>4176769468</v>
      </c>
      <c r="G66" s="5">
        <v>0</v>
      </c>
      <c r="I66" s="5">
        <f t="shared" si="0"/>
        <v>4176769468</v>
      </c>
      <c r="K66" s="7">
        <v>3.4522114478276342E-2</v>
      </c>
      <c r="M66" s="5">
        <v>3509680000</v>
      </c>
      <c r="O66" s="5">
        <v>4038733503</v>
      </c>
      <c r="Q66" s="5">
        <v>5777609211</v>
      </c>
      <c r="S66" s="5">
        <f t="shared" si="1"/>
        <v>13326022714</v>
      </c>
      <c r="U66" s="7">
        <v>0.29348958397972025</v>
      </c>
    </row>
    <row r="67" spans="1:21" ht="21" x14ac:dyDescent="0.55000000000000004">
      <c r="A67" s="14" t="s">
        <v>69</v>
      </c>
      <c r="C67" s="5">
        <v>0</v>
      </c>
      <c r="E67" s="5">
        <v>1231627950</v>
      </c>
      <c r="G67" s="5">
        <v>0</v>
      </c>
      <c r="I67" s="5">
        <f t="shared" si="0"/>
        <v>1231627950</v>
      </c>
      <c r="K67" s="7">
        <v>1.0179733741662375E-2</v>
      </c>
      <c r="M67" s="5">
        <v>0</v>
      </c>
      <c r="O67" s="5">
        <v>1480901823</v>
      </c>
      <c r="Q67" s="5">
        <v>0</v>
      </c>
      <c r="S67" s="5">
        <f t="shared" si="1"/>
        <v>1480901823</v>
      </c>
      <c r="U67" s="7">
        <v>3.2615077227091033E-2</v>
      </c>
    </row>
    <row r="68" spans="1:21" ht="21" x14ac:dyDescent="0.55000000000000004">
      <c r="A68" s="14" t="s">
        <v>201</v>
      </c>
      <c r="C68" s="5">
        <v>0</v>
      </c>
      <c r="E68" s="5">
        <v>3910036032</v>
      </c>
      <c r="G68" s="5">
        <v>0</v>
      </c>
      <c r="I68" s="5">
        <f t="shared" si="0"/>
        <v>3910036032</v>
      </c>
      <c r="K68" s="7">
        <v>3.2317491435677526E-2</v>
      </c>
      <c r="M68" s="5">
        <v>4509477500</v>
      </c>
      <c r="O68" s="5">
        <v>7104992256</v>
      </c>
      <c r="Q68" s="5">
        <v>562923426</v>
      </c>
      <c r="S68" s="5">
        <f t="shared" si="1"/>
        <v>12177393182</v>
      </c>
      <c r="U68" s="7">
        <v>0.26819240336338074</v>
      </c>
    </row>
    <row r="69" spans="1:21" ht="21" x14ac:dyDescent="0.55000000000000004">
      <c r="A69" s="14" t="s">
        <v>202</v>
      </c>
      <c r="C69" s="5">
        <v>0</v>
      </c>
      <c r="E69" s="5">
        <v>2125775925</v>
      </c>
      <c r="G69" s="5">
        <v>0</v>
      </c>
      <c r="I69" s="5">
        <f t="shared" si="0"/>
        <v>2125775925</v>
      </c>
      <c r="K69" s="7">
        <v>1.7570105412869241E-2</v>
      </c>
      <c r="M69" s="5">
        <v>455000000</v>
      </c>
      <c r="O69" s="5">
        <v>-944458042</v>
      </c>
      <c r="Q69" s="5">
        <v>-7770636373</v>
      </c>
      <c r="S69" s="5">
        <f t="shared" si="1"/>
        <v>-8260094415</v>
      </c>
      <c r="U69" s="7">
        <v>-0.18191862084586571</v>
      </c>
    </row>
    <row r="70" spans="1:21" ht="21" x14ac:dyDescent="0.55000000000000004">
      <c r="A70" s="14" t="s">
        <v>104</v>
      </c>
      <c r="C70" s="5">
        <v>0</v>
      </c>
      <c r="E70" s="5">
        <v>0</v>
      </c>
      <c r="G70" s="5">
        <v>0</v>
      </c>
      <c r="I70" s="5">
        <f t="shared" si="0"/>
        <v>0</v>
      </c>
      <c r="K70" s="7">
        <v>0</v>
      </c>
      <c r="L70" s="6"/>
      <c r="M70" s="5">
        <v>616627200</v>
      </c>
      <c r="O70" s="5">
        <v>0</v>
      </c>
      <c r="Q70" s="5">
        <v>2743890294</v>
      </c>
      <c r="S70" s="5">
        <f t="shared" si="1"/>
        <v>3360517494</v>
      </c>
      <c r="U70" s="7">
        <v>7.4011346253708032E-2</v>
      </c>
    </row>
    <row r="71" spans="1:21" ht="21" x14ac:dyDescent="0.55000000000000004">
      <c r="A71" s="14" t="s">
        <v>203</v>
      </c>
      <c r="C71" s="5">
        <v>0</v>
      </c>
      <c r="E71" s="5">
        <v>0</v>
      </c>
      <c r="G71" s="5">
        <v>0</v>
      </c>
      <c r="I71" s="5">
        <f t="shared" si="0"/>
        <v>0</v>
      </c>
      <c r="K71" s="7">
        <v>0</v>
      </c>
      <c r="L71" s="6"/>
      <c r="M71" s="5">
        <v>229600000</v>
      </c>
      <c r="O71" s="5">
        <v>0</v>
      </c>
      <c r="Q71" s="5">
        <v>2059608054</v>
      </c>
      <c r="S71" s="5">
        <f t="shared" si="1"/>
        <v>2289208054</v>
      </c>
      <c r="U71" s="7">
        <v>5.0417047443994389E-2</v>
      </c>
    </row>
    <row r="72" spans="1:21" ht="21" x14ac:dyDescent="0.55000000000000004">
      <c r="A72" s="14" t="s">
        <v>164</v>
      </c>
      <c r="C72" s="5">
        <v>0</v>
      </c>
      <c r="E72" s="5">
        <v>0</v>
      </c>
      <c r="G72" s="5">
        <v>0</v>
      </c>
      <c r="I72" s="5">
        <f t="shared" si="0"/>
        <v>0</v>
      </c>
      <c r="K72" s="7">
        <v>0</v>
      </c>
      <c r="L72" s="6"/>
      <c r="M72" s="5">
        <v>0</v>
      </c>
      <c r="O72" s="5">
        <v>0</v>
      </c>
      <c r="Q72" s="5">
        <v>24909200024</v>
      </c>
      <c r="S72" s="5">
        <f t="shared" si="1"/>
        <v>24909200024</v>
      </c>
      <c r="U72" s="7">
        <v>0.5485950991687164</v>
      </c>
    </row>
    <row r="73" spans="1:21" ht="21" x14ac:dyDescent="0.55000000000000004">
      <c r="A73" s="14" t="s">
        <v>167</v>
      </c>
      <c r="C73" s="5">
        <v>0</v>
      </c>
      <c r="E73" s="5">
        <v>0</v>
      </c>
      <c r="G73" s="5">
        <v>0</v>
      </c>
      <c r="I73" s="5">
        <f t="shared" si="0"/>
        <v>0</v>
      </c>
      <c r="K73" s="7">
        <v>0</v>
      </c>
      <c r="L73" s="6"/>
      <c r="M73" s="5">
        <v>0</v>
      </c>
      <c r="O73" s="5">
        <v>0</v>
      </c>
      <c r="Q73" s="5">
        <v>3589617595</v>
      </c>
      <c r="S73" s="5">
        <f t="shared" si="1"/>
        <v>3589617595</v>
      </c>
      <c r="U73" s="7">
        <v>7.9056999767532735E-2</v>
      </c>
    </row>
    <row r="74" spans="1:21" ht="21" x14ac:dyDescent="0.55000000000000004">
      <c r="A74" s="14" t="s">
        <v>204</v>
      </c>
      <c r="C74" s="5">
        <v>0</v>
      </c>
      <c r="E74" s="5">
        <v>0</v>
      </c>
      <c r="G74" s="5">
        <v>0</v>
      </c>
      <c r="I74" s="5">
        <f t="shared" si="0"/>
        <v>0</v>
      </c>
      <c r="K74" s="7">
        <v>0</v>
      </c>
      <c r="L74" s="6"/>
      <c r="M74" s="5">
        <v>0</v>
      </c>
      <c r="O74" s="5">
        <v>0</v>
      </c>
      <c r="Q74" s="5">
        <v>-543685264</v>
      </c>
      <c r="S74" s="5">
        <f t="shared" si="1"/>
        <v>-543685264</v>
      </c>
      <c r="U74" s="7">
        <v>-1.1974012454565922E-2</v>
      </c>
    </row>
    <row r="75" spans="1:21" ht="21" x14ac:dyDescent="0.55000000000000004">
      <c r="A75" s="14" t="s">
        <v>120</v>
      </c>
      <c r="C75" s="5">
        <v>0</v>
      </c>
      <c r="E75" s="5">
        <v>0</v>
      </c>
      <c r="G75" s="5">
        <v>0</v>
      </c>
      <c r="I75" s="5">
        <f t="shared" si="0"/>
        <v>0</v>
      </c>
      <c r="K75" s="7">
        <v>0</v>
      </c>
      <c r="L75" s="6"/>
      <c r="M75" s="5">
        <v>772875000</v>
      </c>
      <c r="O75" s="5">
        <v>0</v>
      </c>
      <c r="Q75" s="5">
        <v>2443155390</v>
      </c>
      <c r="S75" s="5">
        <f t="shared" si="1"/>
        <v>3216030390</v>
      </c>
      <c r="U75" s="7">
        <v>7.0829191986565412E-2</v>
      </c>
    </row>
    <row r="76" spans="1:21" ht="21" x14ac:dyDescent="0.55000000000000004">
      <c r="A76" s="14" t="s">
        <v>244</v>
      </c>
      <c r="C76" s="45">
        <f>SUM(C47:C75)</f>
        <v>13406825010</v>
      </c>
      <c r="E76" s="45">
        <f>SUM(E47:E75)</f>
        <v>126559117726</v>
      </c>
      <c r="G76" s="45">
        <f>SUM(G47:G75)</f>
        <v>-20236594444</v>
      </c>
      <c r="I76" s="45">
        <f>SUM(I47:I75)</f>
        <v>119729348292</v>
      </c>
      <c r="K76" s="44">
        <f>SUM(K47:K75)</f>
        <v>0.98959502070030059</v>
      </c>
      <c r="M76" s="45">
        <f>SUM(M47:M75)</f>
        <v>85109648970</v>
      </c>
      <c r="O76" s="45">
        <f>SUM(O47:O75)</f>
        <v>-39831969509</v>
      </c>
      <c r="Q76" s="45">
        <f>SUM(Q47:Q75)</f>
        <v>-15909913650</v>
      </c>
      <c r="S76" s="45">
        <f>SUM(S47:S75)</f>
        <v>29367765811</v>
      </c>
      <c r="U76" s="44">
        <f>SUM(U47:U75)</f>
        <v>0.64678963523221267</v>
      </c>
    </row>
    <row r="77" spans="1:21" ht="19.899999999999999" customHeight="1" x14ac:dyDescent="0.55000000000000004">
      <c r="A77" s="36" t="s">
        <v>0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</row>
    <row r="78" spans="1:21" ht="19.899999999999999" customHeight="1" x14ac:dyDescent="0.55000000000000004">
      <c r="A78" s="36" t="s">
        <v>83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</row>
    <row r="79" spans="1:21" ht="19.899999999999999" customHeight="1" x14ac:dyDescent="0.55000000000000004">
      <c r="A79" s="36" t="s">
        <v>2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</row>
    <row r="81" spans="1:21" ht="21" x14ac:dyDescent="0.55000000000000004">
      <c r="A81" s="37" t="s">
        <v>231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7"/>
      <c r="O81" s="34"/>
      <c r="P81" s="34"/>
      <c r="Q81" s="34"/>
      <c r="R81" s="34"/>
      <c r="S81" s="34"/>
      <c r="T81" s="34"/>
      <c r="U81" s="34"/>
    </row>
    <row r="83" spans="1:21" ht="21" x14ac:dyDescent="0.55000000000000004">
      <c r="C83" s="30" t="s">
        <v>96</v>
      </c>
      <c r="D83" s="31"/>
      <c r="E83" s="31"/>
      <c r="F83" s="31"/>
      <c r="G83" s="31"/>
      <c r="H83" s="31"/>
      <c r="I83" s="31"/>
      <c r="J83" s="31"/>
      <c r="K83" s="31"/>
      <c r="M83" s="30" t="s">
        <v>7</v>
      </c>
      <c r="N83" s="31"/>
      <c r="O83" s="31"/>
      <c r="P83" s="31"/>
      <c r="Q83" s="31"/>
      <c r="R83" s="31"/>
      <c r="S83" s="31"/>
      <c r="T83" s="31"/>
      <c r="U83" s="31"/>
    </row>
    <row r="84" spans="1:21" ht="63" x14ac:dyDescent="0.55000000000000004">
      <c r="A84" s="12" t="s">
        <v>174</v>
      </c>
      <c r="C84" s="13" t="s">
        <v>94</v>
      </c>
      <c r="E84" s="13" t="s">
        <v>175</v>
      </c>
      <c r="G84" s="13" t="s">
        <v>176</v>
      </c>
      <c r="I84" s="13" t="s">
        <v>177</v>
      </c>
      <c r="K84" s="13" t="s">
        <v>178</v>
      </c>
      <c r="M84" s="13" t="s">
        <v>94</v>
      </c>
      <c r="O84" s="13" t="s">
        <v>175</v>
      </c>
      <c r="Q84" s="13" t="s">
        <v>176</v>
      </c>
      <c r="S84" s="13" t="s">
        <v>177</v>
      </c>
      <c r="U84" s="13" t="s">
        <v>178</v>
      </c>
    </row>
    <row r="85" spans="1:21" ht="21" x14ac:dyDescent="0.55000000000000004">
      <c r="A85" s="14" t="s">
        <v>245</v>
      </c>
      <c r="C85" s="5">
        <f>C76</f>
        <v>13406825010</v>
      </c>
      <c r="E85" s="5">
        <f>E76</f>
        <v>126559117726</v>
      </c>
      <c r="G85" s="5">
        <f>G76</f>
        <v>-20236594444</v>
      </c>
      <c r="I85" s="5">
        <f>I76</f>
        <v>119729348292</v>
      </c>
      <c r="K85" s="7">
        <f>K76</f>
        <v>0.98959502070030059</v>
      </c>
      <c r="M85" s="5">
        <f>M76</f>
        <v>85109648970</v>
      </c>
      <c r="O85" s="5">
        <f>O76</f>
        <v>-39831969509</v>
      </c>
      <c r="Q85" s="5">
        <f>Q76</f>
        <v>-15909913650</v>
      </c>
      <c r="S85" s="5">
        <f>S76</f>
        <v>29367765811</v>
      </c>
      <c r="U85" s="7">
        <f>U76</f>
        <v>0.64678963523221267</v>
      </c>
    </row>
    <row r="86" spans="1:21" ht="21" x14ac:dyDescent="0.55000000000000004">
      <c r="A86" s="14" t="s">
        <v>126</v>
      </c>
      <c r="C86" s="5">
        <v>0</v>
      </c>
      <c r="E86" s="5">
        <v>0</v>
      </c>
      <c r="G86" s="5">
        <v>0</v>
      </c>
      <c r="I86" s="5">
        <f t="shared" si="0"/>
        <v>0</v>
      </c>
      <c r="K86" s="7">
        <v>0</v>
      </c>
      <c r="L86" s="6"/>
      <c r="M86" s="5">
        <v>425600000</v>
      </c>
      <c r="O86" s="5">
        <v>0</v>
      </c>
      <c r="Q86" s="5">
        <v>-2112709377</v>
      </c>
      <c r="S86" s="5">
        <f t="shared" si="1"/>
        <v>-1687109377</v>
      </c>
      <c r="U86" s="7">
        <v>-3.7156549993256675E-2</v>
      </c>
    </row>
    <row r="87" spans="1:21" ht="21" x14ac:dyDescent="0.55000000000000004">
      <c r="A87" s="14" t="s">
        <v>169</v>
      </c>
      <c r="C87" s="5">
        <v>0</v>
      </c>
      <c r="E87" s="5">
        <v>0</v>
      </c>
      <c r="G87" s="5">
        <v>0</v>
      </c>
      <c r="I87" s="5">
        <f t="shared" si="0"/>
        <v>0</v>
      </c>
      <c r="K87" s="7">
        <v>0</v>
      </c>
      <c r="L87" s="6"/>
      <c r="M87" s="5">
        <v>0</v>
      </c>
      <c r="O87" s="5">
        <v>0</v>
      </c>
      <c r="Q87" s="5">
        <v>-318900341</v>
      </c>
      <c r="S87" s="5">
        <f t="shared" si="1"/>
        <v>-318900341</v>
      </c>
      <c r="U87" s="7">
        <v>-7.0233955336691254E-3</v>
      </c>
    </row>
    <row r="88" spans="1:21" ht="21" x14ac:dyDescent="0.55000000000000004">
      <c r="A88" s="14" t="s">
        <v>131</v>
      </c>
      <c r="C88" s="5">
        <v>0</v>
      </c>
      <c r="E88" s="5">
        <v>0</v>
      </c>
      <c r="G88" s="5">
        <v>0</v>
      </c>
      <c r="I88" s="5">
        <f t="shared" si="0"/>
        <v>0</v>
      </c>
      <c r="K88" s="7">
        <v>0</v>
      </c>
      <c r="L88" s="6"/>
      <c r="M88" s="5">
        <v>178500000</v>
      </c>
      <c r="O88" s="5">
        <v>0</v>
      </c>
      <c r="Q88" s="5">
        <v>-3240818970</v>
      </c>
      <c r="S88" s="5">
        <f t="shared" si="1"/>
        <v>-3062318970</v>
      </c>
      <c r="U88" s="7">
        <v>-6.7443883280664904E-2</v>
      </c>
    </row>
    <row r="89" spans="1:21" ht="21" x14ac:dyDescent="0.55000000000000004">
      <c r="A89" s="14" t="s">
        <v>205</v>
      </c>
      <c r="C89" s="5">
        <v>0</v>
      </c>
      <c r="E89" s="5">
        <v>0</v>
      </c>
      <c r="G89" s="5">
        <v>0</v>
      </c>
      <c r="I89" s="5">
        <f t="shared" si="0"/>
        <v>0</v>
      </c>
      <c r="K89" s="7">
        <v>0</v>
      </c>
      <c r="L89" s="6"/>
      <c r="M89" s="5">
        <v>0</v>
      </c>
      <c r="O89" s="5">
        <v>0</v>
      </c>
      <c r="Q89" s="5">
        <v>-471040044</v>
      </c>
      <c r="S89" s="5">
        <f t="shared" si="1"/>
        <v>-471040044</v>
      </c>
      <c r="U89" s="7">
        <v>-1.0374089067558909E-2</v>
      </c>
    </row>
    <row r="90" spans="1:21" ht="21" x14ac:dyDescent="0.55000000000000004">
      <c r="A90" s="14" t="s">
        <v>170</v>
      </c>
      <c r="C90" s="5">
        <v>0</v>
      </c>
      <c r="E90" s="5">
        <v>0</v>
      </c>
      <c r="G90" s="5">
        <v>0</v>
      </c>
      <c r="I90" s="5">
        <f t="shared" si="0"/>
        <v>0</v>
      </c>
      <c r="K90" s="7">
        <v>0</v>
      </c>
      <c r="L90" s="6"/>
      <c r="M90" s="5">
        <v>0</v>
      </c>
      <c r="O90" s="5">
        <v>0</v>
      </c>
      <c r="Q90" s="5">
        <v>937550</v>
      </c>
      <c r="S90" s="5">
        <f t="shared" si="1"/>
        <v>937550</v>
      </c>
      <c r="U90" s="7">
        <v>2.0648408408542556E-5</v>
      </c>
    </row>
    <row r="91" spans="1:21" ht="21" x14ac:dyDescent="0.55000000000000004">
      <c r="A91" s="14" t="s">
        <v>206</v>
      </c>
      <c r="C91" s="5">
        <v>0</v>
      </c>
      <c r="E91" s="5">
        <v>0</v>
      </c>
      <c r="G91" s="5">
        <v>0</v>
      </c>
      <c r="I91" s="5">
        <f t="shared" si="0"/>
        <v>0</v>
      </c>
      <c r="K91" s="7">
        <v>0</v>
      </c>
      <c r="L91" s="6"/>
      <c r="M91" s="5">
        <v>0</v>
      </c>
      <c r="O91" s="5">
        <v>0</v>
      </c>
      <c r="Q91" s="5">
        <v>-309749722</v>
      </c>
      <c r="S91" s="5">
        <f t="shared" si="1"/>
        <v>-309749722</v>
      </c>
      <c r="U91" s="7">
        <v>-6.8218641824846884E-3</v>
      </c>
    </row>
    <row r="92" spans="1:21" ht="21" x14ac:dyDescent="0.55000000000000004">
      <c r="A92" s="14" t="s">
        <v>132</v>
      </c>
      <c r="C92" s="5">
        <v>0</v>
      </c>
      <c r="E92" s="5">
        <v>0</v>
      </c>
      <c r="G92" s="5">
        <v>0</v>
      </c>
      <c r="I92" s="5">
        <f t="shared" si="0"/>
        <v>0</v>
      </c>
      <c r="K92" s="7">
        <v>0</v>
      </c>
      <c r="L92" s="6"/>
      <c r="M92" s="5">
        <v>4800000</v>
      </c>
      <c r="O92" s="5">
        <v>0</v>
      </c>
      <c r="Q92" s="5">
        <v>119241876</v>
      </c>
      <c r="S92" s="5">
        <f t="shared" si="1"/>
        <v>124041876</v>
      </c>
      <c r="U92" s="7">
        <v>2.7318727698893851E-3</v>
      </c>
    </row>
    <row r="93" spans="1:21" ht="21" x14ac:dyDescent="0.55000000000000004">
      <c r="A93" s="14" t="s">
        <v>148</v>
      </c>
      <c r="C93" s="5">
        <v>0</v>
      </c>
      <c r="E93" s="5">
        <v>0</v>
      </c>
      <c r="G93" s="5">
        <v>0</v>
      </c>
      <c r="H93" s="5"/>
      <c r="I93" s="5">
        <f t="shared" si="0"/>
        <v>0</v>
      </c>
      <c r="K93" s="7">
        <v>0</v>
      </c>
      <c r="L93" s="6"/>
      <c r="M93" s="5">
        <v>0</v>
      </c>
      <c r="O93" s="5">
        <v>0</v>
      </c>
      <c r="Q93" s="5">
        <v>10759680</v>
      </c>
      <c r="S93" s="5">
        <f t="shared" si="1"/>
        <v>10759680</v>
      </c>
      <c r="U93" s="7">
        <v>2.3696897977198782E-4</v>
      </c>
    </row>
    <row r="94" spans="1:21" ht="21" x14ac:dyDescent="0.55000000000000004">
      <c r="A94" s="14" t="s">
        <v>149</v>
      </c>
      <c r="C94" s="5">
        <v>0</v>
      </c>
      <c r="E94" s="5">
        <v>0</v>
      </c>
      <c r="G94" s="5">
        <v>0</v>
      </c>
      <c r="H94" s="5"/>
      <c r="I94" s="5">
        <f t="shared" ref="I94:I135" si="2">C94+E94+G94</f>
        <v>0</v>
      </c>
      <c r="K94" s="7">
        <v>0</v>
      </c>
      <c r="L94" s="6"/>
      <c r="M94" s="5">
        <v>0</v>
      </c>
      <c r="O94" s="5">
        <v>0</v>
      </c>
      <c r="Q94" s="5">
        <v>-365759802</v>
      </c>
      <c r="S94" s="5">
        <f t="shared" ref="S94:S135" si="3">M94+O94+Q94</f>
        <v>-365759802</v>
      </c>
      <c r="U94" s="7">
        <v>-8.0554186668696723E-3</v>
      </c>
    </row>
    <row r="95" spans="1:21" ht="21" x14ac:dyDescent="0.55000000000000004">
      <c r="A95" s="14" t="s">
        <v>19</v>
      </c>
      <c r="C95" s="5">
        <v>0</v>
      </c>
      <c r="E95" s="5">
        <v>-535284120</v>
      </c>
      <c r="F95" s="5"/>
      <c r="G95" s="5">
        <v>750737448</v>
      </c>
      <c r="H95" s="5"/>
      <c r="I95" s="5">
        <f t="shared" si="2"/>
        <v>215453328</v>
      </c>
      <c r="K95" s="7">
        <v>1.7807792627595462E-3</v>
      </c>
      <c r="L95" s="6"/>
      <c r="M95" s="5">
        <v>0</v>
      </c>
      <c r="O95" s="5">
        <v>53886121</v>
      </c>
      <c r="Q95" s="5">
        <v>750737448</v>
      </c>
      <c r="S95" s="5">
        <f t="shared" si="3"/>
        <v>804623569</v>
      </c>
      <c r="U95" s="7">
        <v>1.7720864026293127E-2</v>
      </c>
    </row>
    <row r="96" spans="1:21" ht="21" x14ac:dyDescent="0.55000000000000004">
      <c r="A96" s="14" t="s">
        <v>150</v>
      </c>
      <c r="C96" s="5">
        <v>0</v>
      </c>
      <c r="E96" s="5">
        <v>0</v>
      </c>
      <c r="G96" s="5">
        <v>0</v>
      </c>
      <c r="H96" s="5"/>
      <c r="I96" s="5">
        <f t="shared" si="2"/>
        <v>0</v>
      </c>
      <c r="K96" s="7">
        <v>0</v>
      </c>
      <c r="L96" s="6"/>
      <c r="M96" s="5">
        <v>0</v>
      </c>
      <c r="O96" s="5">
        <v>-84678189</v>
      </c>
      <c r="Q96" s="5">
        <v>711022568</v>
      </c>
      <c r="S96" s="5">
        <f t="shared" si="3"/>
        <v>626344379</v>
      </c>
      <c r="U96" s="7">
        <v>1.3794479805863118E-2</v>
      </c>
    </row>
    <row r="97" spans="1:21" ht="21" x14ac:dyDescent="0.55000000000000004">
      <c r="A97" s="14" t="s">
        <v>151</v>
      </c>
      <c r="C97" s="5">
        <v>0</v>
      </c>
      <c r="E97" s="5">
        <v>0</v>
      </c>
      <c r="G97" s="5">
        <v>0</v>
      </c>
      <c r="H97" s="5"/>
      <c r="I97" s="5">
        <f t="shared" si="2"/>
        <v>0</v>
      </c>
      <c r="K97" s="7">
        <v>0</v>
      </c>
      <c r="L97" s="6"/>
      <c r="M97" s="5">
        <v>0</v>
      </c>
      <c r="O97" s="5">
        <v>7698018</v>
      </c>
      <c r="Q97" s="5">
        <v>28948875</v>
      </c>
      <c r="S97" s="5">
        <f t="shared" si="3"/>
        <v>36646893</v>
      </c>
      <c r="U97" s="7">
        <v>8.0710363561213735E-4</v>
      </c>
    </row>
    <row r="98" spans="1:21" ht="21" x14ac:dyDescent="0.55000000000000004">
      <c r="A98" s="14" t="s">
        <v>20</v>
      </c>
      <c r="C98" s="5">
        <v>0</v>
      </c>
      <c r="E98" s="5">
        <v>-175098076</v>
      </c>
      <c r="F98" s="5"/>
      <c r="G98" s="5">
        <v>118141394</v>
      </c>
      <c r="H98" s="5"/>
      <c r="I98" s="5">
        <f t="shared" si="2"/>
        <v>-56956682</v>
      </c>
      <c r="K98" s="7">
        <v>-4.7076217908868838E-4</v>
      </c>
      <c r="L98" s="6"/>
      <c r="M98" s="5">
        <v>0</v>
      </c>
      <c r="O98" s="5">
        <v>51349774</v>
      </c>
      <c r="Q98" s="5">
        <v>118141394</v>
      </c>
      <c r="S98" s="5">
        <f t="shared" si="3"/>
        <v>169491168</v>
      </c>
      <c r="U98" s="7">
        <v>3.7328386310115716E-3</v>
      </c>
    </row>
    <row r="99" spans="1:21" ht="21" x14ac:dyDescent="0.55000000000000004">
      <c r="A99" s="14" t="s">
        <v>224</v>
      </c>
      <c r="C99" s="5">
        <v>0</v>
      </c>
      <c r="E99" s="5">
        <v>0</v>
      </c>
      <c r="G99" s="5">
        <v>0</v>
      </c>
      <c r="H99" s="5"/>
      <c r="I99" s="5">
        <f t="shared" si="2"/>
        <v>0</v>
      </c>
      <c r="K99" s="7">
        <v>0</v>
      </c>
      <c r="L99" s="6"/>
      <c r="M99" s="5">
        <v>0</v>
      </c>
      <c r="O99" s="5">
        <v>-29992275</v>
      </c>
      <c r="Q99" s="5">
        <v>507100000</v>
      </c>
      <c r="S99" s="5">
        <f t="shared" si="3"/>
        <v>477107725</v>
      </c>
      <c r="U99" s="7">
        <v>1.050772242618592E-2</v>
      </c>
    </row>
    <row r="100" spans="1:21" ht="21" x14ac:dyDescent="0.55000000000000004">
      <c r="A100" s="14" t="s">
        <v>225</v>
      </c>
      <c r="C100" s="5">
        <v>0</v>
      </c>
      <c r="E100" s="5">
        <v>0</v>
      </c>
      <c r="G100" s="5">
        <v>0</v>
      </c>
      <c r="H100" s="5"/>
      <c r="I100" s="5">
        <f t="shared" si="2"/>
        <v>0</v>
      </c>
      <c r="K100" s="7">
        <v>0</v>
      </c>
      <c r="L100" s="6"/>
      <c r="M100" s="5">
        <v>0</v>
      </c>
      <c r="O100" s="5">
        <v>45432298</v>
      </c>
      <c r="Q100" s="5">
        <v>681355651</v>
      </c>
      <c r="S100" s="5">
        <f t="shared" si="3"/>
        <v>726787949</v>
      </c>
      <c r="U100" s="7">
        <v>1.6006628337004957E-2</v>
      </c>
    </row>
    <row r="101" spans="1:21" ht="21" x14ac:dyDescent="0.55000000000000004">
      <c r="A101" s="14" t="s">
        <v>155</v>
      </c>
      <c r="C101" s="5">
        <v>0</v>
      </c>
      <c r="E101" s="5">
        <v>0</v>
      </c>
      <c r="G101" s="5">
        <v>0</v>
      </c>
      <c r="H101" s="5"/>
      <c r="I101" s="5">
        <f t="shared" si="2"/>
        <v>0</v>
      </c>
      <c r="K101" s="7">
        <v>0</v>
      </c>
      <c r="L101" s="6"/>
      <c r="M101" s="5">
        <v>0</v>
      </c>
      <c r="O101" s="5">
        <v>-24793613</v>
      </c>
      <c r="Q101" s="5">
        <v>41773444</v>
      </c>
      <c r="S101" s="5">
        <f t="shared" si="3"/>
        <v>16979831</v>
      </c>
      <c r="U101" s="7">
        <v>3.7396030632609627E-4</v>
      </c>
    </row>
    <row r="102" spans="1:21" ht="21" x14ac:dyDescent="0.55000000000000004">
      <c r="A102" s="14" t="s">
        <v>21</v>
      </c>
      <c r="C102" s="5">
        <v>0</v>
      </c>
      <c r="E102" s="11">
        <v>-193596961</v>
      </c>
      <c r="G102" s="5">
        <v>21920230</v>
      </c>
      <c r="H102" s="5"/>
      <c r="I102" s="5">
        <f t="shared" si="2"/>
        <v>-171676731</v>
      </c>
      <c r="K102" s="7">
        <v>-1.4189540041040765E-3</v>
      </c>
      <c r="L102" s="6"/>
      <c r="M102" s="5">
        <v>0</v>
      </c>
      <c r="O102" s="5">
        <v>-128567348</v>
      </c>
      <c r="Q102" s="5">
        <v>21920230</v>
      </c>
      <c r="S102" s="5">
        <f t="shared" si="3"/>
        <v>-106647118</v>
      </c>
      <c r="U102" s="7">
        <v>-2.3487741966380783E-3</v>
      </c>
    </row>
    <row r="103" spans="1:21" ht="21" x14ac:dyDescent="0.55000000000000004">
      <c r="A103" s="14" t="s">
        <v>156</v>
      </c>
      <c r="C103" s="5">
        <v>0</v>
      </c>
      <c r="E103" s="5">
        <v>0</v>
      </c>
      <c r="G103" s="5">
        <v>0</v>
      </c>
      <c r="H103" s="5"/>
      <c r="I103" s="5">
        <f t="shared" si="2"/>
        <v>0</v>
      </c>
      <c r="K103" s="7">
        <v>0</v>
      </c>
      <c r="L103" s="6"/>
      <c r="M103" s="5">
        <v>0</v>
      </c>
      <c r="O103" s="5">
        <v>-999743</v>
      </c>
      <c r="Q103" s="5">
        <v>-8844588</v>
      </c>
      <c r="S103" s="5">
        <f t="shared" si="3"/>
        <v>-9844331</v>
      </c>
      <c r="U103" s="7">
        <v>-2.1680952162218139E-4</v>
      </c>
    </row>
    <row r="104" spans="1:21" ht="21" x14ac:dyDescent="0.55000000000000004">
      <c r="A104" s="14" t="s">
        <v>157</v>
      </c>
      <c r="C104" s="5">
        <v>0</v>
      </c>
      <c r="E104" s="5">
        <v>0</v>
      </c>
      <c r="G104" s="5">
        <v>0</v>
      </c>
      <c r="H104" s="5"/>
      <c r="I104" s="5">
        <f t="shared" si="2"/>
        <v>0</v>
      </c>
      <c r="K104" s="7">
        <v>0</v>
      </c>
      <c r="L104" s="6"/>
      <c r="M104" s="5">
        <v>0</v>
      </c>
      <c r="O104" s="5">
        <v>22366239</v>
      </c>
      <c r="Q104" s="5">
        <v>143859698</v>
      </c>
      <c r="S104" s="5">
        <f t="shared" si="3"/>
        <v>166225937</v>
      </c>
      <c r="U104" s="7">
        <v>3.6609258549076479E-3</v>
      </c>
    </row>
    <row r="105" spans="1:21" ht="21" x14ac:dyDescent="0.55000000000000004">
      <c r="A105" s="14" t="s">
        <v>226</v>
      </c>
      <c r="C105" s="5">
        <v>0</v>
      </c>
      <c r="E105" s="5">
        <v>0</v>
      </c>
      <c r="G105" s="5">
        <v>0</v>
      </c>
      <c r="H105" s="5"/>
      <c r="I105" s="5">
        <f t="shared" si="2"/>
        <v>0</v>
      </c>
      <c r="K105" s="7">
        <v>0</v>
      </c>
      <c r="L105" s="6"/>
      <c r="M105" s="5">
        <v>0</v>
      </c>
      <c r="O105" s="5">
        <v>99974250</v>
      </c>
      <c r="Q105" s="5">
        <v>617621429</v>
      </c>
      <c r="S105" s="5">
        <f t="shared" si="3"/>
        <v>717595679</v>
      </c>
      <c r="U105" s="7">
        <v>1.5804179672761352E-2</v>
      </c>
    </row>
    <row r="106" spans="1:21" ht="21" x14ac:dyDescent="0.55000000000000004">
      <c r="A106" s="14" t="s">
        <v>227</v>
      </c>
      <c r="C106" s="5">
        <v>0</v>
      </c>
      <c r="E106" s="11">
        <v>-221684686</v>
      </c>
      <c r="G106" s="5">
        <v>107239978</v>
      </c>
      <c r="H106" s="5"/>
      <c r="I106" s="5">
        <f t="shared" si="2"/>
        <v>-114444708</v>
      </c>
      <c r="K106" s="7">
        <v>-9.4591605815887668E-4</v>
      </c>
      <c r="L106" s="6"/>
      <c r="M106" s="5">
        <v>0</v>
      </c>
      <c r="O106" s="5">
        <v>-46600998</v>
      </c>
      <c r="Q106" s="5">
        <v>107239978</v>
      </c>
      <c r="S106" s="5">
        <f t="shared" si="3"/>
        <v>60638980</v>
      </c>
      <c r="U106" s="7">
        <v>1.3355004261292132E-3</v>
      </c>
    </row>
    <row r="107" spans="1:21" ht="21" x14ac:dyDescent="0.55000000000000004">
      <c r="A107" s="14" t="s">
        <v>159</v>
      </c>
      <c r="C107" s="5">
        <v>0</v>
      </c>
      <c r="E107" s="5">
        <v>0</v>
      </c>
      <c r="G107" s="5">
        <v>0</v>
      </c>
      <c r="H107" s="5"/>
      <c r="I107" s="5">
        <f t="shared" si="2"/>
        <v>0</v>
      </c>
      <c r="K107" s="7">
        <v>0</v>
      </c>
      <c r="L107" s="6"/>
      <c r="M107" s="5">
        <v>0</v>
      </c>
      <c r="O107" s="5">
        <v>0</v>
      </c>
      <c r="Q107" s="5">
        <v>65983520</v>
      </c>
      <c r="S107" s="5">
        <f t="shared" si="3"/>
        <v>65983520</v>
      </c>
      <c r="U107" s="7">
        <v>1.453207476074061E-3</v>
      </c>
    </row>
    <row r="108" spans="1:21" ht="21" x14ac:dyDescent="0.55000000000000004">
      <c r="A108" s="14" t="s">
        <v>160</v>
      </c>
      <c r="C108" s="5">
        <v>0</v>
      </c>
      <c r="E108" s="5">
        <v>0</v>
      </c>
      <c r="G108" s="5">
        <v>0</v>
      </c>
      <c r="H108" s="5"/>
      <c r="I108" s="5">
        <f t="shared" si="2"/>
        <v>0</v>
      </c>
      <c r="K108" s="7">
        <v>0</v>
      </c>
      <c r="L108" s="6"/>
      <c r="M108" s="5">
        <v>0</v>
      </c>
      <c r="O108" s="5">
        <v>0</v>
      </c>
      <c r="Q108" s="5">
        <v>2023213897</v>
      </c>
      <c r="S108" s="5">
        <f t="shared" si="3"/>
        <v>2023213897</v>
      </c>
      <c r="U108" s="7">
        <v>4.4558846827470487E-2</v>
      </c>
    </row>
    <row r="109" spans="1:21" ht="21" x14ac:dyDescent="0.55000000000000004">
      <c r="A109" s="14" t="s">
        <v>228</v>
      </c>
      <c r="C109" s="5">
        <v>0</v>
      </c>
      <c r="E109" s="5">
        <v>0</v>
      </c>
      <c r="G109" s="5">
        <v>0</v>
      </c>
      <c r="H109" s="5"/>
      <c r="I109" s="5">
        <f t="shared" si="2"/>
        <v>0</v>
      </c>
      <c r="K109" s="7">
        <v>0</v>
      </c>
      <c r="L109" s="6"/>
      <c r="M109" s="5">
        <v>0</v>
      </c>
      <c r="O109" s="5">
        <v>0</v>
      </c>
      <c r="Q109" s="5">
        <v>736509952</v>
      </c>
      <c r="S109" s="5">
        <f t="shared" si="3"/>
        <v>736509952</v>
      </c>
      <c r="U109" s="7">
        <v>1.6220743731909845E-2</v>
      </c>
    </row>
    <row r="110" spans="1:21" ht="21" x14ac:dyDescent="0.55000000000000004">
      <c r="A110" s="14" t="s">
        <v>162</v>
      </c>
      <c r="C110" s="5">
        <v>0</v>
      </c>
      <c r="E110" s="5">
        <v>0</v>
      </c>
      <c r="G110" s="5">
        <v>0</v>
      </c>
      <c r="H110" s="5"/>
      <c r="I110" s="5">
        <f t="shared" si="2"/>
        <v>0</v>
      </c>
      <c r="K110" s="7">
        <v>0</v>
      </c>
      <c r="L110" s="6"/>
      <c r="M110" s="5">
        <v>0</v>
      </c>
      <c r="O110" s="5">
        <v>53354258</v>
      </c>
      <c r="Q110" s="5">
        <v>176369348</v>
      </c>
      <c r="S110" s="5">
        <f t="shared" si="3"/>
        <v>229723606</v>
      </c>
      <c r="U110" s="7">
        <v>5.0593854597313394E-3</v>
      </c>
    </row>
    <row r="111" spans="1:21" ht="21" x14ac:dyDescent="0.55000000000000004">
      <c r="A111" s="14" t="s">
        <v>163</v>
      </c>
      <c r="C111" s="5">
        <v>0</v>
      </c>
      <c r="E111" s="5">
        <v>0</v>
      </c>
      <c r="G111" s="5">
        <v>0</v>
      </c>
      <c r="H111" s="5"/>
      <c r="I111" s="5">
        <f t="shared" si="2"/>
        <v>0</v>
      </c>
      <c r="K111" s="7">
        <v>0</v>
      </c>
      <c r="L111" s="6"/>
      <c r="M111" s="5">
        <v>0</v>
      </c>
      <c r="O111" s="5">
        <v>0</v>
      </c>
      <c r="Q111" s="5">
        <v>49774611</v>
      </c>
      <c r="S111" s="5">
        <f t="shared" si="3"/>
        <v>49774611</v>
      </c>
      <c r="U111" s="7">
        <v>1.0962257973487653E-3</v>
      </c>
    </row>
    <row r="112" spans="1:21" ht="21" x14ac:dyDescent="0.55000000000000004">
      <c r="A112" s="14" t="s">
        <v>161</v>
      </c>
      <c r="C112" s="5">
        <v>0</v>
      </c>
      <c r="E112" s="5">
        <v>0</v>
      </c>
      <c r="G112" s="5">
        <v>0</v>
      </c>
      <c r="H112" s="5"/>
      <c r="I112" s="5">
        <f t="shared" si="2"/>
        <v>0</v>
      </c>
      <c r="K112" s="7">
        <v>0</v>
      </c>
      <c r="L112" s="6"/>
      <c r="M112" s="5">
        <v>0</v>
      </c>
      <c r="O112" s="5">
        <v>-3590076</v>
      </c>
      <c r="Q112" s="5">
        <v>70547755</v>
      </c>
      <c r="S112" s="5">
        <f t="shared" si="3"/>
        <v>66957679</v>
      </c>
      <c r="U112" s="7">
        <v>1.4746621535705758E-3</v>
      </c>
    </row>
    <row r="113" spans="1:23" ht="21" x14ac:dyDescent="0.55000000000000004">
      <c r="A113" s="14" t="s">
        <v>23</v>
      </c>
      <c r="C113" s="5">
        <v>0</v>
      </c>
      <c r="E113" s="16">
        <v>-102172290</v>
      </c>
      <c r="G113" s="5">
        <v>130289971</v>
      </c>
      <c r="H113" s="5"/>
      <c r="I113" s="5">
        <f t="shared" si="2"/>
        <v>28117681</v>
      </c>
      <c r="K113" s="7">
        <v>2.3240013838026255E-4</v>
      </c>
      <c r="L113" s="6"/>
      <c r="M113" s="5">
        <v>0</v>
      </c>
      <c r="O113" s="5">
        <v>13141615</v>
      </c>
      <c r="Q113" s="5">
        <v>260579930</v>
      </c>
      <c r="S113" s="5">
        <f t="shared" si="3"/>
        <v>273721545</v>
      </c>
      <c r="U113" s="7">
        <v>6.0283870208279666E-3</v>
      </c>
      <c r="W113" s="5"/>
    </row>
    <row r="114" spans="1:23" ht="21" x14ac:dyDescent="0.55000000000000004">
      <c r="A114" s="14" t="s">
        <v>244</v>
      </c>
      <c r="C114" s="45">
        <f>SUM(C85:C113)</f>
        <v>13406825010</v>
      </c>
      <c r="E114" s="45">
        <f>SUM(E85:E113)</f>
        <v>125331281593</v>
      </c>
      <c r="G114" s="45">
        <f>SUM(G85:G113)</f>
        <v>-19108265423</v>
      </c>
      <c r="I114" s="45">
        <f>SUM(I85:I113)</f>
        <v>119629841180</v>
      </c>
      <c r="K114" s="44">
        <f>SUM(K85:K113)</f>
        <v>0.98877256786008871</v>
      </c>
      <c r="M114" s="45">
        <f>SUM(M85:M113)</f>
        <v>85718548970</v>
      </c>
      <c r="O114" s="45">
        <f>SUM(O85:O113)</f>
        <v>-39803989178</v>
      </c>
      <c r="Q114" s="45">
        <f>SUM(Q85:Q113)</f>
        <v>-15494097660</v>
      </c>
      <c r="S114" s="45">
        <f>SUM(S85:S113)</f>
        <v>30420462132</v>
      </c>
      <c r="U114" s="44">
        <f>SUM(U85:U113)</f>
        <v>0.66997400253654671</v>
      </c>
    </row>
    <row r="115" spans="1:23" ht="19.899999999999999" customHeight="1" x14ac:dyDescent="0.55000000000000004">
      <c r="A115" s="36" t="s">
        <v>0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</row>
    <row r="116" spans="1:23" ht="19.899999999999999" customHeight="1" x14ac:dyDescent="0.55000000000000004">
      <c r="A116" s="36" t="s">
        <v>83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</row>
    <row r="117" spans="1:23" ht="19.899999999999999" customHeight="1" x14ac:dyDescent="0.55000000000000004">
      <c r="A117" s="36" t="s">
        <v>2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</row>
    <row r="119" spans="1:23" ht="21" x14ac:dyDescent="0.55000000000000004">
      <c r="A119" s="37" t="s">
        <v>231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7"/>
      <c r="O119" s="34"/>
      <c r="P119" s="34"/>
      <c r="Q119" s="34"/>
      <c r="R119" s="34"/>
      <c r="S119" s="34"/>
      <c r="T119" s="34"/>
      <c r="U119" s="34"/>
    </row>
    <row r="121" spans="1:23" ht="21" x14ac:dyDescent="0.55000000000000004">
      <c r="C121" s="30" t="s">
        <v>96</v>
      </c>
      <c r="D121" s="31"/>
      <c r="E121" s="31"/>
      <c r="F121" s="31"/>
      <c r="G121" s="31"/>
      <c r="H121" s="31"/>
      <c r="I121" s="31"/>
      <c r="J121" s="31"/>
      <c r="K121" s="31"/>
      <c r="M121" s="30" t="s">
        <v>7</v>
      </c>
      <c r="N121" s="31"/>
      <c r="O121" s="31"/>
      <c r="P121" s="31"/>
      <c r="Q121" s="31"/>
      <c r="R121" s="31"/>
      <c r="S121" s="31"/>
      <c r="T121" s="31"/>
      <c r="U121" s="31"/>
    </row>
    <row r="122" spans="1:23" ht="63" x14ac:dyDescent="0.55000000000000004">
      <c r="A122" s="12" t="s">
        <v>174</v>
      </c>
      <c r="C122" s="13" t="s">
        <v>94</v>
      </c>
      <c r="E122" s="13" t="s">
        <v>175</v>
      </c>
      <c r="G122" s="13" t="s">
        <v>176</v>
      </c>
      <c r="I122" s="13" t="s">
        <v>177</v>
      </c>
      <c r="K122" s="13" t="s">
        <v>178</v>
      </c>
      <c r="M122" s="13" t="s">
        <v>94</v>
      </c>
      <c r="O122" s="13" t="s">
        <v>175</v>
      </c>
      <c r="Q122" s="13" t="s">
        <v>176</v>
      </c>
      <c r="S122" s="13" t="s">
        <v>177</v>
      </c>
      <c r="U122" s="13" t="s">
        <v>178</v>
      </c>
    </row>
    <row r="123" spans="1:23" ht="21" x14ac:dyDescent="0.55000000000000004">
      <c r="A123" s="14" t="s">
        <v>245</v>
      </c>
      <c r="C123" s="5">
        <f>C114</f>
        <v>13406825010</v>
      </c>
      <c r="E123" s="5">
        <f>E114</f>
        <v>125331281593</v>
      </c>
      <c r="G123" s="5">
        <f>G114</f>
        <v>-19108265423</v>
      </c>
      <c r="I123" s="5">
        <f>I114</f>
        <v>119629841180</v>
      </c>
      <c r="K123" s="7">
        <f>K114</f>
        <v>0.98877256786008871</v>
      </c>
      <c r="M123" s="5">
        <f>M114</f>
        <v>85718548970</v>
      </c>
      <c r="O123" s="5">
        <f>O114</f>
        <v>-39803989178</v>
      </c>
      <c r="Q123" s="5">
        <f>Q114</f>
        <v>-15494097660</v>
      </c>
      <c r="S123" s="5">
        <f>S114</f>
        <v>30420462132</v>
      </c>
      <c r="U123" s="7">
        <f>U114</f>
        <v>0.66997400253654671</v>
      </c>
    </row>
    <row r="124" spans="1:23" ht="21" x14ac:dyDescent="0.55000000000000004">
      <c r="A124" s="14" t="s">
        <v>152</v>
      </c>
      <c r="C124" s="5">
        <v>0</v>
      </c>
      <c r="E124" s="5">
        <v>0</v>
      </c>
      <c r="G124" s="5">
        <v>0</v>
      </c>
      <c r="H124" s="5"/>
      <c r="I124" s="5">
        <f t="shared" si="2"/>
        <v>0</v>
      </c>
      <c r="K124" s="7">
        <v>0</v>
      </c>
      <c r="L124" s="6"/>
      <c r="M124" s="5">
        <v>0</v>
      </c>
      <c r="O124" s="5">
        <v>11996910</v>
      </c>
      <c r="Q124" s="11">
        <v>156876184</v>
      </c>
      <c r="S124" s="5">
        <f t="shared" si="3"/>
        <v>168873094</v>
      </c>
      <c r="U124" s="7">
        <v>3.7192262963321398E-3</v>
      </c>
    </row>
    <row r="125" spans="1:23" ht="21" x14ac:dyDescent="0.55000000000000004">
      <c r="A125" s="14" t="s">
        <v>154</v>
      </c>
      <c r="C125" s="5">
        <v>0</v>
      </c>
      <c r="E125" s="5">
        <v>0</v>
      </c>
      <c r="G125" s="5">
        <v>0</v>
      </c>
      <c r="H125" s="5"/>
      <c r="I125" s="5">
        <f t="shared" si="2"/>
        <v>0</v>
      </c>
      <c r="K125" s="7">
        <v>0</v>
      </c>
      <c r="L125" s="6"/>
      <c r="M125" s="5">
        <v>0</v>
      </c>
      <c r="O125" s="5">
        <v>0</v>
      </c>
      <c r="Q125" s="11">
        <v>147509784</v>
      </c>
      <c r="S125" s="5">
        <f t="shared" si="3"/>
        <v>147509784</v>
      </c>
      <c r="U125" s="7">
        <v>3.2487251498990949E-3</v>
      </c>
    </row>
    <row r="126" spans="1:23" ht="21" x14ac:dyDescent="0.55000000000000004">
      <c r="A126" s="14" t="s">
        <v>158</v>
      </c>
      <c r="C126" s="5">
        <v>0</v>
      </c>
      <c r="E126" s="5">
        <v>0</v>
      </c>
      <c r="G126" s="5">
        <v>0</v>
      </c>
      <c r="H126" s="5"/>
      <c r="I126" s="5">
        <f t="shared" si="2"/>
        <v>0</v>
      </c>
      <c r="K126" s="7">
        <v>0</v>
      </c>
      <c r="L126" s="6"/>
      <c r="M126" s="5">
        <v>0</v>
      </c>
      <c r="O126" s="5">
        <v>5339838</v>
      </c>
      <c r="Q126" s="5">
        <v>5148118</v>
      </c>
      <c r="S126" s="5">
        <f t="shared" si="3"/>
        <v>10487956</v>
      </c>
      <c r="U126" s="7">
        <v>2.3098458627147817E-4</v>
      </c>
    </row>
    <row r="127" spans="1:23" ht="21" x14ac:dyDescent="0.55000000000000004">
      <c r="A127" s="14" t="s">
        <v>18</v>
      </c>
      <c r="C127" s="5">
        <v>0</v>
      </c>
      <c r="E127" s="16">
        <v>-688549690</v>
      </c>
      <c r="G127" s="11">
        <v>344461780</v>
      </c>
      <c r="H127" s="5"/>
      <c r="I127" s="5">
        <f t="shared" si="2"/>
        <v>-344087910</v>
      </c>
      <c r="K127" s="7">
        <v>-2.8439784169603222E-3</v>
      </c>
      <c r="L127" s="6"/>
      <c r="M127" s="5">
        <v>0</v>
      </c>
      <c r="O127" s="5">
        <v>-224342217</v>
      </c>
      <c r="Q127" s="11">
        <v>344461780</v>
      </c>
      <c r="S127" s="5">
        <f t="shared" si="3"/>
        <v>120119563</v>
      </c>
      <c r="U127" s="7">
        <v>2.6454885549353712E-3</v>
      </c>
    </row>
    <row r="128" spans="1:23" ht="21" x14ac:dyDescent="0.55000000000000004">
      <c r="A128" s="14" t="s">
        <v>143</v>
      </c>
      <c r="C128" s="5">
        <v>0</v>
      </c>
      <c r="E128" s="5">
        <v>0</v>
      </c>
      <c r="G128" s="5">
        <v>0</v>
      </c>
      <c r="H128" s="5"/>
      <c r="I128" s="5">
        <f t="shared" si="2"/>
        <v>0</v>
      </c>
      <c r="K128" s="7">
        <v>0</v>
      </c>
      <c r="L128" s="6"/>
      <c r="M128" s="5">
        <v>0</v>
      </c>
      <c r="O128" s="5">
        <v>-27640881</v>
      </c>
      <c r="Q128" s="5">
        <v>101661689</v>
      </c>
      <c r="S128" s="5">
        <f t="shared" si="3"/>
        <v>74020808</v>
      </c>
      <c r="U128" s="7">
        <v>1.630219054252375E-3</v>
      </c>
    </row>
    <row r="129" spans="1:21" ht="21" x14ac:dyDescent="0.55000000000000004">
      <c r="A129" s="14" t="s">
        <v>144</v>
      </c>
      <c r="C129" s="5">
        <v>0</v>
      </c>
      <c r="E129" s="5">
        <v>0</v>
      </c>
      <c r="G129" s="5">
        <v>0</v>
      </c>
      <c r="H129" s="5"/>
      <c r="I129" s="5">
        <f t="shared" si="2"/>
        <v>0</v>
      </c>
      <c r="K129" s="7">
        <v>0</v>
      </c>
      <c r="L129" s="6"/>
      <c r="M129" s="5">
        <v>0</v>
      </c>
      <c r="O129" s="5">
        <v>5440598</v>
      </c>
      <c r="Q129" s="11">
        <v>116747229</v>
      </c>
      <c r="S129" s="5">
        <f t="shared" si="3"/>
        <v>122187827</v>
      </c>
      <c r="U129" s="7">
        <v>2.6910395759675147E-3</v>
      </c>
    </row>
    <row r="130" spans="1:21" ht="21" x14ac:dyDescent="0.55000000000000004">
      <c r="A130" s="14" t="s">
        <v>145</v>
      </c>
      <c r="C130" s="5">
        <v>0</v>
      </c>
      <c r="E130" s="5">
        <v>0</v>
      </c>
      <c r="G130" s="5">
        <v>0</v>
      </c>
      <c r="H130" s="5"/>
      <c r="I130" s="5">
        <f t="shared" si="2"/>
        <v>0</v>
      </c>
      <c r="K130" s="7">
        <v>0</v>
      </c>
      <c r="L130" s="6"/>
      <c r="M130" s="5">
        <v>0</v>
      </c>
      <c r="O130" s="5">
        <v>7738007</v>
      </c>
      <c r="Q130" s="11">
        <v>133594104</v>
      </c>
      <c r="S130" s="5">
        <f t="shared" si="3"/>
        <v>141332111</v>
      </c>
      <c r="U130" s="7">
        <v>3.1126693500820968E-3</v>
      </c>
    </row>
    <row r="131" spans="1:21" ht="21" x14ac:dyDescent="0.55000000000000004">
      <c r="A131" s="14" t="s">
        <v>146</v>
      </c>
      <c r="C131" s="5">
        <v>0</v>
      </c>
      <c r="E131" s="5">
        <v>0</v>
      </c>
      <c r="G131" s="5">
        <v>0</v>
      </c>
      <c r="H131" s="5"/>
      <c r="I131" s="5">
        <f t="shared" si="2"/>
        <v>0</v>
      </c>
      <c r="K131" s="7">
        <v>0</v>
      </c>
      <c r="L131" s="6"/>
      <c r="M131" s="5">
        <v>0</v>
      </c>
      <c r="O131" s="5">
        <v>-1779542</v>
      </c>
      <c r="Q131" s="11">
        <v>39927467</v>
      </c>
      <c r="S131" s="5">
        <f t="shared" si="3"/>
        <v>38147925</v>
      </c>
      <c r="U131" s="7">
        <v>8.4016205571804258E-4</v>
      </c>
    </row>
    <row r="132" spans="1:21" ht="21" x14ac:dyDescent="0.55000000000000004">
      <c r="A132" s="14" t="s">
        <v>147</v>
      </c>
      <c r="C132" s="5">
        <v>0</v>
      </c>
      <c r="E132" s="5">
        <v>0</v>
      </c>
      <c r="G132" s="5">
        <v>0</v>
      </c>
      <c r="H132" s="5"/>
      <c r="I132" s="5">
        <f t="shared" si="2"/>
        <v>0</v>
      </c>
      <c r="K132" s="7">
        <v>0</v>
      </c>
      <c r="L132" s="6"/>
      <c r="M132" s="5">
        <v>0</v>
      </c>
      <c r="O132" s="5">
        <v>8787737</v>
      </c>
      <c r="Q132" s="5">
        <v>100161565</v>
      </c>
      <c r="S132" s="5">
        <f t="shared" si="3"/>
        <v>108949302</v>
      </c>
      <c r="U132" s="7">
        <v>2.3994770236484904E-3</v>
      </c>
    </row>
    <row r="133" spans="1:21" ht="21" x14ac:dyDescent="0.55000000000000004">
      <c r="A133" s="14" t="s">
        <v>153</v>
      </c>
      <c r="C133" s="5">
        <v>0</v>
      </c>
      <c r="E133" s="5">
        <v>0</v>
      </c>
      <c r="G133" s="5">
        <v>0</v>
      </c>
      <c r="H133" s="5"/>
      <c r="I133" s="5">
        <f t="shared" si="2"/>
        <v>0</v>
      </c>
      <c r="K133" s="7">
        <v>0</v>
      </c>
      <c r="L133" s="6"/>
      <c r="M133" s="5">
        <v>0</v>
      </c>
      <c r="O133" s="5">
        <v>44988</v>
      </c>
      <c r="Q133" s="11">
        <v>84996712</v>
      </c>
      <c r="S133" s="5">
        <f t="shared" si="3"/>
        <v>85041700</v>
      </c>
      <c r="U133" s="7">
        <v>1.8729409133984892E-3</v>
      </c>
    </row>
    <row r="134" spans="1:21" ht="21" x14ac:dyDescent="0.55000000000000004">
      <c r="A134" s="14" t="s">
        <v>229</v>
      </c>
      <c r="C134" s="5">
        <v>0</v>
      </c>
      <c r="E134" s="5">
        <v>0</v>
      </c>
      <c r="G134" s="5">
        <v>0</v>
      </c>
      <c r="H134" s="5"/>
      <c r="I134" s="5">
        <f t="shared" si="2"/>
        <v>0</v>
      </c>
      <c r="K134" s="7">
        <v>0</v>
      </c>
      <c r="L134" s="6"/>
      <c r="M134" s="5">
        <v>0</v>
      </c>
      <c r="O134" s="5">
        <v>-5833792</v>
      </c>
      <c r="Q134" s="5">
        <v>714792729</v>
      </c>
      <c r="S134" s="5">
        <f t="shared" si="3"/>
        <v>708958937</v>
      </c>
      <c r="U134" s="7">
        <v>1.5613965842954715E-2</v>
      </c>
    </row>
    <row r="135" spans="1:21" ht="21" x14ac:dyDescent="0.55000000000000004">
      <c r="A135" s="14" t="s">
        <v>230</v>
      </c>
      <c r="C135" s="5">
        <v>0</v>
      </c>
      <c r="E135" s="5">
        <v>0</v>
      </c>
      <c r="G135" s="5">
        <v>0</v>
      </c>
      <c r="H135" s="5"/>
      <c r="I135" s="5">
        <f t="shared" si="2"/>
        <v>0</v>
      </c>
      <c r="K135" s="7">
        <v>0</v>
      </c>
      <c r="L135" s="6"/>
      <c r="M135" s="5">
        <v>0</v>
      </c>
      <c r="O135" s="5">
        <v>17377524</v>
      </c>
      <c r="Q135" s="5">
        <v>72735576</v>
      </c>
      <c r="S135" s="5">
        <f t="shared" si="3"/>
        <v>90113100</v>
      </c>
      <c r="U135" s="7">
        <v>1.984632384150004E-3</v>
      </c>
    </row>
    <row r="136" spans="1:21" ht="21.75" thickBot="1" x14ac:dyDescent="0.6">
      <c r="A136" s="8" t="s">
        <v>74</v>
      </c>
      <c r="C136" s="8">
        <f>SUM(C123:C135)</f>
        <v>13406825010</v>
      </c>
      <c r="E136" s="8">
        <f>SUM(E123:E135)</f>
        <v>124642731903</v>
      </c>
      <c r="G136" s="8">
        <f>SUM(G123:G135)</f>
        <v>-18763803643</v>
      </c>
      <c r="I136" s="8">
        <f>SUM(I123:I135)</f>
        <v>119285753270</v>
      </c>
      <c r="K136" s="17">
        <f>SUM(K123:K135)</f>
        <v>0.98592858944312844</v>
      </c>
      <c r="M136" s="8">
        <f>SUM(M123:M135)</f>
        <v>85718548970</v>
      </c>
      <c r="O136" s="8">
        <f>SUM(O123:O135)</f>
        <v>-40006860008</v>
      </c>
      <c r="Q136" s="8">
        <f>SUM(Q123:Q135)</f>
        <v>-13475484723</v>
      </c>
      <c r="S136" s="8">
        <f>SUM(S123:S135)</f>
        <v>32236204239</v>
      </c>
      <c r="U136" s="17">
        <f>SUM(U123:U135)</f>
        <v>0.70996353332415663</v>
      </c>
    </row>
    <row r="137" spans="1:21" ht="21.75" thickTop="1" x14ac:dyDescent="0.55000000000000004">
      <c r="C137" s="10"/>
      <c r="E137" s="10"/>
      <c r="G137" s="10"/>
      <c r="I137" s="10"/>
      <c r="K137" s="10"/>
      <c r="M137" s="10"/>
      <c r="O137" s="10"/>
      <c r="Q137" s="10"/>
      <c r="S137" s="10"/>
      <c r="U137" s="10"/>
    </row>
    <row r="139" spans="1:21" x14ac:dyDescent="0.55000000000000004">
      <c r="Q139" s="15"/>
    </row>
    <row r="140" spans="1:21" x14ac:dyDescent="0.55000000000000004">
      <c r="Q140" s="15"/>
    </row>
  </sheetData>
  <mergeCells count="28">
    <mergeCell ref="A116:U116"/>
    <mergeCell ref="A117:U117"/>
    <mergeCell ref="A119:M119"/>
    <mergeCell ref="N119:U119"/>
    <mergeCell ref="C121:K121"/>
    <mergeCell ref="M121:U121"/>
    <mergeCell ref="A81:M81"/>
    <mergeCell ref="N81:U81"/>
    <mergeCell ref="C83:K83"/>
    <mergeCell ref="M83:U83"/>
    <mergeCell ref="A115:U115"/>
    <mergeCell ref="C45:K45"/>
    <mergeCell ref="M45:U45"/>
    <mergeCell ref="A77:U77"/>
    <mergeCell ref="A78:U78"/>
    <mergeCell ref="A79:U79"/>
    <mergeCell ref="A39:U39"/>
    <mergeCell ref="A40:U40"/>
    <mergeCell ref="A41:U41"/>
    <mergeCell ref="A43:M43"/>
    <mergeCell ref="N43:U43"/>
    <mergeCell ref="A1:U1"/>
    <mergeCell ref="A2:U2"/>
    <mergeCell ref="A3:U3"/>
    <mergeCell ref="C7:K7"/>
    <mergeCell ref="M7:U7"/>
    <mergeCell ref="A5:M5"/>
    <mergeCell ref="N5:U5"/>
  </mergeCells>
  <pageMargins left="0.7" right="0.7" top="0.75" bottom="0.75" header="0.3" footer="0.3"/>
  <pageSetup paperSize="9" scale="60" fitToHeight="0" orientation="landscape" r:id="rId1"/>
  <rowBreaks count="3" manualBreakCount="3">
    <brk id="38" max="20" man="1"/>
    <brk id="76" max="20" man="1"/>
    <brk id="114" max="2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1"/>
  <sheetViews>
    <sheetView rightToLeft="1" view="pageBreakPreview" zoomScale="60" zoomScaleNormal="100" workbookViewId="0">
      <selection activeCell="A5" sqref="A5:Q5"/>
    </sheetView>
  </sheetViews>
  <sheetFormatPr defaultColWidth="8.85546875" defaultRowHeight="19.5" x14ac:dyDescent="0.55000000000000004"/>
  <cols>
    <col min="1" max="1" width="30.28515625" style="2" customWidth="1"/>
    <col min="2" max="2" width="1.42578125" style="2" customWidth="1"/>
    <col min="3" max="3" width="17" style="2" customWidth="1"/>
    <col min="4" max="4" width="1.42578125" style="2" customWidth="1"/>
    <col min="5" max="5" width="17" style="2" customWidth="1"/>
    <col min="6" max="6" width="1.42578125" style="2" customWidth="1"/>
    <col min="7" max="7" width="17" style="2" customWidth="1"/>
    <col min="8" max="8" width="1.42578125" style="2" customWidth="1"/>
    <col min="9" max="9" width="17" style="2" customWidth="1"/>
    <col min="10" max="10" width="1.42578125" style="2" customWidth="1"/>
    <col min="11" max="11" width="17" style="2" customWidth="1"/>
    <col min="12" max="12" width="1.42578125" style="2" customWidth="1"/>
    <col min="13" max="13" width="17" style="2" customWidth="1"/>
    <col min="14" max="14" width="1.42578125" style="2" customWidth="1"/>
    <col min="15" max="15" width="17" style="2" customWidth="1"/>
    <col min="16" max="16" width="1.42578125" style="2" customWidth="1"/>
    <col min="17" max="17" width="17" style="2" customWidth="1"/>
    <col min="18" max="16384" width="8.85546875" style="2"/>
  </cols>
  <sheetData>
    <row r="1" spans="1:17" ht="19.899999999999999" customHeight="1" x14ac:dyDescent="0.55000000000000004">
      <c r="A1" s="36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ht="19.899999999999999" customHeight="1" x14ac:dyDescent="0.55000000000000004">
      <c r="A2" s="36" t="s">
        <v>83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ht="19.899999999999999" customHeight="1" x14ac:dyDescent="0.55000000000000004">
      <c r="A3" s="36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5" spans="1:17" ht="21" x14ac:dyDescent="0.55000000000000004">
      <c r="A5" s="37" t="s">
        <v>207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7" spans="1:17" ht="21" x14ac:dyDescent="0.55000000000000004">
      <c r="C7" s="38" t="s">
        <v>96</v>
      </c>
      <c r="D7" s="38"/>
      <c r="E7" s="38"/>
      <c r="F7" s="38"/>
      <c r="G7" s="38"/>
      <c r="H7" s="38"/>
      <c r="I7" s="38"/>
      <c r="J7" s="19"/>
      <c r="K7" s="38" t="s">
        <v>7</v>
      </c>
      <c r="L7" s="38"/>
      <c r="M7" s="38"/>
      <c r="N7" s="38"/>
      <c r="O7" s="38"/>
      <c r="P7" s="38"/>
      <c r="Q7" s="38"/>
    </row>
    <row r="8" spans="1:17" ht="21" x14ac:dyDescent="0.55000000000000004">
      <c r="C8" s="13" t="s">
        <v>208</v>
      </c>
      <c r="E8" s="13" t="s">
        <v>175</v>
      </c>
      <c r="G8" s="13" t="s">
        <v>176</v>
      </c>
      <c r="I8" s="13" t="s">
        <v>74</v>
      </c>
      <c r="J8" s="18"/>
      <c r="K8" s="13" t="s">
        <v>208</v>
      </c>
      <c r="M8" s="13" t="s">
        <v>175</v>
      </c>
      <c r="O8" s="13" t="s">
        <v>176</v>
      </c>
      <c r="Q8" s="13" t="s">
        <v>74</v>
      </c>
    </row>
    <row r="9" spans="1:17" ht="21" x14ac:dyDescent="0.55000000000000004">
      <c r="A9" s="14" t="s">
        <v>137</v>
      </c>
      <c r="C9" s="5">
        <v>0</v>
      </c>
      <c r="D9" s="5"/>
      <c r="E9" s="5">
        <v>0</v>
      </c>
      <c r="F9" s="5"/>
      <c r="G9" s="5">
        <v>0</v>
      </c>
      <c r="H9" s="5"/>
      <c r="I9" s="5">
        <f>C9+E9+G9</f>
        <v>0</v>
      </c>
      <c r="J9" s="6"/>
      <c r="K9" s="5">
        <v>3415108863</v>
      </c>
      <c r="M9" s="5">
        <v>0</v>
      </c>
      <c r="O9" s="5">
        <v>-34437500</v>
      </c>
      <c r="Q9" s="5">
        <f>K9+M9+O9</f>
        <v>3380671363</v>
      </c>
    </row>
    <row r="10" spans="1:17" ht="21" x14ac:dyDescent="0.55000000000000004">
      <c r="A10" s="8" t="s">
        <v>74</v>
      </c>
      <c r="C10" s="8">
        <f>SUM(C9:$C$9)</f>
        <v>0</v>
      </c>
      <c r="E10" s="8">
        <f>SUM(E9:$E$9)</f>
        <v>0</v>
      </c>
      <c r="G10" s="8">
        <f>SUM(G9:$G$9)</f>
        <v>0</v>
      </c>
      <c r="I10" s="8">
        <f>SUM(I9:$I$9)</f>
        <v>0</v>
      </c>
      <c r="K10" s="8">
        <f>SUM(K9:$K$9)</f>
        <v>3415108863</v>
      </c>
      <c r="M10" s="8">
        <f>SUM(M9:$M$9)</f>
        <v>0</v>
      </c>
      <c r="O10" s="8">
        <f>SUM(O9:$O$9)</f>
        <v>-34437500</v>
      </c>
      <c r="Q10" s="8">
        <f>SUM(Q9:$Q$9)</f>
        <v>3380671363</v>
      </c>
    </row>
    <row r="11" spans="1:17" ht="21" x14ac:dyDescent="0.55000000000000004">
      <c r="C11" s="10"/>
      <c r="E11" s="10"/>
      <c r="G11" s="10"/>
      <c r="I11" s="10"/>
      <c r="K11" s="10"/>
      <c r="M11" s="10"/>
      <c r="O11" s="10"/>
      <c r="Q11" s="10"/>
    </row>
  </sheetData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12"/>
  <sheetViews>
    <sheetView rightToLeft="1" view="pageBreakPreview" zoomScale="60" zoomScaleNormal="100" workbookViewId="0">
      <selection activeCell="A9" sqref="A9:XFD10"/>
    </sheetView>
  </sheetViews>
  <sheetFormatPr defaultColWidth="8.85546875" defaultRowHeight="19.5" x14ac:dyDescent="0.55000000000000004"/>
  <cols>
    <col min="1" max="1" width="37.28515625" style="2" customWidth="1"/>
    <col min="2" max="2" width="1.42578125" style="2" customWidth="1"/>
    <col min="3" max="3" width="9.7109375" style="2" bestFit="1" customWidth="1"/>
    <col min="4" max="4" width="1.42578125" style="2" customWidth="1"/>
    <col min="5" max="5" width="17" style="2" customWidth="1"/>
    <col min="6" max="6" width="1.42578125" style="2" customWidth="1"/>
    <col min="7" max="7" width="14.140625" style="2" customWidth="1"/>
    <col min="8" max="8" width="1.42578125" style="2" customWidth="1"/>
    <col min="9" max="9" width="17" style="2" customWidth="1"/>
    <col min="10" max="10" width="1.42578125" style="2" customWidth="1"/>
    <col min="11" max="11" width="14.140625" style="2" customWidth="1"/>
    <col min="12" max="16384" width="8.85546875" style="2"/>
  </cols>
  <sheetData>
    <row r="1" spans="1:11" ht="19.899999999999999" customHeight="1" x14ac:dyDescent="0.55000000000000004">
      <c r="A1" s="36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9.899999999999999" customHeight="1" x14ac:dyDescent="0.55000000000000004">
      <c r="A2" s="36" t="s">
        <v>83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19.899999999999999" customHeight="1" x14ac:dyDescent="0.55000000000000004">
      <c r="A3" s="36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5" spans="1:11" ht="21" x14ac:dyDescent="0.55000000000000004">
      <c r="A5" s="37" t="s">
        <v>232</v>
      </c>
      <c r="B5" s="34"/>
      <c r="C5" s="34"/>
      <c r="D5" s="34"/>
      <c r="E5" s="34"/>
      <c r="F5" s="34"/>
      <c r="G5" s="34"/>
      <c r="H5" s="34"/>
      <c r="I5" s="34"/>
      <c r="J5" s="34"/>
      <c r="K5" s="34"/>
    </row>
    <row r="7" spans="1:11" ht="21" x14ac:dyDescent="0.55000000000000004">
      <c r="A7" s="30" t="s">
        <v>209</v>
      </c>
      <c r="B7" s="31"/>
      <c r="C7" s="31"/>
      <c r="E7" s="30" t="s">
        <v>96</v>
      </c>
      <c r="F7" s="31"/>
      <c r="G7" s="31"/>
      <c r="I7" s="30" t="s">
        <v>7</v>
      </c>
      <c r="J7" s="31"/>
      <c r="K7" s="31"/>
    </row>
    <row r="8" spans="1:11" ht="42" x14ac:dyDescent="0.55000000000000004">
      <c r="A8" s="13" t="s">
        <v>210</v>
      </c>
      <c r="C8" s="13" t="s">
        <v>223</v>
      </c>
      <c r="E8" s="13" t="s">
        <v>211</v>
      </c>
      <c r="G8" s="13" t="s">
        <v>212</v>
      </c>
      <c r="I8" s="13" t="s">
        <v>211</v>
      </c>
      <c r="K8" s="13" t="s">
        <v>212</v>
      </c>
    </row>
    <row r="9" spans="1:11" ht="21" x14ac:dyDescent="0.55000000000000004">
      <c r="A9" s="14" t="s">
        <v>233</v>
      </c>
      <c r="C9" s="6">
        <v>1</v>
      </c>
      <c r="E9" s="5">
        <v>3044605</v>
      </c>
      <c r="G9" s="7">
        <f>E9/E11</f>
        <v>1.8353846821023282E-3</v>
      </c>
      <c r="I9" s="5">
        <v>201461410</v>
      </c>
      <c r="K9" s="7">
        <f>I9/I11</f>
        <v>2.1003063637777267E-2</v>
      </c>
    </row>
    <row r="10" spans="1:11" ht="21" x14ac:dyDescent="0.55000000000000004">
      <c r="A10" s="14" t="s">
        <v>234</v>
      </c>
      <c r="C10" s="6">
        <v>1</v>
      </c>
      <c r="E10" s="5">
        <v>1655792929</v>
      </c>
      <c r="G10" s="7">
        <f>E10/E11</f>
        <v>0.99816461531789769</v>
      </c>
      <c r="I10" s="5">
        <v>9390539713</v>
      </c>
      <c r="K10" s="7">
        <f>I10/I11</f>
        <v>0.97899693636222274</v>
      </c>
    </row>
    <row r="11" spans="1:11" ht="21" x14ac:dyDescent="0.55000000000000004">
      <c r="A11" s="8" t="s">
        <v>74</v>
      </c>
      <c r="E11" s="8">
        <f>SUM(E9:$E$10)</f>
        <v>1658837534</v>
      </c>
      <c r="G11" s="20">
        <f>SUM(G9:$G$10)</f>
        <v>1</v>
      </c>
      <c r="I11" s="8">
        <f>SUM(I9:$I$10)</f>
        <v>9592001123</v>
      </c>
      <c r="K11" s="20">
        <f>SUM(K9:$K$10)</f>
        <v>1</v>
      </c>
    </row>
    <row r="12" spans="1:11" ht="21" x14ac:dyDescent="0.55000000000000004">
      <c r="E12" s="10"/>
      <c r="G12" s="10"/>
      <c r="I12" s="10"/>
      <c r="K12" s="10"/>
    </row>
  </sheetData>
  <mergeCells count="7">
    <mergeCell ref="A1:K1"/>
    <mergeCell ref="A2:K2"/>
    <mergeCell ref="A3:K3"/>
    <mergeCell ref="A5:K5"/>
    <mergeCell ref="A7:C7"/>
    <mergeCell ref="E7:G7"/>
    <mergeCell ref="I7:K7"/>
  </mergeCells>
  <pageMargins left="0.7" right="0.7" top="0.75" bottom="0.75" header="0.3" footer="0.3"/>
  <pageSetup paperSize="9" scale="75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2"/>
  <sheetViews>
    <sheetView rightToLeft="1" view="pageBreakPreview" zoomScale="60" zoomScaleNormal="100" workbookViewId="0">
      <selection activeCell="C10" sqref="C10"/>
    </sheetView>
  </sheetViews>
  <sheetFormatPr defaultColWidth="8.85546875" defaultRowHeight="19.5" x14ac:dyDescent="0.55000000000000004"/>
  <cols>
    <col min="1" max="1" width="25.5703125" style="2" customWidth="1"/>
    <col min="2" max="2" width="1.42578125" style="2" customWidth="1"/>
    <col min="3" max="3" width="18.42578125" style="2" customWidth="1"/>
    <col min="4" max="4" width="1.42578125" style="2" customWidth="1"/>
    <col min="5" max="5" width="18.42578125" style="2" customWidth="1"/>
    <col min="6" max="16384" width="8.85546875" style="2"/>
  </cols>
  <sheetData>
    <row r="1" spans="1:5" ht="19.899999999999999" customHeight="1" x14ac:dyDescent="0.55000000000000004">
      <c r="A1" s="36" t="s">
        <v>0</v>
      </c>
      <c r="B1" s="34"/>
      <c r="C1" s="34"/>
      <c r="D1" s="34"/>
      <c r="E1" s="34"/>
    </row>
    <row r="2" spans="1:5" ht="19.899999999999999" customHeight="1" x14ac:dyDescent="0.55000000000000004">
      <c r="A2" s="36" t="s">
        <v>83</v>
      </c>
      <c r="B2" s="34"/>
      <c r="C2" s="34"/>
      <c r="D2" s="34"/>
      <c r="E2" s="34"/>
    </row>
    <row r="3" spans="1:5" ht="19.899999999999999" customHeight="1" x14ac:dyDescent="0.55000000000000004">
      <c r="A3" s="36" t="s">
        <v>2</v>
      </c>
      <c r="B3" s="34"/>
      <c r="C3" s="34"/>
      <c r="D3" s="34"/>
      <c r="E3" s="34"/>
    </row>
    <row r="5" spans="1:5" ht="21" x14ac:dyDescent="0.55000000000000004">
      <c r="A5" s="37" t="s">
        <v>235</v>
      </c>
      <c r="B5" s="34"/>
      <c r="C5" s="34"/>
      <c r="D5" s="34"/>
      <c r="E5" s="34"/>
    </row>
    <row r="7" spans="1:5" ht="21" x14ac:dyDescent="0.55000000000000004">
      <c r="C7" s="12" t="s">
        <v>96</v>
      </c>
      <c r="E7" s="12" t="s">
        <v>7</v>
      </c>
    </row>
    <row r="8" spans="1:5" ht="21" x14ac:dyDescent="0.55000000000000004">
      <c r="A8" s="13" t="s">
        <v>93</v>
      </c>
      <c r="C8" s="13" t="s">
        <v>79</v>
      </c>
      <c r="E8" s="13" t="s">
        <v>79</v>
      </c>
    </row>
    <row r="9" spans="1:5" ht="21" x14ac:dyDescent="0.55000000000000004">
      <c r="A9" s="14" t="s">
        <v>237</v>
      </c>
      <c r="C9" s="5">
        <v>46203160</v>
      </c>
      <c r="E9" s="5">
        <v>196558655</v>
      </c>
    </row>
    <row r="10" spans="1:5" ht="21" x14ac:dyDescent="0.55000000000000004">
      <c r="A10" s="14" t="s">
        <v>236</v>
      </c>
      <c r="C10" s="5">
        <v>0</v>
      </c>
      <c r="E10" s="5">
        <v>1274</v>
      </c>
    </row>
    <row r="11" spans="1:5" ht="21" x14ac:dyDescent="0.55000000000000004">
      <c r="A11" s="8" t="s">
        <v>74</v>
      </c>
      <c r="C11" s="8">
        <f>SUM(C9:$C$9)</f>
        <v>46203160</v>
      </c>
      <c r="E11" s="8">
        <f>SUM(E9:$E$9)</f>
        <v>196558655</v>
      </c>
    </row>
    <row r="12" spans="1:5" ht="21" x14ac:dyDescent="0.55000000000000004">
      <c r="C12" s="10"/>
      <c r="E12" s="10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58"/>
  <sheetViews>
    <sheetView rightToLeft="1" view="pageBreakPreview" zoomScale="60" zoomScaleNormal="100" workbookViewId="0">
      <selection activeCell="S57" sqref="S57"/>
    </sheetView>
  </sheetViews>
  <sheetFormatPr defaultColWidth="8.85546875" defaultRowHeight="19.5" x14ac:dyDescent="0.55000000000000004"/>
  <cols>
    <col min="1" max="1" width="26.140625" style="2" customWidth="1"/>
    <col min="2" max="2" width="1.42578125" style="2" customWidth="1"/>
    <col min="3" max="3" width="11.42578125" style="2" customWidth="1"/>
    <col min="4" max="4" width="1.42578125" style="2" customWidth="1"/>
    <col min="5" max="5" width="12.85546875" style="2" customWidth="1"/>
    <col min="6" max="6" width="1.42578125" style="2" customWidth="1"/>
    <col min="7" max="7" width="11.42578125" style="2" customWidth="1"/>
    <col min="8" max="8" width="1.42578125" style="2" customWidth="1"/>
    <col min="9" max="9" width="18.42578125" style="2" customWidth="1"/>
    <col min="10" max="10" width="1.42578125" style="2" customWidth="1"/>
    <col min="11" max="11" width="14.140625" style="2" customWidth="1"/>
    <col min="12" max="12" width="1.42578125" style="2" customWidth="1"/>
    <col min="13" max="13" width="18.42578125" style="2" customWidth="1"/>
    <col min="14" max="14" width="1.42578125" style="2" customWidth="1"/>
    <col min="15" max="15" width="18.42578125" style="2" customWidth="1"/>
    <col min="16" max="16" width="1.42578125" style="2" customWidth="1"/>
    <col min="17" max="17" width="14.140625" style="2" customWidth="1"/>
    <col min="18" max="18" width="1.42578125" style="2" customWidth="1"/>
    <col min="19" max="19" width="18.42578125" style="2" customWidth="1"/>
    <col min="20" max="16384" width="8.85546875" style="2"/>
  </cols>
  <sheetData>
    <row r="1" spans="1:19" ht="19.899999999999999" customHeight="1" x14ac:dyDescent="0.55000000000000004">
      <c r="A1" s="36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19.899999999999999" customHeight="1" x14ac:dyDescent="0.55000000000000004">
      <c r="A2" s="36" t="s">
        <v>83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19" ht="19.899999999999999" customHeight="1" x14ac:dyDescent="0.55000000000000004">
      <c r="A3" s="36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</row>
    <row r="5" spans="1:19" ht="21" x14ac:dyDescent="0.55000000000000004">
      <c r="A5" s="37" t="s">
        <v>94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</row>
    <row r="7" spans="1:19" ht="21" x14ac:dyDescent="0.55000000000000004">
      <c r="C7" s="30" t="s">
        <v>95</v>
      </c>
      <c r="D7" s="31"/>
      <c r="E7" s="31"/>
      <c r="F7" s="31"/>
      <c r="G7" s="31"/>
      <c r="I7" s="30" t="s">
        <v>96</v>
      </c>
      <c r="J7" s="31"/>
      <c r="K7" s="31"/>
      <c r="L7" s="31"/>
      <c r="M7" s="31"/>
      <c r="O7" s="30" t="s">
        <v>7</v>
      </c>
      <c r="P7" s="31"/>
      <c r="Q7" s="31"/>
      <c r="R7" s="31"/>
      <c r="S7" s="31"/>
    </row>
    <row r="8" spans="1:19" ht="63" x14ac:dyDescent="0.55000000000000004">
      <c r="A8" s="12" t="s">
        <v>75</v>
      </c>
      <c r="C8" s="13" t="s">
        <v>97</v>
      </c>
      <c r="E8" s="13" t="s">
        <v>98</v>
      </c>
      <c r="G8" s="13" t="s">
        <v>99</v>
      </c>
      <c r="I8" s="13" t="s">
        <v>100</v>
      </c>
      <c r="K8" s="13" t="s">
        <v>101</v>
      </c>
      <c r="M8" s="13" t="s">
        <v>102</v>
      </c>
      <c r="O8" s="13" t="s">
        <v>100</v>
      </c>
      <c r="Q8" s="13" t="s">
        <v>101</v>
      </c>
      <c r="S8" s="13" t="s">
        <v>102</v>
      </c>
    </row>
    <row r="9" spans="1:19" ht="21" x14ac:dyDescent="0.55000000000000004">
      <c r="A9" s="14" t="s">
        <v>17</v>
      </c>
      <c r="C9" s="6" t="s">
        <v>103</v>
      </c>
      <c r="E9" s="5">
        <v>467651</v>
      </c>
      <c r="G9" s="5">
        <v>300</v>
      </c>
      <c r="I9" s="5">
        <v>0</v>
      </c>
      <c r="J9" s="5"/>
      <c r="K9" s="5">
        <v>0</v>
      </c>
      <c r="M9" s="5">
        <f>I9+K9</f>
        <v>0</v>
      </c>
      <c r="N9" s="6"/>
      <c r="O9" s="5">
        <v>140295300</v>
      </c>
      <c r="Q9" s="5">
        <v>0</v>
      </c>
      <c r="S9" s="5">
        <v>140295300</v>
      </c>
    </row>
    <row r="10" spans="1:19" ht="21" x14ac:dyDescent="0.55000000000000004">
      <c r="A10" s="14" t="s">
        <v>104</v>
      </c>
      <c r="C10" s="6" t="s">
        <v>105</v>
      </c>
      <c r="E10" s="5">
        <v>321160</v>
      </c>
      <c r="G10" s="5">
        <v>1920</v>
      </c>
      <c r="I10" s="5">
        <v>0</v>
      </c>
      <c r="J10" s="5"/>
      <c r="K10" s="5">
        <v>0</v>
      </c>
      <c r="M10" s="5">
        <f t="shared" ref="M10:M56" si="0">I10+K10</f>
        <v>0</v>
      </c>
      <c r="N10" s="6"/>
      <c r="O10" s="5">
        <v>616627200</v>
      </c>
      <c r="Q10" s="5">
        <v>0</v>
      </c>
      <c r="S10" s="5">
        <v>616627200</v>
      </c>
    </row>
    <row r="11" spans="1:19" ht="21" x14ac:dyDescent="0.55000000000000004">
      <c r="A11" s="14" t="s">
        <v>24</v>
      </c>
      <c r="C11" s="6" t="s">
        <v>103</v>
      </c>
      <c r="E11" s="5">
        <v>2200000</v>
      </c>
      <c r="G11" s="5">
        <v>537</v>
      </c>
      <c r="I11" s="5">
        <v>0</v>
      </c>
      <c r="J11" s="5"/>
      <c r="K11" s="5">
        <v>0</v>
      </c>
      <c r="M11" s="5">
        <f t="shared" si="0"/>
        <v>0</v>
      </c>
      <c r="N11" s="6"/>
      <c r="O11" s="5">
        <v>1181400000</v>
      </c>
      <c r="Q11" s="5">
        <v>0</v>
      </c>
      <c r="S11" s="5">
        <v>1181400000</v>
      </c>
    </row>
    <row r="12" spans="1:19" ht="21" x14ac:dyDescent="0.55000000000000004">
      <c r="A12" s="14" t="s">
        <v>106</v>
      </c>
      <c r="C12" s="6" t="s">
        <v>107</v>
      </c>
      <c r="E12" s="5">
        <v>2800000</v>
      </c>
      <c r="G12" s="5">
        <v>82</v>
      </c>
      <c r="I12" s="5">
        <v>0</v>
      </c>
      <c r="J12" s="5"/>
      <c r="K12" s="5">
        <v>0</v>
      </c>
      <c r="M12" s="5">
        <f t="shared" si="0"/>
        <v>0</v>
      </c>
      <c r="N12" s="6"/>
      <c r="O12" s="5">
        <v>229600000</v>
      </c>
      <c r="Q12" s="5">
        <v>0</v>
      </c>
      <c r="S12" s="5">
        <v>229600000</v>
      </c>
    </row>
    <row r="13" spans="1:19" ht="21" x14ac:dyDescent="0.55000000000000004">
      <c r="A13" s="14" t="s">
        <v>27</v>
      </c>
      <c r="C13" s="6" t="s">
        <v>108</v>
      </c>
      <c r="E13" s="5">
        <v>10000000</v>
      </c>
      <c r="G13" s="5">
        <v>66</v>
      </c>
      <c r="I13" s="5">
        <v>0</v>
      </c>
      <c r="J13" s="5"/>
      <c r="K13" s="5">
        <v>0</v>
      </c>
      <c r="M13" s="5">
        <f t="shared" si="0"/>
        <v>0</v>
      </c>
      <c r="N13" s="6"/>
      <c r="O13" s="5">
        <v>660000000</v>
      </c>
      <c r="Q13" s="5">
        <v>0</v>
      </c>
      <c r="S13" s="5">
        <v>660000000</v>
      </c>
    </row>
    <row r="14" spans="1:19" ht="21" x14ac:dyDescent="0.55000000000000004">
      <c r="A14" s="14" t="s">
        <v>28</v>
      </c>
      <c r="C14" s="6" t="s">
        <v>109</v>
      </c>
      <c r="E14" s="5">
        <v>1339175</v>
      </c>
      <c r="G14" s="5">
        <v>17</v>
      </c>
      <c r="I14" s="5">
        <v>0</v>
      </c>
      <c r="J14" s="5"/>
      <c r="K14" s="5">
        <v>0</v>
      </c>
      <c r="M14" s="5">
        <f t="shared" si="0"/>
        <v>0</v>
      </c>
      <c r="N14" s="6"/>
      <c r="O14" s="5">
        <v>22765975</v>
      </c>
      <c r="Q14" s="5">
        <v>0</v>
      </c>
      <c r="S14" s="5">
        <v>22765975</v>
      </c>
    </row>
    <row r="15" spans="1:19" ht="21" x14ac:dyDescent="0.55000000000000004">
      <c r="A15" s="14" t="s">
        <v>29</v>
      </c>
      <c r="C15" s="6" t="s">
        <v>109</v>
      </c>
      <c r="E15" s="5">
        <v>13300000</v>
      </c>
      <c r="G15" s="5">
        <v>82</v>
      </c>
      <c r="I15" s="5">
        <v>0</v>
      </c>
      <c r="J15" s="5"/>
      <c r="K15" s="5">
        <v>0</v>
      </c>
      <c r="M15" s="5">
        <f t="shared" si="0"/>
        <v>0</v>
      </c>
      <c r="N15" s="6"/>
      <c r="O15" s="5">
        <v>1090603045</v>
      </c>
      <c r="Q15" s="5">
        <v>0</v>
      </c>
      <c r="S15" s="5">
        <v>1090603045</v>
      </c>
    </row>
    <row r="16" spans="1:19" ht="21" x14ac:dyDescent="0.55000000000000004">
      <c r="A16" s="14" t="s">
        <v>31</v>
      </c>
      <c r="C16" s="6" t="s">
        <v>110</v>
      </c>
      <c r="E16" s="5">
        <v>1650000</v>
      </c>
      <c r="G16" s="5">
        <v>224</v>
      </c>
      <c r="I16" s="5">
        <v>0</v>
      </c>
      <c r="J16" s="5"/>
      <c r="K16" s="5">
        <v>0</v>
      </c>
      <c r="M16" s="5">
        <f t="shared" si="0"/>
        <v>0</v>
      </c>
      <c r="N16" s="6"/>
      <c r="O16" s="5">
        <v>369600000</v>
      </c>
      <c r="Q16" s="5">
        <v>0</v>
      </c>
      <c r="S16" s="5">
        <v>369600000</v>
      </c>
    </row>
    <row r="17" spans="1:19" ht="21" x14ac:dyDescent="0.55000000000000004">
      <c r="A17" s="14" t="s">
        <v>33</v>
      </c>
      <c r="C17" s="6" t="s">
        <v>111</v>
      </c>
      <c r="E17" s="5">
        <v>3221825</v>
      </c>
      <c r="G17" s="5">
        <v>190</v>
      </c>
      <c r="I17" s="5">
        <v>0</v>
      </c>
      <c r="J17" s="5"/>
      <c r="K17" s="5">
        <v>0</v>
      </c>
      <c r="M17" s="5">
        <f t="shared" si="0"/>
        <v>0</v>
      </c>
      <c r="N17" s="6"/>
      <c r="O17" s="5">
        <v>612146750</v>
      </c>
      <c r="Q17" s="5">
        <v>0</v>
      </c>
      <c r="S17" s="5">
        <v>612146750</v>
      </c>
    </row>
    <row r="18" spans="1:19" ht="21" x14ac:dyDescent="0.55000000000000004">
      <c r="A18" s="14" t="s">
        <v>34</v>
      </c>
      <c r="C18" s="6" t="s">
        <v>112</v>
      </c>
      <c r="E18" s="5">
        <v>5800000</v>
      </c>
      <c r="G18" s="5">
        <v>360</v>
      </c>
      <c r="I18" s="5">
        <v>0</v>
      </c>
      <c r="J18" s="5"/>
      <c r="K18" s="5">
        <v>0</v>
      </c>
      <c r="M18" s="5">
        <f t="shared" si="0"/>
        <v>0</v>
      </c>
      <c r="N18" s="6"/>
      <c r="O18" s="5">
        <v>2088000000</v>
      </c>
      <c r="Q18" s="5">
        <v>0</v>
      </c>
      <c r="S18" s="5">
        <v>2088000000</v>
      </c>
    </row>
    <row r="19" spans="1:19" ht="21" x14ac:dyDescent="0.55000000000000004">
      <c r="A19" s="14" t="s">
        <v>35</v>
      </c>
      <c r="C19" s="6" t="s">
        <v>113</v>
      </c>
      <c r="E19" s="5">
        <v>310000</v>
      </c>
      <c r="G19" s="5">
        <v>3000</v>
      </c>
      <c r="I19" s="5">
        <v>0</v>
      </c>
      <c r="J19" s="5"/>
      <c r="K19" s="5">
        <v>0</v>
      </c>
      <c r="M19" s="5">
        <f t="shared" si="0"/>
        <v>0</v>
      </c>
      <c r="N19" s="6"/>
      <c r="O19" s="5">
        <v>930000000</v>
      </c>
      <c r="Q19" s="5">
        <v>0</v>
      </c>
      <c r="S19" s="5">
        <v>930000000</v>
      </c>
    </row>
    <row r="20" spans="1:19" ht="21" x14ac:dyDescent="0.55000000000000004">
      <c r="A20" s="14" t="s">
        <v>40</v>
      </c>
      <c r="C20" s="6" t="s">
        <v>114</v>
      </c>
      <c r="E20" s="5">
        <v>48341699</v>
      </c>
      <c r="G20" s="5">
        <v>150</v>
      </c>
      <c r="I20" s="5">
        <v>7251254850</v>
      </c>
      <c r="K20" s="5">
        <v>0</v>
      </c>
      <c r="M20" s="5">
        <v>7251254850</v>
      </c>
      <c r="O20" s="5">
        <v>7251254850</v>
      </c>
      <c r="Q20" s="5">
        <v>0</v>
      </c>
      <c r="S20" s="5">
        <v>7251254850</v>
      </c>
    </row>
    <row r="21" spans="1:19" ht="21" x14ac:dyDescent="0.55000000000000004">
      <c r="A21" s="14" t="s">
        <v>43</v>
      </c>
      <c r="C21" s="6" t="s">
        <v>115</v>
      </c>
      <c r="E21" s="5">
        <v>288004</v>
      </c>
      <c r="G21" s="5">
        <v>950</v>
      </c>
      <c r="I21" s="5">
        <v>0</v>
      </c>
      <c r="J21" s="5"/>
      <c r="K21" s="5">
        <v>0</v>
      </c>
      <c r="M21" s="5">
        <f t="shared" si="0"/>
        <v>0</v>
      </c>
      <c r="N21" s="6"/>
      <c r="O21" s="5">
        <v>273603800</v>
      </c>
      <c r="Q21" s="5">
        <v>-25182439</v>
      </c>
      <c r="S21" s="5">
        <v>248421361</v>
      </c>
    </row>
    <row r="22" spans="1:19" ht="21" x14ac:dyDescent="0.55000000000000004">
      <c r="A22" s="14" t="s">
        <v>44</v>
      </c>
      <c r="C22" s="6" t="s">
        <v>116</v>
      </c>
      <c r="E22" s="5">
        <v>2455431</v>
      </c>
      <c r="G22" s="5">
        <v>3000</v>
      </c>
      <c r="I22" s="5">
        <v>0</v>
      </c>
      <c r="J22" s="5"/>
      <c r="K22" s="5">
        <v>0</v>
      </c>
      <c r="M22" s="5">
        <f t="shared" si="0"/>
        <v>0</v>
      </c>
      <c r="N22" s="6"/>
      <c r="O22" s="5">
        <v>7366293000</v>
      </c>
      <c r="Q22" s="5">
        <v>0</v>
      </c>
      <c r="S22" s="5">
        <v>7366293000</v>
      </c>
    </row>
    <row r="23" spans="1:19" ht="21" x14ac:dyDescent="0.55000000000000004">
      <c r="A23" s="14" t="s">
        <v>48</v>
      </c>
      <c r="C23" s="6" t="s">
        <v>5</v>
      </c>
      <c r="E23" s="5">
        <v>11399204</v>
      </c>
      <c r="G23" s="5">
        <v>540</v>
      </c>
      <c r="I23" s="5">
        <v>6155570160</v>
      </c>
      <c r="K23" s="5">
        <v>-774053733</v>
      </c>
      <c r="M23" s="5">
        <v>5381516427</v>
      </c>
      <c r="O23" s="5">
        <v>6155570160</v>
      </c>
      <c r="Q23" s="5">
        <v>-774053733</v>
      </c>
      <c r="S23" s="5">
        <v>5381516427</v>
      </c>
    </row>
    <row r="24" spans="1:19" ht="21" x14ac:dyDescent="0.55000000000000004">
      <c r="A24" s="14" t="s">
        <v>49</v>
      </c>
      <c r="C24" s="6" t="s">
        <v>103</v>
      </c>
      <c r="E24" s="5">
        <v>1092665</v>
      </c>
      <c r="G24" s="5">
        <v>2920</v>
      </c>
      <c r="I24" s="5">
        <v>0</v>
      </c>
      <c r="J24" s="5"/>
      <c r="K24" s="5">
        <v>0</v>
      </c>
      <c r="M24" s="5">
        <f t="shared" si="0"/>
        <v>0</v>
      </c>
      <c r="N24" s="6"/>
      <c r="O24" s="5">
        <v>3190581800</v>
      </c>
      <c r="Q24" s="5">
        <v>0</v>
      </c>
      <c r="S24" s="5">
        <v>3190581800</v>
      </c>
    </row>
    <row r="25" spans="1:19" ht="21" x14ac:dyDescent="0.55000000000000004">
      <c r="A25" s="14" t="s">
        <v>51</v>
      </c>
      <c r="C25" s="6" t="s">
        <v>103</v>
      </c>
      <c r="E25" s="5">
        <v>4500000</v>
      </c>
      <c r="G25" s="5">
        <v>255</v>
      </c>
      <c r="I25" s="5">
        <v>0</v>
      </c>
      <c r="J25" s="5"/>
      <c r="K25" s="5">
        <v>0</v>
      </c>
      <c r="M25" s="5">
        <f t="shared" si="0"/>
        <v>0</v>
      </c>
      <c r="N25" s="6"/>
      <c r="O25" s="5">
        <v>1147500000</v>
      </c>
      <c r="Q25" s="5">
        <v>0</v>
      </c>
      <c r="S25" s="5">
        <v>1147500000</v>
      </c>
    </row>
    <row r="26" spans="1:19" ht="21" x14ac:dyDescent="0.55000000000000004">
      <c r="A26" s="14" t="s">
        <v>52</v>
      </c>
      <c r="C26" s="6" t="s">
        <v>103</v>
      </c>
      <c r="E26" s="5">
        <v>20600000</v>
      </c>
      <c r="G26" s="5">
        <v>400</v>
      </c>
      <c r="I26" s="5">
        <v>0</v>
      </c>
      <c r="J26" s="5"/>
      <c r="K26" s="5">
        <v>0</v>
      </c>
      <c r="M26" s="5">
        <f t="shared" si="0"/>
        <v>0</v>
      </c>
      <c r="N26" s="6"/>
      <c r="O26" s="5">
        <v>8240000000</v>
      </c>
      <c r="Q26" s="5">
        <v>0</v>
      </c>
      <c r="S26" s="5">
        <v>8240000000</v>
      </c>
    </row>
    <row r="27" spans="1:19" ht="21" x14ac:dyDescent="0.55000000000000004">
      <c r="A27" s="14" t="s">
        <v>54</v>
      </c>
      <c r="C27" s="6" t="s">
        <v>117</v>
      </c>
      <c r="E27" s="5">
        <v>1341844</v>
      </c>
      <c r="G27" s="5">
        <v>1100</v>
      </c>
      <c r="I27" s="5">
        <v>0</v>
      </c>
      <c r="J27" s="5"/>
      <c r="K27" s="5">
        <v>0</v>
      </c>
      <c r="M27" s="5">
        <f t="shared" si="0"/>
        <v>0</v>
      </c>
      <c r="N27" s="6"/>
      <c r="O27" s="5">
        <v>1476028400</v>
      </c>
      <c r="Q27" s="5">
        <v>0</v>
      </c>
      <c r="S27" s="5">
        <v>1476028400</v>
      </c>
    </row>
    <row r="28" spans="1:19" ht="21" x14ac:dyDescent="0.55000000000000004">
      <c r="A28" s="14" t="s">
        <v>55</v>
      </c>
      <c r="C28" s="6" t="s">
        <v>118</v>
      </c>
      <c r="E28" s="5">
        <v>1642919</v>
      </c>
      <c r="G28" s="5">
        <v>1800</v>
      </c>
      <c r="I28" s="5">
        <v>0</v>
      </c>
      <c r="J28" s="5"/>
      <c r="K28" s="5">
        <v>0</v>
      </c>
      <c r="M28" s="5">
        <f t="shared" si="0"/>
        <v>0</v>
      </c>
      <c r="N28" s="6"/>
      <c r="O28" s="5">
        <v>2957254200</v>
      </c>
      <c r="Q28" s="5">
        <v>-337356668</v>
      </c>
      <c r="S28" s="5">
        <v>2619897532</v>
      </c>
    </row>
    <row r="29" spans="1:19" ht="21" x14ac:dyDescent="0.55000000000000004">
      <c r="A29" s="14" t="s">
        <v>56</v>
      </c>
      <c r="C29" s="6" t="s">
        <v>110</v>
      </c>
      <c r="E29" s="5">
        <v>1754845</v>
      </c>
      <c r="G29" s="5">
        <v>354</v>
      </c>
      <c r="I29" s="5">
        <v>0</v>
      </c>
      <c r="J29" s="5"/>
      <c r="K29" s="5">
        <v>0</v>
      </c>
      <c r="M29" s="5">
        <f t="shared" si="0"/>
        <v>0</v>
      </c>
      <c r="N29" s="6"/>
      <c r="O29" s="5">
        <v>621215130</v>
      </c>
      <c r="Q29" s="5">
        <v>0</v>
      </c>
      <c r="S29" s="5">
        <v>621215130</v>
      </c>
    </row>
    <row r="30" spans="1:19" ht="21" x14ac:dyDescent="0.55000000000000004">
      <c r="A30" s="14" t="s">
        <v>244</v>
      </c>
      <c r="C30" s="6"/>
      <c r="E30" s="5"/>
      <c r="G30" s="5"/>
      <c r="I30" s="45">
        <f>SUM(I9:I29)</f>
        <v>13406825010</v>
      </c>
      <c r="J30" s="5"/>
      <c r="K30" s="45">
        <f>SUM(K9:K29)</f>
        <v>-774053733</v>
      </c>
      <c r="M30" s="45">
        <f>SUM(M9:M29)</f>
        <v>12632771277</v>
      </c>
      <c r="N30" s="6"/>
      <c r="O30" s="45">
        <f>SUM(O9:O29)</f>
        <v>46620339610</v>
      </c>
      <c r="Q30" s="45">
        <f>SUM(Q9:Q29)</f>
        <v>-1136592840</v>
      </c>
      <c r="S30" s="45">
        <f>SUM(S9:S29)</f>
        <v>45483746770</v>
      </c>
    </row>
    <row r="31" spans="1:19" ht="19.899999999999999" customHeight="1" x14ac:dyDescent="0.55000000000000004">
      <c r="A31" s="36" t="s">
        <v>0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</row>
    <row r="32" spans="1:19" ht="19.899999999999999" customHeight="1" x14ac:dyDescent="0.55000000000000004">
      <c r="A32" s="36" t="s">
        <v>83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</row>
    <row r="33" spans="1:19" ht="19.899999999999999" customHeight="1" x14ac:dyDescent="0.55000000000000004">
      <c r="A33" s="36" t="s">
        <v>2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</row>
    <row r="35" spans="1:19" ht="21" x14ac:dyDescent="0.55000000000000004">
      <c r="A35" s="37" t="s">
        <v>94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</row>
    <row r="37" spans="1:19" ht="21" x14ac:dyDescent="0.55000000000000004">
      <c r="C37" s="30" t="s">
        <v>95</v>
      </c>
      <c r="D37" s="31"/>
      <c r="E37" s="31"/>
      <c r="F37" s="31"/>
      <c r="G37" s="31"/>
      <c r="I37" s="30" t="s">
        <v>96</v>
      </c>
      <c r="J37" s="31"/>
      <c r="K37" s="31"/>
      <c r="L37" s="31"/>
      <c r="M37" s="31"/>
      <c r="O37" s="30" t="s">
        <v>7</v>
      </c>
      <c r="P37" s="31"/>
      <c r="Q37" s="31"/>
      <c r="R37" s="31"/>
      <c r="S37" s="31"/>
    </row>
    <row r="38" spans="1:19" ht="63" x14ac:dyDescent="0.55000000000000004">
      <c r="A38" s="12" t="s">
        <v>75</v>
      </c>
      <c r="C38" s="13" t="s">
        <v>97</v>
      </c>
      <c r="E38" s="13" t="s">
        <v>98</v>
      </c>
      <c r="G38" s="13" t="s">
        <v>99</v>
      </c>
      <c r="I38" s="13" t="s">
        <v>100</v>
      </c>
      <c r="K38" s="13" t="s">
        <v>101</v>
      </c>
      <c r="M38" s="13" t="s">
        <v>102</v>
      </c>
      <c r="O38" s="13" t="s">
        <v>100</v>
      </c>
      <c r="Q38" s="13" t="s">
        <v>101</v>
      </c>
      <c r="S38" s="13" t="s">
        <v>102</v>
      </c>
    </row>
    <row r="39" spans="1:19" ht="21" x14ac:dyDescent="0.55000000000000004">
      <c r="A39" s="14" t="s">
        <v>245</v>
      </c>
      <c r="C39" s="46"/>
      <c r="E39" s="46"/>
      <c r="G39" s="46"/>
      <c r="I39" s="5">
        <f>I30</f>
        <v>13406825010</v>
      </c>
      <c r="K39" s="5">
        <f>K30</f>
        <v>-774053733</v>
      </c>
      <c r="M39" s="5">
        <f>M30</f>
        <v>12632771277</v>
      </c>
      <c r="O39" s="5">
        <f>O30</f>
        <v>46620339610</v>
      </c>
      <c r="Q39" s="5">
        <f>Q30</f>
        <v>-1136592840</v>
      </c>
      <c r="S39" s="5">
        <f>S30</f>
        <v>45483746770</v>
      </c>
    </row>
    <row r="40" spans="1:19" ht="21" x14ac:dyDescent="0.55000000000000004">
      <c r="A40" s="14" t="s">
        <v>58</v>
      </c>
      <c r="C40" s="6" t="s">
        <v>110</v>
      </c>
      <c r="E40" s="5">
        <v>11520000</v>
      </c>
      <c r="G40" s="5">
        <v>370</v>
      </c>
      <c r="I40" s="5">
        <v>0</v>
      </c>
      <c r="J40" s="5"/>
      <c r="K40" s="5">
        <v>0</v>
      </c>
      <c r="M40" s="5">
        <f t="shared" si="0"/>
        <v>0</v>
      </c>
      <c r="N40" s="6"/>
      <c r="O40" s="5">
        <v>4262400000</v>
      </c>
      <c r="Q40" s="5">
        <v>0</v>
      </c>
      <c r="S40" s="5">
        <v>4262400000</v>
      </c>
    </row>
    <row r="41" spans="1:19" ht="21" x14ac:dyDescent="0.55000000000000004">
      <c r="A41" s="14" t="s">
        <v>59</v>
      </c>
      <c r="C41" s="6" t="s">
        <v>119</v>
      </c>
      <c r="E41" s="5">
        <v>910000</v>
      </c>
      <c r="G41" s="5">
        <v>500</v>
      </c>
      <c r="I41" s="5">
        <v>0</v>
      </c>
      <c r="J41" s="5"/>
      <c r="K41" s="5">
        <v>0</v>
      </c>
      <c r="M41" s="5">
        <f t="shared" si="0"/>
        <v>0</v>
      </c>
      <c r="N41" s="6"/>
      <c r="O41" s="5">
        <v>455000000</v>
      </c>
      <c r="Q41" s="5">
        <v>0</v>
      </c>
      <c r="S41" s="5">
        <v>455000000</v>
      </c>
    </row>
    <row r="42" spans="1:19" ht="21" x14ac:dyDescent="0.55000000000000004">
      <c r="A42" s="14" t="s">
        <v>120</v>
      </c>
      <c r="C42" s="6" t="s">
        <v>121</v>
      </c>
      <c r="E42" s="5">
        <v>572500</v>
      </c>
      <c r="G42" s="5">
        <v>1350</v>
      </c>
      <c r="I42" s="5">
        <v>0</v>
      </c>
      <c r="J42" s="5"/>
      <c r="K42" s="5">
        <v>0</v>
      </c>
      <c r="M42" s="5">
        <f t="shared" si="0"/>
        <v>0</v>
      </c>
      <c r="N42" s="6"/>
      <c r="O42" s="5">
        <v>772875000</v>
      </c>
      <c r="Q42" s="5">
        <v>0</v>
      </c>
      <c r="S42" s="5">
        <v>772875000</v>
      </c>
    </row>
    <row r="43" spans="1:19" ht="21" x14ac:dyDescent="0.55000000000000004">
      <c r="A43" s="14" t="s">
        <v>60</v>
      </c>
      <c r="C43" s="6" t="s">
        <v>122</v>
      </c>
      <c r="E43" s="5">
        <v>7255540</v>
      </c>
      <c r="G43" s="5">
        <v>610</v>
      </c>
      <c r="I43" s="5">
        <v>0</v>
      </c>
      <c r="J43" s="5"/>
      <c r="K43" s="5">
        <v>0</v>
      </c>
      <c r="M43" s="5">
        <f t="shared" si="0"/>
        <v>0</v>
      </c>
      <c r="N43" s="6"/>
      <c r="O43" s="5">
        <v>4425879400</v>
      </c>
      <c r="Q43" s="5">
        <v>0</v>
      </c>
      <c r="S43" s="5">
        <v>4425879400</v>
      </c>
    </row>
    <row r="44" spans="1:19" ht="21" x14ac:dyDescent="0.55000000000000004">
      <c r="A44" s="14" t="s">
        <v>61</v>
      </c>
      <c r="C44" s="6" t="s">
        <v>123</v>
      </c>
      <c r="E44" s="5">
        <v>2574124</v>
      </c>
      <c r="G44" s="5">
        <v>1500</v>
      </c>
      <c r="I44" s="5">
        <v>0</v>
      </c>
      <c r="J44" s="5"/>
      <c r="K44" s="5">
        <v>0</v>
      </c>
      <c r="M44" s="5">
        <f t="shared" si="0"/>
        <v>0</v>
      </c>
      <c r="N44" s="6"/>
      <c r="O44" s="5">
        <v>3861186000</v>
      </c>
      <c r="Q44" s="5">
        <v>0</v>
      </c>
      <c r="S44" s="5">
        <v>3861186000</v>
      </c>
    </row>
    <row r="45" spans="1:19" ht="21" x14ac:dyDescent="0.55000000000000004">
      <c r="A45" s="14" t="s">
        <v>62</v>
      </c>
      <c r="C45" s="6" t="s">
        <v>124</v>
      </c>
      <c r="E45" s="5">
        <v>1631494</v>
      </c>
      <c r="G45" s="5">
        <v>1540</v>
      </c>
      <c r="I45" s="5">
        <v>0</v>
      </c>
      <c r="J45" s="5"/>
      <c r="K45" s="5">
        <v>0</v>
      </c>
      <c r="M45" s="5">
        <f t="shared" si="0"/>
        <v>0</v>
      </c>
      <c r="N45" s="6"/>
      <c r="O45" s="5">
        <v>2512500760</v>
      </c>
      <c r="Q45" s="5">
        <v>0</v>
      </c>
      <c r="S45" s="5">
        <v>2512500760</v>
      </c>
    </row>
    <row r="46" spans="1:19" ht="21" x14ac:dyDescent="0.55000000000000004">
      <c r="A46" s="14" t="s">
        <v>63</v>
      </c>
      <c r="C46" s="6" t="s">
        <v>122</v>
      </c>
      <c r="E46" s="5">
        <v>1614011</v>
      </c>
      <c r="G46" s="5">
        <v>1680</v>
      </c>
      <c r="I46" s="5">
        <v>0</v>
      </c>
      <c r="J46" s="5"/>
      <c r="K46" s="5">
        <v>0</v>
      </c>
      <c r="M46" s="5">
        <f t="shared" si="0"/>
        <v>0</v>
      </c>
      <c r="N46" s="6"/>
      <c r="O46" s="5">
        <v>2711538480</v>
      </c>
      <c r="Q46" s="5">
        <v>0</v>
      </c>
      <c r="S46" s="5">
        <v>2711538480</v>
      </c>
    </row>
    <row r="47" spans="1:19" ht="21" x14ac:dyDescent="0.55000000000000004">
      <c r="A47" s="14" t="s">
        <v>64</v>
      </c>
      <c r="C47" s="6" t="s">
        <v>110</v>
      </c>
      <c r="E47" s="5">
        <v>8288661</v>
      </c>
      <c r="G47" s="5">
        <v>260</v>
      </c>
      <c r="I47" s="5">
        <v>0</v>
      </c>
      <c r="J47" s="5"/>
      <c r="K47" s="5">
        <v>0</v>
      </c>
      <c r="M47" s="5">
        <f t="shared" si="0"/>
        <v>0</v>
      </c>
      <c r="N47" s="6"/>
      <c r="O47" s="5">
        <v>2155051860</v>
      </c>
      <c r="Q47" s="5">
        <v>0</v>
      </c>
      <c r="S47" s="5">
        <v>2155051860</v>
      </c>
    </row>
    <row r="48" spans="1:19" ht="21" x14ac:dyDescent="0.55000000000000004">
      <c r="A48" s="14" t="s">
        <v>67</v>
      </c>
      <c r="C48" s="6" t="s">
        <v>125</v>
      </c>
      <c r="E48" s="5">
        <v>400000</v>
      </c>
      <c r="G48" s="5">
        <v>4660</v>
      </c>
      <c r="I48" s="5">
        <v>0</v>
      </c>
      <c r="J48" s="5"/>
      <c r="K48" s="5">
        <v>0</v>
      </c>
      <c r="M48" s="5">
        <f t="shared" si="0"/>
        <v>0</v>
      </c>
      <c r="N48" s="6"/>
      <c r="O48" s="5">
        <v>1864000000</v>
      </c>
      <c r="Q48" s="5">
        <v>0</v>
      </c>
      <c r="S48" s="5">
        <v>1864000000</v>
      </c>
    </row>
    <row r="49" spans="1:19" ht="21" x14ac:dyDescent="0.55000000000000004">
      <c r="A49" s="14" t="s">
        <v>126</v>
      </c>
      <c r="C49" s="6" t="s">
        <v>127</v>
      </c>
      <c r="E49" s="5">
        <v>320000</v>
      </c>
      <c r="G49" s="5">
        <v>1330</v>
      </c>
      <c r="I49" s="5">
        <v>0</v>
      </c>
      <c r="J49" s="5"/>
      <c r="K49" s="5">
        <v>0</v>
      </c>
      <c r="M49" s="5">
        <f t="shared" si="0"/>
        <v>0</v>
      </c>
      <c r="N49" s="6"/>
      <c r="O49" s="5">
        <v>425600000</v>
      </c>
      <c r="Q49" s="5">
        <v>0</v>
      </c>
      <c r="S49" s="5">
        <v>425600000</v>
      </c>
    </row>
    <row r="50" spans="1:19" ht="21" x14ac:dyDescent="0.55000000000000004">
      <c r="A50" s="14" t="s">
        <v>68</v>
      </c>
      <c r="C50" s="6" t="s">
        <v>128</v>
      </c>
      <c r="E50" s="5">
        <v>175484</v>
      </c>
      <c r="G50" s="5">
        <v>20000</v>
      </c>
      <c r="I50" s="5">
        <v>0</v>
      </c>
      <c r="J50" s="5"/>
      <c r="K50" s="5">
        <v>0</v>
      </c>
      <c r="M50" s="5">
        <f t="shared" si="0"/>
        <v>0</v>
      </c>
      <c r="N50" s="6"/>
      <c r="O50" s="5">
        <v>3509680000</v>
      </c>
      <c r="Q50" s="5">
        <v>0</v>
      </c>
      <c r="S50" s="5">
        <v>3509680000</v>
      </c>
    </row>
    <row r="51" spans="1:19" ht="21" x14ac:dyDescent="0.55000000000000004">
      <c r="A51" s="14" t="s">
        <v>70</v>
      </c>
      <c r="C51" s="6" t="s">
        <v>129</v>
      </c>
      <c r="E51" s="5">
        <v>163981</v>
      </c>
      <c r="G51" s="5">
        <v>27500</v>
      </c>
      <c r="I51" s="5">
        <v>0</v>
      </c>
      <c r="J51" s="5"/>
      <c r="K51" s="5">
        <v>0</v>
      </c>
      <c r="M51" s="5">
        <f t="shared" si="0"/>
        <v>0</v>
      </c>
      <c r="N51" s="6"/>
      <c r="O51" s="5">
        <v>4509477500</v>
      </c>
      <c r="Q51" s="5">
        <v>0</v>
      </c>
      <c r="S51" s="5">
        <v>4509477500</v>
      </c>
    </row>
    <row r="52" spans="1:19" ht="21" x14ac:dyDescent="0.55000000000000004">
      <c r="A52" s="14" t="s">
        <v>71</v>
      </c>
      <c r="C52" s="6" t="s">
        <v>113</v>
      </c>
      <c r="E52" s="5">
        <v>1018099</v>
      </c>
      <c r="G52" s="5">
        <v>2000</v>
      </c>
      <c r="I52" s="5">
        <v>0</v>
      </c>
      <c r="J52" s="5"/>
      <c r="K52" s="5">
        <v>0</v>
      </c>
      <c r="M52" s="5">
        <f t="shared" si="0"/>
        <v>0</v>
      </c>
      <c r="N52" s="6"/>
      <c r="O52" s="5">
        <v>2036198000</v>
      </c>
      <c r="Q52" s="5">
        <v>0</v>
      </c>
      <c r="S52" s="5">
        <v>2036198000</v>
      </c>
    </row>
    <row r="53" spans="1:19" ht="21" x14ac:dyDescent="0.55000000000000004">
      <c r="A53" s="14" t="s">
        <v>72</v>
      </c>
      <c r="C53" s="6" t="s">
        <v>130</v>
      </c>
      <c r="E53" s="5">
        <v>5547863</v>
      </c>
      <c r="G53" s="5">
        <v>620</v>
      </c>
      <c r="I53" s="5">
        <v>0</v>
      </c>
      <c r="J53" s="5"/>
      <c r="K53" s="5">
        <v>0</v>
      </c>
      <c r="M53" s="5">
        <f t="shared" si="0"/>
        <v>0</v>
      </c>
      <c r="N53" s="6"/>
      <c r="O53" s="5">
        <v>3439675060</v>
      </c>
      <c r="Q53" s="5">
        <v>0</v>
      </c>
      <c r="S53" s="5">
        <v>3439675060</v>
      </c>
    </row>
    <row r="54" spans="1:19" ht="21" x14ac:dyDescent="0.55000000000000004">
      <c r="A54" s="14" t="s">
        <v>131</v>
      </c>
      <c r="C54" s="6" t="s">
        <v>103</v>
      </c>
      <c r="E54" s="5">
        <v>2550000</v>
      </c>
      <c r="G54" s="5">
        <v>70</v>
      </c>
      <c r="I54" s="5">
        <v>0</v>
      </c>
      <c r="J54" s="5"/>
      <c r="K54" s="5">
        <v>0</v>
      </c>
      <c r="M54" s="5">
        <f t="shared" si="0"/>
        <v>0</v>
      </c>
      <c r="N54" s="6"/>
      <c r="O54" s="5">
        <v>178500000</v>
      </c>
      <c r="Q54" s="5">
        <v>0</v>
      </c>
      <c r="S54" s="5">
        <v>178500000</v>
      </c>
    </row>
    <row r="55" spans="1:19" ht="42" x14ac:dyDescent="0.55000000000000004">
      <c r="A55" s="14" t="s">
        <v>132</v>
      </c>
      <c r="C55" s="6" t="s">
        <v>133</v>
      </c>
      <c r="E55" s="5">
        <v>800000</v>
      </c>
      <c r="G55" s="5">
        <v>6</v>
      </c>
      <c r="I55" s="5">
        <v>0</v>
      </c>
      <c r="J55" s="5"/>
      <c r="K55" s="5">
        <v>0</v>
      </c>
      <c r="M55" s="5">
        <f t="shared" si="0"/>
        <v>0</v>
      </c>
      <c r="N55" s="6"/>
      <c r="O55" s="5">
        <v>4800000</v>
      </c>
      <c r="Q55" s="5">
        <v>-327760</v>
      </c>
      <c r="S55" s="5">
        <v>4472240</v>
      </c>
    </row>
    <row r="56" spans="1:19" ht="21" x14ac:dyDescent="0.55000000000000004">
      <c r="A56" s="14" t="s">
        <v>73</v>
      </c>
      <c r="C56" s="6" t="s">
        <v>130</v>
      </c>
      <c r="E56" s="5">
        <v>5194335</v>
      </c>
      <c r="G56" s="5">
        <v>380</v>
      </c>
      <c r="I56" s="5">
        <v>0</v>
      </c>
      <c r="J56" s="5"/>
      <c r="K56" s="5">
        <v>0</v>
      </c>
      <c r="M56" s="5">
        <f t="shared" si="0"/>
        <v>0</v>
      </c>
      <c r="N56" s="6"/>
      <c r="O56" s="5">
        <v>1973847300</v>
      </c>
      <c r="Q56" s="5">
        <v>-42530808</v>
      </c>
      <c r="S56" s="5">
        <v>1931316492</v>
      </c>
    </row>
    <row r="57" spans="1:19" ht="21" x14ac:dyDescent="0.55000000000000004">
      <c r="A57" s="8" t="s">
        <v>74</v>
      </c>
      <c r="I57" s="8">
        <f>SUM(I39:I56)</f>
        <v>13406825010</v>
      </c>
      <c r="K57" s="8">
        <f>SUM(K39:K56)</f>
        <v>-774053733</v>
      </c>
      <c r="M57" s="8">
        <f>SUM(M39:M56)</f>
        <v>12632771277</v>
      </c>
      <c r="O57" s="8">
        <f>SUM(O39:O56)</f>
        <v>85718548970</v>
      </c>
      <c r="Q57" s="8">
        <f>SUM(Q39:Q56)</f>
        <v>-1179451408</v>
      </c>
      <c r="S57" s="8">
        <f>SUM(S39:S56)</f>
        <v>84539097562</v>
      </c>
    </row>
    <row r="58" spans="1:19" ht="21" x14ac:dyDescent="0.55000000000000004">
      <c r="I58" s="10"/>
      <c r="K58" s="10"/>
      <c r="M58" s="10"/>
      <c r="O58" s="10"/>
      <c r="Q58" s="10"/>
      <c r="S58" s="10"/>
    </row>
  </sheetData>
  <mergeCells count="14">
    <mergeCell ref="A31:S31"/>
    <mergeCell ref="A32:S32"/>
    <mergeCell ref="A33:S33"/>
    <mergeCell ref="A35:S35"/>
    <mergeCell ref="C37:G37"/>
    <mergeCell ref="I37:M37"/>
    <mergeCell ref="O37:S37"/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4" fitToHeight="0" orientation="landscape" r:id="rId1"/>
  <rowBreaks count="1" manualBreakCount="1">
    <brk id="30" max="18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1"/>
  <sheetViews>
    <sheetView rightToLeft="1" view="pageBreakPreview" zoomScale="60" zoomScaleNormal="100" workbookViewId="0">
      <selection activeCell="A5" sqref="A5:S5"/>
    </sheetView>
  </sheetViews>
  <sheetFormatPr defaultColWidth="8.85546875" defaultRowHeight="19.5" x14ac:dyDescent="0.55000000000000004"/>
  <cols>
    <col min="1" max="1" width="26.28515625" style="2" customWidth="1"/>
    <col min="2" max="2" width="1.42578125" style="2" customWidth="1"/>
    <col min="3" max="3" width="11.42578125" style="2" customWidth="1"/>
    <col min="4" max="4" width="1.42578125" style="2" customWidth="1"/>
    <col min="5" max="5" width="11.42578125" style="2" customWidth="1"/>
    <col min="6" max="6" width="1.42578125" style="2" customWidth="1"/>
    <col min="7" max="7" width="11.42578125" style="2" customWidth="1"/>
    <col min="8" max="8" width="1.42578125" style="2" customWidth="1"/>
    <col min="9" max="9" width="18.42578125" style="2" customWidth="1"/>
    <col min="10" max="10" width="1.42578125" style="2" customWidth="1"/>
    <col min="11" max="11" width="14.140625" style="2" customWidth="1"/>
    <col min="12" max="12" width="1.42578125" style="2" customWidth="1"/>
    <col min="13" max="13" width="18.42578125" style="2" customWidth="1"/>
    <col min="14" max="14" width="1.42578125" style="2" customWidth="1"/>
    <col min="15" max="15" width="18.42578125" style="2" customWidth="1"/>
    <col min="16" max="16" width="1.42578125" style="2" customWidth="1"/>
    <col min="17" max="17" width="14.140625" style="2" customWidth="1"/>
    <col min="18" max="18" width="1.42578125" style="2" customWidth="1"/>
    <col min="19" max="19" width="18.42578125" style="2" customWidth="1"/>
    <col min="20" max="16384" width="8.85546875" style="2"/>
  </cols>
  <sheetData>
    <row r="1" spans="1:19" ht="19.899999999999999" customHeight="1" x14ac:dyDescent="0.55000000000000004">
      <c r="A1" s="36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19.899999999999999" customHeight="1" x14ac:dyDescent="0.55000000000000004">
      <c r="A2" s="36" t="s">
        <v>83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19" ht="19.899999999999999" customHeight="1" x14ac:dyDescent="0.55000000000000004">
      <c r="A3" s="36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</row>
    <row r="5" spans="1:19" ht="21" x14ac:dyDescent="0.55000000000000004">
      <c r="A5" s="39" t="s">
        <v>241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</row>
    <row r="7" spans="1:19" ht="21" x14ac:dyDescent="0.55000000000000004">
      <c r="I7" s="30" t="s">
        <v>96</v>
      </c>
      <c r="J7" s="31"/>
      <c r="K7" s="31"/>
      <c r="L7" s="31"/>
      <c r="M7" s="31"/>
      <c r="O7" s="30" t="s">
        <v>7</v>
      </c>
      <c r="P7" s="31"/>
      <c r="Q7" s="31"/>
      <c r="R7" s="31"/>
      <c r="S7" s="31"/>
    </row>
    <row r="8" spans="1:19" ht="42" x14ac:dyDescent="0.55000000000000004">
      <c r="A8" s="24" t="s">
        <v>85</v>
      </c>
      <c r="C8" s="13" t="s">
        <v>134</v>
      </c>
      <c r="E8" s="13" t="s">
        <v>76</v>
      </c>
      <c r="G8" s="13" t="s">
        <v>78</v>
      </c>
      <c r="I8" s="13" t="s">
        <v>135</v>
      </c>
      <c r="K8" s="13" t="s">
        <v>101</v>
      </c>
      <c r="M8" s="13" t="s">
        <v>136</v>
      </c>
      <c r="O8" s="13" t="s">
        <v>135</v>
      </c>
      <c r="Q8" s="13" t="s">
        <v>101</v>
      </c>
      <c r="S8" s="13" t="s">
        <v>136</v>
      </c>
    </row>
    <row r="9" spans="1:19" ht="21" x14ac:dyDescent="0.55000000000000004">
      <c r="A9" s="14" t="s">
        <v>137</v>
      </c>
      <c r="C9" s="6" t="s">
        <v>138</v>
      </c>
      <c r="E9" s="6" t="s">
        <v>139</v>
      </c>
      <c r="G9" s="6" t="s">
        <v>82</v>
      </c>
      <c r="I9" s="5">
        <v>0</v>
      </c>
      <c r="J9" s="5"/>
      <c r="K9" s="5">
        <v>0</v>
      </c>
      <c r="L9" s="5"/>
      <c r="M9" s="5">
        <v>0</v>
      </c>
      <c r="N9" s="6"/>
      <c r="O9" s="5">
        <v>3415108863</v>
      </c>
      <c r="Q9" s="5">
        <v>0</v>
      </c>
      <c r="S9" s="5">
        <v>3415108863</v>
      </c>
    </row>
    <row r="10" spans="1:19" ht="21" x14ac:dyDescent="0.55000000000000004">
      <c r="A10" s="8" t="s">
        <v>74</v>
      </c>
      <c r="I10" s="8">
        <f>SUM(I9:$I$9)</f>
        <v>0</v>
      </c>
      <c r="K10" s="8">
        <f>SUM(K9:$K$9)</f>
        <v>0</v>
      </c>
      <c r="M10" s="8">
        <f>SUM(M9:$M$9)</f>
        <v>0</v>
      </c>
      <c r="O10" s="8">
        <f>SUM(O9:$O$9)</f>
        <v>3415108863</v>
      </c>
      <c r="Q10" s="8">
        <f>SUM(Q9:$Q$9)</f>
        <v>0</v>
      </c>
      <c r="S10" s="8">
        <f>SUM(S9:$S$9)</f>
        <v>3415108863</v>
      </c>
    </row>
    <row r="11" spans="1:19" ht="21" x14ac:dyDescent="0.55000000000000004">
      <c r="I11" s="10"/>
      <c r="K11" s="10"/>
      <c r="M11" s="10"/>
      <c r="O11" s="10"/>
      <c r="Q11" s="10"/>
      <c r="S11" s="10"/>
    </row>
  </sheetData>
  <mergeCells count="6">
    <mergeCell ref="A1:S1"/>
    <mergeCell ref="A2:S2"/>
    <mergeCell ref="A3:S3"/>
    <mergeCell ref="A5:S5"/>
    <mergeCell ref="I7:M7"/>
    <mergeCell ref="O7:S7"/>
  </mergeCells>
  <pageMargins left="0.7" right="0.7" top="0.75" bottom="0.75" header="0.3" footer="0.3"/>
  <pageSetup paperSize="9" scale="74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C7DE0-5755-427B-B6C2-A4F76ADAC14A}">
  <sheetPr>
    <pageSetUpPr fitToPage="1"/>
  </sheetPr>
  <dimension ref="A1:O12"/>
  <sheetViews>
    <sheetView rightToLeft="1" view="pageBreakPreview" zoomScale="60" zoomScaleNormal="100" workbookViewId="0">
      <selection activeCell="A2" sqref="A2:O2"/>
    </sheetView>
  </sheetViews>
  <sheetFormatPr defaultColWidth="8.85546875" defaultRowHeight="19.5" x14ac:dyDescent="0.55000000000000004"/>
  <cols>
    <col min="1" max="1" width="28.5703125" style="2" customWidth="1"/>
    <col min="2" max="2" width="1.42578125" style="2" customWidth="1"/>
    <col min="3" max="3" width="11.42578125" style="2" customWidth="1"/>
    <col min="4" max="4" width="1.42578125" style="2" customWidth="1"/>
    <col min="5" max="5" width="18.42578125" style="2" customWidth="1"/>
    <col min="6" max="6" width="1.42578125" style="2" customWidth="1"/>
    <col min="7" max="7" width="14.140625" style="2" customWidth="1"/>
    <col min="8" max="8" width="1.42578125" style="2" customWidth="1"/>
    <col min="9" max="9" width="18.42578125" style="2" customWidth="1"/>
    <col min="10" max="10" width="1.42578125" style="2" customWidth="1"/>
    <col min="11" max="11" width="18.42578125" style="2" customWidth="1"/>
    <col min="12" max="12" width="1.42578125" style="2" customWidth="1"/>
    <col min="13" max="13" width="14.140625" style="2" customWidth="1"/>
    <col min="14" max="14" width="1.42578125" style="2" customWidth="1"/>
    <col min="15" max="15" width="18.42578125" style="2" customWidth="1"/>
    <col min="16" max="16384" width="8.85546875" style="2"/>
  </cols>
  <sheetData>
    <row r="1" spans="1:15" ht="19.899999999999999" customHeight="1" x14ac:dyDescent="0.55000000000000004">
      <c r="A1" s="36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ht="19.899999999999999" customHeight="1" x14ac:dyDescent="0.55000000000000004">
      <c r="A2" s="36" t="s">
        <v>83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ht="19.899999999999999" customHeight="1" x14ac:dyDescent="0.55000000000000004">
      <c r="A3" s="36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5" spans="1:15" ht="21" x14ac:dyDescent="0.55000000000000004">
      <c r="A5" s="39" t="s">
        <v>242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</row>
    <row r="7" spans="1:15" ht="21" x14ac:dyDescent="0.55000000000000004">
      <c r="E7" s="30" t="s">
        <v>96</v>
      </c>
      <c r="F7" s="31"/>
      <c r="G7" s="31"/>
      <c r="H7" s="31"/>
      <c r="I7" s="31"/>
      <c r="K7" s="30" t="s">
        <v>7</v>
      </c>
      <c r="L7" s="31"/>
      <c r="M7" s="31"/>
      <c r="N7" s="31"/>
      <c r="O7" s="31"/>
    </row>
    <row r="8" spans="1:15" ht="21" x14ac:dyDescent="0.55000000000000004">
      <c r="A8" s="24" t="s">
        <v>85</v>
      </c>
      <c r="C8" s="13" t="s">
        <v>223</v>
      </c>
      <c r="E8" s="13" t="s">
        <v>135</v>
      </c>
      <c r="G8" s="13" t="s">
        <v>101</v>
      </c>
      <c r="I8" s="13" t="s">
        <v>136</v>
      </c>
      <c r="K8" s="13" t="s">
        <v>135</v>
      </c>
      <c r="M8" s="13" t="s">
        <v>101</v>
      </c>
      <c r="O8" s="13" t="s">
        <v>136</v>
      </c>
    </row>
    <row r="9" spans="1:15" ht="21" x14ac:dyDescent="0.55000000000000004">
      <c r="A9" s="14" t="s">
        <v>234</v>
      </c>
      <c r="C9" s="6">
        <v>1</v>
      </c>
      <c r="E9" s="5">
        <v>1655792929</v>
      </c>
      <c r="G9" s="5">
        <v>-68064715</v>
      </c>
      <c r="I9" s="5">
        <v>1587728214</v>
      </c>
      <c r="K9" s="5">
        <v>9390539713</v>
      </c>
      <c r="M9" s="5">
        <v>-2581238</v>
      </c>
      <c r="O9" s="5">
        <v>9387958475</v>
      </c>
    </row>
    <row r="10" spans="1:15" ht="21" x14ac:dyDescent="0.55000000000000004">
      <c r="A10" s="14" t="s">
        <v>233</v>
      </c>
      <c r="C10" s="6">
        <v>1</v>
      </c>
      <c r="E10" s="5">
        <v>3044605</v>
      </c>
      <c r="G10" s="5">
        <v>0</v>
      </c>
      <c r="I10" s="5">
        <v>3044605</v>
      </c>
      <c r="K10" s="5">
        <v>201461410</v>
      </c>
      <c r="M10" s="5">
        <v>0</v>
      </c>
      <c r="O10" s="5">
        <v>201461410</v>
      </c>
    </row>
    <row r="11" spans="1:15" ht="21.75" thickBot="1" x14ac:dyDescent="0.6">
      <c r="A11" s="8" t="s">
        <v>74</v>
      </c>
      <c r="E11" s="8">
        <f>SUM(E9:$E$10)</f>
        <v>1658837534</v>
      </c>
      <c r="G11" s="8">
        <f>SUM(G9:$G$10)</f>
        <v>-68064715</v>
      </c>
      <c r="I11" s="8">
        <f>SUM(I9:$I$10)</f>
        <v>1590772819</v>
      </c>
      <c r="K11" s="8">
        <f>SUM(K9:$K$10)</f>
        <v>9592001123</v>
      </c>
      <c r="M11" s="8">
        <f>SUM(M9:$M$10)</f>
        <v>-2581238</v>
      </c>
      <c r="O11" s="8">
        <f>SUM(O9:$O$10)</f>
        <v>9589419885</v>
      </c>
    </row>
    <row r="12" spans="1:15" ht="21.75" thickTop="1" x14ac:dyDescent="0.55000000000000004">
      <c r="E12" s="10"/>
      <c r="G12" s="10"/>
      <c r="I12" s="10"/>
      <c r="K12" s="10"/>
      <c r="M12" s="10"/>
      <c r="O12" s="10"/>
    </row>
  </sheetData>
  <mergeCells count="6">
    <mergeCell ref="A1:O1"/>
    <mergeCell ref="A2:O2"/>
    <mergeCell ref="A3:O3"/>
    <mergeCell ref="A5:O5"/>
    <mergeCell ref="E7:I7"/>
    <mergeCell ref="K7:O7"/>
  </mergeCells>
  <pageMargins left="0.7" right="0.7" top="0.75" bottom="0.75" header="0.3" footer="0.3"/>
  <pageSetup paperSize="9" scale="86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W139"/>
  <sheetViews>
    <sheetView rightToLeft="1" view="pageBreakPreview" topLeftCell="A17" zoomScale="60" zoomScaleNormal="100" workbookViewId="0">
      <selection activeCell="Q136" sqref="Q136"/>
    </sheetView>
  </sheetViews>
  <sheetFormatPr defaultColWidth="8.85546875" defaultRowHeight="19.5" x14ac:dyDescent="0.55000000000000004"/>
  <cols>
    <col min="1" max="1" width="33.140625" style="2" customWidth="1"/>
    <col min="2" max="2" width="1.42578125" style="2" customWidth="1"/>
    <col min="3" max="3" width="12.85546875" style="2" customWidth="1"/>
    <col min="4" max="4" width="1.42578125" style="2" customWidth="1"/>
    <col min="5" max="5" width="17" style="2" customWidth="1"/>
    <col min="6" max="6" width="1.42578125" style="2" customWidth="1"/>
    <col min="7" max="7" width="17" style="2" customWidth="1"/>
    <col min="8" max="8" width="1.42578125" style="2" customWidth="1"/>
    <col min="9" max="9" width="17" style="2" customWidth="1"/>
    <col min="10" max="10" width="1.42578125" style="2" customWidth="1"/>
    <col min="11" max="11" width="12.85546875" style="2" customWidth="1"/>
    <col min="12" max="12" width="1.42578125" style="2" customWidth="1"/>
    <col min="13" max="13" width="17" style="2" customWidth="1"/>
    <col min="14" max="14" width="1.42578125" style="2" customWidth="1"/>
    <col min="15" max="15" width="17" style="2" customWidth="1"/>
    <col min="16" max="16" width="1.42578125" style="2" customWidth="1"/>
    <col min="17" max="17" width="17" style="2" customWidth="1"/>
    <col min="18" max="16384" width="8.85546875" style="2"/>
  </cols>
  <sheetData>
    <row r="1" spans="1:21" ht="19.899999999999999" customHeight="1" x14ac:dyDescent="0.55000000000000004">
      <c r="A1" s="36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21" ht="19.899999999999999" customHeight="1" x14ac:dyDescent="0.55000000000000004">
      <c r="A2" s="36" t="s">
        <v>83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21" ht="19.899999999999999" customHeight="1" x14ac:dyDescent="0.55000000000000004">
      <c r="A3" s="36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5" spans="1:21" ht="21" x14ac:dyDescent="0.55000000000000004">
      <c r="A5" s="37" t="s">
        <v>140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7" spans="1:21" ht="21" x14ac:dyDescent="0.55000000000000004">
      <c r="C7" s="30" t="s">
        <v>96</v>
      </c>
      <c r="D7" s="31"/>
      <c r="E7" s="31"/>
      <c r="F7" s="31"/>
      <c r="G7" s="31"/>
      <c r="H7" s="31"/>
      <c r="I7" s="31"/>
      <c r="K7" s="30" t="s">
        <v>7</v>
      </c>
      <c r="L7" s="31"/>
      <c r="M7" s="31"/>
      <c r="N7" s="31"/>
      <c r="O7" s="31"/>
      <c r="P7" s="31"/>
      <c r="Q7" s="31"/>
    </row>
    <row r="8" spans="1:21" ht="42" x14ac:dyDescent="0.55000000000000004">
      <c r="A8" s="25" t="s">
        <v>85</v>
      </c>
      <c r="C8" s="13" t="s">
        <v>9</v>
      </c>
      <c r="E8" s="13" t="s">
        <v>11</v>
      </c>
      <c r="G8" s="13" t="s">
        <v>141</v>
      </c>
      <c r="I8" s="13" t="s">
        <v>142</v>
      </c>
      <c r="K8" s="13" t="s">
        <v>9</v>
      </c>
      <c r="M8" s="13" t="s">
        <v>11</v>
      </c>
      <c r="O8" s="13" t="s">
        <v>141</v>
      </c>
      <c r="Q8" s="13" t="s">
        <v>142</v>
      </c>
    </row>
    <row r="9" spans="1:21" ht="21" x14ac:dyDescent="0.55000000000000004">
      <c r="A9" s="14" t="s">
        <v>104</v>
      </c>
      <c r="C9" s="5">
        <v>0</v>
      </c>
      <c r="D9" s="5"/>
      <c r="E9" s="5">
        <v>0</v>
      </c>
      <c r="F9" s="5"/>
      <c r="G9" s="5">
        <v>0</v>
      </c>
      <c r="H9" s="5"/>
      <c r="I9" s="5">
        <v>0</v>
      </c>
      <c r="J9" s="6"/>
      <c r="K9" s="5">
        <v>642320</v>
      </c>
      <c r="M9" s="5">
        <v>15667422360</v>
      </c>
      <c r="O9" s="5">
        <v>12923532066</v>
      </c>
      <c r="Q9" s="5">
        <v>2743890294</v>
      </c>
    </row>
    <row r="10" spans="1:21" ht="21" x14ac:dyDescent="0.55000000000000004">
      <c r="A10" s="14" t="s">
        <v>137</v>
      </c>
      <c r="C10" s="5">
        <v>0</v>
      </c>
      <c r="D10" s="5"/>
      <c r="E10" s="5">
        <v>0</v>
      </c>
      <c r="F10" s="5"/>
      <c r="G10" s="5">
        <v>0</v>
      </c>
      <c r="H10" s="5"/>
      <c r="I10" s="5">
        <v>0</v>
      </c>
      <c r="J10" s="6"/>
      <c r="K10" s="5">
        <v>190000</v>
      </c>
      <c r="M10" s="5">
        <v>189981562500</v>
      </c>
      <c r="O10" s="5">
        <v>190016000000</v>
      </c>
      <c r="Q10" s="5">
        <v>-34437500</v>
      </c>
    </row>
    <row r="11" spans="1:21" ht="21" x14ac:dyDescent="0.55000000000000004">
      <c r="A11" s="14" t="s">
        <v>148</v>
      </c>
      <c r="C11" s="5">
        <v>0</v>
      </c>
      <c r="D11" s="5"/>
      <c r="E11" s="5">
        <v>0</v>
      </c>
      <c r="F11" s="5"/>
      <c r="G11" s="5">
        <v>0</v>
      </c>
      <c r="H11" s="5"/>
      <c r="I11" s="5">
        <v>0</v>
      </c>
      <c r="K11" s="5">
        <v>2594000</v>
      </c>
      <c r="L11" s="6"/>
      <c r="M11" s="5">
        <v>528542879</v>
      </c>
      <c r="O11" s="5">
        <v>517783199</v>
      </c>
      <c r="Q11" s="5">
        <v>10759680</v>
      </c>
      <c r="S11" s="5"/>
      <c r="U11" s="7"/>
    </row>
    <row r="12" spans="1:21" ht="21" x14ac:dyDescent="0.55000000000000004">
      <c r="A12" s="14" t="s">
        <v>149</v>
      </c>
      <c r="C12" s="5">
        <v>0</v>
      </c>
      <c r="D12" s="5"/>
      <c r="E12" s="5">
        <v>0</v>
      </c>
      <c r="F12" s="5"/>
      <c r="G12" s="5">
        <v>0</v>
      </c>
      <c r="H12" s="5"/>
      <c r="I12" s="5">
        <v>0</v>
      </c>
      <c r="K12" s="5">
        <v>83726000</v>
      </c>
      <c r="L12" s="6"/>
      <c r="M12" s="5">
        <v>1588429274</v>
      </c>
      <c r="O12" s="5">
        <v>1954189076</v>
      </c>
      <c r="Q12" s="5">
        <v>-365759802</v>
      </c>
      <c r="S12" s="5"/>
      <c r="U12" s="7"/>
    </row>
    <row r="13" spans="1:21" ht="21" x14ac:dyDescent="0.55000000000000004">
      <c r="A13" s="14" t="s">
        <v>19</v>
      </c>
      <c r="C13" s="5">
        <v>7700000</v>
      </c>
      <c r="D13" s="5"/>
      <c r="E13" s="5">
        <v>927644132</v>
      </c>
      <c r="F13" s="5"/>
      <c r="G13" s="5">
        <v>176906684</v>
      </c>
      <c r="H13" s="5"/>
      <c r="I13" s="5">
        <v>750737448</v>
      </c>
      <c r="K13" s="5">
        <v>7700000</v>
      </c>
      <c r="L13" s="6"/>
      <c r="M13" s="5">
        <v>927644132</v>
      </c>
      <c r="O13" s="5">
        <v>176906684</v>
      </c>
      <c r="Q13" s="5">
        <v>750737448</v>
      </c>
      <c r="S13" s="5"/>
      <c r="U13" s="7"/>
    </row>
    <row r="14" spans="1:21" ht="21" x14ac:dyDescent="0.55000000000000004">
      <c r="A14" s="14" t="s">
        <v>150</v>
      </c>
      <c r="C14" s="5">
        <v>0</v>
      </c>
      <c r="D14" s="5"/>
      <c r="E14" s="5">
        <v>0</v>
      </c>
      <c r="F14" s="5"/>
      <c r="G14" s="5">
        <v>0</v>
      </c>
      <c r="H14" s="5"/>
      <c r="I14" s="5">
        <v>0</v>
      </c>
      <c r="K14" s="5">
        <v>30000000</v>
      </c>
      <c r="L14" s="6"/>
      <c r="M14" s="5">
        <v>3509194274</v>
      </c>
      <c r="O14" s="5">
        <v>2798171706</v>
      </c>
      <c r="Q14" s="5">
        <v>711022568</v>
      </c>
      <c r="S14" s="5"/>
      <c r="U14" s="7"/>
    </row>
    <row r="15" spans="1:21" ht="21" x14ac:dyDescent="0.55000000000000004">
      <c r="A15" s="14" t="s">
        <v>151</v>
      </c>
      <c r="C15" s="5">
        <v>0</v>
      </c>
      <c r="D15" s="5"/>
      <c r="E15" s="5">
        <v>0</v>
      </c>
      <c r="F15" s="5"/>
      <c r="G15" s="5">
        <v>0</v>
      </c>
      <c r="H15" s="5"/>
      <c r="I15" s="5">
        <v>0</v>
      </c>
      <c r="K15" s="5">
        <v>2150000</v>
      </c>
      <c r="L15" s="6"/>
      <c r="M15" s="5">
        <v>68281425</v>
      </c>
      <c r="O15" s="5">
        <v>39332550</v>
      </c>
      <c r="Q15" s="5">
        <v>28948875</v>
      </c>
      <c r="S15" s="5"/>
      <c r="U15" s="7"/>
    </row>
    <row r="16" spans="1:21" ht="21" x14ac:dyDescent="0.55000000000000004">
      <c r="A16" s="14" t="s">
        <v>20</v>
      </c>
      <c r="C16" s="5">
        <v>10000000</v>
      </c>
      <c r="D16" s="5"/>
      <c r="E16" s="5">
        <v>606193955</v>
      </c>
      <c r="F16" s="5"/>
      <c r="G16" s="5">
        <v>488052561</v>
      </c>
      <c r="H16" s="5"/>
      <c r="I16" s="5">
        <v>118141394</v>
      </c>
      <c r="K16" s="5">
        <v>10000000</v>
      </c>
      <c r="L16" s="6"/>
      <c r="M16" s="5">
        <v>606193955</v>
      </c>
      <c r="O16" s="5">
        <v>488052561</v>
      </c>
      <c r="Q16" s="5">
        <v>118141394</v>
      </c>
      <c r="S16" s="5"/>
      <c r="U16" s="7"/>
    </row>
    <row r="17" spans="1:21" ht="21" x14ac:dyDescent="0.55000000000000004">
      <c r="A17" s="14" t="s">
        <v>224</v>
      </c>
      <c r="C17" s="5">
        <v>0</v>
      </c>
      <c r="D17" s="5"/>
      <c r="E17" s="5">
        <v>0</v>
      </c>
      <c r="F17" s="5"/>
      <c r="G17" s="5">
        <v>0</v>
      </c>
      <c r="H17" s="5"/>
      <c r="I17" s="5">
        <v>0</v>
      </c>
      <c r="K17" s="5">
        <v>10000000</v>
      </c>
      <c r="L17" s="6"/>
      <c r="M17" s="5">
        <v>506969427</v>
      </c>
      <c r="O17" s="5">
        <v>-130573</v>
      </c>
      <c r="Q17" s="5">
        <v>507100000</v>
      </c>
      <c r="S17" s="5"/>
      <c r="U17" s="7"/>
    </row>
    <row r="18" spans="1:21" ht="21" x14ac:dyDescent="0.55000000000000004">
      <c r="A18" s="14" t="s">
        <v>225</v>
      </c>
      <c r="C18" s="5">
        <v>0</v>
      </c>
      <c r="D18" s="5"/>
      <c r="E18" s="5">
        <v>0</v>
      </c>
      <c r="F18" s="5"/>
      <c r="G18" s="5">
        <v>0</v>
      </c>
      <c r="H18" s="5"/>
      <c r="I18" s="5">
        <v>0</v>
      </c>
      <c r="K18" s="5"/>
      <c r="L18" s="6"/>
      <c r="M18" s="5"/>
      <c r="O18" s="5"/>
      <c r="Q18" s="5">
        <v>681355651</v>
      </c>
      <c r="S18" s="5"/>
      <c r="U18" s="7"/>
    </row>
    <row r="19" spans="1:21" ht="21" x14ac:dyDescent="0.55000000000000004">
      <c r="A19" s="14" t="s">
        <v>155</v>
      </c>
      <c r="C19" s="5">
        <v>0</v>
      </c>
      <c r="D19" s="5"/>
      <c r="E19" s="5">
        <v>0</v>
      </c>
      <c r="F19" s="5"/>
      <c r="G19" s="5">
        <v>0</v>
      </c>
      <c r="H19" s="5"/>
      <c r="I19" s="5">
        <v>0</v>
      </c>
      <c r="K19" s="5">
        <v>10900000</v>
      </c>
      <c r="L19" s="6"/>
      <c r="M19" s="5">
        <v>405315662</v>
      </c>
      <c r="O19" s="5">
        <v>363542218</v>
      </c>
      <c r="Q19" s="5">
        <v>41773444</v>
      </c>
      <c r="S19" s="5"/>
      <c r="U19" s="7"/>
    </row>
    <row r="20" spans="1:21" ht="21" x14ac:dyDescent="0.55000000000000004">
      <c r="A20" s="14" t="s">
        <v>21</v>
      </c>
      <c r="C20" s="5">
        <v>25900000</v>
      </c>
      <c r="D20" s="5"/>
      <c r="E20" s="5">
        <v>879885503</v>
      </c>
      <c r="F20" s="5"/>
      <c r="G20" s="5">
        <v>857965273</v>
      </c>
      <c r="H20" s="5"/>
      <c r="I20" s="5">
        <v>21920230</v>
      </c>
      <c r="K20" s="5">
        <v>30900000</v>
      </c>
      <c r="L20" s="6"/>
      <c r="M20" s="5">
        <v>1059839178</v>
      </c>
      <c r="O20" s="5">
        <v>1037918948</v>
      </c>
      <c r="Q20" s="5">
        <v>21920230</v>
      </c>
      <c r="S20" s="5"/>
      <c r="U20" s="7"/>
    </row>
    <row r="21" spans="1:21" ht="21" x14ac:dyDescent="0.55000000000000004">
      <c r="A21" s="14" t="s">
        <v>156</v>
      </c>
      <c r="C21" s="5">
        <v>0</v>
      </c>
      <c r="D21" s="5"/>
      <c r="E21" s="5">
        <v>0</v>
      </c>
      <c r="F21" s="5"/>
      <c r="G21" s="5">
        <v>0</v>
      </c>
      <c r="H21" s="5"/>
      <c r="I21" s="5">
        <v>0</v>
      </c>
      <c r="K21" s="5">
        <v>23900000</v>
      </c>
      <c r="L21" s="6"/>
      <c r="M21" s="5">
        <v>164357707</v>
      </c>
      <c r="O21" s="5">
        <v>173202295</v>
      </c>
      <c r="Q21" s="5">
        <v>-8844588</v>
      </c>
      <c r="S21" s="5"/>
      <c r="U21" s="7"/>
    </row>
    <row r="22" spans="1:21" ht="21" x14ac:dyDescent="0.55000000000000004">
      <c r="A22" s="14" t="s">
        <v>157</v>
      </c>
      <c r="C22" s="5">
        <v>0</v>
      </c>
      <c r="D22" s="5"/>
      <c r="E22" s="5">
        <v>0</v>
      </c>
      <c r="F22" s="5"/>
      <c r="G22" s="5">
        <v>0</v>
      </c>
      <c r="H22" s="5"/>
      <c r="I22" s="5">
        <v>0</v>
      </c>
      <c r="K22" s="5">
        <v>28593000</v>
      </c>
      <c r="L22" s="6"/>
      <c r="M22" s="5">
        <v>417380572</v>
      </c>
      <c r="O22" s="5">
        <v>273520874</v>
      </c>
      <c r="Q22" s="5">
        <v>143859698</v>
      </c>
      <c r="S22" s="5"/>
      <c r="U22" s="7"/>
    </row>
    <row r="23" spans="1:21" ht="21" x14ac:dyDescent="0.55000000000000004">
      <c r="A23" s="14" t="s">
        <v>226</v>
      </c>
      <c r="C23" s="5">
        <v>0</v>
      </c>
      <c r="D23" s="5"/>
      <c r="E23" s="5">
        <v>0</v>
      </c>
      <c r="F23" s="5"/>
      <c r="G23" s="5">
        <v>0</v>
      </c>
      <c r="H23" s="5"/>
      <c r="I23" s="5">
        <v>0</v>
      </c>
      <c r="K23" s="5"/>
      <c r="L23" s="6"/>
      <c r="M23" s="5"/>
      <c r="O23" s="5"/>
      <c r="Q23" s="5">
        <v>617621429</v>
      </c>
      <c r="S23" s="5"/>
      <c r="U23" s="7"/>
    </row>
    <row r="24" spans="1:21" ht="21" x14ac:dyDescent="0.55000000000000004">
      <c r="A24" s="14" t="s">
        <v>227</v>
      </c>
      <c r="C24" s="5">
        <v>25000000</v>
      </c>
      <c r="D24" s="5"/>
      <c r="E24" s="5"/>
      <c r="F24" s="5"/>
      <c r="G24" s="5"/>
      <c r="H24" s="5"/>
      <c r="I24" s="5">
        <v>107239978</v>
      </c>
      <c r="K24" s="5"/>
      <c r="L24" s="6"/>
      <c r="M24" s="5"/>
      <c r="O24" s="5"/>
      <c r="Q24" s="5">
        <v>107239978</v>
      </c>
      <c r="S24" s="5"/>
      <c r="U24" s="7"/>
    </row>
    <row r="25" spans="1:21" ht="21" x14ac:dyDescent="0.55000000000000004">
      <c r="A25" s="14" t="s">
        <v>159</v>
      </c>
      <c r="C25" s="5">
        <v>0</v>
      </c>
      <c r="D25" s="5"/>
      <c r="E25" s="5">
        <v>0</v>
      </c>
      <c r="F25" s="5"/>
      <c r="G25" s="5">
        <v>0</v>
      </c>
      <c r="H25" s="5"/>
      <c r="I25" s="5">
        <v>0</v>
      </c>
      <c r="K25" s="5">
        <v>1000000</v>
      </c>
      <c r="L25" s="6"/>
      <c r="M25" s="5">
        <v>129966525</v>
      </c>
      <c r="O25" s="5">
        <v>63983005</v>
      </c>
      <c r="Q25" s="5">
        <v>65983520</v>
      </c>
      <c r="S25" s="5"/>
      <c r="U25" s="7"/>
    </row>
    <row r="26" spans="1:21" ht="21" x14ac:dyDescent="0.55000000000000004">
      <c r="A26" s="14" t="s">
        <v>160</v>
      </c>
      <c r="C26" s="5">
        <v>0</v>
      </c>
      <c r="D26" s="5"/>
      <c r="E26" s="5">
        <v>0</v>
      </c>
      <c r="F26" s="5"/>
      <c r="G26" s="5">
        <v>0</v>
      </c>
      <c r="H26" s="5"/>
      <c r="I26" s="5">
        <v>0</v>
      </c>
      <c r="K26" s="5">
        <v>20000000</v>
      </c>
      <c r="L26" s="6"/>
      <c r="M26" s="5">
        <v>2042692885</v>
      </c>
      <c r="O26" s="5">
        <v>19478988</v>
      </c>
      <c r="Q26" s="5">
        <v>2023213897</v>
      </c>
      <c r="S26" s="5"/>
      <c r="U26" s="7"/>
    </row>
    <row r="27" spans="1:21" ht="21" x14ac:dyDescent="0.55000000000000004">
      <c r="A27" s="14" t="s">
        <v>228</v>
      </c>
      <c r="C27" s="5">
        <v>0</v>
      </c>
      <c r="D27" s="5"/>
      <c r="E27" s="5">
        <v>0</v>
      </c>
      <c r="F27" s="5"/>
      <c r="G27" s="5">
        <v>0</v>
      </c>
      <c r="H27" s="5"/>
      <c r="I27" s="5">
        <v>0</v>
      </c>
      <c r="K27" s="5">
        <v>16000000</v>
      </c>
      <c r="L27" s="6"/>
      <c r="M27" s="5">
        <v>752320270</v>
      </c>
      <c r="O27" s="5">
        <v>15810318</v>
      </c>
      <c r="Q27" s="5">
        <v>736509952</v>
      </c>
      <c r="S27" s="5"/>
      <c r="U27" s="7"/>
    </row>
    <row r="28" spans="1:21" ht="21" x14ac:dyDescent="0.55000000000000004">
      <c r="A28" s="14" t="s">
        <v>162</v>
      </c>
      <c r="C28" s="5">
        <v>0</v>
      </c>
      <c r="D28" s="5"/>
      <c r="E28" s="5">
        <v>0</v>
      </c>
      <c r="F28" s="5"/>
      <c r="G28" s="5">
        <v>0</v>
      </c>
      <c r="H28" s="5"/>
      <c r="I28" s="5">
        <v>0</v>
      </c>
      <c r="K28" s="5">
        <v>10100000</v>
      </c>
      <c r="L28" s="6"/>
      <c r="M28" s="5">
        <v>427489919</v>
      </c>
      <c r="O28" s="5">
        <v>251120571</v>
      </c>
      <c r="Q28" s="5">
        <v>176369348</v>
      </c>
      <c r="S28" s="5"/>
      <c r="U28" s="7"/>
    </row>
    <row r="29" spans="1:21" ht="21" x14ac:dyDescent="0.55000000000000004">
      <c r="A29" s="14" t="s">
        <v>163</v>
      </c>
      <c r="C29" s="5">
        <v>0</v>
      </c>
      <c r="D29" s="5"/>
      <c r="E29" s="5">
        <v>0</v>
      </c>
      <c r="F29" s="5"/>
      <c r="G29" s="5">
        <v>0</v>
      </c>
      <c r="H29" s="5"/>
      <c r="I29" s="5">
        <v>0</v>
      </c>
      <c r="K29" s="5">
        <v>6200000</v>
      </c>
      <c r="L29" s="6"/>
      <c r="M29" s="5">
        <v>148361790</v>
      </c>
      <c r="O29" s="5">
        <v>98587179</v>
      </c>
      <c r="Q29" s="5">
        <v>49774611</v>
      </c>
      <c r="S29" s="5"/>
      <c r="U29" s="7"/>
    </row>
    <row r="30" spans="1:21" ht="21" x14ac:dyDescent="0.55000000000000004">
      <c r="A30" s="14" t="s">
        <v>244</v>
      </c>
      <c r="C30" s="5"/>
      <c r="D30" s="5"/>
      <c r="E30" s="45">
        <f>SUM(E9:E29)</f>
        <v>2413723590</v>
      </c>
      <c r="F30" s="5"/>
      <c r="G30" s="45">
        <f>SUM(G9:G29)</f>
        <v>1522924518</v>
      </c>
      <c r="H30" s="5"/>
      <c r="I30" s="45">
        <f>SUM(I9:I29)</f>
        <v>998039050</v>
      </c>
      <c r="K30" s="5"/>
      <c r="L30" s="6"/>
      <c r="M30" s="45">
        <f>SUM(M9:M29)</f>
        <v>218931964734</v>
      </c>
      <c r="O30" s="45">
        <f>SUM(O9:O29)</f>
        <v>211211001665</v>
      </c>
      <c r="Q30" s="45">
        <f>SUM(Q9:Q29)</f>
        <v>9127180127</v>
      </c>
      <c r="S30" s="5"/>
      <c r="U30" s="7"/>
    </row>
    <row r="31" spans="1:21" ht="19.899999999999999" customHeight="1" x14ac:dyDescent="0.55000000000000004">
      <c r="A31" s="36" t="s">
        <v>0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</row>
    <row r="32" spans="1:21" ht="19.899999999999999" customHeight="1" x14ac:dyDescent="0.55000000000000004">
      <c r="A32" s="36" t="s">
        <v>83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</row>
    <row r="33" spans="1:23" ht="19.899999999999999" customHeight="1" x14ac:dyDescent="0.55000000000000004">
      <c r="A33" s="36" t="s">
        <v>2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</row>
    <row r="35" spans="1:23" ht="21" x14ac:dyDescent="0.55000000000000004">
      <c r="A35" s="37" t="s">
        <v>140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</row>
    <row r="37" spans="1:23" ht="21" x14ac:dyDescent="0.55000000000000004">
      <c r="C37" s="30" t="s">
        <v>96</v>
      </c>
      <c r="D37" s="31"/>
      <c r="E37" s="31"/>
      <c r="F37" s="31"/>
      <c r="G37" s="31"/>
      <c r="H37" s="31"/>
      <c r="I37" s="31"/>
      <c r="K37" s="30" t="s">
        <v>7</v>
      </c>
      <c r="L37" s="31"/>
      <c r="M37" s="31"/>
      <c r="N37" s="31"/>
      <c r="O37" s="31"/>
      <c r="P37" s="31"/>
      <c r="Q37" s="31"/>
    </row>
    <row r="38" spans="1:23" ht="42" x14ac:dyDescent="0.55000000000000004">
      <c r="A38" s="25" t="s">
        <v>85</v>
      </c>
      <c r="C38" s="13" t="s">
        <v>9</v>
      </c>
      <c r="E38" s="13" t="s">
        <v>11</v>
      </c>
      <c r="G38" s="13" t="s">
        <v>141</v>
      </c>
      <c r="I38" s="13" t="s">
        <v>142</v>
      </c>
      <c r="K38" s="13" t="s">
        <v>9</v>
      </c>
      <c r="M38" s="13" t="s">
        <v>11</v>
      </c>
      <c r="O38" s="13" t="s">
        <v>141</v>
      </c>
      <c r="Q38" s="13" t="s">
        <v>142</v>
      </c>
    </row>
    <row r="39" spans="1:23" ht="21" x14ac:dyDescent="0.55000000000000004">
      <c r="A39" s="14" t="s">
        <v>245</v>
      </c>
      <c r="C39" s="46"/>
      <c r="E39" s="5">
        <f>E30</f>
        <v>2413723590</v>
      </c>
      <c r="G39" s="5">
        <f>G30</f>
        <v>1522924518</v>
      </c>
      <c r="I39" s="5">
        <f>I30</f>
        <v>998039050</v>
      </c>
      <c r="K39" s="46"/>
      <c r="M39" s="5">
        <f>M30</f>
        <v>218931964734</v>
      </c>
      <c r="O39" s="5">
        <f>O30</f>
        <v>211211001665</v>
      </c>
      <c r="Q39" s="5">
        <f>Q30</f>
        <v>9127180127</v>
      </c>
    </row>
    <row r="40" spans="1:23" ht="21" x14ac:dyDescent="0.55000000000000004">
      <c r="A40" s="14" t="s">
        <v>161</v>
      </c>
      <c r="C40" s="5">
        <v>0</v>
      </c>
      <c r="D40" s="5"/>
      <c r="E40" s="5">
        <v>0</v>
      </c>
      <c r="F40" s="5"/>
      <c r="G40" s="5">
        <v>0</v>
      </c>
      <c r="H40" s="5"/>
      <c r="I40" s="5">
        <v>0</v>
      </c>
      <c r="K40" s="5">
        <v>1399000</v>
      </c>
      <c r="L40" s="6"/>
      <c r="M40" s="5">
        <v>90913587</v>
      </c>
      <c r="O40" s="5">
        <v>20365832</v>
      </c>
      <c r="Q40" s="5">
        <v>70547755</v>
      </c>
      <c r="S40" s="5"/>
      <c r="U40" s="7"/>
    </row>
    <row r="41" spans="1:23" ht="21" x14ac:dyDescent="0.55000000000000004">
      <c r="A41" s="14" t="s">
        <v>23</v>
      </c>
      <c r="C41" s="5">
        <v>3000000</v>
      </c>
      <c r="D41" s="5"/>
      <c r="E41" s="5"/>
      <c r="F41" s="5"/>
      <c r="G41" s="5"/>
      <c r="H41" s="5"/>
      <c r="I41" s="5">
        <v>130289971</v>
      </c>
      <c r="K41" s="5">
        <v>6000000</v>
      </c>
      <c r="L41" s="6"/>
      <c r="M41" s="5">
        <v>338512817</v>
      </c>
      <c r="O41" s="5">
        <v>77932887</v>
      </c>
      <c r="Q41" s="5">
        <v>260579930</v>
      </c>
      <c r="S41" s="5"/>
      <c r="U41" s="7"/>
      <c r="W41" s="5"/>
    </row>
    <row r="42" spans="1:23" ht="21" x14ac:dyDescent="0.55000000000000004">
      <c r="A42" s="14" t="s">
        <v>152</v>
      </c>
      <c r="C42" s="5">
        <v>0</v>
      </c>
      <c r="D42" s="5"/>
      <c r="E42" s="5">
        <v>0</v>
      </c>
      <c r="F42" s="5"/>
      <c r="G42" s="5">
        <v>0</v>
      </c>
      <c r="H42" s="5"/>
      <c r="I42" s="5">
        <v>0</v>
      </c>
      <c r="K42" s="5">
        <v>1519000</v>
      </c>
      <c r="M42" s="5">
        <v>195007779</v>
      </c>
      <c r="O42" s="5">
        <v>38131595</v>
      </c>
      <c r="Q42" s="11">
        <v>156876184</v>
      </c>
      <c r="S42" s="5"/>
      <c r="U42" s="7"/>
    </row>
    <row r="43" spans="1:23" ht="21" x14ac:dyDescent="0.55000000000000004">
      <c r="A43" s="14" t="s">
        <v>154</v>
      </c>
      <c r="C43" s="5">
        <v>0</v>
      </c>
      <c r="D43" s="5"/>
      <c r="E43" s="5">
        <v>0</v>
      </c>
      <c r="F43" s="5"/>
      <c r="G43" s="5">
        <v>0</v>
      </c>
      <c r="H43" s="5"/>
      <c r="I43" s="5">
        <v>0</v>
      </c>
      <c r="K43" s="5">
        <v>4749000</v>
      </c>
      <c r="M43" s="5">
        <v>152220796</v>
      </c>
      <c r="O43" s="5">
        <v>4711012</v>
      </c>
      <c r="Q43" s="11">
        <v>147509784</v>
      </c>
      <c r="S43" s="5"/>
      <c r="U43" s="7"/>
    </row>
    <row r="44" spans="1:23" ht="21" x14ac:dyDescent="0.55000000000000004">
      <c r="A44" s="14" t="s">
        <v>158</v>
      </c>
      <c r="C44" s="5">
        <v>0</v>
      </c>
      <c r="D44" s="5"/>
      <c r="E44" s="5">
        <v>0</v>
      </c>
      <c r="F44" s="5"/>
      <c r="G44" s="5">
        <v>0</v>
      </c>
      <c r="H44" s="5"/>
      <c r="I44" s="5">
        <v>0</v>
      </c>
      <c r="K44" s="5">
        <v>184000</v>
      </c>
      <c r="M44" s="5">
        <v>20234792</v>
      </c>
      <c r="O44" s="5">
        <v>15086674</v>
      </c>
      <c r="Q44" s="5">
        <v>5148118</v>
      </c>
      <c r="S44" s="5"/>
      <c r="U44" s="7"/>
    </row>
    <row r="45" spans="1:23" ht="21" x14ac:dyDescent="0.55000000000000004">
      <c r="A45" s="14" t="s">
        <v>18</v>
      </c>
      <c r="C45" s="5">
        <v>6600000</v>
      </c>
      <c r="D45" s="5"/>
      <c r="E45" s="5">
        <v>826901044</v>
      </c>
      <c r="F45" s="5"/>
      <c r="G45" s="5">
        <v>482439264</v>
      </c>
      <c r="H45" s="5"/>
      <c r="I45" s="5">
        <v>344461780</v>
      </c>
      <c r="K45" s="5">
        <v>6600000</v>
      </c>
      <c r="M45" s="5">
        <v>826901044</v>
      </c>
      <c r="O45" s="5">
        <v>482439264</v>
      </c>
      <c r="Q45" s="11">
        <v>344461780</v>
      </c>
      <c r="S45" s="5"/>
      <c r="U45" s="7"/>
    </row>
    <row r="46" spans="1:23" ht="21" x14ac:dyDescent="0.55000000000000004">
      <c r="A46" s="14" t="s">
        <v>143</v>
      </c>
      <c r="C46" s="5">
        <v>0</v>
      </c>
      <c r="D46" s="5"/>
      <c r="E46" s="5">
        <v>0</v>
      </c>
      <c r="F46" s="5"/>
      <c r="G46" s="5">
        <v>0</v>
      </c>
      <c r="H46" s="5"/>
      <c r="I46" s="5">
        <v>0</v>
      </c>
      <c r="K46" s="5">
        <v>18268000</v>
      </c>
      <c r="M46" s="5">
        <v>794404478</v>
      </c>
      <c r="O46" s="5">
        <v>692742789</v>
      </c>
      <c r="Q46" s="5">
        <v>101661689</v>
      </c>
      <c r="S46" s="5"/>
      <c r="U46" s="7"/>
    </row>
    <row r="47" spans="1:23" ht="21" x14ac:dyDescent="0.55000000000000004">
      <c r="A47" s="14" t="s">
        <v>144</v>
      </c>
      <c r="C47" s="5">
        <v>0</v>
      </c>
      <c r="D47" s="5"/>
      <c r="E47" s="5">
        <v>0</v>
      </c>
      <c r="F47" s="5"/>
      <c r="G47" s="5">
        <v>0</v>
      </c>
      <c r="H47" s="5"/>
      <c r="I47" s="5">
        <v>0</v>
      </c>
      <c r="K47" s="5">
        <v>18016000</v>
      </c>
      <c r="M47" s="5">
        <v>508447097</v>
      </c>
      <c r="O47" s="5">
        <v>391699868</v>
      </c>
      <c r="Q47" s="11">
        <v>116747229</v>
      </c>
      <c r="S47" s="5"/>
      <c r="U47" s="7"/>
    </row>
    <row r="48" spans="1:23" ht="21" x14ac:dyDescent="0.55000000000000004">
      <c r="A48" s="14" t="s">
        <v>145</v>
      </c>
      <c r="C48" s="5">
        <v>0</v>
      </c>
      <c r="D48" s="5"/>
      <c r="E48" s="5">
        <v>0</v>
      </c>
      <c r="F48" s="5"/>
      <c r="G48" s="5">
        <v>0</v>
      </c>
      <c r="H48" s="5"/>
      <c r="I48" s="5">
        <v>0</v>
      </c>
      <c r="K48" s="5">
        <v>12651000</v>
      </c>
      <c r="M48" s="5">
        <v>1038193657</v>
      </c>
      <c r="O48" s="5">
        <v>904599553</v>
      </c>
      <c r="Q48" s="11">
        <v>133594104</v>
      </c>
      <c r="S48" s="5"/>
      <c r="U48" s="7"/>
    </row>
    <row r="49" spans="1:21" ht="21" x14ac:dyDescent="0.55000000000000004">
      <c r="A49" s="14" t="s">
        <v>146</v>
      </c>
      <c r="C49" s="5">
        <v>0</v>
      </c>
      <c r="D49" s="5"/>
      <c r="E49" s="5">
        <v>0</v>
      </c>
      <c r="F49" s="5"/>
      <c r="G49" s="5">
        <v>0</v>
      </c>
      <c r="H49" s="5"/>
      <c r="I49" s="5">
        <v>0</v>
      </c>
      <c r="K49" s="5">
        <v>3890000</v>
      </c>
      <c r="M49" s="5">
        <v>170226168</v>
      </c>
      <c r="O49" s="5">
        <v>130298701</v>
      </c>
      <c r="Q49" s="11">
        <v>39927467</v>
      </c>
      <c r="S49" s="5"/>
      <c r="U49" s="7"/>
    </row>
    <row r="50" spans="1:21" ht="21" x14ac:dyDescent="0.55000000000000004">
      <c r="A50" s="14" t="s">
        <v>147</v>
      </c>
      <c r="C50" s="5">
        <v>0</v>
      </c>
      <c r="D50" s="5"/>
      <c r="E50" s="5">
        <v>0</v>
      </c>
      <c r="F50" s="5"/>
      <c r="G50" s="5">
        <v>0</v>
      </c>
      <c r="H50" s="5"/>
      <c r="I50" s="5">
        <v>0</v>
      </c>
      <c r="K50" s="5">
        <v>5501000</v>
      </c>
      <c r="M50" s="5">
        <v>171947755</v>
      </c>
      <c r="O50" s="5">
        <v>71786190</v>
      </c>
      <c r="Q50" s="5">
        <v>100161565</v>
      </c>
      <c r="S50" s="5"/>
      <c r="U50" s="7"/>
    </row>
    <row r="51" spans="1:21" ht="21" x14ac:dyDescent="0.55000000000000004">
      <c r="A51" s="14" t="s">
        <v>153</v>
      </c>
      <c r="C51" s="5">
        <v>0</v>
      </c>
      <c r="D51" s="5"/>
      <c r="E51" s="5">
        <v>0</v>
      </c>
      <c r="F51" s="5"/>
      <c r="G51" s="5">
        <v>0</v>
      </c>
      <c r="H51" s="5"/>
      <c r="I51" s="5">
        <v>0</v>
      </c>
      <c r="K51" s="5">
        <v>1001000</v>
      </c>
      <c r="M51" s="5">
        <v>89979825</v>
      </c>
      <c r="O51" s="5">
        <v>4983113</v>
      </c>
      <c r="Q51" s="11">
        <v>84996712</v>
      </c>
      <c r="S51" s="5"/>
      <c r="U51" s="7"/>
    </row>
    <row r="52" spans="1:21" ht="21" x14ac:dyDescent="0.55000000000000004">
      <c r="A52" s="14" t="s">
        <v>229</v>
      </c>
      <c r="C52" s="5">
        <v>0</v>
      </c>
      <c r="D52" s="5"/>
      <c r="E52" s="5">
        <v>0</v>
      </c>
      <c r="F52" s="5"/>
      <c r="G52" s="5">
        <v>0</v>
      </c>
      <c r="H52" s="5"/>
      <c r="I52" s="5">
        <v>0</v>
      </c>
      <c r="K52" s="5">
        <v>21446000</v>
      </c>
      <c r="M52" s="5">
        <v>2906078538</v>
      </c>
      <c r="O52" s="5">
        <v>2191285809</v>
      </c>
      <c r="Q52" s="5">
        <v>714792729</v>
      </c>
      <c r="S52" s="5"/>
      <c r="U52" s="7"/>
    </row>
    <row r="53" spans="1:21" ht="21" x14ac:dyDescent="0.55000000000000004">
      <c r="A53" s="14" t="s">
        <v>230</v>
      </c>
      <c r="C53" s="5">
        <v>0</v>
      </c>
      <c r="D53" s="5"/>
      <c r="E53" s="5">
        <v>0</v>
      </c>
      <c r="F53" s="5"/>
      <c r="G53" s="5">
        <v>0</v>
      </c>
      <c r="H53" s="5"/>
      <c r="I53" s="5">
        <v>0</v>
      </c>
      <c r="K53" s="5">
        <v>13000000</v>
      </c>
      <c r="M53" s="5">
        <v>1519320726</v>
      </c>
      <c r="O53" s="5">
        <v>1446585150</v>
      </c>
      <c r="Q53" s="5">
        <v>72735576</v>
      </c>
      <c r="S53" s="5"/>
      <c r="U53" s="7"/>
    </row>
    <row r="54" spans="1:21" ht="21" x14ac:dyDescent="0.55000000000000004">
      <c r="A54" s="14" t="s">
        <v>243</v>
      </c>
      <c r="C54" s="5">
        <v>0</v>
      </c>
      <c r="D54" s="5"/>
      <c r="E54" s="5">
        <v>0</v>
      </c>
      <c r="F54" s="5"/>
      <c r="G54" s="5">
        <v>0</v>
      </c>
      <c r="H54" s="5"/>
      <c r="I54" s="5">
        <v>0</v>
      </c>
      <c r="K54" s="5">
        <v>3456382</v>
      </c>
      <c r="M54" s="5">
        <v>13852593617</v>
      </c>
      <c r="O54" s="5">
        <v>15123907337</v>
      </c>
      <c r="Q54" s="5">
        <v>-1271313720</v>
      </c>
      <c r="S54" s="5"/>
      <c r="U54" s="7"/>
    </row>
    <row r="55" spans="1:21" ht="21" x14ac:dyDescent="0.55000000000000004">
      <c r="A55" s="14" t="s">
        <v>106</v>
      </c>
      <c r="C55" s="5">
        <v>0</v>
      </c>
      <c r="D55" s="5"/>
      <c r="E55" s="5">
        <v>0</v>
      </c>
      <c r="F55" s="5"/>
      <c r="G55" s="5">
        <v>0</v>
      </c>
      <c r="H55" s="5"/>
      <c r="I55" s="5">
        <v>0</v>
      </c>
      <c r="J55" s="6"/>
      <c r="K55" s="5">
        <v>2800000</v>
      </c>
      <c r="M55" s="5">
        <v>10776993132</v>
      </c>
      <c r="O55" s="5">
        <v>8717385078</v>
      </c>
      <c r="Q55" s="5">
        <v>2059608054</v>
      </c>
    </row>
    <row r="56" spans="1:21" ht="21" x14ac:dyDescent="0.55000000000000004">
      <c r="A56" s="14" t="s">
        <v>25</v>
      </c>
      <c r="C56" s="5">
        <v>1200000</v>
      </c>
      <c r="D56" s="5"/>
      <c r="E56" s="5">
        <v>2958546390</v>
      </c>
      <c r="F56" s="5"/>
      <c r="G56" s="5">
        <v>2662776482</v>
      </c>
      <c r="H56" s="5"/>
      <c r="I56" s="5">
        <v>295769908</v>
      </c>
      <c r="K56" s="5">
        <v>1200000</v>
      </c>
      <c r="M56" s="5">
        <v>2958546390</v>
      </c>
      <c r="O56" s="5">
        <v>2662776482</v>
      </c>
      <c r="Q56" s="5">
        <v>295769908</v>
      </c>
    </row>
    <row r="57" spans="1:21" ht="21" x14ac:dyDescent="0.55000000000000004">
      <c r="A57" s="14" t="s">
        <v>26</v>
      </c>
      <c r="C57" s="5">
        <v>0</v>
      </c>
      <c r="D57" s="5"/>
      <c r="E57" s="5">
        <v>0</v>
      </c>
      <c r="F57" s="5"/>
      <c r="G57" s="5">
        <v>0</v>
      </c>
      <c r="H57" s="5"/>
      <c r="I57" s="5">
        <v>0</v>
      </c>
      <c r="J57" s="6"/>
      <c r="K57" s="5">
        <v>2000000</v>
      </c>
      <c r="M57" s="5">
        <v>4863299816</v>
      </c>
      <c r="O57" s="5">
        <v>5529617979</v>
      </c>
      <c r="Q57" s="5">
        <v>-666318163</v>
      </c>
    </row>
    <row r="58" spans="1:21" ht="21" x14ac:dyDescent="0.55000000000000004">
      <c r="A58" s="14" t="s">
        <v>27</v>
      </c>
      <c r="C58" s="5">
        <v>0</v>
      </c>
      <c r="D58" s="5"/>
      <c r="E58" s="5">
        <v>0</v>
      </c>
      <c r="F58" s="5"/>
      <c r="G58" s="5">
        <v>0</v>
      </c>
      <c r="H58" s="5"/>
      <c r="I58" s="5">
        <v>0</v>
      </c>
      <c r="J58" s="6"/>
      <c r="K58" s="5">
        <v>7324703</v>
      </c>
      <c r="M58" s="5">
        <v>10739454802</v>
      </c>
      <c r="O58" s="5">
        <v>11808799216</v>
      </c>
      <c r="Q58" s="5">
        <v>-1069344414</v>
      </c>
    </row>
    <row r="59" spans="1:21" ht="21" x14ac:dyDescent="0.55000000000000004">
      <c r="A59" s="14" t="s">
        <v>28</v>
      </c>
      <c r="C59" s="5">
        <v>0</v>
      </c>
      <c r="D59" s="5"/>
      <c r="E59" s="5">
        <v>0</v>
      </c>
      <c r="F59" s="5"/>
      <c r="G59" s="5">
        <v>0</v>
      </c>
      <c r="H59" s="5"/>
      <c r="I59" s="5">
        <v>0</v>
      </c>
      <c r="J59" s="6"/>
      <c r="K59" s="5">
        <v>12777497</v>
      </c>
      <c r="M59" s="5">
        <v>23616502086</v>
      </c>
      <c r="O59" s="5">
        <v>23081669592</v>
      </c>
      <c r="Q59" s="5">
        <v>534832494</v>
      </c>
    </row>
    <row r="60" spans="1:21" ht="21" x14ac:dyDescent="0.55000000000000004">
      <c r="A60" s="14" t="s">
        <v>244</v>
      </c>
      <c r="C60" s="5"/>
      <c r="D60" s="5"/>
      <c r="E60" s="45">
        <f>SUM(E39:E59)</f>
        <v>6199171024</v>
      </c>
      <c r="F60" s="5"/>
      <c r="G60" s="45">
        <f>SUM(G39:G59)</f>
        <v>4668140264</v>
      </c>
      <c r="H60" s="5"/>
      <c r="I60" s="45">
        <f>SUM(I39:I59)</f>
        <v>1768560709</v>
      </c>
      <c r="K60" s="5"/>
      <c r="L60" s="6"/>
      <c r="M60" s="45">
        <f>SUM(M39:M59)</f>
        <v>294561743636</v>
      </c>
      <c r="O60" s="45">
        <f>SUM(O39:O59)</f>
        <v>284607805786</v>
      </c>
      <c r="Q60" s="45">
        <f>SUM(Q39:Q59)</f>
        <v>11360154908</v>
      </c>
      <c r="S60" s="5"/>
      <c r="U60" s="7"/>
    </row>
    <row r="61" spans="1:21" ht="19.899999999999999" customHeight="1" x14ac:dyDescent="0.55000000000000004">
      <c r="A61" s="36" t="s">
        <v>0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</row>
    <row r="62" spans="1:21" ht="19.899999999999999" customHeight="1" x14ac:dyDescent="0.55000000000000004">
      <c r="A62" s="36" t="s">
        <v>83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</row>
    <row r="63" spans="1:21" ht="19.899999999999999" customHeight="1" x14ac:dyDescent="0.55000000000000004">
      <c r="A63" s="36" t="s">
        <v>2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</row>
    <row r="65" spans="1:17" ht="21" x14ac:dyDescent="0.55000000000000004">
      <c r="A65" s="37" t="s">
        <v>140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</row>
    <row r="67" spans="1:17" ht="21" x14ac:dyDescent="0.55000000000000004">
      <c r="C67" s="30" t="s">
        <v>96</v>
      </c>
      <c r="D67" s="31"/>
      <c r="E67" s="31"/>
      <c r="F67" s="31"/>
      <c r="G67" s="31"/>
      <c r="H67" s="31"/>
      <c r="I67" s="31"/>
      <c r="K67" s="30" t="s">
        <v>7</v>
      </c>
      <c r="L67" s="31"/>
      <c r="M67" s="31"/>
      <c r="N67" s="31"/>
      <c r="O67" s="31"/>
      <c r="P67" s="31"/>
      <c r="Q67" s="31"/>
    </row>
    <row r="68" spans="1:17" ht="42" x14ac:dyDescent="0.55000000000000004">
      <c r="A68" s="25" t="s">
        <v>85</v>
      </c>
      <c r="C68" s="13" t="s">
        <v>9</v>
      </c>
      <c r="E68" s="13" t="s">
        <v>11</v>
      </c>
      <c r="G68" s="13" t="s">
        <v>141</v>
      </c>
      <c r="I68" s="13" t="s">
        <v>142</v>
      </c>
      <c r="K68" s="13" t="s">
        <v>9</v>
      </c>
      <c r="M68" s="13" t="s">
        <v>11</v>
      </c>
      <c r="O68" s="13" t="s">
        <v>141</v>
      </c>
      <c r="Q68" s="13" t="s">
        <v>142</v>
      </c>
    </row>
    <row r="69" spans="1:17" ht="21" x14ac:dyDescent="0.55000000000000004">
      <c r="A69" s="14" t="s">
        <v>245</v>
      </c>
      <c r="C69" s="46"/>
      <c r="E69" s="5">
        <f>E60</f>
        <v>6199171024</v>
      </c>
      <c r="G69" s="5">
        <f>G60</f>
        <v>4668140264</v>
      </c>
      <c r="I69" s="5">
        <f>I60</f>
        <v>1768560709</v>
      </c>
      <c r="K69" s="46"/>
      <c r="M69" s="5">
        <f>M60</f>
        <v>294561743636</v>
      </c>
      <c r="O69" s="5">
        <f>O60</f>
        <v>284607805786</v>
      </c>
      <c r="Q69" s="5">
        <f>Q60</f>
        <v>11360154908</v>
      </c>
    </row>
    <row r="70" spans="1:17" ht="21" x14ac:dyDescent="0.55000000000000004">
      <c r="A70" s="14" t="s">
        <v>29</v>
      </c>
      <c r="C70" s="5">
        <v>1000000</v>
      </c>
      <c r="D70" s="5"/>
      <c r="E70" s="5">
        <v>1994064327</v>
      </c>
      <c r="F70" s="5"/>
      <c r="G70" s="5">
        <v>2323373942</v>
      </c>
      <c r="H70" s="5"/>
      <c r="I70" s="5">
        <v>-329309615</v>
      </c>
      <c r="K70" s="5">
        <v>1000000</v>
      </c>
      <c r="M70" s="5">
        <v>1994064327</v>
      </c>
      <c r="O70" s="5">
        <v>2323373942</v>
      </c>
      <c r="Q70" s="5">
        <v>-329309615</v>
      </c>
    </row>
    <row r="71" spans="1:17" ht="21" x14ac:dyDescent="0.55000000000000004">
      <c r="A71" s="14" t="s">
        <v>30</v>
      </c>
      <c r="C71" s="5">
        <v>14500000</v>
      </c>
      <c r="D71" s="5"/>
      <c r="E71" s="5">
        <v>33865295400</v>
      </c>
      <c r="F71" s="5"/>
      <c r="G71" s="5">
        <v>31781296334</v>
      </c>
      <c r="H71" s="5"/>
      <c r="I71" s="5">
        <v>2083999066</v>
      </c>
      <c r="K71" s="5">
        <v>26217402</v>
      </c>
      <c r="M71" s="5">
        <v>56924017390</v>
      </c>
      <c r="O71" s="5">
        <v>54612507874</v>
      </c>
      <c r="Q71" s="5">
        <v>2311509516</v>
      </c>
    </row>
    <row r="72" spans="1:17" ht="21" x14ac:dyDescent="0.55000000000000004">
      <c r="A72" s="14" t="s">
        <v>31</v>
      </c>
      <c r="C72" s="5">
        <v>1650000</v>
      </c>
      <c r="D72" s="5"/>
      <c r="E72" s="5">
        <v>3280365066</v>
      </c>
      <c r="F72" s="5"/>
      <c r="G72" s="5">
        <v>3921268798</v>
      </c>
      <c r="H72" s="5"/>
      <c r="I72" s="5">
        <v>-640903732</v>
      </c>
      <c r="K72" s="5">
        <v>12526338</v>
      </c>
      <c r="M72" s="5">
        <v>34989638280</v>
      </c>
      <c r="O72" s="5">
        <v>36598806292</v>
      </c>
      <c r="Q72" s="5">
        <v>-1609168012</v>
      </c>
    </row>
    <row r="73" spans="1:17" ht="21" x14ac:dyDescent="0.55000000000000004">
      <c r="A73" s="14" t="s">
        <v>32</v>
      </c>
      <c r="C73" s="5">
        <v>0</v>
      </c>
      <c r="D73" s="5"/>
      <c r="E73" s="5">
        <v>0</v>
      </c>
      <c r="F73" s="5"/>
      <c r="G73" s="5">
        <v>0</v>
      </c>
      <c r="H73" s="5"/>
      <c r="I73" s="5">
        <v>0</v>
      </c>
      <c r="J73" s="6"/>
      <c r="K73" s="5">
        <v>3801725</v>
      </c>
      <c r="M73" s="5">
        <v>55967788545</v>
      </c>
      <c r="O73" s="5">
        <v>54839928174</v>
      </c>
      <c r="Q73" s="5">
        <v>1127860371</v>
      </c>
    </row>
    <row r="74" spans="1:17" ht="21" x14ac:dyDescent="0.55000000000000004">
      <c r="A74" s="14" t="s">
        <v>164</v>
      </c>
      <c r="C74" s="5">
        <v>0</v>
      </c>
      <c r="D74" s="5"/>
      <c r="E74" s="5">
        <v>0</v>
      </c>
      <c r="F74" s="5"/>
      <c r="G74" s="5">
        <v>0</v>
      </c>
      <c r="H74" s="5"/>
      <c r="I74" s="5">
        <v>0</v>
      </c>
      <c r="J74" s="6"/>
      <c r="K74" s="5">
        <v>100000000</v>
      </c>
      <c r="M74" s="5">
        <v>223682250000</v>
      </c>
      <c r="O74" s="5">
        <v>198773049976</v>
      </c>
      <c r="Q74" s="5">
        <v>24909200024</v>
      </c>
    </row>
    <row r="75" spans="1:17" ht="21" x14ac:dyDescent="0.55000000000000004">
      <c r="A75" s="14" t="s">
        <v>33</v>
      </c>
      <c r="C75" s="5">
        <v>3233971</v>
      </c>
      <c r="D75" s="5"/>
      <c r="E75" s="5">
        <v>16477537836</v>
      </c>
      <c r="F75" s="5"/>
      <c r="G75" s="5">
        <v>22143303856</v>
      </c>
      <c r="H75" s="5"/>
      <c r="I75" s="5">
        <v>-5665766020</v>
      </c>
      <c r="K75" s="5">
        <v>644365</v>
      </c>
      <c r="M75" s="5">
        <v>122821227</v>
      </c>
      <c r="O75" s="5">
        <v>8251443621</v>
      </c>
      <c r="Q75" s="5">
        <v>-8128622394</v>
      </c>
    </row>
    <row r="76" spans="1:17" ht="21" x14ac:dyDescent="0.55000000000000004">
      <c r="A76" s="14" t="s">
        <v>34</v>
      </c>
      <c r="C76" s="5">
        <v>0</v>
      </c>
      <c r="D76" s="5"/>
      <c r="E76" s="5">
        <v>0</v>
      </c>
      <c r="F76" s="5"/>
      <c r="G76" s="5">
        <v>0</v>
      </c>
      <c r="H76" s="5"/>
      <c r="I76" s="5">
        <v>0</v>
      </c>
      <c r="J76" s="6"/>
      <c r="K76" s="5">
        <v>2820364</v>
      </c>
      <c r="M76" s="5">
        <v>8582624846</v>
      </c>
      <c r="O76" s="5">
        <v>9641427146</v>
      </c>
      <c r="Q76" s="5">
        <v>-1058802300</v>
      </c>
    </row>
    <row r="77" spans="1:17" ht="21" x14ac:dyDescent="0.55000000000000004">
      <c r="A77" s="14" t="s">
        <v>35</v>
      </c>
      <c r="C77" s="5">
        <v>0</v>
      </c>
      <c r="D77" s="5"/>
      <c r="E77" s="5">
        <v>0</v>
      </c>
      <c r="F77" s="5"/>
      <c r="G77" s="5">
        <v>0</v>
      </c>
      <c r="H77" s="5"/>
      <c r="I77" s="5">
        <v>0</v>
      </c>
      <c r="J77" s="6"/>
      <c r="K77" s="5">
        <v>801187</v>
      </c>
      <c r="M77" s="5">
        <v>24158586249</v>
      </c>
      <c r="O77" s="5">
        <v>24886875190</v>
      </c>
      <c r="Q77" s="5">
        <v>-728288941</v>
      </c>
    </row>
    <row r="78" spans="1:17" ht="21" x14ac:dyDescent="0.55000000000000004">
      <c r="A78" s="14" t="s">
        <v>165</v>
      </c>
      <c r="C78" s="5">
        <v>0</v>
      </c>
      <c r="D78" s="5"/>
      <c r="E78" s="5">
        <v>0</v>
      </c>
      <c r="F78" s="5"/>
      <c r="G78" s="5">
        <v>0</v>
      </c>
      <c r="H78" s="5"/>
      <c r="I78" s="5">
        <v>0</v>
      </c>
      <c r="J78" s="6"/>
      <c r="K78" s="5">
        <v>1730887</v>
      </c>
      <c r="M78" s="5">
        <v>27953993244</v>
      </c>
      <c r="O78" s="5">
        <v>28497678508</v>
      </c>
      <c r="Q78" s="5">
        <v>-543685264</v>
      </c>
    </row>
    <row r="79" spans="1:17" ht="21" x14ac:dyDescent="0.55000000000000004">
      <c r="A79" s="14" t="s">
        <v>37</v>
      </c>
      <c r="C79" s="5">
        <v>4000000</v>
      </c>
      <c r="D79" s="5"/>
      <c r="E79" s="5">
        <v>16314348684</v>
      </c>
      <c r="F79" s="5"/>
      <c r="G79" s="5">
        <v>14003422219</v>
      </c>
      <c r="H79" s="5"/>
      <c r="I79" s="5">
        <v>2310926465</v>
      </c>
      <c r="K79" s="5">
        <v>4000000</v>
      </c>
      <c r="M79" s="5">
        <v>16314348684</v>
      </c>
      <c r="O79" s="5">
        <v>14003422219</v>
      </c>
      <c r="Q79" s="5">
        <v>2310926465</v>
      </c>
    </row>
    <row r="80" spans="1:17" ht="21" x14ac:dyDescent="0.55000000000000004">
      <c r="A80" s="14" t="s">
        <v>38</v>
      </c>
      <c r="C80" s="5">
        <v>1500000</v>
      </c>
      <c r="D80" s="5"/>
      <c r="E80" s="5">
        <v>4753404312</v>
      </c>
      <c r="F80" s="5"/>
      <c r="G80" s="5">
        <v>4574714792</v>
      </c>
      <c r="H80" s="5"/>
      <c r="I80" s="5">
        <v>178689520</v>
      </c>
      <c r="K80" s="5">
        <v>1500000</v>
      </c>
      <c r="M80" s="5">
        <v>4753404312</v>
      </c>
      <c r="O80" s="5">
        <v>4574714792</v>
      </c>
      <c r="Q80" s="5">
        <v>178689520</v>
      </c>
    </row>
    <row r="81" spans="1:21" ht="21" x14ac:dyDescent="0.55000000000000004">
      <c r="A81" s="14" t="s">
        <v>39</v>
      </c>
      <c r="C81" s="5">
        <v>6600000</v>
      </c>
      <c r="D81" s="5"/>
      <c r="E81" s="5">
        <v>14459849061</v>
      </c>
      <c r="F81" s="5"/>
      <c r="G81" s="5">
        <v>16872936111</v>
      </c>
      <c r="H81" s="5"/>
      <c r="I81" s="5">
        <v>-2413087050</v>
      </c>
      <c r="K81" s="5">
        <v>11162873</v>
      </c>
      <c r="M81" s="5">
        <v>26352999771</v>
      </c>
      <c r="O81" s="5">
        <v>28526594751</v>
      </c>
      <c r="Q81" s="5">
        <v>-2173594980</v>
      </c>
    </row>
    <row r="82" spans="1:21" ht="21" x14ac:dyDescent="0.55000000000000004">
      <c r="A82" s="14" t="s">
        <v>166</v>
      </c>
      <c r="C82" s="5">
        <v>0</v>
      </c>
      <c r="D82" s="5"/>
      <c r="E82" s="5">
        <v>0</v>
      </c>
      <c r="F82" s="5"/>
      <c r="G82" s="5">
        <v>0</v>
      </c>
      <c r="H82" s="5"/>
      <c r="I82" s="5">
        <v>0</v>
      </c>
      <c r="J82" s="6"/>
      <c r="K82" s="5">
        <v>2023503</v>
      </c>
      <c r="M82" s="5">
        <v>27705018172</v>
      </c>
      <c r="O82" s="5">
        <v>28014767894</v>
      </c>
      <c r="Q82" s="5">
        <v>-309749722</v>
      </c>
    </row>
    <row r="83" spans="1:21" ht="21" x14ac:dyDescent="0.55000000000000004">
      <c r="A83" s="14" t="s">
        <v>40</v>
      </c>
      <c r="C83" s="5">
        <v>23341699</v>
      </c>
      <c r="D83" s="5"/>
      <c r="E83" s="5">
        <v>25651587137</v>
      </c>
      <c r="F83" s="5"/>
      <c r="G83" s="5">
        <v>28140393615</v>
      </c>
      <c r="H83" s="5"/>
      <c r="I83" s="5">
        <v>-2488806478</v>
      </c>
      <c r="K83" s="5">
        <v>45240699</v>
      </c>
      <c r="M83" s="5">
        <v>50770390596</v>
      </c>
      <c r="O83" s="5">
        <v>55931836262</v>
      </c>
      <c r="Q83" s="5">
        <v>-5161445666</v>
      </c>
    </row>
    <row r="84" spans="1:21" ht="21" x14ac:dyDescent="0.55000000000000004">
      <c r="A84" s="14" t="s">
        <v>42</v>
      </c>
      <c r="C84" s="5">
        <v>1450000</v>
      </c>
      <c r="D84" s="5"/>
      <c r="E84" s="5">
        <v>7788197000</v>
      </c>
      <c r="F84" s="5"/>
      <c r="G84" s="5">
        <v>7260857852</v>
      </c>
      <c r="H84" s="5"/>
      <c r="I84" s="5">
        <v>527339148</v>
      </c>
      <c r="K84" s="5">
        <v>1450000</v>
      </c>
      <c r="M84" s="5">
        <v>7788197000</v>
      </c>
      <c r="O84" s="5">
        <v>7260857852</v>
      </c>
      <c r="Q84" s="5">
        <v>527339148</v>
      </c>
    </row>
    <row r="85" spans="1:21" ht="21" x14ac:dyDescent="0.55000000000000004">
      <c r="A85" s="14" t="s">
        <v>43</v>
      </c>
      <c r="C85" s="5">
        <v>0</v>
      </c>
      <c r="D85" s="5"/>
      <c r="E85" s="5">
        <v>0</v>
      </c>
      <c r="F85" s="5"/>
      <c r="G85" s="5">
        <v>0</v>
      </c>
      <c r="H85" s="5"/>
      <c r="I85" s="5">
        <v>0</v>
      </c>
      <c r="J85" s="6"/>
      <c r="K85" s="5">
        <v>349096</v>
      </c>
      <c r="M85" s="5">
        <v>2600332320</v>
      </c>
      <c r="O85" s="5">
        <v>2758716302</v>
      </c>
      <c r="Q85" s="5">
        <v>-158383982</v>
      </c>
    </row>
    <row r="86" spans="1:21" ht="21" x14ac:dyDescent="0.55000000000000004">
      <c r="A86" s="14" t="s">
        <v>44</v>
      </c>
      <c r="C86" s="5">
        <v>0</v>
      </c>
      <c r="D86" s="5"/>
      <c r="E86" s="5">
        <v>0</v>
      </c>
      <c r="F86" s="5"/>
      <c r="G86" s="5">
        <v>0</v>
      </c>
      <c r="H86" s="5"/>
      <c r="I86" s="5">
        <v>0</v>
      </c>
      <c r="J86" s="6"/>
      <c r="K86" s="5">
        <v>1362415</v>
      </c>
      <c r="M86" s="5">
        <v>28242166465</v>
      </c>
      <c r="O86" s="5">
        <v>32488941898</v>
      </c>
      <c r="Q86" s="5">
        <v>-4246775433</v>
      </c>
    </row>
    <row r="87" spans="1:21" ht="21" x14ac:dyDescent="0.55000000000000004">
      <c r="A87" s="14" t="s">
        <v>167</v>
      </c>
      <c r="C87" s="5">
        <v>0</v>
      </c>
      <c r="D87" s="5"/>
      <c r="E87" s="5">
        <v>0</v>
      </c>
      <c r="F87" s="5"/>
      <c r="G87" s="5">
        <v>0</v>
      </c>
      <c r="H87" s="5"/>
      <c r="I87" s="5">
        <v>0</v>
      </c>
      <c r="J87" s="6"/>
      <c r="K87" s="5">
        <v>2068936</v>
      </c>
      <c r="M87" s="5">
        <v>38547753846</v>
      </c>
      <c r="O87" s="5">
        <v>34958136251</v>
      </c>
      <c r="Q87" s="5">
        <v>3589617595</v>
      </c>
    </row>
    <row r="88" spans="1:21" ht="21" x14ac:dyDescent="0.55000000000000004">
      <c r="A88" s="14" t="s">
        <v>51</v>
      </c>
      <c r="C88" s="5">
        <v>0</v>
      </c>
      <c r="D88" s="5"/>
      <c r="E88" s="5">
        <v>0</v>
      </c>
      <c r="F88" s="5"/>
      <c r="G88" s="5">
        <v>0</v>
      </c>
      <c r="H88" s="5"/>
      <c r="I88" s="5">
        <v>0</v>
      </c>
      <c r="J88" s="6"/>
      <c r="K88" s="5">
        <v>11602698</v>
      </c>
      <c r="M88" s="5">
        <v>44483135862</v>
      </c>
      <c r="O88" s="5">
        <v>40758977342</v>
      </c>
      <c r="Q88" s="5">
        <v>3724158520</v>
      </c>
    </row>
    <row r="89" spans="1:21" ht="21" x14ac:dyDescent="0.55000000000000004">
      <c r="A89" s="14" t="s">
        <v>52</v>
      </c>
      <c r="C89" s="5">
        <v>8000000</v>
      </c>
      <c r="D89" s="5"/>
      <c r="E89" s="5">
        <v>35677289564</v>
      </c>
      <c r="F89" s="5"/>
      <c r="G89" s="5">
        <v>37531007154</v>
      </c>
      <c r="H89" s="5"/>
      <c r="I89" s="5">
        <v>-1853717590</v>
      </c>
      <c r="K89" s="5">
        <v>10150248</v>
      </c>
      <c r="M89" s="5">
        <v>44658429613</v>
      </c>
      <c r="O89" s="5">
        <v>47622269556</v>
      </c>
      <c r="Q89" s="5">
        <v>-2963839943</v>
      </c>
    </row>
    <row r="90" spans="1:21" ht="21" x14ac:dyDescent="0.55000000000000004">
      <c r="A90" s="14" t="s">
        <v>244</v>
      </c>
      <c r="C90" s="5"/>
      <c r="D90" s="5"/>
      <c r="E90" s="45">
        <f>SUM(E69:E89)</f>
        <v>166461109411</v>
      </c>
      <c r="F90" s="5"/>
      <c r="G90" s="45">
        <f>SUM(G69:G89)</f>
        <v>173220714937</v>
      </c>
      <c r="H90" s="5"/>
      <c r="I90" s="45">
        <f>SUM(I69:I89)</f>
        <v>-6522075577</v>
      </c>
      <c r="K90" s="5"/>
      <c r="L90" s="6"/>
      <c r="M90" s="45">
        <f>SUM(M69:M89)</f>
        <v>1021153704385</v>
      </c>
      <c r="O90" s="45">
        <f>SUM(O69:O89)</f>
        <v>999932131628</v>
      </c>
      <c r="Q90" s="45">
        <f>SUM(Q69:Q89)</f>
        <v>22627789815</v>
      </c>
      <c r="S90" s="5"/>
      <c r="U90" s="7"/>
    </row>
    <row r="91" spans="1:21" ht="19.899999999999999" customHeight="1" x14ac:dyDescent="0.55000000000000004">
      <c r="A91" s="36" t="s">
        <v>0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</row>
    <row r="92" spans="1:21" ht="19.899999999999999" customHeight="1" x14ac:dyDescent="0.55000000000000004">
      <c r="A92" s="36" t="s">
        <v>83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</row>
    <row r="93" spans="1:21" ht="19.899999999999999" customHeight="1" x14ac:dyDescent="0.55000000000000004">
      <c r="A93" s="36" t="s">
        <v>2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</row>
    <row r="95" spans="1:21" ht="21" x14ac:dyDescent="0.55000000000000004">
      <c r="A95" s="37" t="s">
        <v>140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</row>
    <row r="97" spans="1:17" ht="21" x14ac:dyDescent="0.55000000000000004">
      <c r="C97" s="30" t="s">
        <v>96</v>
      </c>
      <c r="D97" s="31"/>
      <c r="E97" s="31"/>
      <c r="F97" s="31"/>
      <c r="G97" s="31"/>
      <c r="H97" s="31"/>
      <c r="I97" s="31"/>
      <c r="K97" s="30" t="s">
        <v>7</v>
      </c>
      <c r="L97" s="31"/>
      <c r="M97" s="31"/>
      <c r="N97" s="31"/>
      <c r="O97" s="31"/>
      <c r="P97" s="31"/>
      <c r="Q97" s="31"/>
    </row>
    <row r="98" spans="1:17" ht="42" x14ac:dyDescent="0.55000000000000004">
      <c r="A98" s="25" t="s">
        <v>85</v>
      </c>
      <c r="C98" s="13" t="s">
        <v>9</v>
      </c>
      <c r="E98" s="13" t="s">
        <v>11</v>
      </c>
      <c r="G98" s="13" t="s">
        <v>141</v>
      </c>
      <c r="I98" s="13" t="s">
        <v>142</v>
      </c>
      <c r="K98" s="13" t="s">
        <v>9</v>
      </c>
      <c r="M98" s="13" t="s">
        <v>11</v>
      </c>
      <c r="O98" s="13" t="s">
        <v>141</v>
      </c>
      <c r="Q98" s="13" t="s">
        <v>142</v>
      </c>
    </row>
    <row r="99" spans="1:17" ht="21" x14ac:dyDescent="0.55000000000000004">
      <c r="A99" s="14" t="s">
        <v>245</v>
      </c>
      <c r="C99" s="46"/>
      <c r="E99" s="5">
        <f>E90</f>
        <v>166461109411</v>
      </c>
      <c r="G99" s="5">
        <f>G90</f>
        <v>173220714937</v>
      </c>
      <c r="I99" s="5">
        <f>I90</f>
        <v>-6522075577</v>
      </c>
      <c r="K99" s="46"/>
      <c r="M99" s="5">
        <f>M90</f>
        <v>1021153704385</v>
      </c>
      <c r="O99" s="5">
        <f>O90</f>
        <v>999932131628</v>
      </c>
      <c r="Q99" s="5">
        <f>Q90</f>
        <v>22627789815</v>
      </c>
    </row>
    <row r="100" spans="1:17" ht="21" x14ac:dyDescent="0.55000000000000004">
      <c r="A100" s="14" t="s">
        <v>53</v>
      </c>
      <c r="C100" s="5">
        <v>446158</v>
      </c>
      <c r="D100" s="5"/>
      <c r="E100" s="5">
        <v>2559745340</v>
      </c>
      <c r="F100" s="5"/>
      <c r="G100" s="5">
        <v>2295056899</v>
      </c>
      <c r="H100" s="5"/>
      <c r="I100" s="5">
        <v>264688441</v>
      </c>
      <c r="K100" s="5">
        <v>446158</v>
      </c>
      <c r="M100" s="5">
        <v>2559745340</v>
      </c>
      <c r="O100" s="5">
        <v>2295056899</v>
      </c>
      <c r="Q100" s="5">
        <v>264688441</v>
      </c>
    </row>
    <row r="101" spans="1:17" ht="21" x14ac:dyDescent="0.55000000000000004">
      <c r="A101" s="14" t="s">
        <v>54</v>
      </c>
      <c r="C101" s="5">
        <v>0</v>
      </c>
      <c r="D101" s="5"/>
      <c r="E101" s="5">
        <v>0</v>
      </c>
      <c r="F101" s="5"/>
      <c r="G101" s="5">
        <v>0</v>
      </c>
      <c r="H101" s="5"/>
      <c r="I101" s="5">
        <v>0</v>
      </c>
      <c r="J101" s="6"/>
      <c r="K101" s="5">
        <v>2127045</v>
      </c>
      <c r="M101" s="5">
        <v>18097878761</v>
      </c>
      <c r="O101" s="5">
        <v>19034523741</v>
      </c>
      <c r="Q101" s="5">
        <v>-936644980</v>
      </c>
    </row>
    <row r="102" spans="1:17" ht="21" x14ac:dyDescent="0.55000000000000004">
      <c r="A102" s="14" t="s">
        <v>55</v>
      </c>
      <c r="C102" s="5">
        <v>1240000</v>
      </c>
      <c r="D102" s="5"/>
      <c r="E102" s="5">
        <v>9644329641</v>
      </c>
      <c r="F102" s="5"/>
      <c r="G102" s="5">
        <v>10062514642</v>
      </c>
      <c r="H102" s="5"/>
      <c r="I102" s="5">
        <v>-418185001</v>
      </c>
      <c r="K102" s="5">
        <v>1642919</v>
      </c>
      <c r="M102" s="5">
        <v>12469725638</v>
      </c>
      <c r="O102" s="5">
        <v>13334020444</v>
      </c>
      <c r="Q102" s="5">
        <v>-864294806</v>
      </c>
    </row>
    <row r="103" spans="1:17" ht="21" x14ac:dyDescent="0.55000000000000004">
      <c r="A103" s="14" t="s">
        <v>56</v>
      </c>
      <c r="C103" s="5">
        <v>0</v>
      </c>
      <c r="D103" s="5"/>
      <c r="E103" s="5">
        <v>0</v>
      </c>
      <c r="F103" s="5"/>
      <c r="G103" s="5">
        <v>0</v>
      </c>
      <c r="H103" s="5"/>
      <c r="I103" s="5">
        <v>0</v>
      </c>
      <c r="J103" s="6"/>
      <c r="K103" s="5">
        <v>1554845</v>
      </c>
      <c r="M103" s="5">
        <v>11584522316</v>
      </c>
      <c r="O103" s="5">
        <v>18524151603</v>
      </c>
      <c r="Q103" s="5">
        <v>-6939629287</v>
      </c>
    </row>
    <row r="104" spans="1:17" ht="21" x14ac:dyDescent="0.55000000000000004">
      <c r="A104" s="14" t="s">
        <v>57</v>
      </c>
      <c r="C104" s="5">
        <v>200000</v>
      </c>
      <c r="D104" s="5"/>
      <c r="E104" s="5">
        <v>1148127765</v>
      </c>
      <c r="F104" s="5"/>
      <c r="G104" s="5">
        <v>1058115110</v>
      </c>
      <c r="H104" s="5"/>
      <c r="I104" s="5">
        <v>90012655</v>
      </c>
      <c r="K104" s="5">
        <v>200000</v>
      </c>
      <c r="M104" s="5">
        <v>1148127765</v>
      </c>
      <c r="O104" s="5">
        <v>1058115110</v>
      </c>
      <c r="Q104" s="5">
        <v>90012655</v>
      </c>
    </row>
    <row r="105" spans="1:17" ht="21" x14ac:dyDescent="0.55000000000000004">
      <c r="A105" s="14" t="s">
        <v>58</v>
      </c>
      <c r="C105" s="5">
        <v>800000</v>
      </c>
      <c r="D105" s="5"/>
      <c r="E105" s="5">
        <v>4874821248</v>
      </c>
      <c r="F105" s="5"/>
      <c r="G105" s="5">
        <v>5125128785</v>
      </c>
      <c r="H105" s="5"/>
      <c r="I105" s="5">
        <v>-250307537</v>
      </c>
      <c r="K105" s="5">
        <v>800000</v>
      </c>
      <c r="M105" s="5">
        <v>4874821248</v>
      </c>
      <c r="O105" s="5">
        <v>5125128785</v>
      </c>
      <c r="Q105" s="5">
        <v>-250307537</v>
      </c>
    </row>
    <row r="106" spans="1:17" ht="21" x14ac:dyDescent="0.55000000000000004">
      <c r="A106" s="14" t="s">
        <v>59</v>
      </c>
      <c r="C106" s="5">
        <v>0</v>
      </c>
      <c r="D106" s="5"/>
      <c r="E106" s="5">
        <v>0</v>
      </c>
      <c r="F106" s="5"/>
      <c r="G106" s="5">
        <v>0</v>
      </c>
      <c r="H106" s="5"/>
      <c r="I106" s="5">
        <v>0</v>
      </c>
      <c r="J106" s="6"/>
      <c r="K106" s="5">
        <v>3252105</v>
      </c>
      <c r="M106" s="5">
        <v>37310121172</v>
      </c>
      <c r="O106" s="5">
        <v>45080757545</v>
      </c>
      <c r="Q106" s="5">
        <v>-7770636373</v>
      </c>
    </row>
    <row r="107" spans="1:17" ht="21" x14ac:dyDescent="0.55000000000000004">
      <c r="A107" s="14" t="s">
        <v>120</v>
      </c>
      <c r="C107" s="5">
        <v>0</v>
      </c>
      <c r="D107" s="5"/>
      <c r="E107" s="5">
        <v>0</v>
      </c>
      <c r="F107" s="5"/>
      <c r="G107" s="5">
        <v>0</v>
      </c>
      <c r="H107" s="5"/>
      <c r="I107" s="5">
        <v>0</v>
      </c>
      <c r="J107" s="6"/>
      <c r="K107" s="5">
        <v>687000</v>
      </c>
      <c r="M107" s="5">
        <v>17010644331</v>
      </c>
      <c r="O107" s="5">
        <v>14567488941</v>
      </c>
      <c r="Q107" s="5">
        <v>2443155390</v>
      </c>
    </row>
    <row r="108" spans="1:17" ht="21" x14ac:dyDescent="0.55000000000000004">
      <c r="A108" s="14" t="s">
        <v>60</v>
      </c>
      <c r="C108" s="5">
        <v>2000000</v>
      </c>
      <c r="D108" s="5"/>
      <c r="E108" s="5">
        <v>6640382525</v>
      </c>
      <c r="F108" s="5"/>
      <c r="G108" s="5">
        <v>9541546398</v>
      </c>
      <c r="H108" s="5"/>
      <c r="I108" s="5">
        <v>-2901163873</v>
      </c>
      <c r="K108" s="5">
        <v>2000000</v>
      </c>
      <c r="M108" s="5">
        <v>6640382525</v>
      </c>
      <c r="O108" s="5">
        <v>9541546398</v>
      </c>
      <c r="Q108" s="5">
        <v>-2901163873</v>
      </c>
    </row>
    <row r="109" spans="1:17" ht="21" x14ac:dyDescent="0.55000000000000004">
      <c r="A109" s="14" t="s">
        <v>61</v>
      </c>
      <c r="C109" s="5">
        <v>2574124</v>
      </c>
      <c r="D109" s="5"/>
      <c r="E109" s="5">
        <v>17174970716</v>
      </c>
      <c r="F109" s="5"/>
      <c r="G109" s="5">
        <v>26201743467</v>
      </c>
      <c r="H109" s="5"/>
      <c r="I109" s="5">
        <v>-9026772751</v>
      </c>
      <c r="K109" s="5">
        <v>2574124</v>
      </c>
      <c r="M109" s="5">
        <v>17174970716</v>
      </c>
      <c r="O109" s="5">
        <v>26201743467</v>
      </c>
      <c r="Q109" s="5">
        <v>-9026772751</v>
      </c>
    </row>
    <row r="110" spans="1:17" ht="21" x14ac:dyDescent="0.55000000000000004">
      <c r="A110" s="14" t="s">
        <v>62</v>
      </c>
      <c r="C110" s="5">
        <v>0</v>
      </c>
      <c r="D110" s="5"/>
      <c r="E110" s="5">
        <v>0</v>
      </c>
      <c r="F110" s="5"/>
      <c r="G110" s="5">
        <v>0</v>
      </c>
      <c r="H110" s="5"/>
      <c r="I110" s="5">
        <v>0</v>
      </c>
      <c r="J110" s="6"/>
      <c r="K110" s="5">
        <v>1131494</v>
      </c>
      <c r="M110" s="5">
        <v>12491844322</v>
      </c>
      <c r="O110" s="5">
        <v>16987710473</v>
      </c>
      <c r="Q110" s="5">
        <v>-4495866151</v>
      </c>
    </row>
    <row r="111" spans="1:17" ht="21" x14ac:dyDescent="0.55000000000000004">
      <c r="A111" s="14" t="s">
        <v>63</v>
      </c>
      <c r="C111" s="5">
        <v>0</v>
      </c>
      <c r="D111" s="5"/>
      <c r="E111" s="5">
        <v>0</v>
      </c>
      <c r="F111" s="5"/>
      <c r="G111" s="5">
        <v>0</v>
      </c>
      <c r="H111" s="5"/>
      <c r="I111" s="5">
        <v>0</v>
      </c>
      <c r="J111" s="6"/>
      <c r="K111" s="5">
        <v>1545202</v>
      </c>
      <c r="M111" s="5">
        <v>17498133570</v>
      </c>
      <c r="O111" s="5">
        <v>20078408812</v>
      </c>
      <c r="Q111" s="5">
        <v>-2580275242</v>
      </c>
    </row>
    <row r="112" spans="1:17" ht="21" x14ac:dyDescent="0.55000000000000004">
      <c r="A112" s="14" t="s">
        <v>64</v>
      </c>
      <c r="C112" s="5">
        <v>0</v>
      </c>
      <c r="D112" s="5"/>
      <c r="E112" s="5">
        <v>0</v>
      </c>
      <c r="F112" s="5"/>
      <c r="G112" s="5">
        <v>0</v>
      </c>
      <c r="H112" s="5"/>
      <c r="I112" s="5">
        <v>0</v>
      </c>
      <c r="J112" s="6"/>
      <c r="K112" s="5">
        <v>9400000</v>
      </c>
      <c r="M112" s="5">
        <v>26188446298</v>
      </c>
      <c r="O112" s="5">
        <v>29106582058</v>
      </c>
      <c r="Q112" s="5">
        <v>-2918135760</v>
      </c>
    </row>
    <row r="113" spans="1:21" ht="21" x14ac:dyDescent="0.55000000000000004">
      <c r="A113" s="14" t="s">
        <v>168</v>
      </c>
      <c r="C113" s="5">
        <v>0</v>
      </c>
      <c r="D113" s="5"/>
      <c r="E113" s="5">
        <v>0</v>
      </c>
      <c r="F113" s="5"/>
      <c r="G113" s="5">
        <v>0</v>
      </c>
      <c r="H113" s="5"/>
      <c r="I113" s="5">
        <v>0</v>
      </c>
      <c r="J113" s="6"/>
      <c r="K113" s="5">
        <v>4017263</v>
      </c>
      <c r="M113" s="5">
        <v>24778418173</v>
      </c>
      <c r="O113" s="5">
        <v>25249458217</v>
      </c>
      <c r="Q113" s="5">
        <v>-471040044</v>
      </c>
    </row>
    <row r="114" spans="1:21" ht="21" x14ac:dyDescent="0.55000000000000004">
      <c r="A114" s="14" t="s">
        <v>66</v>
      </c>
      <c r="C114" s="5">
        <v>0</v>
      </c>
      <c r="D114" s="5"/>
      <c r="E114" s="5">
        <v>0</v>
      </c>
      <c r="F114" s="5"/>
      <c r="G114" s="5">
        <v>0</v>
      </c>
      <c r="H114" s="5"/>
      <c r="I114" s="5">
        <v>0</v>
      </c>
      <c r="J114" s="6"/>
      <c r="K114" s="5">
        <v>554815</v>
      </c>
      <c r="M114" s="5">
        <v>33951935002</v>
      </c>
      <c r="O114" s="5">
        <v>32887608627</v>
      </c>
      <c r="Q114" s="5">
        <v>1064326375</v>
      </c>
    </row>
    <row r="115" spans="1:21" ht="21" x14ac:dyDescent="0.55000000000000004">
      <c r="A115" s="14" t="s">
        <v>67</v>
      </c>
      <c r="C115" s="5">
        <v>0</v>
      </c>
      <c r="D115" s="5"/>
      <c r="E115" s="5">
        <v>0</v>
      </c>
      <c r="F115" s="5"/>
      <c r="G115" s="5">
        <v>0</v>
      </c>
      <c r="H115" s="5"/>
      <c r="I115" s="5">
        <v>0</v>
      </c>
      <c r="J115" s="6"/>
      <c r="K115" s="5">
        <v>374096</v>
      </c>
      <c r="M115" s="5">
        <v>18571814326</v>
      </c>
      <c r="O115" s="5">
        <v>15908047072</v>
      </c>
      <c r="Q115" s="5">
        <v>2663767254</v>
      </c>
    </row>
    <row r="116" spans="1:21" ht="21" x14ac:dyDescent="0.55000000000000004">
      <c r="A116" s="14" t="s">
        <v>126</v>
      </c>
      <c r="C116" s="5">
        <v>0</v>
      </c>
      <c r="D116" s="5"/>
      <c r="E116" s="5">
        <v>0</v>
      </c>
      <c r="F116" s="5"/>
      <c r="G116" s="5">
        <v>0</v>
      </c>
      <c r="H116" s="5"/>
      <c r="I116" s="5">
        <v>0</v>
      </c>
      <c r="J116" s="6"/>
      <c r="K116" s="5">
        <v>320000</v>
      </c>
      <c r="M116" s="5">
        <v>7721234555</v>
      </c>
      <c r="O116" s="5">
        <v>9833943932</v>
      </c>
      <c r="Q116" s="5">
        <v>-2112709377</v>
      </c>
    </row>
    <row r="117" spans="1:21" ht="21" x14ac:dyDescent="0.55000000000000004">
      <c r="A117" s="14" t="s">
        <v>68</v>
      </c>
      <c r="C117" s="5">
        <v>0</v>
      </c>
      <c r="D117" s="5"/>
      <c r="E117" s="5">
        <v>0</v>
      </c>
      <c r="F117" s="5"/>
      <c r="G117" s="5">
        <v>0</v>
      </c>
      <c r="H117" s="5"/>
      <c r="I117" s="5">
        <v>0</v>
      </c>
      <c r="J117" s="6"/>
      <c r="K117" s="5">
        <v>243136</v>
      </c>
      <c r="M117" s="5">
        <v>43980333416</v>
      </c>
      <c r="O117" s="5">
        <v>38202724205</v>
      </c>
      <c r="Q117" s="5">
        <v>5777609211</v>
      </c>
    </row>
    <row r="118" spans="1:21" ht="21" x14ac:dyDescent="0.55000000000000004">
      <c r="A118" s="14" t="s">
        <v>70</v>
      </c>
      <c r="C118" s="5">
        <v>0</v>
      </c>
      <c r="D118" s="5"/>
      <c r="E118" s="5">
        <v>0</v>
      </c>
      <c r="F118" s="5"/>
      <c r="G118" s="5">
        <v>0</v>
      </c>
      <c r="H118" s="5"/>
      <c r="I118" s="5">
        <v>0</v>
      </c>
      <c r="J118" s="6"/>
      <c r="K118" s="5">
        <v>35981</v>
      </c>
      <c r="M118" s="5">
        <v>6752742831</v>
      </c>
      <c r="O118" s="5">
        <v>6189819405</v>
      </c>
      <c r="Q118" s="5">
        <v>562923426</v>
      </c>
    </row>
    <row r="119" spans="1:21" ht="21" x14ac:dyDescent="0.55000000000000004">
      <c r="A119" s="14" t="s">
        <v>71</v>
      </c>
      <c r="C119" s="5">
        <v>0</v>
      </c>
      <c r="D119" s="5"/>
      <c r="E119" s="5">
        <v>0</v>
      </c>
      <c r="F119" s="5"/>
      <c r="G119" s="5">
        <v>0</v>
      </c>
      <c r="H119" s="5"/>
      <c r="I119" s="5">
        <v>0</v>
      </c>
      <c r="J119" s="6"/>
      <c r="K119" s="5">
        <v>411779</v>
      </c>
      <c r="M119" s="5">
        <v>5739357350</v>
      </c>
      <c r="O119" s="5">
        <v>8624118380</v>
      </c>
      <c r="Q119" s="5">
        <v>-2884761030</v>
      </c>
    </row>
    <row r="120" spans="1:21" ht="21" x14ac:dyDescent="0.55000000000000004">
      <c r="A120" s="14" t="s">
        <v>244</v>
      </c>
      <c r="C120" s="5"/>
      <c r="D120" s="5"/>
      <c r="E120" s="45">
        <f>SUM(E99:E119)</f>
        <v>208503486646</v>
      </c>
      <c r="F120" s="5"/>
      <c r="G120" s="45">
        <f>SUM(G99:G119)</f>
        <v>227504820238</v>
      </c>
      <c r="H120" s="5"/>
      <c r="I120" s="45">
        <f>SUM(I99:I119)</f>
        <v>-18763803643</v>
      </c>
      <c r="K120" s="5"/>
      <c r="L120" s="6"/>
      <c r="M120" s="45">
        <f>SUM(M99:M119)</f>
        <v>1347698904040</v>
      </c>
      <c r="O120" s="45">
        <f>SUM(O99:O119)</f>
        <v>1357763085742</v>
      </c>
      <c r="Q120" s="45">
        <f>SUM(Q99:Q119)</f>
        <v>-8657964644</v>
      </c>
      <c r="S120" s="5"/>
      <c r="U120" s="7"/>
    </row>
    <row r="121" spans="1:21" ht="19.899999999999999" customHeight="1" x14ac:dyDescent="0.55000000000000004">
      <c r="A121" s="36" t="s">
        <v>0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</row>
    <row r="122" spans="1:21" ht="19.899999999999999" customHeight="1" x14ac:dyDescent="0.55000000000000004">
      <c r="A122" s="36" t="s">
        <v>83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</row>
    <row r="123" spans="1:21" ht="19.899999999999999" customHeight="1" x14ac:dyDescent="0.55000000000000004">
      <c r="A123" s="36" t="s">
        <v>2</v>
      </c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</row>
    <row r="125" spans="1:21" ht="21" x14ac:dyDescent="0.55000000000000004">
      <c r="A125" s="37" t="s">
        <v>140</v>
      </c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</row>
    <row r="127" spans="1:21" ht="21" x14ac:dyDescent="0.55000000000000004">
      <c r="C127" s="30" t="s">
        <v>96</v>
      </c>
      <c r="D127" s="31"/>
      <c r="E127" s="31"/>
      <c r="F127" s="31"/>
      <c r="G127" s="31"/>
      <c r="H127" s="31"/>
      <c r="I127" s="31"/>
      <c r="K127" s="30" t="s">
        <v>7</v>
      </c>
      <c r="L127" s="31"/>
      <c r="M127" s="31"/>
      <c r="N127" s="31"/>
      <c r="O127" s="31"/>
      <c r="P127" s="31"/>
      <c r="Q127" s="31"/>
    </row>
    <row r="128" spans="1:21" ht="42" x14ac:dyDescent="0.55000000000000004">
      <c r="A128" s="25" t="s">
        <v>85</v>
      </c>
      <c r="C128" s="13" t="s">
        <v>9</v>
      </c>
      <c r="E128" s="13" t="s">
        <v>11</v>
      </c>
      <c r="G128" s="13" t="s">
        <v>141</v>
      </c>
      <c r="I128" s="13" t="s">
        <v>142</v>
      </c>
      <c r="K128" s="13" t="s">
        <v>9</v>
      </c>
      <c r="M128" s="13" t="s">
        <v>11</v>
      </c>
      <c r="O128" s="13" t="s">
        <v>141</v>
      </c>
      <c r="Q128" s="13" t="s">
        <v>142</v>
      </c>
    </row>
    <row r="129" spans="1:17" ht="21" x14ac:dyDescent="0.55000000000000004">
      <c r="A129" s="14" t="s">
        <v>245</v>
      </c>
      <c r="C129" s="46"/>
      <c r="E129" s="5">
        <f>E120</f>
        <v>208503486646</v>
      </c>
      <c r="G129" s="5">
        <f>G120</f>
        <v>227504820238</v>
      </c>
      <c r="I129" s="5">
        <f>I120</f>
        <v>-18763803643</v>
      </c>
      <c r="K129" s="46"/>
      <c r="M129" s="5">
        <f>M120</f>
        <v>1347698904040</v>
      </c>
      <c r="O129" s="5">
        <f>O120</f>
        <v>1357763085742</v>
      </c>
      <c r="Q129" s="5">
        <f>Q120</f>
        <v>-8657964644</v>
      </c>
    </row>
    <row r="130" spans="1:17" ht="21" x14ac:dyDescent="0.55000000000000004">
      <c r="A130" s="14" t="s">
        <v>169</v>
      </c>
      <c r="C130" s="5">
        <v>0</v>
      </c>
      <c r="D130" s="5"/>
      <c r="E130" s="5">
        <v>0</v>
      </c>
      <c r="F130" s="5"/>
      <c r="G130" s="5">
        <v>0</v>
      </c>
      <c r="H130" s="5"/>
      <c r="I130" s="5">
        <v>0</v>
      </c>
      <c r="J130" s="6"/>
      <c r="K130" s="5">
        <v>153902</v>
      </c>
      <c r="M130" s="5">
        <v>27573741535</v>
      </c>
      <c r="O130" s="5">
        <v>27892641876</v>
      </c>
      <c r="Q130" s="5">
        <v>-318900341</v>
      </c>
    </row>
    <row r="131" spans="1:17" ht="21" x14ac:dyDescent="0.55000000000000004">
      <c r="A131" s="14" t="s">
        <v>72</v>
      </c>
      <c r="C131" s="5">
        <v>0</v>
      </c>
      <c r="D131" s="5"/>
      <c r="E131" s="5">
        <v>0</v>
      </c>
      <c r="F131" s="5"/>
      <c r="G131" s="5">
        <v>0</v>
      </c>
      <c r="H131" s="5"/>
      <c r="I131" s="5">
        <v>0</v>
      </c>
      <c r="J131" s="6"/>
      <c r="K131" s="5">
        <v>813344</v>
      </c>
      <c r="M131" s="5">
        <v>1325397094</v>
      </c>
      <c r="O131" s="5">
        <v>2823737112</v>
      </c>
      <c r="Q131" s="5">
        <v>-1498340018</v>
      </c>
    </row>
    <row r="132" spans="1:17" ht="21" x14ac:dyDescent="0.55000000000000004">
      <c r="A132" s="14" t="s">
        <v>131</v>
      </c>
      <c r="C132" s="5">
        <v>0</v>
      </c>
      <c r="D132" s="5"/>
      <c r="E132" s="5">
        <v>0</v>
      </c>
      <c r="F132" s="5"/>
      <c r="G132" s="5">
        <v>0</v>
      </c>
      <c r="H132" s="5"/>
      <c r="I132" s="5">
        <v>0</v>
      </c>
      <c r="J132" s="6"/>
      <c r="K132" s="5">
        <v>14262615</v>
      </c>
      <c r="M132" s="5">
        <v>24542452114</v>
      </c>
      <c r="O132" s="5">
        <v>27783271084</v>
      </c>
      <c r="Q132" s="5">
        <v>-3240818970</v>
      </c>
    </row>
    <row r="133" spans="1:17" ht="21" x14ac:dyDescent="0.55000000000000004">
      <c r="A133" s="14" t="s">
        <v>170</v>
      </c>
      <c r="C133" s="5">
        <v>0</v>
      </c>
      <c r="D133" s="5"/>
      <c r="E133" s="5">
        <v>0</v>
      </c>
      <c r="F133" s="5"/>
      <c r="G133" s="5">
        <v>0</v>
      </c>
      <c r="H133" s="5"/>
      <c r="I133" s="5">
        <v>0</v>
      </c>
      <c r="J133" s="6"/>
      <c r="K133" s="5">
        <v>901</v>
      </c>
      <c r="M133" s="5">
        <v>2321499</v>
      </c>
      <c r="O133" s="5">
        <v>1383949</v>
      </c>
      <c r="Q133" s="5">
        <v>937550</v>
      </c>
    </row>
    <row r="134" spans="1:17" ht="21" x14ac:dyDescent="0.55000000000000004">
      <c r="A134" s="14" t="s">
        <v>132</v>
      </c>
      <c r="C134" s="5">
        <v>0</v>
      </c>
      <c r="D134" s="5"/>
      <c r="E134" s="5">
        <v>0</v>
      </c>
      <c r="F134" s="5"/>
      <c r="G134" s="5">
        <v>0</v>
      </c>
      <c r="H134" s="5"/>
      <c r="I134" s="5">
        <v>0</v>
      </c>
      <c r="J134" s="6"/>
      <c r="K134" s="5">
        <v>800000</v>
      </c>
      <c r="M134" s="5">
        <v>1360258032</v>
      </c>
      <c r="O134" s="5">
        <v>1241016156</v>
      </c>
      <c r="Q134" s="5">
        <v>119241876</v>
      </c>
    </row>
    <row r="135" spans="1:17" ht="21" x14ac:dyDescent="0.55000000000000004">
      <c r="A135" s="14" t="s">
        <v>73</v>
      </c>
      <c r="C135" s="5">
        <v>0</v>
      </c>
      <c r="D135" s="5"/>
      <c r="E135" s="5">
        <v>0</v>
      </c>
      <c r="F135" s="5"/>
      <c r="G135" s="5">
        <v>0</v>
      </c>
      <c r="H135" s="5"/>
      <c r="I135" s="5">
        <v>0</v>
      </c>
      <c r="J135" s="6"/>
      <c r="K135" s="5">
        <v>108071</v>
      </c>
      <c r="M135" s="5">
        <v>108071</v>
      </c>
      <c r="O135" s="5">
        <v>-85814253</v>
      </c>
      <c r="Q135" s="5">
        <v>85922324</v>
      </c>
    </row>
    <row r="136" spans="1:17" ht="21" x14ac:dyDescent="0.55000000000000004">
      <c r="A136" s="8" t="s">
        <v>74</v>
      </c>
      <c r="C136" s="11"/>
      <c r="E136" s="8">
        <f>SUM(E129:E135)</f>
        <v>208503486646</v>
      </c>
      <c r="G136" s="8">
        <f>SUM(G129:G135)</f>
        <v>227504820238</v>
      </c>
      <c r="I136" s="8">
        <f>SUM(I129:I135)</f>
        <v>-18763803643</v>
      </c>
      <c r="K136" s="11"/>
      <c r="M136" s="8">
        <f>SUM(M129:M135)</f>
        <v>1402503182385</v>
      </c>
      <c r="O136" s="8">
        <f>SUM(O129:O135)</f>
        <v>1417419321666</v>
      </c>
      <c r="Q136" s="8">
        <f>SUM(Q129:Q135)</f>
        <v>-13509922223</v>
      </c>
    </row>
    <row r="137" spans="1:17" ht="21" x14ac:dyDescent="0.55000000000000004">
      <c r="C137" s="11"/>
      <c r="E137" s="10"/>
      <c r="G137" s="10"/>
      <c r="I137" s="10"/>
      <c r="K137" s="11"/>
      <c r="M137" s="10"/>
      <c r="O137" s="10"/>
      <c r="Q137" s="10"/>
    </row>
    <row r="139" spans="1:17" ht="21" x14ac:dyDescent="0.55000000000000004">
      <c r="A139" s="41" t="s">
        <v>171</v>
      </c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3"/>
    </row>
  </sheetData>
  <mergeCells count="31">
    <mergeCell ref="A122:Q122"/>
    <mergeCell ref="A123:Q123"/>
    <mergeCell ref="A125:Q125"/>
    <mergeCell ref="C127:I127"/>
    <mergeCell ref="K127:Q127"/>
    <mergeCell ref="A93:Q93"/>
    <mergeCell ref="A95:Q95"/>
    <mergeCell ref="C97:I97"/>
    <mergeCell ref="K97:Q97"/>
    <mergeCell ref="A121:Q121"/>
    <mergeCell ref="A65:Q65"/>
    <mergeCell ref="C67:I67"/>
    <mergeCell ref="K67:Q67"/>
    <mergeCell ref="A91:Q91"/>
    <mergeCell ref="A92:Q92"/>
    <mergeCell ref="A139:Q139"/>
    <mergeCell ref="A1:Q1"/>
    <mergeCell ref="A2:Q2"/>
    <mergeCell ref="A3:Q3"/>
    <mergeCell ref="A5:Q5"/>
    <mergeCell ref="C7:I7"/>
    <mergeCell ref="K7:Q7"/>
    <mergeCell ref="A31:Q31"/>
    <mergeCell ref="A32:Q32"/>
    <mergeCell ref="A33:Q33"/>
    <mergeCell ref="A35:Q35"/>
    <mergeCell ref="C37:I37"/>
    <mergeCell ref="K37:Q37"/>
    <mergeCell ref="A61:Q61"/>
    <mergeCell ref="A62:Q62"/>
    <mergeCell ref="A63:Q63"/>
  </mergeCells>
  <pageMargins left="0.7" right="0.7" top="0.75" bottom="0.75" header="0.3" footer="0.3"/>
  <pageSetup paperSize="9" scale="76" fitToHeight="0" orientation="landscape" r:id="rId1"/>
  <rowBreaks count="4" manualBreakCount="4">
    <brk id="30" max="16" man="1"/>
    <brk id="60" max="16" man="1"/>
    <brk id="90" max="16" man="1"/>
    <brk id="120" max="1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W114"/>
  <sheetViews>
    <sheetView rightToLeft="1" view="pageBreakPreview" topLeftCell="A72" zoomScale="60" zoomScaleNormal="100" workbookViewId="0">
      <selection activeCell="Q111" sqref="Q111"/>
    </sheetView>
  </sheetViews>
  <sheetFormatPr defaultColWidth="8.85546875" defaultRowHeight="19.5" x14ac:dyDescent="0.55000000000000004"/>
  <cols>
    <col min="1" max="1" width="35" style="2" customWidth="1"/>
    <col min="2" max="2" width="1.42578125" style="2" customWidth="1"/>
    <col min="3" max="3" width="14.140625" style="2" customWidth="1"/>
    <col min="4" max="4" width="1.42578125" style="2" customWidth="1"/>
    <col min="5" max="5" width="17" style="2" customWidth="1"/>
    <col min="6" max="6" width="1.42578125" style="2" customWidth="1"/>
    <col min="7" max="7" width="17" style="2" customWidth="1"/>
    <col min="8" max="8" width="1.42578125" style="2" customWidth="1"/>
    <col min="9" max="9" width="17" style="2" customWidth="1"/>
    <col min="10" max="10" width="1.42578125" style="2" customWidth="1"/>
    <col min="11" max="11" width="14.140625" style="2" customWidth="1"/>
    <col min="12" max="12" width="1.42578125" style="2" customWidth="1"/>
    <col min="13" max="13" width="17" style="2" customWidth="1"/>
    <col min="14" max="14" width="1.42578125" style="2" customWidth="1"/>
    <col min="15" max="15" width="17" style="2" customWidth="1"/>
    <col min="16" max="16" width="1.42578125" style="2" customWidth="1"/>
    <col min="17" max="17" width="17" style="2" customWidth="1"/>
    <col min="18" max="16384" width="8.85546875" style="2"/>
  </cols>
  <sheetData>
    <row r="1" spans="1:21" ht="19.899999999999999" customHeight="1" x14ac:dyDescent="0.55000000000000004">
      <c r="A1" s="36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21" ht="19.899999999999999" customHeight="1" x14ac:dyDescent="0.55000000000000004">
      <c r="A2" s="36" t="s">
        <v>83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21" ht="19.899999999999999" customHeight="1" x14ac:dyDescent="0.55000000000000004">
      <c r="A3" s="36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5" spans="1:21" ht="21" x14ac:dyDescent="0.55000000000000004">
      <c r="A5" s="37" t="s">
        <v>172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7" spans="1:21" ht="21" x14ac:dyDescent="0.55000000000000004">
      <c r="C7" s="30" t="s">
        <v>96</v>
      </c>
      <c r="D7" s="31"/>
      <c r="E7" s="31"/>
      <c r="F7" s="31"/>
      <c r="G7" s="31"/>
      <c r="H7" s="31"/>
      <c r="I7" s="31"/>
      <c r="K7" s="30" t="s">
        <v>7</v>
      </c>
      <c r="L7" s="31"/>
      <c r="M7" s="31"/>
      <c r="N7" s="31"/>
      <c r="O7" s="31"/>
      <c r="P7" s="31"/>
      <c r="Q7" s="31"/>
    </row>
    <row r="8" spans="1:21" ht="42" x14ac:dyDescent="0.55000000000000004">
      <c r="A8" s="25" t="s">
        <v>85</v>
      </c>
      <c r="C8" s="13" t="s">
        <v>9</v>
      </c>
      <c r="E8" s="13" t="s">
        <v>11</v>
      </c>
      <c r="G8" s="13" t="s">
        <v>141</v>
      </c>
      <c r="I8" s="13" t="s">
        <v>173</v>
      </c>
      <c r="K8" s="13" t="s">
        <v>9</v>
      </c>
      <c r="M8" s="13" t="s">
        <v>11</v>
      </c>
      <c r="O8" s="13" t="s">
        <v>141</v>
      </c>
      <c r="Q8" s="13" t="s">
        <v>173</v>
      </c>
    </row>
    <row r="9" spans="1:21" ht="21" x14ac:dyDescent="0.55000000000000004">
      <c r="A9" s="14" t="s">
        <v>17</v>
      </c>
      <c r="C9" s="5">
        <v>467651</v>
      </c>
      <c r="E9" s="5">
        <v>2807805598</v>
      </c>
      <c r="G9" s="5">
        <v>2598614784</v>
      </c>
      <c r="I9" s="5">
        <v>209190814</v>
      </c>
      <c r="K9" s="5">
        <v>467651</v>
      </c>
      <c r="M9" s="5">
        <v>2807805598</v>
      </c>
      <c r="O9" s="5">
        <v>2921674505</v>
      </c>
      <c r="Q9" s="5">
        <v>-113868907</v>
      </c>
    </row>
    <row r="10" spans="1:21" ht="21" x14ac:dyDescent="0.55000000000000004">
      <c r="A10" s="14" t="s">
        <v>19</v>
      </c>
      <c r="C10" s="5"/>
      <c r="E10" s="5"/>
      <c r="F10" s="5"/>
      <c r="G10" s="5"/>
      <c r="H10" s="5"/>
      <c r="I10" s="5">
        <v>-535284120</v>
      </c>
      <c r="K10" s="7"/>
      <c r="L10" s="6"/>
      <c r="M10" s="5"/>
      <c r="O10" s="5"/>
      <c r="Q10" s="5">
        <v>53886121</v>
      </c>
      <c r="S10" s="5"/>
      <c r="U10" s="7"/>
    </row>
    <row r="11" spans="1:21" ht="21" x14ac:dyDescent="0.55000000000000004">
      <c r="A11" s="14" t="s">
        <v>150</v>
      </c>
      <c r="C11" s="5"/>
      <c r="E11" s="5"/>
      <c r="G11" s="5"/>
      <c r="H11" s="5"/>
      <c r="I11" s="5">
        <v>0</v>
      </c>
      <c r="K11" s="7"/>
      <c r="L11" s="6"/>
      <c r="M11" s="5"/>
      <c r="O11" s="5"/>
      <c r="Q11" s="5">
        <v>-84678189</v>
      </c>
      <c r="S11" s="5"/>
      <c r="U11" s="7"/>
    </row>
    <row r="12" spans="1:21" ht="21" x14ac:dyDescent="0.55000000000000004">
      <c r="A12" s="14" t="s">
        <v>151</v>
      </c>
      <c r="C12" s="5"/>
      <c r="E12" s="5"/>
      <c r="G12" s="5"/>
      <c r="H12" s="5"/>
      <c r="I12" s="5">
        <v>0</v>
      </c>
      <c r="K12" s="7"/>
      <c r="L12" s="6"/>
      <c r="M12" s="5"/>
      <c r="O12" s="5"/>
      <c r="Q12" s="5">
        <v>7698018</v>
      </c>
      <c r="S12" s="5"/>
      <c r="U12" s="7"/>
    </row>
    <row r="13" spans="1:21" ht="21" x14ac:dyDescent="0.55000000000000004">
      <c r="A13" s="14" t="s">
        <v>20</v>
      </c>
      <c r="C13" s="5"/>
      <c r="E13" s="5"/>
      <c r="F13" s="5"/>
      <c r="G13" s="5"/>
      <c r="H13" s="5"/>
      <c r="I13" s="5">
        <v>-175098076</v>
      </c>
      <c r="K13" s="7"/>
      <c r="L13" s="6"/>
      <c r="M13" s="5"/>
      <c r="O13" s="5"/>
      <c r="Q13" s="5">
        <v>51349774</v>
      </c>
      <c r="S13" s="5"/>
      <c r="U13" s="7"/>
    </row>
    <row r="14" spans="1:21" ht="21" x14ac:dyDescent="0.55000000000000004">
      <c r="A14" s="14" t="s">
        <v>224</v>
      </c>
      <c r="C14" s="5"/>
      <c r="E14" s="5"/>
      <c r="G14" s="5"/>
      <c r="H14" s="5"/>
      <c r="I14" s="5">
        <v>0</v>
      </c>
      <c r="K14" s="7"/>
      <c r="L14" s="6"/>
      <c r="M14" s="5"/>
      <c r="O14" s="5"/>
      <c r="Q14" s="5">
        <v>-29992275</v>
      </c>
      <c r="S14" s="5"/>
      <c r="U14" s="7"/>
    </row>
    <row r="15" spans="1:21" ht="21" x14ac:dyDescent="0.55000000000000004">
      <c r="A15" s="14" t="s">
        <v>225</v>
      </c>
      <c r="C15" s="5"/>
      <c r="E15" s="5"/>
      <c r="G15" s="5"/>
      <c r="H15" s="5"/>
      <c r="I15" s="5">
        <v>0</v>
      </c>
      <c r="K15" s="7"/>
      <c r="L15" s="6"/>
      <c r="M15" s="5"/>
      <c r="O15" s="5"/>
      <c r="Q15" s="5">
        <v>45432298</v>
      </c>
      <c r="S15" s="5"/>
      <c r="U15" s="7"/>
    </row>
    <row r="16" spans="1:21" ht="21" x14ac:dyDescent="0.55000000000000004">
      <c r="A16" s="14" t="s">
        <v>155</v>
      </c>
      <c r="C16" s="5"/>
      <c r="E16" s="5"/>
      <c r="G16" s="5"/>
      <c r="H16" s="5"/>
      <c r="I16" s="5">
        <v>0</v>
      </c>
      <c r="K16" s="7"/>
      <c r="L16" s="6"/>
      <c r="M16" s="5"/>
      <c r="O16" s="5"/>
      <c r="Q16" s="5">
        <v>-24793613</v>
      </c>
      <c r="S16" s="5"/>
      <c r="U16" s="7"/>
    </row>
    <row r="17" spans="1:23" ht="21" x14ac:dyDescent="0.55000000000000004">
      <c r="A17" s="14" t="s">
        <v>21</v>
      </c>
      <c r="C17" s="5"/>
      <c r="E17" s="11"/>
      <c r="G17" s="5"/>
      <c r="H17" s="5"/>
      <c r="I17" s="5">
        <v>-193596961</v>
      </c>
      <c r="K17" s="7"/>
      <c r="L17" s="6"/>
      <c r="M17" s="5"/>
      <c r="O17" s="5"/>
      <c r="Q17" s="5">
        <v>-128567348</v>
      </c>
      <c r="S17" s="5"/>
      <c r="U17" s="7"/>
    </row>
    <row r="18" spans="1:23" ht="21" x14ac:dyDescent="0.55000000000000004">
      <c r="A18" s="14" t="s">
        <v>156</v>
      </c>
      <c r="C18" s="5"/>
      <c r="E18" s="5"/>
      <c r="G18" s="5"/>
      <c r="H18" s="5"/>
      <c r="I18" s="5">
        <v>0</v>
      </c>
      <c r="K18" s="7"/>
      <c r="L18" s="6"/>
      <c r="M18" s="5"/>
      <c r="O18" s="5"/>
      <c r="Q18" s="5">
        <v>-999743</v>
      </c>
      <c r="S18" s="5"/>
      <c r="U18" s="7"/>
    </row>
    <row r="19" spans="1:23" ht="21" x14ac:dyDescent="0.55000000000000004">
      <c r="A19" s="14" t="s">
        <v>157</v>
      </c>
      <c r="C19" s="5"/>
      <c r="E19" s="5"/>
      <c r="G19" s="5"/>
      <c r="H19" s="5"/>
      <c r="I19" s="5">
        <v>0</v>
      </c>
      <c r="K19" s="7"/>
      <c r="L19" s="6"/>
      <c r="M19" s="5"/>
      <c r="O19" s="5"/>
      <c r="Q19" s="5">
        <v>22366239</v>
      </c>
      <c r="S19" s="5"/>
      <c r="U19" s="7"/>
    </row>
    <row r="20" spans="1:23" ht="21" x14ac:dyDescent="0.55000000000000004">
      <c r="A20" s="14" t="s">
        <v>226</v>
      </c>
      <c r="C20" s="5"/>
      <c r="E20" s="5"/>
      <c r="G20" s="5"/>
      <c r="H20" s="5"/>
      <c r="I20" s="5">
        <v>0</v>
      </c>
      <c r="K20" s="7"/>
      <c r="L20" s="6"/>
      <c r="M20" s="5"/>
      <c r="O20" s="5"/>
      <c r="Q20" s="5">
        <v>99974250</v>
      </c>
      <c r="S20" s="5"/>
      <c r="U20" s="7"/>
    </row>
    <row r="21" spans="1:23" ht="21" x14ac:dyDescent="0.55000000000000004">
      <c r="A21" s="14" t="s">
        <v>227</v>
      </c>
      <c r="C21" s="5"/>
      <c r="E21" s="11"/>
      <c r="G21" s="5"/>
      <c r="H21" s="5"/>
      <c r="I21" s="5">
        <v>-221684686</v>
      </c>
      <c r="K21" s="7"/>
      <c r="L21" s="6"/>
      <c r="M21" s="5"/>
      <c r="O21" s="5"/>
      <c r="Q21" s="5">
        <v>-46600998</v>
      </c>
      <c r="S21" s="5"/>
      <c r="U21" s="7"/>
    </row>
    <row r="22" spans="1:23" ht="21" x14ac:dyDescent="0.55000000000000004">
      <c r="A22" s="14" t="s">
        <v>162</v>
      </c>
      <c r="C22" s="5"/>
      <c r="E22" s="5"/>
      <c r="G22" s="5"/>
      <c r="H22" s="5"/>
      <c r="I22" s="5">
        <v>0</v>
      </c>
      <c r="K22" s="7"/>
      <c r="L22" s="6"/>
      <c r="M22" s="5"/>
      <c r="O22" s="5"/>
      <c r="Q22" s="5">
        <v>53354258</v>
      </c>
      <c r="S22" s="5"/>
      <c r="U22" s="7"/>
    </row>
    <row r="23" spans="1:23" ht="21" x14ac:dyDescent="0.55000000000000004">
      <c r="A23" s="14" t="s">
        <v>161</v>
      </c>
      <c r="C23" s="5"/>
      <c r="E23" s="5"/>
      <c r="G23" s="5"/>
      <c r="H23" s="5"/>
      <c r="I23" s="5">
        <v>0</v>
      </c>
      <c r="K23" s="7"/>
      <c r="L23" s="6"/>
      <c r="M23" s="5"/>
      <c r="O23" s="5"/>
      <c r="Q23" s="5">
        <v>-3590076</v>
      </c>
      <c r="S23" s="5"/>
      <c r="U23" s="7"/>
    </row>
    <row r="24" spans="1:23" ht="21" x14ac:dyDescent="0.55000000000000004">
      <c r="A24" s="14" t="s">
        <v>23</v>
      </c>
      <c r="C24" s="5"/>
      <c r="E24" s="16"/>
      <c r="G24" s="5"/>
      <c r="H24" s="5"/>
      <c r="I24" s="5">
        <v>-102172290</v>
      </c>
      <c r="K24" s="7"/>
      <c r="L24" s="6"/>
      <c r="M24" s="5"/>
      <c r="O24" s="5"/>
      <c r="Q24" s="5">
        <v>13141615</v>
      </c>
      <c r="S24" s="5"/>
      <c r="U24" s="7"/>
      <c r="W24" s="5"/>
    </row>
    <row r="25" spans="1:23" ht="21" x14ac:dyDescent="0.55000000000000004">
      <c r="A25" s="14" t="s">
        <v>152</v>
      </c>
      <c r="C25" s="5"/>
      <c r="E25" s="5"/>
      <c r="G25" s="5"/>
      <c r="H25" s="5"/>
      <c r="I25" s="5">
        <v>0</v>
      </c>
      <c r="K25" s="7"/>
      <c r="L25" s="6"/>
      <c r="M25" s="5"/>
      <c r="O25" s="5"/>
      <c r="Q25" s="11">
        <v>11996910</v>
      </c>
      <c r="S25" s="5"/>
      <c r="U25" s="7"/>
    </row>
    <row r="26" spans="1:23" ht="21" x14ac:dyDescent="0.55000000000000004">
      <c r="A26" s="14" t="s">
        <v>158</v>
      </c>
      <c r="C26" s="5"/>
      <c r="E26" s="5"/>
      <c r="G26" s="5"/>
      <c r="H26" s="5"/>
      <c r="I26" s="5">
        <v>0</v>
      </c>
      <c r="K26" s="7"/>
      <c r="L26" s="6"/>
      <c r="M26" s="5"/>
      <c r="O26" s="5"/>
      <c r="Q26" s="5">
        <v>5339838</v>
      </c>
      <c r="S26" s="5"/>
      <c r="U26" s="7"/>
    </row>
    <row r="27" spans="1:23" ht="21" x14ac:dyDescent="0.55000000000000004">
      <c r="A27" s="14" t="s">
        <v>18</v>
      </c>
      <c r="C27" s="5"/>
      <c r="E27" s="16"/>
      <c r="G27" s="11"/>
      <c r="H27" s="5"/>
      <c r="I27" s="5">
        <v>-688549690</v>
      </c>
      <c r="K27" s="7"/>
      <c r="L27" s="6"/>
      <c r="M27" s="5"/>
      <c r="O27" s="5"/>
      <c r="Q27" s="11">
        <v>-224342217</v>
      </c>
      <c r="S27" s="5"/>
      <c r="U27" s="7"/>
    </row>
    <row r="28" spans="1:23" ht="21" x14ac:dyDescent="0.55000000000000004">
      <c r="A28" s="14" t="s">
        <v>143</v>
      </c>
      <c r="C28" s="5"/>
      <c r="E28" s="5"/>
      <c r="G28" s="5"/>
      <c r="H28" s="5"/>
      <c r="I28" s="5">
        <v>0</v>
      </c>
      <c r="K28" s="7"/>
      <c r="L28" s="6"/>
      <c r="M28" s="5"/>
      <c r="O28" s="5"/>
      <c r="Q28" s="5">
        <v>-27640881</v>
      </c>
      <c r="S28" s="5"/>
      <c r="U28" s="7"/>
    </row>
    <row r="29" spans="1:23" ht="21" x14ac:dyDescent="0.55000000000000004">
      <c r="A29" s="14" t="s">
        <v>144</v>
      </c>
      <c r="C29" s="5"/>
      <c r="E29" s="5"/>
      <c r="G29" s="5"/>
      <c r="H29" s="5"/>
      <c r="I29" s="5">
        <v>0</v>
      </c>
      <c r="K29" s="7"/>
      <c r="L29" s="6"/>
      <c r="M29" s="5"/>
      <c r="O29" s="5"/>
      <c r="Q29" s="11">
        <v>5440598</v>
      </c>
      <c r="S29" s="5"/>
      <c r="U29" s="7"/>
    </row>
    <row r="30" spans="1:23" ht="21" x14ac:dyDescent="0.55000000000000004">
      <c r="A30" s="14" t="s">
        <v>145</v>
      </c>
      <c r="C30" s="5"/>
      <c r="E30" s="5"/>
      <c r="G30" s="5"/>
      <c r="H30" s="5"/>
      <c r="I30" s="5">
        <v>0</v>
      </c>
      <c r="K30" s="7"/>
      <c r="L30" s="6"/>
      <c r="M30" s="5"/>
      <c r="O30" s="5"/>
      <c r="Q30" s="11">
        <v>7738007</v>
      </c>
      <c r="S30" s="5"/>
      <c r="U30" s="7"/>
    </row>
    <row r="31" spans="1:23" ht="21" x14ac:dyDescent="0.55000000000000004">
      <c r="A31" s="14" t="s">
        <v>244</v>
      </c>
      <c r="C31" s="5"/>
      <c r="E31" s="45">
        <f>SUM(E9:E30)</f>
        <v>2807805598</v>
      </c>
      <c r="G31" s="45">
        <f>SUM(G9:G30)</f>
        <v>2598614784</v>
      </c>
      <c r="H31" s="5"/>
      <c r="I31" s="45">
        <f>SUM(I9:I30)</f>
        <v>-1707195009</v>
      </c>
      <c r="K31" s="7"/>
      <c r="L31" s="6"/>
      <c r="M31" s="45">
        <f>SUM(M9:M30)</f>
        <v>2807805598</v>
      </c>
      <c r="O31" s="45">
        <f>SUM(O9:O30)</f>
        <v>2921674505</v>
      </c>
      <c r="Q31" s="45">
        <f>SUM(Q9:Q30)</f>
        <v>-307356321</v>
      </c>
      <c r="S31" s="5"/>
      <c r="U31" s="7"/>
    </row>
    <row r="32" spans="1:23" ht="19.899999999999999" customHeight="1" x14ac:dyDescent="0.55000000000000004">
      <c r="A32" s="36" t="s">
        <v>0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</row>
    <row r="33" spans="1:21" ht="19.899999999999999" customHeight="1" x14ac:dyDescent="0.55000000000000004">
      <c r="A33" s="36" t="s">
        <v>83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</row>
    <row r="34" spans="1:21" ht="19.899999999999999" customHeight="1" x14ac:dyDescent="0.55000000000000004">
      <c r="A34" s="36" t="s">
        <v>2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</row>
    <row r="36" spans="1:21" ht="21" x14ac:dyDescent="0.55000000000000004">
      <c r="A36" s="37" t="s">
        <v>172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</row>
    <row r="38" spans="1:21" ht="21" x14ac:dyDescent="0.55000000000000004">
      <c r="C38" s="30" t="s">
        <v>96</v>
      </c>
      <c r="D38" s="31"/>
      <c r="E38" s="31"/>
      <c r="F38" s="31"/>
      <c r="G38" s="31"/>
      <c r="H38" s="31"/>
      <c r="I38" s="31"/>
      <c r="K38" s="30" t="s">
        <v>7</v>
      </c>
      <c r="L38" s="31"/>
      <c r="M38" s="31"/>
      <c r="N38" s="31"/>
      <c r="O38" s="31"/>
      <c r="P38" s="31"/>
      <c r="Q38" s="31"/>
    </row>
    <row r="39" spans="1:21" ht="42" x14ac:dyDescent="0.55000000000000004">
      <c r="A39" s="25" t="s">
        <v>85</v>
      </c>
      <c r="C39" s="13" t="s">
        <v>9</v>
      </c>
      <c r="E39" s="13" t="s">
        <v>11</v>
      </c>
      <c r="G39" s="13" t="s">
        <v>141</v>
      </c>
      <c r="I39" s="13" t="s">
        <v>173</v>
      </c>
      <c r="K39" s="13" t="s">
        <v>9</v>
      </c>
      <c r="M39" s="13" t="s">
        <v>11</v>
      </c>
      <c r="O39" s="13" t="s">
        <v>141</v>
      </c>
      <c r="Q39" s="13" t="s">
        <v>173</v>
      </c>
    </row>
    <row r="40" spans="1:21" ht="21" x14ac:dyDescent="0.55000000000000004">
      <c r="A40" s="14" t="s">
        <v>245</v>
      </c>
      <c r="C40" s="46"/>
      <c r="E40" s="5">
        <f>E31</f>
        <v>2807805598</v>
      </c>
      <c r="G40" s="5">
        <f>G31</f>
        <v>2598614784</v>
      </c>
      <c r="I40" s="5">
        <f>I31</f>
        <v>-1707195009</v>
      </c>
      <c r="K40" s="46"/>
      <c r="M40" s="5">
        <f>M31</f>
        <v>2807805598</v>
      </c>
      <c r="O40" s="5">
        <f>O31</f>
        <v>2921674505</v>
      </c>
      <c r="Q40" s="5">
        <f>Q31</f>
        <v>-307356321</v>
      </c>
    </row>
    <row r="41" spans="1:21" ht="21" x14ac:dyDescent="0.55000000000000004">
      <c r="A41" s="14" t="s">
        <v>146</v>
      </c>
      <c r="C41" s="5"/>
      <c r="E41" s="5"/>
      <c r="G41" s="5"/>
      <c r="H41" s="5"/>
      <c r="I41" s="5">
        <v>0</v>
      </c>
      <c r="K41" s="7"/>
      <c r="L41" s="6"/>
      <c r="M41" s="5"/>
      <c r="O41" s="5"/>
      <c r="Q41" s="11">
        <v>-1779542</v>
      </c>
      <c r="S41" s="5"/>
      <c r="U41" s="7"/>
    </row>
    <row r="42" spans="1:21" ht="21" x14ac:dyDescent="0.55000000000000004">
      <c r="A42" s="14" t="s">
        <v>147</v>
      </c>
      <c r="C42" s="5"/>
      <c r="E42" s="5"/>
      <c r="G42" s="5"/>
      <c r="H42" s="5"/>
      <c r="I42" s="5">
        <v>0</v>
      </c>
      <c r="K42" s="7"/>
      <c r="L42" s="6"/>
      <c r="M42" s="5"/>
      <c r="O42" s="5"/>
      <c r="Q42" s="5">
        <v>8787737</v>
      </c>
      <c r="S42" s="5"/>
      <c r="U42" s="7"/>
    </row>
    <row r="43" spans="1:21" ht="21" x14ac:dyDescent="0.55000000000000004">
      <c r="A43" s="14" t="s">
        <v>153</v>
      </c>
      <c r="C43" s="5"/>
      <c r="E43" s="5"/>
      <c r="G43" s="5"/>
      <c r="H43" s="5"/>
      <c r="I43" s="5">
        <v>0</v>
      </c>
      <c r="K43" s="7"/>
      <c r="L43" s="6"/>
      <c r="M43" s="5"/>
      <c r="O43" s="5"/>
      <c r="Q43" s="11">
        <v>44988</v>
      </c>
      <c r="S43" s="5"/>
      <c r="U43" s="7"/>
    </row>
    <row r="44" spans="1:21" ht="21" x14ac:dyDescent="0.55000000000000004">
      <c r="A44" s="14" t="s">
        <v>229</v>
      </c>
      <c r="C44" s="5"/>
      <c r="E44" s="5"/>
      <c r="G44" s="5"/>
      <c r="H44" s="5"/>
      <c r="I44" s="5">
        <v>0</v>
      </c>
      <c r="K44" s="7"/>
      <c r="L44" s="6"/>
      <c r="M44" s="5"/>
      <c r="O44" s="5"/>
      <c r="Q44" s="5">
        <v>-5833792</v>
      </c>
      <c r="S44" s="5"/>
      <c r="U44" s="7"/>
    </row>
    <row r="45" spans="1:21" ht="21" x14ac:dyDescent="0.55000000000000004">
      <c r="A45" s="14" t="s">
        <v>230</v>
      </c>
      <c r="C45" s="5"/>
      <c r="E45" s="5"/>
      <c r="G45" s="5"/>
      <c r="H45" s="5"/>
      <c r="I45" s="5">
        <v>0</v>
      </c>
      <c r="K45" s="7"/>
      <c r="L45" s="6"/>
      <c r="M45" s="5"/>
      <c r="O45" s="5"/>
      <c r="Q45" s="5">
        <v>17377524</v>
      </c>
      <c r="S45" s="5"/>
      <c r="U45" s="7"/>
    </row>
    <row r="46" spans="1:21" ht="21" x14ac:dyDescent="0.55000000000000004">
      <c r="A46" s="14" t="s">
        <v>24</v>
      </c>
      <c r="C46" s="5">
        <v>2000000</v>
      </c>
      <c r="E46" s="5">
        <v>8151210000</v>
      </c>
      <c r="G46" s="5">
        <v>7099505100</v>
      </c>
      <c r="I46" s="5">
        <v>1051704900</v>
      </c>
      <c r="K46" s="5">
        <v>2000000</v>
      </c>
      <c r="M46" s="5">
        <v>8151210000</v>
      </c>
      <c r="O46" s="5">
        <v>8799272430</v>
      </c>
      <c r="Q46" s="5">
        <v>-648062430</v>
      </c>
    </row>
    <row r="47" spans="1:21" ht="21" x14ac:dyDescent="0.55000000000000004">
      <c r="A47" s="14" t="s">
        <v>26</v>
      </c>
      <c r="C47" s="5">
        <v>7726948</v>
      </c>
      <c r="E47" s="5">
        <v>22735679072</v>
      </c>
      <c r="G47" s="5">
        <v>16652348726</v>
      </c>
      <c r="I47" s="5">
        <v>6083330346</v>
      </c>
      <c r="K47" s="5">
        <v>7726948</v>
      </c>
      <c r="M47" s="5">
        <v>22735679072</v>
      </c>
      <c r="O47" s="5">
        <v>21475999556</v>
      </c>
      <c r="Q47" s="5">
        <v>1259679516</v>
      </c>
    </row>
    <row r="48" spans="1:21" ht="21" x14ac:dyDescent="0.55000000000000004">
      <c r="A48" s="14" t="s">
        <v>27</v>
      </c>
      <c r="C48" s="5">
        <v>10000000</v>
      </c>
      <c r="E48" s="5">
        <v>14413725000</v>
      </c>
      <c r="G48" s="5">
        <v>13449496500</v>
      </c>
      <c r="I48" s="5">
        <v>964228500</v>
      </c>
      <c r="K48" s="5">
        <v>10000000</v>
      </c>
      <c r="M48" s="5">
        <v>14413725000</v>
      </c>
      <c r="O48" s="5">
        <v>16209642000</v>
      </c>
      <c r="Q48" s="5">
        <v>-1795917000</v>
      </c>
    </row>
    <row r="49" spans="1:21" ht="21" x14ac:dyDescent="0.55000000000000004">
      <c r="A49" s="14" t="s">
        <v>28</v>
      </c>
      <c r="C49" s="5">
        <v>1339175</v>
      </c>
      <c r="E49" s="5">
        <v>2324287263</v>
      </c>
      <c r="G49" s="5">
        <v>2063370709</v>
      </c>
      <c r="I49" s="5">
        <v>260916554</v>
      </c>
      <c r="K49" s="5">
        <v>1339175</v>
      </c>
      <c r="M49" s="5">
        <v>2324287263</v>
      </c>
      <c r="O49" s="5">
        <v>2433942959</v>
      </c>
      <c r="Q49" s="5">
        <v>-109655696</v>
      </c>
    </row>
    <row r="50" spans="1:21" ht="21" x14ac:dyDescent="0.55000000000000004">
      <c r="A50" s="14" t="s">
        <v>29</v>
      </c>
      <c r="C50" s="5">
        <v>13700000</v>
      </c>
      <c r="E50" s="5">
        <v>31499555805</v>
      </c>
      <c r="G50" s="5">
        <v>24879671992</v>
      </c>
      <c r="I50" s="5">
        <v>6619883813</v>
      </c>
      <c r="K50" s="5">
        <v>13700000</v>
      </c>
      <c r="M50" s="5">
        <v>31499555805</v>
      </c>
      <c r="O50" s="5">
        <v>31993741721</v>
      </c>
      <c r="Q50" s="5">
        <v>-494185916</v>
      </c>
    </row>
    <row r="51" spans="1:21" ht="21" x14ac:dyDescent="0.55000000000000004">
      <c r="A51" s="14" t="s">
        <v>30</v>
      </c>
      <c r="C51" s="5">
        <v>0</v>
      </c>
      <c r="E51" s="5">
        <v>0</v>
      </c>
      <c r="G51" s="5">
        <v>773077668</v>
      </c>
      <c r="I51" s="5">
        <v>-773077668</v>
      </c>
      <c r="K51" s="5">
        <v>0</v>
      </c>
      <c r="L51" s="5"/>
      <c r="M51" s="5">
        <v>0</v>
      </c>
      <c r="N51" s="5"/>
      <c r="O51" s="5">
        <v>0</v>
      </c>
      <c r="P51" s="5"/>
      <c r="Q51" s="5">
        <v>0</v>
      </c>
    </row>
    <row r="52" spans="1:21" ht="21" x14ac:dyDescent="0.55000000000000004">
      <c r="A52" s="14" t="s">
        <v>31</v>
      </c>
      <c r="C52" s="5">
        <v>0</v>
      </c>
      <c r="E52" s="5">
        <v>0</v>
      </c>
      <c r="G52" s="5">
        <v>-650697637</v>
      </c>
      <c r="I52" s="5">
        <v>650697637</v>
      </c>
      <c r="K52" s="5">
        <v>0</v>
      </c>
      <c r="L52" s="5"/>
      <c r="M52" s="5">
        <v>0</v>
      </c>
      <c r="N52" s="5"/>
      <c r="O52" s="5">
        <v>0</v>
      </c>
      <c r="P52" s="5"/>
      <c r="Q52" s="5">
        <v>0</v>
      </c>
    </row>
    <row r="53" spans="1:21" ht="21" x14ac:dyDescent="0.55000000000000004">
      <c r="A53" s="14" t="s">
        <v>32</v>
      </c>
      <c r="C53" s="5">
        <v>1700000</v>
      </c>
      <c r="E53" s="5">
        <v>7824167550</v>
      </c>
      <c r="G53" s="5">
        <v>8016464339</v>
      </c>
      <c r="I53" s="5">
        <v>-192296789</v>
      </c>
      <c r="K53" s="5">
        <v>1700000</v>
      </c>
      <c r="M53" s="5">
        <v>7824167550</v>
      </c>
      <c r="O53" s="5">
        <v>8016464339</v>
      </c>
      <c r="Q53" s="5">
        <v>-192296789</v>
      </c>
    </row>
    <row r="54" spans="1:21" ht="21" x14ac:dyDescent="0.55000000000000004">
      <c r="A54" s="14" t="s">
        <v>33</v>
      </c>
      <c r="C54" s="5">
        <v>600000</v>
      </c>
      <c r="E54" s="5">
        <v>3083543100</v>
      </c>
      <c r="G54" s="5">
        <v>-2690686764</v>
      </c>
      <c r="I54" s="5">
        <v>5774229864</v>
      </c>
      <c r="K54" s="5">
        <v>600000</v>
      </c>
      <c r="M54" s="5">
        <v>3083543100</v>
      </c>
      <c r="O54" s="5">
        <v>4126554959</v>
      </c>
      <c r="Q54" s="5">
        <v>-1043011859</v>
      </c>
    </row>
    <row r="55" spans="1:21" ht="21" x14ac:dyDescent="0.55000000000000004">
      <c r="A55" s="14" t="s">
        <v>34</v>
      </c>
      <c r="C55" s="5">
        <v>5800000</v>
      </c>
      <c r="E55" s="5">
        <v>19389342870</v>
      </c>
      <c r="G55" s="5">
        <v>15451513200</v>
      </c>
      <c r="I55" s="5">
        <v>3937829670</v>
      </c>
      <c r="K55" s="5">
        <v>5800000</v>
      </c>
      <c r="M55" s="5">
        <v>19389342870</v>
      </c>
      <c r="O55" s="5">
        <v>19932971742</v>
      </c>
      <c r="Q55" s="5">
        <v>-543628872</v>
      </c>
    </row>
    <row r="56" spans="1:21" ht="21" x14ac:dyDescent="0.55000000000000004">
      <c r="A56" s="14" t="s">
        <v>35</v>
      </c>
      <c r="C56" s="5">
        <v>510000</v>
      </c>
      <c r="E56" s="5">
        <v>10367444475</v>
      </c>
      <c r="G56" s="5">
        <v>10163110200</v>
      </c>
      <c r="I56" s="5">
        <v>204334275</v>
      </c>
      <c r="K56" s="5">
        <v>510000</v>
      </c>
      <c r="M56" s="5">
        <v>10367444475</v>
      </c>
      <c r="O56" s="5">
        <v>12009588844</v>
      </c>
      <c r="Q56" s="5">
        <v>-1642144369</v>
      </c>
    </row>
    <row r="57" spans="1:21" ht="21" x14ac:dyDescent="0.55000000000000004">
      <c r="A57" s="14" t="s">
        <v>36</v>
      </c>
      <c r="C57" s="5">
        <v>20900000</v>
      </c>
      <c r="E57" s="5">
        <v>8684219610</v>
      </c>
      <c r="G57" s="5">
        <v>8055365511</v>
      </c>
      <c r="I57" s="5">
        <v>628854099</v>
      </c>
      <c r="K57" s="5">
        <v>20900000</v>
      </c>
      <c r="M57" s="5">
        <v>8684219610</v>
      </c>
      <c r="O57" s="5">
        <v>9072722186</v>
      </c>
      <c r="Q57" s="5">
        <v>-388502576</v>
      </c>
    </row>
    <row r="58" spans="1:21" ht="21" x14ac:dyDescent="0.55000000000000004">
      <c r="A58" s="14" t="s">
        <v>38</v>
      </c>
      <c r="C58" s="5">
        <v>3100000</v>
      </c>
      <c r="E58" s="5">
        <v>9614451600</v>
      </c>
      <c r="G58" s="5">
        <v>9513211197</v>
      </c>
      <c r="I58" s="5">
        <v>101240403</v>
      </c>
      <c r="K58" s="5">
        <v>3100000</v>
      </c>
      <c r="M58" s="5">
        <v>9614451600</v>
      </c>
      <c r="O58" s="5">
        <v>9513211197</v>
      </c>
      <c r="Q58" s="5">
        <v>101240403</v>
      </c>
    </row>
    <row r="59" spans="1:21" ht="21" x14ac:dyDescent="0.55000000000000004">
      <c r="A59" s="14" t="s">
        <v>39</v>
      </c>
      <c r="C59" s="5">
        <v>0</v>
      </c>
      <c r="E59" s="5">
        <v>0</v>
      </c>
      <c r="G59" s="5">
        <v>-2899842660</v>
      </c>
      <c r="I59" s="5">
        <v>2899842660</v>
      </c>
      <c r="K59" s="5">
        <v>0</v>
      </c>
      <c r="L59" s="5"/>
      <c r="M59" s="5">
        <v>0</v>
      </c>
      <c r="N59" s="5"/>
      <c r="O59" s="5">
        <v>0</v>
      </c>
      <c r="P59" s="5"/>
      <c r="Q59" s="5">
        <v>0</v>
      </c>
    </row>
    <row r="60" spans="1:21" ht="21" x14ac:dyDescent="0.55000000000000004">
      <c r="A60" s="14" t="s">
        <v>40</v>
      </c>
      <c r="C60" s="5">
        <v>25000000</v>
      </c>
      <c r="E60" s="5">
        <v>27460631250</v>
      </c>
      <c r="G60" s="5">
        <v>24084998142</v>
      </c>
      <c r="I60" s="5">
        <v>3375633108</v>
      </c>
      <c r="K60" s="5">
        <v>25000000</v>
      </c>
      <c r="M60" s="5">
        <v>27460631250</v>
      </c>
      <c r="O60" s="5">
        <v>30304064067</v>
      </c>
      <c r="Q60" s="5">
        <v>-2843432817</v>
      </c>
    </row>
    <row r="61" spans="1:21" ht="21" x14ac:dyDescent="0.55000000000000004">
      <c r="A61" s="14" t="s">
        <v>41</v>
      </c>
      <c r="C61" s="5">
        <v>33191778</v>
      </c>
      <c r="E61" s="5">
        <v>39758115740</v>
      </c>
      <c r="G61" s="5">
        <v>41809888041</v>
      </c>
      <c r="I61" s="5">
        <v>-2051772301</v>
      </c>
      <c r="K61" s="5">
        <v>33191778</v>
      </c>
      <c r="M61" s="5">
        <v>39758115740</v>
      </c>
      <c r="O61" s="5">
        <v>41809888041</v>
      </c>
      <c r="Q61" s="5">
        <v>-2051772301</v>
      </c>
    </row>
    <row r="62" spans="1:21" ht="21" x14ac:dyDescent="0.55000000000000004">
      <c r="A62" s="14" t="s">
        <v>244</v>
      </c>
      <c r="C62" s="5"/>
      <c r="E62" s="45">
        <f>SUM(E40:E61)</f>
        <v>208114178933</v>
      </c>
      <c r="G62" s="45">
        <f>SUM(G40:G61)</f>
        <v>178369409048</v>
      </c>
      <c r="H62" s="5"/>
      <c r="I62" s="45">
        <f>SUM(I40:I61)</f>
        <v>27828384062</v>
      </c>
      <c r="K62" s="7"/>
      <c r="L62" s="6"/>
      <c r="M62" s="45">
        <f>SUM(M40:M61)</f>
        <v>208114178933</v>
      </c>
      <c r="O62" s="45">
        <f>SUM(O40:O61)</f>
        <v>218619738546</v>
      </c>
      <c r="Q62" s="45">
        <f>SUM(Q40:Q61)</f>
        <v>-10680450112</v>
      </c>
      <c r="S62" s="5"/>
      <c r="U62" s="7"/>
    </row>
    <row r="63" spans="1:21" ht="19.5" customHeight="1" x14ac:dyDescent="0.55000000000000004">
      <c r="A63" s="36" t="s">
        <v>0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</row>
    <row r="64" spans="1:21" ht="19.899999999999999" customHeight="1" x14ac:dyDescent="0.55000000000000004">
      <c r="A64" s="36" t="s">
        <v>83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</row>
    <row r="65" spans="1:17" ht="19.899999999999999" customHeight="1" x14ac:dyDescent="0.55000000000000004">
      <c r="A65" s="36" t="s">
        <v>2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</row>
    <row r="67" spans="1:17" ht="21" x14ac:dyDescent="0.55000000000000004">
      <c r="A67" s="37" t="s">
        <v>172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</row>
    <row r="69" spans="1:17" ht="21" x14ac:dyDescent="0.55000000000000004">
      <c r="C69" s="30" t="s">
        <v>96</v>
      </c>
      <c r="D69" s="31"/>
      <c r="E69" s="31"/>
      <c r="F69" s="31"/>
      <c r="G69" s="31"/>
      <c r="H69" s="31"/>
      <c r="I69" s="31"/>
      <c r="K69" s="30" t="s">
        <v>7</v>
      </c>
      <c r="L69" s="31"/>
      <c r="M69" s="31"/>
      <c r="N69" s="31"/>
      <c r="O69" s="31"/>
      <c r="P69" s="31"/>
      <c r="Q69" s="31"/>
    </row>
    <row r="70" spans="1:17" ht="42" x14ac:dyDescent="0.55000000000000004">
      <c r="A70" s="25" t="s">
        <v>85</v>
      </c>
      <c r="C70" s="13" t="s">
        <v>9</v>
      </c>
      <c r="E70" s="13" t="s">
        <v>11</v>
      </c>
      <c r="G70" s="13" t="s">
        <v>141</v>
      </c>
      <c r="I70" s="13" t="s">
        <v>173</v>
      </c>
      <c r="K70" s="13" t="s">
        <v>9</v>
      </c>
      <c r="M70" s="13" t="s">
        <v>11</v>
      </c>
      <c r="O70" s="13" t="s">
        <v>141</v>
      </c>
      <c r="Q70" s="13" t="s">
        <v>173</v>
      </c>
    </row>
    <row r="71" spans="1:17" ht="21" x14ac:dyDescent="0.55000000000000004">
      <c r="A71" s="14" t="s">
        <v>245</v>
      </c>
      <c r="C71" s="46"/>
      <c r="E71" s="5">
        <f>E62</f>
        <v>208114178933</v>
      </c>
      <c r="G71" s="5">
        <f>G62</f>
        <v>178369409048</v>
      </c>
      <c r="I71" s="5">
        <f>I62</f>
        <v>27828384062</v>
      </c>
      <c r="K71" s="46"/>
      <c r="M71" s="5">
        <f>M62</f>
        <v>208114178933</v>
      </c>
      <c r="O71" s="5">
        <f>O62</f>
        <v>218619738546</v>
      </c>
      <c r="Q71" s="5">
        <f>Q62</f>
        <v>-10680450112</v>
      </c>
    </row>
    <row r="72" spans="1:17" ht="21" x14ac:dyDescent="0.55000000000000004">
      <c r="A72" s="14" t="s">
        <v>43</v>
      </c>
      <c r="C72" s="5">
        <v>888004</v>
      </c>
      <c r="E72" s="5">
        <v>8906648596</v>
      </c>
      <c r="G72" s="5">
        <v>8317333322</v>
      </c>
      <c r="I72" s="5">
        <v>589315274</v>
      </c>
      <c r="K72" s="5">
        <v>888004</v>
      </c>
      <c r="M72" s="5">
        <v>8906648596</v>
      </c>
      <c r="O72" s="5">
        <v>8331647841</v>
      </c>
      <c r="Q72" s="5">
        <v>575000755</v>
      </c>
    </row>
    <row r="73" spans="1:17" ht="21" x14ac:dyDescent="0.55000000000000004">
      <c r="A73" s="14" t="s">
        <v>44</v>
      </c>
      <c r="C73" s="5">
        <v>3279048</v>
      </c>
      <c r="E73" s="5">
        <v>25554775289</v>
      </c>
      <c r="G73" s="5">
        <v>21838902351</v>
      </c>
      <c r="I73" s="5">
        <v>3715872938</v>
      </c>
      <c r="K73" s="5">
        <v>3279048</v>
      </c>
      <c r="M73" s="5">
        <v>25554775289</v>
      </c>
      <c r="O73" s="5">
        <v>26200316234</v>
      </c>
      <c r="Q73" s="5">
        <v>-645540945</v>
      </c>
    </row>
    <row r="74" spans="1:17" ht="21" x14ac:dyDescent="0.55000000000000004">
      <c r="A74" s="14" t="s">
        <v>45</v>
      </c>
      <c r="C74" s="5">
        <v>1200000</v>
      </c>
      <c r="E74" s="5">
        <v>8409663000</v>
      </c>
      <c r="G74" s="5">
        <v>8660029020</v>
      </c>
      <c r="I74" s="5">
        <v>-250366020</v>
      </c>
      <c r="K74" s="5">
        <v>1200000</v>
      </c>
      <c r="M74" s="5">
        <v>8409663000</v>
      </c>
      <c r="O74" s="5">
        <v>8660029020</v>
      </c>
      <c r="Q74" s="5">
        <v>-250366020</v>
      </c>
    </row>
    <row r="75" spans="1:17" ht="21" x14ac:dyDescent="0.55000000000000004">
      <c r="A75" s="14" t="s">
        <v>46</v>
      </c>
      <c r="C75" s="5">
        <v>1183146</v>
      </c>
      <c r="E75" s="5">
        <v>10784894600</v>
      </c>
      <c r="G75" s="5">
        <v>11365470572</v>
      </c>
      <c r="I75" s="5">
        <v>-580575972</v>
      </c>
      <c r="K75" s="5">
        <v>1183146</v>
      </c>
      <c r="M75" s="5">
        <v>10784894600</v>
      </c>
      <c r="O75" s="5">
        <v>11365470572</v>
      </c>
      <c r="Q75" s="5">
        <v>-580575972</v>
      </c>
    </row>
    <row r="76" spans="1:17" ht="21" x14ac:dyDescent="0.55000000000000004">
      <c r="A76" s="14" t="s">
        <v>47</v>
      </c>
      <c r="C76" s="5">
        <v>7800000</v>
      </c>
      <c r="E76" s="5">
        <v>28688283000</v>
      </c>
      <c r="G76" s="5">
        <v>23601927960</v>
      </c>
      <c r="I76" s="5">
        <v>5086355040</v>
      </c>
      <c r="K76" s="5">
        <v>7800000</v>
      </c>
      <c r="M76" s="5">
        <v>28688283000</v>
      </c>
      <c r="O76" s="5">
        <v>25845245830</v>
      </c>
      <c r="Q76" s="5">
        <v>2843037170</v>
      </c>
    </row>
    <row r="77" spans="1:17" ht="21" x14ac:dyDescent="0.55000000000000004">
      <c r="A77" s="14" t="s">
        <v>48</v>
      </c>
      <c r="C77" s="5">
        <v>11399204</v>
      </c>
      <c r="E77" s="5">
        <v>84645399159</v>
      </c>
      <c r="G77" s="5">
        <v>72860765274</v>
      </c>
      <c r="I77" s="5">
        <v>11784633885</v>
      </c>
      <c r="K77" s="5">
        <v>11399204</v>
      </c>
      <c r="M77" s="5">
        <v>84645399159</v>
      </c>
      <c r="O77" s="5">
        <v>84845691328</v>
      </c>
      <c r="Q77" s="5">
        <v>-200292169</v>
      </c>
    </row>
    <row r="78" spans="1:17" ht="21" x14ac:dyDescent="0.55000000000000004">
      <c r="A78" s="14" t="s">
        <v>49</v>
      </c>
      <c r="C78" s="5">
        <v>1092665</v>
      </c>
      <c r="E78" s="5">
        <v>19540083942</v>
      </c>
      <c r="G78" s="5">
        <v>17813083749</v>
      </c>
      <c r="I78" s="5">
        <v>1727000193</v>
      </c>
      <c r="K78" s="5">
        <v>1092665</v>
      </c>
      <c r="M78" s="5">
        <v>19540083942</v>
      </c>
      <c r="O78" s="5">
        <v>20222828436</v>
      </c>
      <c r="Q78" s="5">
        <v>-682744494</v>
      </c>
    </row>
    <row r="79" spans="1:17" ht="21" x14ac:dyDescent="0.55000000000000004">
      <c r="A79" s="14" t="s">
        <v>50</v>
      </c>
      <c r="C79" s="5">
        <v>3800000</v>
      </c>
      <c r="E79" s="5">
        <v>22475470500</v>
      </c>
      <c r="G79" s="5">
        <v>22878313850</v>
      </c>
      <c r="I79" s="5">
        <v>-402843350</v>
      </c>
      <c r="K79" s="5">
        <v>3800000</v>
      </c>
      <c r="M79" s="5">
        <v>22475470500</v>
      </c>
      <c r="O79" s="5">
        <v>22878313850</v>
      </c>
      <c r="Q79" s="5">
        <v>-402843350</v>
      </c>
    </row>
    <row r="80" spans="1:17" ht="21" x14ac:dyDescent="0.55000000000000004">
      <c r="A80" s="14" t="s">
        <v>51</v>
      </c>
      <c r="C80" s="5">
        <v>4500000</v>
      </c>
      <c r="E80" s="5">
        <v>11268053775</v>
      </c>
      <c r="G80" s="5">
        <v>10516551975</v>
      </c>
      <c r="I80" s="5">
        <v>751501800</v>
      </c>
      <c r="K80" s="5">
        <v>4500000</v>
      </c>
      <c r="M80" s="5">
        <v>11268053775</v>
      </c>
      <c r="O80" s="5">
        <v>15911261324</v>
      </c>
      <c r="Q80" s="5">
        <v>-4643207549</v>
      </c>
    </row>
    <row r="81" spans="1:21" ht="21" x14ac:dyDescent="0.55000000000000004">
      <c r="A81" s="14" t="s">
        <v>52</v>
      </c>
      <c r="C81" s="5">
        <v>10449752</v>
      </c>
      <c r="E81" s="5">
        <v>48499592230</v>
      </c>
      <c r="G81" s="5">
        <v>32680950479</v>
      </c>
      <c r="I81" s="5">
        <v>15818641751</v>
      </c>
      <c r="K81" s="5">
        <v>10449752</v>
      </c>
      <c r="M81" s="5">
        <v>48499592230</v>
      </c>
      <c r="O81" s="5">
        <v>49302657848</v>
      </c>
      <c r="Q81" s="5">
        <v>-803065618</v>
      </c>
    </row>
    <row r="82" spans="1:21" ht="21" x14ac:dyDescent="0.55000000000000004">
      <c r="A82" s="14" t="s">
        <v>54</v>
      </c>
      <c r="C82" s="5">
        <v>1341844</v>
      </c>
      <c r="E82" s="5">
        <v>11684613847</v>
      </c>
      <c r="G82" s="5">
        <v>10764250428</v>
      </c>
      <c r="I82" s="5">
        <v>920363419</v>
      </c>
      <c r="K82" s="5">
        <v>1341844</v>
      </c>
      <c r="M82" s="5">
        <v>11684613847</v>
      </c>
      <c r="O82" s="5">
        <v>12076246244</v>
      </c>
      <c r="Q82" s="5">
        <v>-391632397</v>
      </c>
    </row>
    <row r="83" spans="1:21" ht="21" x14ac:dyDescent="0.55000000000000004">
      <c r="A83" s="14" t="s">
        <v>55</v>
      </c>
      <c r="C83" s="5">
        <v>0</v>
      </c>
      <c r="E83" s="5">
        <v>0</v>
      </c>
      <c r="G83" s="5">
        <v>-1442582951</v>
      </c>
      <c r="I83" s="5">
        <v>1442582951</v>
      </c>
      <c r="K83" s="5">
        <v>0</v>
      </c>
      <c r="L83" s="5"/>
      <c r="M83" s="5">
        <v>0</v>
      </c>
      <c r="N83" s="5"/>
      <c r="O83" s="5">
        <v>0</v>
      </c>
      <c r="P83" s="5"/>
      <c r="Q83" s="5">
        <v>0</v>
      </c>
    </row>
    <row r="84" spans="1:21" ht="21" x14ac:dyDescent="0.55000000000000004">
      <c r="A84" s="14" t="s">
        <v>56</v>
      </c>
      <c r="C84" s="5">
        <v>1250000</v>
      </c>
      <c r="E84" s="5">
        <v>9915648750</v>
      </c>
      <c r="G84" s="5">
        <v>9008578125</v>
      </c>
      <c r="I84" s="5">
        <v>907070625</v>
      </c>
      <c r="K84" s="5">
        <v>1250000</v>
      </c>
      <c r="M84" s="5">
        <v>9915648750</v>
      </c>
      <c r="O84" s="5">
        <v>14948026875</v>
      </c>
      <c r="Q84" s="5">
        <v>-5032378125</v>
      </c>
    </row>
    <row r="85" spans="1:21" ht="21" x14ac:dyDescent="0.55000000000000004">
      <c r="A85" s="14" t="s">
        <v>58</v>
      </c>
      <c r="C85" s="5">
        <v>12320000</v>
      </c>
      <c r="E85" s="5">
        <v>79725990960</v>
      </c>
      <c r="G85" s="5">
        <v>70048630254</v>
      </c>
      <c r="I85" s="5">
        <v>9677360706</v>
      </c>
      <c r="K85" s="5">
        <v>12320000</v>
      </c>
      <c r="M85" s="5">
        <v>79725990960</v>
      </c>
      <c r="O85" s="5">
        <v>79376336062</v>
      </c>
      <c r="Q85" s="5">
        <v>349654898</v>
      </c>
    </row>
    <row r="86" spans="1:21" ht="21" x14ac:dyDescent="0.55000000000000004">
      <c r="A86" s="14" t="s">
        <v>59</v>
      </c>
      <c r="C86" s="5">
        <v>910000</v>
      </c>
      <c r="E86" s="5">
        <v>11732473935</v>
      </c>
      <c r="G86" s="5">
        <v>9606698010</v>
      </c>
      <c r="I86" s="5">
        <v>2125775925</v>
      </c>
      <c r="K86" s="5">
        <v>910000</v>
      </c>
      <c r="M86" s="5">
        <v>11732473935</v>
      </c>
      <c r="O86" s="5">
        <v>12676931977</v>
      </c>
      <c r="Q86" s="5">
        <v>-944458042</v>
      </c>
    </row>
    <row r="87" spans="1:21" ht="21" x14ac:dyDescent="0.55000000000000004">
      <c r="A87" s="14" t="s">
        <v>60</v>
      </c>
      <c r="C87" s="5">
        <v>10000000</v>
      </c>
      <c r="E87" s="5">
        <v>36998541000</v>
      </c>
      <c r="G87" s="5">
        <v>29413300334</v>
      </c>
      <c r="I87" s="5">
        <v>7585240666</v>
      </c>
      <c r="K87" s="5">
        <v>10000000</v>
      </c>
      <c r="M87" s="5">
        <v>36998541000</v>
      </c>
      <c r="O87" s="5">
        <v>47906465327</v>
      </c>
      <c r="Q87" s="5">
        <v>-10907924327</v>
      </c>
    </row>
    <row r="88" spans="1:21" ht="21" x14ac:dyDescent="0.55000000000000004">
      <c r="A88" s="14" t="s">
        <v>61</v>
      </c>
      <c r="C88" s="5">
        <v>0</v>
      </c>
      <c r="E88" s="5">
        <v>0</v>
      </c>
      <c r="G88" s="5">
        <v>-9339649062</v>
      </c>
      <c r="I88" s="5">
        <v>9339649062</v>
      </c>
      <c r="K88" s="5">
        <v>0</v>
      </c>
      <c r="L88" s="5"/>
      <c r="M88" s="5">
        <v>0</v>
      </c>
      <c r="N88" s="5"/>
      <c r="O88" s="5">
        <v>0</v>
      </c>
      <c r="P88" s="5"/>
      <c r="Q88" s="5">
        <v>0</v>
      </c>
    </row>
    <row r="89" spans="1:21" ht="21" x14ac:dyDescent="0.55000000000000004">
      <c r="A89" s="14" t="s">
        <v>62</v>
      </c>
      <c r="C89" s="5">
        <v>500000</v>
      </c>
      <c r="E89" s="5">
        <v>6525938250</v>
      </c>
      <c r="G89" s="5">
        <v>5800281750</v>
      </c>
      <c r="I89" s="5">
        <v>725656500</v>
      </c>
      <c r="K89" s="5">
        <v>500000</v>
      </c>
      <c r="M89" s="5">
        <v>6525938250</v>
      </c>
      <c r="O89" s="5">
        <v>7539802036</v>
      </c>
      <c r="Q89" s="5">
        <v>-1013863786</v>
      </c>
    </row>
    <row r="90" spans="1:21" ht="21" x14ac:dyDescent="0.55000000000000004">
      <c r="A90" s="14" t="s">
        <v>63</v>
      </c>
      <c r="C90" s="5">
        <v>650000</v>
      </c>
      <c r="E90" s="5">
        <v>7475753025</v>
      </c>
      <c r="G90" s="5">
        <v>6668087400</v>
      </c>
      <c r="I90" s="5">
        <v>807665625</v>
      </c>
      <c r="K90" s="5">
        <v>650000</v>
      </c>
      <c r="M90" s="5">
        <v>7475753025</v>
      </c>
      <c r="O90" s="5">
        <v>8490181050</v>
      </c>
      <c r="Q90" s="5">
        <v>-1014428025</v>
      </c>
    </row>
    <row r="91" spans="1:21" ht="21" x14ac:dyDescent="0.55000000000000004">
      <c r="A91" s="14" t="s">
        <v>64</v>
      </c>
      <c r="C91" s="5">
        <v>8288661</v>
      </c>
      <c r="E91" s="5">
        <v>18769224418</v>
      </c>
      <c r="G91" s="5">
        <v>16033762387</v>
      </c>
      <c r="I91" s="5">
        <v>2735462031</v>
      </c>
      <c r="K91" s="5">
        <v>8288661</v>
      </c>
      <c r="M91" s="5">
        <v>18769224418</v>
      </c>
      <c r="O91" s="5">
        <v>25803603176</v>
      </c>
      <c r="Q91" s="5">
        <v>-7034378758</v>
      </c>
    </row>
    <row r="92" spans="1:21" ht="21" x14ac:dyDescent="0.55000000000000004">
      <c r="A92" s="14" t="s">
        <v>65</v>
      </c>
      <c r="C92" s="5">
        <v>607000</v>
      </c>
      <c r="E92" s="5">
        <v>26705968371</v>
      </c>
      <c r="G92" s="5">
        <v>21589235163</v>
      </c>
      <c r="I92" s="5">
        <v>5116733208</v>
      </c>
      <c r="K92" s="5">
        <v>607000</v>
      </c>
      <c r="M92" s="5">
        <v>26705968371</v>
      </c>
      <c r="O92" s="5">
        <v>21314456002</v>
      </c>
      <c r="Q92" s="5">
        <v>5391512369</v>
      </c>
    </row>
    <row r="93" spans="1:21" ht="21" x14ac:dyDescent="0.55000000000000004">
      <c r="A93" s="14" t="s">
        <v>244</v>
      </c>
      <c r="C93" s="5"/>
      <c r="E93" s="45">
        <f>SUM(E71:E92)</f>
        <v>686421195580</v>
      </c>
      <c r="G93" s="45">
        <f>SUM(G71:G92)</f>
        <v>577053329438</v>
      </c>
      <c r="H93" s="5"/>
      <c r="I93" s="45">
        <f>SUM(I71:I92)</f>
        <v>107451480319</v>
      </c>
      <c r="K93" s="7"/>
      <c r="L93" s="6"/>
      <c r="M93" s="45">
        <f>SUM(M71:M92)</f>
        <v>686421195580</v>
      </c>
      <c r="O93" s="45">
        <f>SUM(O71:O92)</f>
        <v>722315249578</v>
      </c>
      <c r="Q93" s="45">
        <f>SUM(Q71:Q92)</f>
        <v>-36068944497</v>
      </c>
      <c r="S93" s="5"/>
      <c r="U93" s="7"/>
    </row>
    <row r="94" spans="1:21" ht="19.5" customHeight="1" x14ac:dyDescent="0.55000000000000004">
      <c r="A94" s="36" t="s">
        <v>0</v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</row>
    <row r="95" spans="1:21" ht="19.899999999999999" customHeight="1" x14ac:dyDescent="0.55000000000000004">
      <c r="A95" s="36" t="s">
        <v>83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</row>
    <row r="96" spans="1:21" ht="19.899999999999999" customHeight="1" x14ac:dyDescent="0.55000000000000004">
      <c r="A96" s="36" t="s">
        <v>2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</row>
    <row r="98" spans="1:17" ht="21" x14ac:dyDescent="0.55000000000000004">
      <c r="A98" s="37" t="s">
        <v>172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</row>
    <row r="100" spans="1:17" ht="21" x14ac:dyDescent="0.55000000000000004">
      <c r="C100" s="30" t="s">
        <v>96</v>
      </c>
      <c r="D100" s="31"/>
      <c r="E100" s="31"/>
      <c r="F100" s="31"/>
      <c r="G100" s="31"/>
      <c r="H100" s="31"/>
      <c r="I100" s="31"/>
      <c r="K100" s="30" t="s">
        <v>7</v>
      </c>
      <c r="L100" s="31"/>
      <c r="M100" s="31"/>
      <c r="N100" s="31"/>
      <c r="O100" s="31"/>
      <c r="P100" s="31"/>
      <c r="Q100" s="31"/>
    </row>
    <row r="101" spans="1:17" ht="42" x14ac:dyDescent="0.55000000000000004">
      <c r="A101" s="25" t="s">
        <v>85</v>
      </c>
      <c r="C101" s="13" t="s">
        <v>9</v>
      </c>
      <c r="E101" s="13" t="s">
        <v>11</v>
      </c>
      <c r="G101" s="13" t="s">
        <v>141</v>
      </c>
      <c r="I101" s="13" t="s">
        <v>173</v>
      </c>
      <c r="K101" s="13" t="s">
        <v>9</v>
      </c>
      <c r="M101" s="13" t="s">
        <v>11</v>
      </c>
      <c r="O101" s="13" t="s">
        <v>141</v>
      </c>
      <c r="Q101" s="13" t="s">
        <v>173</v>
      </c>
    </row>
    <row r="102" spans="1:17" ht="21" x14ac:dyDescent="0.55000000000000004">
      <c r="A102" s="14" t="s">
        <v>245</v>
      </c>
      <c r="C102" s="46"/>
      <c r="E102" s="5">
        <f>E93</f>
        <v>686421195580</v>
      </c>
      <c r="G102" s="5">
        <f>G93</f>
        <v>577053329438</v>
      </c>
      <c r="I102" s="5">
        <f>I93</f>
        <v>107451480319</v>
      </c>
      <c r="K102" s="46"/>
      <c r="M102" s="5">
        <f>M93</f>
        <v>686421195580</v>
      </c>
      <c r="O102" s="5">
        <f>O93</f>
        <v>722315249578</v>
      </c>
      <c r="Q102" s="5">
        <f>Q93</f>
        <v>-36068944497</v>
      </c>
    </row>
    <row r="103" spans="1:17" ht="21" x14ac:dyDescent="0.55000000000000004">
      <c r="A103" s="14" t="s">
        <v>66</v>
      </c>
      <c r="C103" s="5">
        <v>200000</v>
      </c>
      <c r="E103" s="5">
        <v>12851078400</v>
      </c>
      <c r="G103" s="5">
        <v>10505120400</v>
      </c>
      <c r="I103" s="5">
        <v>2345958000</v>
      </c>
      <c r="K103" s="5">
        <v>200000</v>
      </c>
      <c r="M103" s="5">
        <v>12851078400</v>
      </c>
      <c r="O103" s="5">
        <v>11554712809</v>
      </c>
      <c r="Q103" s="5">
        <v>1296365591</v>
      </c>
    </row>
    <row r="104" spans="1:17" ht="21" x14ac:dyDescent="0.55000000000000004">
      <c r="A104" s="14" t="s">
        <v>67</v>
      </c>
      <c r="C104" s="5">
        <v>285000</v>
      </c>
      <c r="E104" s="5">
        <v>13731756997</v>
      </c>
      <c r="G104" s="5">
        <v>13394624940</v>
      </c>
      <c r="I104" s="5">
        <v>337132057</v>
      </c>
      <c r="K104" s="5">
        <v>285000</v>
      </c>
      <c r="M104" s="5">
        <v>13731756997</v>
      </c>
      <c r="O104" s="5">
        <v>12204019862</v>
      </c>
      <c r="Q104" s="5">
        <v>1527737135</v>
      </c>
    </row>
    <row r="105" spans="1:17" ht="21" x14ac:dyDescent="0.55000000000000004">
      <c r="A105" s="14" t="s">
        <v>68</v>
      </c>
      <c r="C105" s="5">
        <v>113500</v>
      </c>
      <c r="E105" s="5">
        <v>23659334347</v>
      </c>
      <c r="G105" s="5">
        <v>19482564879</v>
      </c>
      <c r="I105" s="5">
        <v>4176769468</v>
      </c>
      <c r="K105" s="5">
        <v>113500</v>
      </c>
      <c r="M105" s="5">
        <v>23659334347</v>
      </c>
      <c r="O105" s="5">
        <v>19620600844</v>
      </c>
      <c r="Q105" s="5">
        <v>4038733503</v>
      </c>
    </row>
    <row r="106" spans="1:17" ht="21" x14ac:dyDescent="0.55000000000000004">
      <c r="A106" s="14" t="s">
        <v>69</v>
      </c>
      <c r="C106" s="5">
        <v>3000000</v>
      </c>
      <c r="E106" s="5">
        <v>8001108450</v>
      </c>
      <c r="G106" s="5">
        <v>6769480500</v>
      </c>
      <c r="I106" s="5">
        <v>1231627950</v>
      </c>
      <c r="K106" s="5">
        <v>3000000</v>
      </c>
      <c r="M106" s="5">
        <v>8001108450</v>
      </c>
      <c r="O106" s="5">
        <v>6520206627</v>
      </c>
      <c r="Q106" s="5">
        <v>1480901823</v>
      </c>
    </row>
    <row r="107" spans="1:17" ht="21" x14ac:dyDescent="0.55000000000000004">
      <c r="A107" s="14" t="s">
        <v>70</v>
      </c>
      <c r="C107" s="5">
        <v>128000</v>
      </c>
      <c r="E107" s="5">
        <v>29268649152</v>
      </c>
      <c r="G107" s="5">
        <v>25358613120</v>
      </c>
      <c r="I107" s="5">
        <v>3910036032</v>
      </c>
      <c r="K107" s="5">
        <v>128000</v>
      </c>
      <c r="M107" s="5">
        <v>29268649152</v>
      </c>
      <c r="O107" s="5">
        <v>22163656896</v>
      </c>
      <c r="Q107" s="5">
        <v>7104992256</v>
      </c>
    </row>
    <row r="108" spans="1:17" ht="21" x14ac:dyDescent="0.55000000000000004">
      <c r="A108" s="14" t="s">
        <v>71</v>
      </c>
      <c r="C108" s="5">
        <v>1218099</v>
      </c>
      <c r="E108" s="5">
        <v>18235420743</v>
      </c>
      <c r="G108" s="5">
        <v>15111424361</v>
      </c>
      <c r="I108" s="5">
        <v>3123996382</v>
      </c>
      <c r="K108" s="5">
        <v>1218099</v>
      </c>
      <c r="M108" s="5">
        <v>18235420743</v>
      </c>
      <c r="O108" s="5">
        <v>22188958072</v>
      </c>
      <c r="Q108" s="5">
        <v>-3953537329</v>
      </c>
    </row>
    <row r="109" spans="1:17" ht="21" x14ac:dyDescent="0.55000000000000004">
      <c r="A109" s="14" t="s">
        <v>72</v>
      </c>
      <c r="C109" s="5">
        <v>7147863</v>
      </c>
      <c r="E109" s="5">
        <v>21919952969</v>
      </c>
      <c r="G109" s="5">
        <v>21422685318</v>
      </c>
      <c r="I109" s="5">
        <v>497267651</v>
      </c>
      <c r="K109" s="5">
        <v>7147863</v>
      </c>
      <c r="M109" s="5">
        <v>21919952969</v>
      </c>
      <c r="O109" s="5">
        <v>28688525520</v>
      </c>
      <c r="Q109" s="5">
        <v>-6768572551</v>
      </c>
    </row>
    <row r="110" spans="1:17" ht="21" x14ac:dyDescent="0.55000000000000004">
      <c r="A110" s="14" t="s">
        <v>73</v>
      </c>
      <c r="C110" s="5">
        <v>6286264</v>
      </c>
      <c r="E110" s="5">
        <v>19371468261</v>
      </c>
      <c r="G110" s="5">
        <v>17803004217</v>
      </c>
      <c r="I110" s="5">
        <v>1568464044</v>
      </c>
      <c r="K110" s="5">
        <v>6286264</v>
      </c>
      <c r="M110" s="5">
        <v>19371468261</v>
      </c>
      <c r="O110" s="5">
        <v>28036004200</v>
      </c>
      <c r="Q110" s="5">
        <v>-8664535939</v>
      </c>
    </row>
    <row r="111" spans="1:17" ht="21" x14ac:dyDescent="0.55000000000000004">
      <c r="A111" s="8" t="s">
        <v>74</v>
      </c>
      <c r="C111" s="11"/>
      <c r="E111" s="8">
        <f>SUM(E102:E110)</f>
        <v>833459964899</v>
      </c>
      <c r="G111" s="8">
        <f>SUM(G102:G110)</f>
        <v>706900847173</v>
      </c>
      <c r="I111" s="8">
        <f>SUM(I102:I110)</f>
        <v>124642731903</v>
      </c>
      <c r="K111" s="11"/>
      <c r="M111" s="8">
        <f>SUM(M102:M110)</f>
        <v>833459964899</v>
      </c>
      <c r="O111" s="8">
        <f>SUM(O102:O110)</f>
        <v>873291934408</v>
      </c>
      <c r="Q111" s="8">
        <f>SUM(Q102:Q110)</f>
        <v>-40006860008</v>
      </c>
    </row>
    <row r="112" spans="1:17" ht="21" x14ac:dyDescent="0.55000000000000004">
      <c r="C112" s="11"/>
      <c r="E112" s="10"/>
      <c r="G112" s="10"/>
      <c r="I112" s="10"/>
      <c r="K112" s="11"/>
      <c r="M112" s="10"/>
      <c r="O112" s="10"/>
      <c r="Q112" s="10"/>
    </row>
    <row r="114" spans="1:17" ht="21" x14ac:dyDescent="0.55000000000000004">
      <c r="A114" s="41" t="s">
        <v>171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3"/>
    </row>
  </sheetData>
  <mergeCells count="25">
    <mergeCell ref="A96:Q96"/>
    <mergeCell ref="A98:Q98"/>
    <mergeCell ref="C100:I100"/>
    <mergeCell ref="K100:Q100"/>
    <mergeCell ref="A67:Q67"/>
    <mergeCell ref="C69:I69"/>
    <mergeCell ref="K69:Q69"/>
    <mergeCell ref="A94:Q94"/>
    <mergeCell ref="A95:Q95"/>
    <mergeCell ref="A114:Q114"/>
    <mergeCell ref="A1:Q1"/>
    <mergeCell ref="A2:Q2"/>
    <mergeCell ref="A3:Q3"/>
    <mergeCell ref="A5:Q5"/>
    <mergeCell ref="C7:I7"/>
    <mergeCell ref="K7:Q7"/>
    <mergeCell ref="A32:Q32"/>
    <mergeCell ref="A33:Q33"/>
    <mergeCell ref="A34:Q34"/>
    <mergeCell ref="A36:Q36"/>
    <mergeCell ref="C38:I38"/>
    <mergeCell ref="K38:Q38"/>
    <mergeCell ref="A63:Q63"/>
    <mergeCell ref="A64:Q64"/>
    <mergeCell ref="A65:Q65"/>
  </mergeCells>
  <pageMargins left="0.7" right="0.7" top="0.75" bottom="0.75" header="0.3" footer="0.3"/>
  <pageSetup paperSize="9" scale="74" fitToHeight="0" orientation="landscape" r:id="rId1"/>
  <rowBreaks count="3" manualBreakCount="3">
    <brk id="31" max="16" man="1"/>
    <brk id="62" max="16" man="1"/>
    <brk id="93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'0'!Print_Area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Arash Ranjbar</cp:lastModifiedBy>
  <dcterms:created xsi:type="dcterms:W3CDTF">2024-11-29T22:08:51Z</dcterms:created>
  <dcterms:modified xsi:type="dcterms:W3CDTF">2024-11-30T11:53:02Z</dcterms:modified>
</cp:coreProperties>
</file>