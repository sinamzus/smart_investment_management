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ahmadi\Desktop\پرتفوی اسفند 1403\"/>
    </mc:Choice>
  </mc:AlternateContent>
  <xr:revisionPtr revIDLastSave="0" documentId="13_ncr:1_{D20F04DB-666A-4B45-AD36-A27938BBBF76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0" sheetId="24" r:id="rId1"/>
    <sheet name="1" sheetId="25" r:id="rId2"/>
    <sheet name="2" sheetId="27" r:id="rId3"/>
    <sheet name="3" sheetId="28" r:id="rId4"/>
    <sheet name="4" sheetId="33" r:id="rId5"/>
    <sheet name="5" sheetId="35" r:id="rId6"/>
    <sheet name="6" sheetId="36" r:id="rId7"/>
    <sheet name="7" sheetId="29" r:id="rId8"/>
    <sheet name="8" sheetId="30" r:id="rId9"/>
    <sheet name="9" sheetId="31" r:id="rId10"/>
    <sheet name="10" sheetId="32" r:id="rId11"/>
  </sheets>
  <definedNames>
    <definedName name="_xlnm.Print_Area" localSheetId="0">'0'!$A$1:$J$29</definedName>
    <definedName name="_xlnm.Print_Area" localSheetId="1">'1'!$A$1:$W$66</definedName>
    <definedName name="_xlnm.Print_Area" localSheetId="2">'2'!$A$1:$S$13</definedName>
    <definedName name="_xlnm.Print_Area" localSheetId="3">'3'!$A$1:$I$12</definedName>
    <definedName name="_xlnm.Print_Area" localSheetId="4">'4'!$A$1:$U$118</definedName>
    <definedName name="_xlnm.Print_Titles" localSheetId="1">'1'!$1:$10</definedName>
    <definedName name="_xlnm.Print_Titles" localSheetId="4">'4'!$1:$8</definedName>
  </definedNames>
  <calcPr calcId="181029"/>
</workbook>
</file>

<file path=xl/calcChain.xml><?xml version="1.0" encoding="utf-8"?>
<calcChain xmlns="http://schemas.openxmlformats.org/spreadsheetml/2006/main">
  <c r="C117" i="33" l="1"/>
  <c r="E117" i="33"/>
  <c r="G117" i="33"/>
  <c r="I117" i="33"/>
  <c r="K117" i="33"/>
  <c r="M117" i="33"/>
  <c r="O117" i="33"/>
  <c r="Q117" i="33"/>
  <c r="S117" i="33"/>
  <c r="U117" i="33"/>
  <c r="U65" i="25"/>
  <c r="S65" i="25"/>
  <c r="M65" i="25"/>
  <c r="J65" i="25"/>
  <c r="G65" i="25"/>
  <c r="E65" i="25"/>
  <c r="W65" i="25"/>
  <c r="Q135" i="32" l="1"/>
  <c r="O135" i="32"/>
  <c r="M135" i="32"/>
  <c r="I135" i="32"/>
  <c r="G135" i="32"/>
  <c r="E135" i="32"/>
  <c r="Q123" i="32"/>
  <c r="O123" i="32"/>
  <c r="G123" i="32"/>
  <c r="Q38" i="32"/>
  <c r="Q47" i="32" s="1"/>
  <c r="Q76" i="32" s="1"/>
  <c r="Q85" i="32" s="1"/>
  <c r="Q114" i="32" s="1"/>
  <c r="O38" i="32"/>
  <c r="O47" i="32" s="1"/>
  <c r="O76" i="32" s="1"/>
  <c r="O85" i="32" s="1"/>
  <c r="O114" i="32" s="1"/>
  <c r="M38" i="32"/>
  <c r="M47" i="32" s="1"/>
  <c r="I38" i="32"/>
  <c r="I47" i="32" s="1"/>
  <c r="I76" i="32" s="1"/>
  <c r="I85" i="32" s="1"/>
  <c r="I114" i="32" s="1"/>
  <c r="I123" i="32" s="1"/>
  <c r="G38" i="32"/>
  <c r="G47" i="32" s="1"/>
  <c r="G76" i="32" s="1"/>
  <c r="G85" i="32" s="1"/>
  <c r="G114" i="32" s="1"/>
  <c r="E38" i="32"/>
  <c r="E47" i="32" s="1"/>
  <c r="Q119" i="31"/>
  <c r="O119" i="31"/>
  <c r="M119" i="31"/>
  <c r="I119" i="31"/>
  <c r="G119" i="31"/>
  <c r="E119" i="31"/>
  <c r="Q99" i="31"/>
  <c r="Q108" i="31" s="1"/>
  <c r="O99" i="31"/>
  <c r="O108" i="31" s="1"/>
  <c r="Q33" i="31"/>
  <c r="Q42" i="31" s="1"/>
  <c r="Q66" i="31" s="1"/>
  <c r="Q75" i="31" s="1"/>
  <c r="O33" i="31"/>
  <c r="O42" i="31" s="1"/>
  <c r="O66" i="31" s="1"/>
  <c r="O75" i="31" s="1"/>
  <c r="M33" i="31"/>
  <c r="M42" i="31" s="1"/>
  <c r="M66" i="31" s="1"/>
  <c r="M75" i="31" s="1"/>
  <c r="M99" i="31" s="1"/>
  <c r="M108" i="31" s="1"/>
  <c r="I33" i="31"/>
  <c r="I42" i="31" s="1"/>
  <c r="G33" i="31"/>
  <c r="E33" i="31"/>
  <c r="E42" i="31" s="1"/>
  <c r="E66" i="31" s="1"/>
  <c r="E75" i="31" s="1"/>
  <c r="E99" i="31" s="1"/>
  <c r="E108" i="31" s="1"/>
  <c r="E10" i="28"/>
  <c r="E9" i="28"/>
  <c r="K10" i="35"/>
  <c r="K9" i="35"/>
  <c r="G10" i="35"/>
  <c r="G9" i="35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9" i="33"/>
  <c r="S10" i="33"/>
  <c r="S11" i="33"/>
  <c r="S12" i="33"/>
  <c r="S13" i="33"/>
  <c r="S14" i="33"/>
  <c r="S15" i="33"/>
  <c r="S16" i="33"/>
  <c r="S17" i="33"/>
  <c r="S18" i="33"/>
  <c r="S19" i="33"/>
  <c r="S20" i="33"/>
  <c r="S21" i="33"/>
  <c r="S22" i="33"/>
  <c r="S23" i="33"/>
  <c r="S24" i="33"/>
  <c r="S25" i="33"/>
  <c r="S26" i="33"/>
  <c r="S27" i="33"/>
  <c r="S28" i="33"/>
  <c r="S29" i="33"/>
  <c r="S30" i="33"/>
  <c r="S31" i="33"/>
  <c r="S32" i="33"/>
  <c r="S33" i="33"/>
  <c r="S34" i="33"/>
  <c r="S35" i="33"/>
  <c r="S36" i="33"/>
  <c r="S37" i="33"/>
  <c r="S38" i="33"/>
  <c r="S39" i="33"/>
  <c r="S40" i="33"/>
  <c r="S41" i="33"/>
  <c r="S42" i="33"/>
  <c r="S43" i="33"/>
  <c r="S44" i="33"/>
  <c r="S45" i="33"/>
  <c r="S46" i="33"/>
  <c r="S47" i="33"/>
  <c r="S48" i="33"/>
  <c r="S49" i="33"/>
  <c r="S50" i="33"/>
  <c r="S51" i="33"/>
  <c r="S52" i="33"/>
  <c r="S53" i="33"/>
  <c r="S54" i="33"/>
  <c r="S55" i="33"/>
  <c r="S56" i="33"/>
  <c r="S57" i="33"/>
  <c r="S58" i="33"/>
  <c r="S59" i="33"/>
  <c r="S60" i="33"/>
  <c r="S61" i="33"/>
  <c r="S62" i="33"/>
  <c r="S63" i="33"/>
  <c r="S64" i="33"/>
  <c r="S65" i="33"/>
  <c r="S66" i="33"/>
  <c r="S67" i="33"/>
  <c r="S68" i="33"/>
  <c r="S69" i="33"/>
  <c r="S70" i="33"/>
  <c r="S71" i="33"/>
  <c r="S72" i="33"/>
  <c r="S73" i="33"/>
  <c r="S74" i="33"/>
  <c r="S75" i="33"/>
  <c r="S76" i="33"/>
  <c r="S77" i="33"/>
  <c r="S78" i="33"/>
  <c r="S79" i="33"/>
  <c r="S80" i="33"/>
  <c r="S81" i="33"/>
  <c r="S82" i="33"/>
  <c r="S83" i="33"/>
  <c r="S84" i="33"/>
  <c r="S85" i="33"/>
  <c r="S86" i="33"/>
  <c r="S87" i="33"/>
  <c r="S88" i="33"/>
  <c r="S89" i="33"/>
  <c r="S90" i="33"/>
  <c r="S91" i="33"/>
  <c r="S92" i="33"/>
  <c r="S93" i="33"/>
  <c r="S94" i="33"/>
  <c r="S95" i="33"/>
  <c r="S96" i="33"/>
  <c r="S97" i="33"/>
  <c r="S98" i="33"/>
  <c r="S99" i="33"/>
  <c r="S100" i="33"/>
  <c r="S101" i="33"/>
  <c r="S102" i="33"/>
  <c r="S103" i="33"/>
  <c r="S104" i="33"/>
  <c r="S105" i="33"/>
  <c r="S106" i="33"/>
  <c r="S107" i="33"/>
  <c r="S108" i="33"/>
  <c r="S109" i="33"/>
  <c r="S110" i="33"/>
  <c r="S111" i="33"/>
  <c r="S112" i="33"/>
  <c r="S113" i="33"/>
  <c r="S114" i="33"/>
  <c r="S115" i="33"/>
  <c r="S116" i="33"/>
  <c r="S9" i="33"/>
  <c r="C10" i="36"/>
  <c r="E10" i="36"/>
  <c r="E11" i="35"/>
  <c r="I11" i="35"/>
  <c r="I11" i="30"/>
  <c r="K11" i="30"/>
  <c r="M11" i="30"/>
  <c r="O11" i="30"/>
  <c r="Q11" i="30"/>
  <c r="S11" i="30"/>
  <c r="I14" i="29"/>
  <c r="K14" i="29"/>
  <c r="M14" i="29"/>
  <c r="O14" i="29"/>
  <c r="Q14" i="29"/>
  <c r="S14" i="29"/>
  <c r="K12" i="27"/>
  <c r="M12" i="27"/>
  <c r="O12" i="27"/>
  <c r="Q12" i="27"/>
  <c r="S12" i="27"/>
  <c r="E76" i="32" l="1"/>
  <c r="E85" i="32" s="1"/>
  <c r="E114" i="32" s="1"/>
  <c r="E123" i="32" s="1"/>
  <c r="M76" i="32"/>
  <c r="I66" i="31"/>
  <c r="I75" i="31" s="1"/>
  <c r="I99" i="31" s="1"/>
  <c r="I108" i="31" s="1"/>
  <c r="G42" i="31"/>
  <c r="G66" i="31" s="1"/>
  <c r="G75" i="31" s="1"/>
  <c r="G99" i="31" s="1"/>
  <c r="G108" i="31" s="1"/>
  <c r="I11" i="28"/>
  <c r="E8" i="28"/>
  <c r="E11" i="28" s="1"/>
  <c r="K11" i="35"/>
  <c r="G11" i="35"/>
  <c r="G8" i="28" l="1"/>
  <c r="G10" i="28"/>
  <c r="M85" i="32"/>
  <c r="G9" i="28"/>
  <c r="G11" i="28" l="1"/>
  <c r="M114" i="32"/>
  <c r="M123" i="32" l="1"/>
</calcChain>
</file>

<file path=xl/sharedStrings.xml><?xml version="1.0" encoding="utf-8"?>
<sst xmlns="http://schemas.openxmlformats.org/spreadsheetml/2006/main" count="654" uniqueCount="242">
  <si>
    <t>‫صورت وضعیت پورتفوی</t>
  </si>
  <si>
    <t>‫برای ماه منتهی به 1403/12/30</t>
  </si>
  <si>
    <t>‫1403/11/30</t>
  </si>
  <si>
    <t>‫1403/12/30</t>
  </si>
  <si>
    <t>‫تعداد</t>
  </si>
  <si>
    <t>‫بهای تمام شده</t>
  </si>
  <si>
    <t>‫خالص ارزش فروش</t>
  </si>
  <si>
    <t>‫درصد به کل دارایی ها</t>
  </si>
  <si>
    <t>‫مبلغ فروش</t>
  </si>
  <si>
    <t>‫جمع</t>
  </si>
  <si>
    <t>‫تاریخ سررسید</t>
  </si>
  <si>
    <t>‫23</t>
  </si>
  <si>
    <t>‫-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</si>
  <si>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</si>
  <si>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</si>
  <si>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</si>
  <si>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</si>
  <si>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</si>
  <si>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‫نرخ سود علی الحساب</t>
  </si>
  <si>
    <t>‫مبلغ</t>
  </si>
  <si>
    <t>‫افزایش</t>
  </si>
  <si>
    <t>‫کاهش</t>
  </si>
  <si>
    <t>‫کوتاه مدت</t>
  </si>
  <si>
    <t>‫0</t>
  </si>
  <si>
    <t>‫سپرده بانکی نزد بانک پاسارگاد</t>
  </si>
  <si>
    <t>‫سپرده بانکی نزد بانک گردشگري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</si>
  <si>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</si>
  <si>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</si>
  <si>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</si>
  <si>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</si>
  <si>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</si>
  <si>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</si>
  <si>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‫2-2</t>
  </si>
  <si>
    <t>‫درآمد حاصل از سرمایه گذاری در سپرده بانکی و گواهی سپرده</t>
  </si>
  <si>
    <t>‫سایر درآمدها</t>
  </si>
  <si>
    <t>‫هزینه تنزیل</t>
  </si>
  <si>
    <t>‫تاریخ دریافت سود</t>
  </si>
  <si>
    <t>‫درآمد سود</t>
  </si>
  <si>
    <t>‫خالص درآمد</t>
  </si>
  <si>
    <t>‫1403/12/01</t>
  </si>
  <si>
    <t>‫سود(زیان) حاصل از فروش اوراق بهادار</t>
  </si>
  <si>
    <t>‫ارزش دفتری</t>
  </si>
  <si>
    <t>‫سود و زیان ناشی از فروش</t>
  </si>
  <si>
    <t>‫درآمد ناشی از تغییر قیمت اوراق بهادار</t>
  </si>
  <si>
    <t>‫سود و زیان ناشی از تغییر قیمت</t>
  </si>
  <si>
    <t>‫درآمد تغییر ارزش</t>
  </si>
  <si>
    <t>‫درآمد فروش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</si>
  <si>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</si>
  <si>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</si>
  <si>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</si>
  <si>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</si>
  <si>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‫سپرده بانکی کوتاه مدت - پاسارگاد</t>
  </si>
  <si>
    <t>‫سپرده بانکی کوتاه مدت - گردشگري</t>
  </si>
  <si>
    <t>علی اسماعیلی</t>
  </si>
  <si>
    <t>شرکت سبدگردان سهم آشنا</t>
  </si>
  <si>
    <t>مدیر صندوق</t>
  </si>
  <si>
    <t xml:space="preserve">امضا </t>
  </si>
  <si>
    <t>نماینده</t>
  </si>
  <si>
    <t>شرکت</t>
  </si>
  <si>
    <t>رکن صندوق</t>
  </si>
  <si>
    <t>‫فروش طی اسفند ماه</t>
  </si>
  <si>
    <t>‫خرید طی اسفند ماه</t>
  </si>
  <si>
    <t>‫تغییرات طی اسفند ماه</t>
  </si>
  <si>
    <t>‫1-2- سرمایه گذاری در سپرده بانکی</t>
  </si>
  <si>
    <t>از ابتدای سال مالی تا پایان اسفند ماه</t>
  </si>
  <si>
    <t>طی اسفند ماه</t>
  </si>
  <si>
    <t>‫2-2- درآمد حاصل از سرمایه گذاری در سپرده بانکی و گواهی سپرده:</t>
  </si>
  <si>
    <t>‫2-3- سایر درآمدها:</t>
  </si>
  <si>
    <t>تعدیل کارمزد کارگزاری</t>
  </si>
  <si>
    <t>‫2-1</t>
  </si>
  <si>
    <t>‫2-3</t>
  </si>
  <si>
    <t>صندوق ‫سرمایه گذاری قابل معامله شاخصی بازار آشنا</t>
  </si>
  <si>
    <t>‫سرمایه گذاری قابل معامله شاخصی بازار آشنا</t>
  </si>
  <si>
    <t>‫1- سرمایه گذاری ها</t>
  </si>
  <si>
    <t>‫1-1- سرمایه گذاری در سهام و حق تقدم سهام</t>
  </si>
  <si>
    <t>‫شرکت</t>
  </si>
  <si>
    <t>‫قیمت بازار هر سهم</t>
  </si>
  <si>
    <t>‫آلومينيوم ايران</t>
  </si>
  <si>
    <t>‫اخشان خراسان</t>
  </si>
  <si>
    <t>‫ارتباطات سیار</t>
  </si>
  <si>
    <t>‫اقتصاد نوين</t>
  </si>
  <si>
    <t>‫ايران خودرو</t>
  </si>
  <si>
    <t>‫بانك تجارت</t>
  </si>
  <si>
    <t>‫بانك صادرات</t>
  </si>
  <si>
    <t>‫بانك ملت</t>
  </si>
  <si>
    <t>‫بين المللي توسعه ص. معادن غدير</t>
  </si>
  <si>
    <t>‫توسعه نيشكر و صنايع جانبي</t>
  </si>
  <si>
    <t>‫توسعه‌معادن‌وفلزات‌</t>
  </si>
  <si>
    <t>‫توسعه‌معادن‌وفلزات‌ (تقدم)</t>
  </si>
  <si>
    <t>‫توليد انرژي برق شمس پاسارگاد</t>
  </si>
  <si>
    <t>‫توليدي برنا باطري</t>
  </si>
  <si>
    <t>‫ذوب آهن  اصفهان</t>
  </si>
  <si>
    <t>‫سايپا</t>
  </si>
  <si>
    <t>‫سرمايه گذاري تامين اجتماعي</t>
  </si>
  <si>
    <t>‫سرمايه گذاري دارويي تامين</t>
  </si>
  <si>
    <t>‫سرمايه گذاري صدرتامين</t>
  </si>
  <si>
    <t>‫سرمايه گذاري غدير</t>
  </si>
  <si>
    <t>‫سرمايه گذاري ملي ايران</t>
  </si>
  <si>
    <t>‫سيمان تهران</t>
  </si>
  <si>
    <t>‫صبا فولاد خليج فارس</t>
  </si>
  <si>
    <t>‫صنايع ارتباطي آوا</t>
  </si>
  <si>
    <t>‫صنايع الكترونيك ماديران</t>
  </si>
  <si>
    <t>‫صنايع پتروشيمي خليج فارس</t>
  </si>
  <si>
    <t>‫صندوق بازنشستگي</t>
  </si>
  <si>
    <t>‫فولاد خوزستان</t>
  </si>
  <si>
    <t>‫فولاد مباركه</t>
  </si>
  <si>
    <t>‫كاني كربن طبس</t>
  </si>
  <si>
    <t>‫كشتيراني ايران</t>
  </si>
  <si>
    <t>‫مخابرات</t>
  </si>
  <si>
    <t>‫مديريت نيروگاهي ايرانيان مپنا</t>
  </si>
  <si>
    <t>‫معادن روي</t>
  </si>
  <si>
    <t>‫معدنكاران نسوز</t>
  </si>
  <si>
    <t>‫ملي مس</t>
  </si>
  <si>
    <t>‫نفت اصفهان</t>
  </si>
  <si>
    <t>‫نفت بهران</t>
  </si>
  <si>
    <t>‫نفت تبريز</t>
  </si>
  <si>
    <t>‫نفت تهران</t>
  </si>
  <si>
    <t>‫نفت و گاز پارسیان</t>
  </si>
  <si>
    <t>‫پارس مينو</t>
  </si>
  <si>
    <t>‫پتروشيمي بوعلي سينا</t>
  </si>
  <si>
    <t>‫پتروشيمي جم</t>
  </si>
  <si>
    <t>‫پتروشيمي شيراز</t>
  </si>
  <si>
    <t>‫پتروشيمي نوري</t>
  </si>
  <si>
    <t>‫پتروشيمي پارس</t>
  </si>
  <si>
    <t>‫پتروشيمی پردیس</t>
  </si>
  <si>
    <t>‫پتروشیمی تامین</t>
  </si>
  <si>
    <t>‫پخش هجرت</t>
  </si>
  <si>
    <t>‫پست بانك ايران</t>
  </si>
  <si>
    <t>‫چادرملو</t>
  </si>
  <si>
    <t>‫گل گهر</t>
  </si>
  <si>
    <t>‫گل گهر (تقدم)</t>
  </si>
  <si>
    <t>نقل به صفحه بعد</t>
  </si>
  <si>
    <t>نقل از صفحه قبل</t>
  </si>
  <si>
    <t>‫نام سهام</t>
  </si>
  <si>
    <t>‫1403/12/08</t>
  </si>
  <si>
    <t>‫1403/12/22</t>
  </si>
  <si>
    <t>‫1403/05/03</t>
  </si>
  <si>
    <t>‫132.9967.1270160.1</t>
  </si>
  <si>
    <t>‫1401/09/22</t>
  </si>
  <si>
    <t>‫جاري</t>
  </si>
  <si>
    <t>‫132-711270160-1</t>
  </si>
  <si>
    <t>‫1400/08/09</t>
  </si>
  <si>
    <t>‫415.8100.14938708.1</t>
  </si>
  <si>
    <t>‫درآمد حاصل از سرمایه گذاری در سهام و حق تقدم سهام</t>
  </si>
  <si>
    <t>‫1403/10/19</t>
  </si>
  <si>
    <t>‫1403/12/20</t>
  </si>
  <si>
    <t>‫1403/10/15</t>
  </si>
  <si>
    <t>‫خالص درآمد سود سهام</t>
  </si>
  <si>
    <t>‫جمع درآمد سود سهام</t>
  </si>
  <si>
    <t>‫سود متعلق به هر سهم</t>
  </si>
  <si>
    <t>‫تعداد سهام متعلقه در زمان مجمع</t>
  </si>
  <si>
    <t>‫تاریخ تشکیل مجمع</t>
  </si>
  <si>
    <t>‫اطلاعات مجمع</t>
  </si>
  <si>
    <t>‫درآمد سود سهام</t>
  </si>
  <si>
    <t>‫كوتاه مدت-1.14938708.8100.415-پاسارگاد</t>
  </si>
  <si>
    <t>‫1403/12/03</t>
  </si>
  <si>
    <t>‫كوتاه مدت-1.1270160.9967.132-گردشگري</t>
  </si>
  <si>
    <t>‫نساجي بابكان</t>
  </si>
  <si>
    <t>‫قند چهار محال</t>
  </si>
  <si>
    <t>‫فولاد اميركبير</t>
  </si>
  <si>
    <t>‫فروشگاههاي زنجيره اي افق كوروش</t>
  </si>
  <si>
    <t>‫صنعتی صبانور</t>
  </si>
  <si>
    <t>‫صنايع شيميايي كيمياگران امروز</t>
  </si>
  <si>
    <t>‫سيمان سپاهان</t>
  </si>
  <si>
    <t>‫سرمايه گذاري جامي</t>
  </si>
  <si>
    <t>‫دارويي و نهاده هاي زاگرس دارو</t>
  </si>
  <si>
    <t>‫توسعه معادن وص.معدني خاورميانه</t>
  </si>
  <si>
    <t>‫فولاد اميركبير كاشان</t>
  </si>
  <si>
    <t>‫فرآورده هاي غذايي و قند چهار محال</t>
  </si>
  <si>
    <t>‫توسعه معدني و صنعتي صبانور</t>
  </si>
  <si>
    <t>‫پتروشيمي پرديس</t>
  </si>
  <si>
    <t>‫پالايش نفت تهران</t>
  </si>
  <si>
    <t>‫پالايش نفت تبريز</t>
  </si>
  <si>
    <t>‫پالايش نفت اصفهان</t>
  </si>
  <si>
    <t>‫ملي صنايع مس ايران</t>
  </si>
  <si>
    <t>‫معدني و صنعتي گل گهر</t>
  </si>
  <si>
    <t>‫معدني و صنعتي چادر ملو</t>
  </si>
  <si>
    <t>‫كشتيراني جمهوري اسلامي ايران</t>
  </si>
  <si>
    <t>‫فولاد مباركه اصفهان</t>
  </si>
  <si>
    <t>‫شركت گسترش نفت و گاز پارسيان</t>
  </si>
  <si>
    <t>‫شركت مخابرات ايران</t>
  </si>
  <si>
    <t>‫شركت ارتباطات سيار ايران</t>
  </si>
  <si>
    <t>‫سرمايه گذاري غدير (هلدينگ)</t>
  </si>
  <si>
    <t>‫سرمايه گذاري صندوق بازنشستگي كشوري (هلدينگ)</t>
  </si>
  <si>
    <t>‫سرمايه گذاري توسعه معادن و فلزات (هلدينگ)</t>
  </si>
  <si>
    <t>‫س. نفت و گاز و پتروشيمي تامين</t>
  </si>
  <si>
    <t>‫ذوب آهن اصفهان</t>
  </si>
  <si>
    <t>‫توسعه معادن روي ايران</t>
  </si>
  <si>
    <t>‫بانك صادرات ايران</t>
  </si>
  <si>
    <t>‫بانك اقتصاد نوين</t>
  </si>
  <si>
    <t>‫درصد از کل درآمد ها</t>
  </si>
  <si>
    <t>‫جمع مبلغ</t>
  </si>
  <si>
    <t>‫سهام</t>
  </si>
  <si>
    <t>‫2-1- درآمد حاصل از سرمایه گذاری در سهام و حق تقدم سهام:</t>
  </si>
  <si>
    <t>اختيارخ شستا-1350-1403/10/12</t>
  </si>
  <si>
    <t>اختيارخ ذوب-600-1403/11/24</t>
  </si>
  <si>
    <t>اختيارخ شستا-1450-1403/10/12</t>
  </si>
  <si>
    <t>اختيارخ ذوب-700-1403/11/24</t>
  </si>
  <si>
    <t>اختيارخ شستا-1650-1403/11/10</t>
  </si>
  <si>
    <t>اختيارخ شستا-1550-1403/11/10</t>
  </si>
  <si>
    <t>اختيارخ خودرو-4000-1403/11/03</t>
  </si>
  <si>
    <t>اختيارخ وبصادر-2200-1403/11/17</t>
  </si>
  <si>
    <t>اختيارخ وبصادر-2400-1403/11/17</t>
  </si>
  <si>
    <t>اختيارخ خودرو-3750-1403/12/01</t>
  </si>
  <si>
    <t>اختيارخ خودرو-5000-1403/12/01</t>
  </si>
  <si>
    <t>اختيارخ شپنا-5500-1403/12/08</t>
  </si>
  <si>
    <t>اختيارخ وتجارت-1800-1403/12/15</t>
  </si>
  <si>
    <t>اختيارخ وبملت-3750-1403/11/24</t>
  </si>
  <si>
    <t>اختيارخ وبملت-3000-1403/11/24</t>
  </si>
  <si>
    <t>اختيارخ وتجارت-2200-1403/12/15</t>
  </si>
  <si>
    <t>اختيارخ شستا-1650-1403/12/08</t>
  </si>
  <si>
    <t>اختيارخ ذوب-500-1403/12/22</t>
  </si>
  <si>
    <t>اختيارخ فولاد-6500-1403/12/01</t>
  </si>
  <si>
    <t>اختيارخ فولاد-6000-1403/12/01</t>
  </si>
  <si>
    <t>اختيارخ شپنا-5000-1403/12/08</t>
  </si>
  <si>
    <t>اختيارخ فملي-10000-1404/01/06</t>
  </si>
  <si>
    <t>اختيارخ وبملت-3500-1404/01/27</t>
  </si>
  <si>
    <t>اختيارخ خساپا-3250-1403/12/22</t>
  </si>
  <si>
    <t>اختيارخ وتجارت-2200-1404/02/17</t>
  </si>
  <si>
    <t>اختيارخ خودرو-3750-1404/01/06</t>
  </si>
  <si>
    <t>اختيارخ خودرو-4000-1404/01/06</t>
  </si>
  <si>
    <t>اختيارخ شستا-1500-1404/01/20</t>
  </si>
  <si>
    <t>اختيارخ خودرو-3250-1404/02/03</t>
  </si>
  <si>
    <t>اختيارخ خساپا-3000-1403/12/22</t>
  </si>
  <si>
    <t>اختيارخ خودرو-5000-1404/02/03</t>
  </si>
  <si>
    <t>اختيارخ وبملت-3750-1404/01/27</t>
  </si>
  <si>
    <t>اختيارخ شپنا-5500-1404/02/17</t>
  </si>
  <si>
    <t>اختيارف خودرو-3250-1403/11/03</t>
  </si>
  <si>
    <t>اختيارف خودرو-3250-1403/12/01</t>
  </si>
  <si>
    <t>اختيارف وبملت-3000-1403/11/24</t>
  </si>
  <si>
    <t>اختيارف خودرو-3500-1403/12/01</t>
  </si>
  <si>
    <t>اختيارف خودرو-3250-1404/01/06</t>
  </si>
  <si>
    <t>اختيارف شستا-1300-1404/01/20</t>
  </si>
  <si>
    <t>اختيارف خودرو-3500-1404/01/06</t>
  </si>
  <si>
    <t>اختيارف وبملت-1907-1404/01/27</t>
  </si>
  <si>
    <t>اختيارف وبملت-2054-1404/01/27</t>
  </si>
  <si>
    <t>اختيارف خودرو-3750-1404/01/06</t>
  </si>
  <si>
    <t>اختيارف خودرو-3250-1404/02/03</t>
  </si>
  <si>
    <t>اختيارف شستا-1350-1403/12/08</t>
  </si>
  <si>
    <t>اختيارف خودرو-3000-1404/01/06</t>
  </si>
  <si>
    <t>از ابیتدای سال مالی تا پایان اسفند ماه</t>
  </si>
  <si>
    <t>‫سود سپرده بانکی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</si>
</sst>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B Zar"/>
      <charset val="178"/>
    </font>
    <font>
      <b/>
      <sz val="13"/>
      <color theme="1"/>
      <name val="B Zar"/>
      <charset val="178"/>
    </font>
    <font>
      <b/>
      <sz val="13"/>
      <color rgb="FFFFFFFF"/>
      <name val="B Zar"/>
      <charset val="178"/>
    </font>
    <font>
      <b/>
      <u/>
      <sz val="18"/>
      <name val="B Zar"/>
      <charset val="178"/>
    </font>
    <font>
      <sz val="12"/>
      <name val="B Zar"/>
      <charset val="178"/>
    </font>
    <font>
      <b/>
      <sz val="12"/>
      <name val="B Zar"/>
      <charset val="178"/>
    </font>
    <font>
      <b/>
      <u/>
      <sz val="16"/>
      <name val="B Zar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auto="1"/>
      </top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4"/>
    <xf numFmtId="0" fontId="1" fillId="2" borderId="4"/>
    <xf numFmtId="9" fontId="1" fillId="2" borderId="4" applyFont="0" applyFill="0" applyBorder="0" applyAlignment="0" applyProtection="0"/>
    <xf numFmtId="0" fontId="1" fillId="2" borderId="4"/>
    <xf numFmtId="0" fontId="1" fillId="2" borderId="4"/>
    <xf numFmtId="0" fontId="1" fillId="2" borderId="4"/>
  </cellStyleXfs>
  <cellXfs count="56">
    <xf numFmtId="0" fontId="0" fillId="0" borderId="0" xfId="0"/>
    <xf numFmtId="0" fontId="2" fillId="2" borderId="4" xfId="1" applyFont="1"/>
    <xf numFmtId="37" fontId="6" fillId="2" borderId="3" xfId="1" applyNumberFormat="1" applyFont="1" applyBorder="1" applyAlignment="1">
      <alignment horizontal="center" vertical="center"/>
    </xf>
    <xf numFmtId="37" fontId="6" fillId="2" borderId="4" xfId="1" applyNumberFormat="1" applyFont="1" applyAlignment="1">
      <alignment horizontal="center" vertical="center"/>
    </xf>
    <xf numFmtId="10" fontId="6" fillId="2" borderId="4" xfId="1" applyNumberFormat="1" applyFont="1" applyAlignment="1">
      <alignment horizontal="center" vertical="center"/>
    </xf>
    <xf numFmtId="37" fontId="6" fillId="2" borderId="4" xfId="1" applyNumberFormat="1" applyFont="1" applyAlignment="1">
      <alignment horizontal="right" vertical="center" wrapText="1"/>
    </xf>
    <xf numFmtId="0" fontId="6" fillId="2" borderId="4" xfId="1" applyFont="1" applyAlignment="1">
      <alignment horizontal="center" vertical="center"/>
    </xf>
    <xf numFmtId="37" fontId="6" fillId="2" borderId="4" xfId="1" applyNumberFormat="1" applyFont="1" applyAlignment="1">
      <alignment horizontal="center" vertical="center" wrapText="1"/>
    </xf>
    <xf numFmtId="37" fontId="7" fillId="2" borderId="1" xfId="1" applyNumberFormat="1" applyFont="1" applyBorder="1" applyAlignment="1">
      <alignment horizontal="center" vertical="center"/>
    </xf>
    <xf numFmtId="37" fontId="7" fillId="2" borderId="1" xfId="1" applyNumberFormat="1" applyFont="1" applyBorder="1" applyAlignment="1">
      <alignment horizontal="center" vertical="center" wrapText="1"/>
    </xf>
    <xf numFmtId="0" fontId="2" fillId="2" borderId="4" xfId="4" applyFont="1"/>
    <xf numFmtId="0" fontId="6" fillId="2" borderId="4" xfId="4" applyFont="1" applyAlignment="1">
      <alignment horizontal="center" vertical="center"/>
    </xf>
    <xf numFmtId="37" fontId="6" fillId="2" borderId="1" xfId="4" applyNumberFormat="1" applyFont="1" applyBorder="1" applyAlignment="1">
      <alignment horizontal="center" vertical="center"/>
    </xf>
    <xf numFmtId="37" fontId="6" fillId="2" borderId="4" xfId="4" applyNumberFormat="1" applyFont="1" applyAlignment="1">
      <alignment horizontal="right" vertical="center" wrapText="1"/>
    </xf>
    <xf numFmtId="37" fontId="6" fillId="2" borderId="4" xfId="4" applyNumberFormat="1" applyFont="1" applyAlignment="1">
      <alignment horizontal="center" vertical="center"/>
    </xf>
    <xf numFmtId="10" fontId="6" fillId="2" borderId="4" xfId="4" applyNumberFormat="1" applyFont="1" applyAlignment="1">
      <alignment horizontal="center" vertical="center"/>
    </xf>
    <xf numFmtId="37" fontId="6" fillId="2" borderId="5" xfId="4" applyNumberFormat="1" applyFont="1" applyBorder="1" applyAlignment="1">
      <alignment horizontal="center" vertical="center"/>
    </xf>
    <xf numFmtId="37" fontId="6" fillId="2" borderId="3" xfId="4" applyNumberFormat="1" applyFont="1" applyBorder="1" applyAlignment="1">
      <alignment horizontal="center" vertical="center"/>
    </xf>
    <xf numFmtId="10" fontId="6" fillId="2" borderId="6" xfId="4" applyNumberFormat="1" applyFont="1" applyBorder="1" applyAlignment="1">
      <alignment horizontal="center" vertical="center"/>
    </xf>
    <xf numFmtId="37" fontId="6" fillId="2" borderId="5" xfId="1" applyNumberFormat="1" applyFont="1" applyBorder="1" applyAlignment="1">
      <alignment horizontal="center" vertical="center"/>
    </xf>
    <xf numFmtId="10" fontId="6" fillId="2" borderId="5" xfId="1" applyNumberFormat="1" applyFont="1" applyBorder="1" applyAlignment="1">
      <alignment horizontal="center" vertical="center"/>
    </xf>
    <xf numFmtId="37" fontId="6" fillId="2" borderId="7" xfId="1" applyNumberFormat="1" applyFont="1" applyBorder="1" applyAlignment="1">
      <alignment horizontal="center" vertical="center"/>
    </xf>
    <xf numFmtId="9" fontId="6" fillId="2" borderId="7" xfId="1" applyNumberFormat="1" applyFont="1" applyBorder="1" applyAlignment="1">
      <alignment horizontal="center" vertical="center"/>
    </xf>
    <xf numFmtId="0" fontId="2" fillId="2" borderId="4" xfId="6" applyFont="1"/>
    <xf numFmtId="37" fontId="7" fillId="2" borderId="4" xfId="6" applyNumberFormat="1" applyFont="1" applyAlignment="1">
      <alignment horizontal="right" vertical="center"/>
    </xf>
    <xf numFmtId="37" fontId="7" fillId="2" borderId="1" xfId="6" applyNumberFormat="1" applyFont="1" applyBorder="1" applyAlignment="1">
      <alignment horizontal="center" vertical="center"/>
    </xf>
    <xf numFmtId="37" fontId="7" fillId="2" borderId="1" xfId="6" applyNumberFormat="1" applyFont="1" applyBorder="1" applyAlignment="1">
      <alignment horizontal="center" vertical="center" wrapText="1"/>
    </xf>
    <xf numFmtId="0" fontId="6" fillId="2" borderId="4" xfId="6" applyFont="1" applyAlignment="1">
      <alignment horizontal="center" vertical="center"/>
    </xf>
    <xf numFmtId="37" fontId="6" fillId="2" borderId="4" xfId="6" applyNumberFormat="1" applyFont="1" applyAlignment="1">
      <alignment horizontal="center" vertical="center"/>
    </xf>
    <xf numFmtId="10" fontId="6" fillId="2" borderId="4" xfId="6" applyNumberFormat="1" applyFont="1" applyAlignment="1">
      <alignment horizontal="center" vertical="center"/>
    </xf>
    <xf numFmtId="37" fontId="6" fillId="2" borderId="5" xfId="6" applyNumberFormat="1" applyFont="1" applyBorder="1" applyAlignment="1">
      <alignment horizontal="center" vertical="center"/>
    </xf>
    <xf numFmtId="10" fontId="6" fillId="2" borderId="5" xfId="6" applyNumberFormat="1" applyFont="1" applyBorder="1" applyAlignment="1">
      <alignment horizontal="center" vertical="center"/>
    </xf>
    <xf numFmtId="37" fontId="6" fillId="2" borderId="3" xfId="6" applyNumberFormat="1" applyFont="1" applyBorder="1" applyAlignment="1">
      <alignment horizontal="center" vertical="center"/>
    </xf>
    <xf numFmtId="37" fontId="7" fillId="2" borderId="7" xfId="6" applyNumberFormat="1" applyFont="1" applyBorder="1" applyAlignment="1">
      <alignment horizontal="center" vertical="center"/>
    </xf>
    <xf numFmtId="9" fontId="6" fillId="2" borderId="5" xfId="6" applyNumberFormat="1" applyFont="1" applyBorder="1" applyAlignment="1">
      <alignment horizontal="center" vertical="center"/>
    </xf>
    <xf numFmtId="37" fontId="6" fillId="2" borderId="8" xfId="1" applyNumberFormat="1" applyFont="1" applyBorder="1" applyAlignment="1">
      <alignment horizontal="center" vertical="center"/>
    </xf>
    <xf numFmtId="10" fontId="6" fillId="2" borderId="6" xfId="1" applyNumberFormat="1" applyFont="1" applyBorder="1" applyAlignment="1">
      <alignment horizontal="center" vertical="center"/>
    </xf>
    <xf numFmtId="0" fontId="3" fillId="2" borderId="4" xfId="1" applyFont="1" applyAlignment="1">
      <alignment horizontal="center" vertical="center" wrapText="1" readingOrder="2"/>
    </xf>
    <xf numFmtId="37" fontId="5" fillId="2" borderId="4" xfId="1" applyNumberFormat="1" applyFont="1" applyAlignment="1">
      <alignment horizontal="center" vertical="center"/>
    </xf>
    <xf numFmtId="0" fontId="2" fillId="2" borderId="4" xfId="1" applyFont="1"/>
    <xf numFmtId="0" fontId="4" fillId="3" borderId="4" xfId="1" applyFont="1" applyFill="1" applyAlignment="1">
      <alignment horizontal="center" vertical="center" wrapText="1" readingOrder="2"/>
    </xf>
    <xf numFmtId="0" fontId="6" fillId="2" borderId="4" xfId="4" applyFont="1" applyAlignment="1">
      <alignment horizontal="center" vertical="center"/>
    </xf>
    <xf numFmtId="37" fontId="6" fillId="2" borderId="1" xfId="4" applyNumberFormat="1" applyFont="1" applyBorder="1" applyAlignment="1">
      <alignment horizontal="center" vertical="center"/>
    </xf>
    <xf numFmtId="37" fontId="6" fillId="2" borderId="4" xfId="4" applyNumberFormat="1" applyFont="1" applyAlignment="1">
      <alignment horizontal="center" vertical="center" wrapText="1"/>
    </xf>
    <xf numFmtId="0" fontId="2" fillId="2" borderId="4" xfId="4" applyFont="1"/>
    <xf numFmtId="37" fontId="8" fillId="2" borderId="4" xfId="4" applyNumberFormat="1" applyFont="1" applyAlignment="1">
      <alignment horizontal="center" vertical="center"/>
    </xf>
    <xf numFmtId="37" fontId="7" fillId="2" borderId="4" xfId="4" applyNumberFormat="1" applyFont="1" applyAlignment="1">
      <alignment horizontal="right" vertical="center"/>
    </xf>
    <xf numFmtId="37" fontId="7" fillId="2" borderId="1" xfId="4" applyNumberFormat="1" applyFont="1" applyBorder="1" applyAlignment="1">
      <alignment horizontal="center" vertical="center"/>
    </xf>
    <xf numFmtId="0" fontId="2" fillId="2" borderId="2" xfId="4" applyFont="1" applyBorder="1"/>
    <xf numFmtId="37" fontId="8" fillId="2" borderId="4" xfId="1" applyNumberFormat="1" applyFont="1" applyAlignment="1">
      <alignment horizontal="center" vertical="center"/>
    </xf>
    <xf numFmtId="37" fontId="7" fillId="2" borderId="4" xfId="1" applyNumberFormat="1" applyFont="1" applyAlignment="1">
      <alignment horizontal="right" vertical="center"/>
    </xf>
    <xf numFmtId="37" fontId="7" fillId="2" borderId="1" xfId="1" applyNumberFormat="1" applyFont="1" applyBorder="1" applyAlignment="1">
      <alignment horizontal="center" vertical="center"/>
    </xf>
    <xf numFmtId="0" fontId="2" fillId="2" borderId="2" xfId="1" applyFont="1" applyBorder="1"/>
    <xf numFmtId="37" fontId="8" fillId="2" borderId="4" xfId="6" applyNumberFormat="1" applyFont="1" applyAlignment="1">
      <alignment horizontal="center" vertical="center"/>
    </xf>
    <xf numFmtId="0" fontId="2" fillId="2" borderId="4" xfId="6" applyFont="1"/>
    <xf numFmtId="37" fontId="7" fillId="2" borderId="4" xfId="6" applyNumberFormat="1" applyFont="1" applyAlignment="1">
      <alignment horizontal="right" vertical="center"/>
    </xf>
  </cellXfs>
  <cellStyles count="7">
    <cellStyle name="Normal" xfId="0" builtinId="0"/>
    <cellStyle name="Normal 2" xfId="1" xr:uid="{B7B525D4-047C-4549-A491-32DF78ABA85A}"/>
    <cellStyle name="Normal 3" xfId="2" xr:uid="{F49F3F5A-421A-4420-9F4F-F8BBC43A26A8}"/>
    <cellStyle name="Normal 4" xfId="4" xr:uid="{A998BBD0-5530-4522-B8CC-23B1C407B119}"/>
    <cellStyle name="Normal 5" xfId="5" xr:uid="{2B84493F-3FA0-49E4-B78E-6E6FACC42C24}"/>
    <cellStyle name="Normal 6" xfId="6" xr:uid="{E783B097-F745-4114-842E-635A0688B64F}"/>
    <cellStyle name="Percent 2" xfId="3" xr:uid="{80766AD4-D914-4CEF-9BD5-AB919381F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1A0946-E052-4518-988C-67A3EB74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7621</xdr:rowOff>
    </xdr:from>
    <xdr:to>
      <xdr:col>0</xdr:col>
      <xdr:colOff>960120</xdr:colOff>
      <xdr:row>3</xdr:row>
      <xdr:rowOff>100443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46962-5747-4B7B-8D1B-8A580A4D4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997840" y="7621"/>
          <a:ext cx="960120" cy="8472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960120</xdr:colOff>
      <xdr:row>3</xdr:row>
      <xdr:rowOff>115682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18D97-1A47-4782-8C84-2DF90623B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685420" y="15240"/>
          <a:ext cx="960120" cy="8548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960120</xdr:colOff>
      <xdr:row>3</xdr:row>
      <xdr:rowOff>123302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2B741-289C-494F-B199-D17AC7123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02840" y="15240"/>
          <a:ext cx="960120" cy="8624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929441</xdr:colOff>
      <xdr:row>3</xdr:row>
      <xdr:rowOff>80895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ACAEA-62D1-42F6-80FD-8D04F3981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683839" y="7620"/>
          <a:ext cx="929441" cy="8276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929441</xdr:colOff>
      <xdr:row>3</xdr:row>
      <xdr:rowOff>96135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BCEC0-3782-49C5-BEDB-7D4089BC7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8977459" y="15240"/>
          <a:ext cx="929441" cy="8352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929441</xdr:colOff>
      <xdr:row>3</xdr:row>
      <xdr:rowOff>103755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837BC-8E31-46D1-917F-D08FA15DD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424759" y="15240"/>
          <a:ext cx="929441" cy="8428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929441</xdr:colOff>
      <xdr:row>3</xdr:row>
      <xdr:rowOff>111375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A6EB4-2492-4753-A122-5F8E6F1AF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615259" y="15240"/>
          <a:ext cx="929441" cy="8505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929441</xdr:colOff>
      <xdr:row>3</xdr:row>
      <xdr:rowOff>118995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723B3-C17D-41BD-B659-E3C72A234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461079" y="15240"/>
          <a:ext cx="929441" cy="85813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33</xdr:row>
      <xdr:rowOff>15240</xdr:rowOff>
    </xdr:from>
    <xdr:ext cx="929441" cy="865755"/>
    <xdr:pic>
      <xdr:nvPicPr>
        <xdr:cNvPr id="3" name="Picture 2">
          <a:extLst>
            <a:ext uri="{FF2B5EF4-FFF2-40B4-BE49-F238E27FC236}">
              <a16:creationId xmlns:a16="http://schemas.microsoft.com/office/drawing/2014/main" id="{236C865E-8C39-40CD-8AEA-554D12E23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995159" y="15240"/>
          <a:ext cx="929441" cy="8657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15240</xdr:rowOff>
    </xdr:from>
    <xdr:ext cx="929441" cy="865755"/>
    <xdr:pic>
      <xdr:nvPicPr>
        <xdr:cNvPr id="4" name="Picture 3">
          <a:extLst>
            <a:ext uri="{FF2B5EF4-FFF2-40B4-BE49-F238E27FC236}">
              <a16:creationId xmlns:a16="http://schemas.microsoft.com/office/drawing/2014/main" id="{2EC203A6-C66C-4420-9C34-E647FA2B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995159" y="8956040"/>
          <a:ext cx="929441" cy="8657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15240</xdr:rowOff>
    </xdr:from>
    <xdr:ext cx="929441" cy="865755"/>
    <xdr:pic>
      <xdr:nvPicPr>
        <xdr:cNvPr id="5" name="Picture 4">
          <a:extLst>
            <a:ext uri="{FF2B5EF4-FFF2-40B4-BE49-F238E27FC236}">
              <a16:creationId xmlns:a16="http://schemas.microsoft.com/office/drawing/2014/main" id="{E91888E4-D96C-4A4E-8654-17182B664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995159" y="17896840"/>
          <a:ext cx="929441" cy="86575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12700</xdr:rowOff>
    </xdr:from>
    <xdr:ext cx="929441" cy="865755"/>
    <xdr:pic>
      <xdr:nvPicPr>
        <xdr:cNvPr id="2" name="Picture 1">
          <a:extLst>
            <a:ext uri="{FF2B5EF4-FFF2-40B4-BE49-F238E27FC236}">
              <a16:creationId xmlns:a16="http://schemas.microsoft.com/office/drawing/2014/main" id="{EBCB1BA9-1F36-489D-BF73-2C2D54672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982459" y="12700"/>
          <a:ext cx="929441" cy="8657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12700</xdr:rowOff>
    </xdr:from>
    <xdr:ext cx="929441" cy="865755"/>
    <xdr:pic>
      <xdr:nvPicPr>
        <xdr:cNvPr id="3" name="Picture 2">
          <a:extLst>
            <a:ext uri="{FF2B5EF4-FFF2-40B4-BE49-F238E27FC236}">
              <a16:creationId xmlns:a16="http://schemas.microsoft.com/office/drawing/2014/main" id="{929476BD-37B6-47D9-AF7A-EF9534345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0493759" y="12700"/>
          <a:ext cx="929441" cy="8657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12700</xdr:rowOff>
    </xdr:from>
    <xdr:ext cx="929441" cy="865755"/>
    <xdr:pic>
      <xdr:nvPicPr>
        <xdr:cNvPr id="4" name="Picture 3">
          <a:extLst>
            <a:ext uri="{FF2B5EF4-FFF2-40B4-BE49-F238E27FC236}">
              <a16:creationId xmlns:a16="http://schemas.microsoft.com/office/drawing/2014/main" id="{F2649CE2-8555-4EFC-88BF-18C21FECC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0493759" y="10020300"/>
          <a:ext cx="929441" cy="8657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12700</xdr:rowOff>
    </xdr:from>
    <xdr:ext cx="929441" cy="865755"/>
    <xdr:pic>
      <xdr:nvPicPr>
        <xdr:cNvPr id="5" name="Picture 4">
          <a:extLst>
            <a:ext uri="{FF2B5EF4-FFF2-40B4-BE49-F238E27FC236}">
              <a16:creationId xmlns:a16="http://schemas.microsoft.com/office/drawing/2014/main" id="{82B2CF1A-F665-4B29-9CA2-A5011AD05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0493759" y="20027900"/>
          <a:ext cx="929441" cy="8657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D0EB-17AE-4DFF-B6DA-9320F9F49101}">
  <sheetPr>
    <pageSetUpPr fitToPage="1"/>
  </sheetPr>
  <dimension ref="A18:J25"/>
  <sheetViews>
    <sheetView rightToLeft="1" view="pageBreakPreview" zoomScale="70" zoomScaleNormal="100" zoomScaleSheetLayoutView="70" workbookViewId="0">
      <selection activeCell="K25" sqref="K25"/>
    </sheetView>
  </sheetViews>
  <sheetFormatPr defaultColWidth="8.85546875" defaultRowHeight="19.5" x14ac:dyDescent="0.55000000000000004"/>
  <cols>
    <col min="1" max="16384" width="8.85546875" style="1"/>
  </cols>
  <sheetData>
    <row r="18" spans="1:10" ht="40.15" customHeight="1" x14ac:dyDescent="0.55000000000000004">
      <c r="A18" s="38" t="s">
        <v>71</v>
      </c>
      <c r="B18" s="39"/>
      <c r="C18" s="39"/>
      <c r="D18" s="39"/>
      <c r="E18" s="39"/>
      <c r="F18" s="39"/>
      <c r="G18" s="39"/>
      <c r="H18" s="39"/>
      <c r="I18" s="39"/>
      <c r="J18" s="39"/>
    </row>
    <row r="19" spans="1:10" ht="40.15" customHeight="1" x14ac:dyDescent="0.55000000000000004">
      <c r="A19" s="38" t="s">
        <v>0</v>
      </c>
      <c r="B19" s="39"/>
      <c r="C19" s="39"/>
      <c r="D19" s="39"/>
      <c r="E19" s="39"/>
      <c r="F19" s="39"/>
      <c r="G19" s="39"/>
      <c r="H19" s="39"/>
      <c r="I19" s="39"/>
      <c r="J19" s="39"/>
    </row>
    <row r="20" spans="1:10" ht="40.15" customHeight="1" x14ac:dyDescent="0.55000000000000004">
      <c r="A20" s="38" t="s">
        <v>1</v>
      </c>
      <c r="B20" s="39"/>
      <c r="C20" s="39"/>
      <c r="D20" s="39"/>
      <c r="E20" s="39"/>
      <c r="F20" s="39"/>
      <c r="G20" s="39"/>
      <c r="H20" s="39"/>
      <c r="I20" s="39"/>
      <c r="J20" s="39"/>
    </row>
    <row r="24" spans="1:10" ht="43.5" customHeight="1" x14ac:dyDescent="0.55000000000000004">
      <c r="B24" s="40" t="s">
        <v>59</v>
      </c>
      <c r="C24" s="40"/>
      <c r="D24" s="40" t="s">
        <v>58</v>
      </c>
      <c r="E24" s="40"/>
      <c r="F24" s="40" t="s">
        <v>57</v>
      </c>
      <c r="G24" s="40"/>
      <c r="H24" s="40" t="s">
        <v>56</v>
      </c>
      <c r="I24" s="40"/>
    </row>
    <row r="25" spans="1:10" ht="39.75" customHeight="1" x14ac:dyDescent="0.55000000000000004">
      <c r="B25" s="37" t="s">
        <v>55</v>
      </c>
      <c r="C25" s="37"/>
      <c r="D25" s="37" t="s">
        <v>54</v>
      </c>
      <c r="E25" s="37"/>
      <c r="F25" s="37" t="s">
        <v>53</v>
      </c>
      <c r="G25" s="37"/>
      <c r="H25" s="37"/>
      <c r="I25" s="37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FD66-3177-439B-B016-996C3E1466FC}">
  <sheetPr>
    <pageSetUpPr fitToPage="1"/>
  </sheetPr>
  <dimension ref="A1:W66"/>
  <sheetViews>
    <sheetView rightToLeft="1" view="pageBreakPreview" zoomScale="60" zoomScaleNormal="70" workbookViewId="0">
      <selection activeCell="W65" sqref="W65"/>
    </sheetView>
  </sheetViews>
  <sheetFormatPr defaultColWidth="8.85546875" defaultRowHeight="19.5" x14ac:dyDescent="0.55000000000000004"/>
  <cols>
    <col min="1" max="1" width="24.7109375" style="10" customWidth="1"/>
    <col min="2" max="2" width="1.42578125" style="10" customWidth="1"/>
    <col min="3" max="3" width="12.85546875" style="10" customWidth="1"/>
    <col min="4" max="4" width="1.42578125" style="10" customWidth="1"/>
    <col min="5" max="5" width="17" style="10" customWidth="1"/>
    <col min="6" max="6" width="1.42578125" style="10" customWidth="1"/>
    <col min="7" max="7" width="17" style="10" customWidth="1"/>
    <col min="8" max="8" width="1.42578125" style="10" customWidth="1"/>
    <col min="9" max="9" width="11.42578125" style="10" customWidth="1"/>
    <col min="10" max="10" width="17" style="10" customWidth="1"/>
    <col min="11" max="11" width="1.42578125" style="10" customWidth="1"/>
    <col min="12" max="12" width="11.42578125" style="10" customWidth="1"/>
    <col min="13" max="13" width="17" style="10" customWidth="1"/>
    <col min="14" max="14" width="1.42578125" style="10" customWidth="1"/>
    <col min="15" max="15" width="12.85546875" style="10" customWidth="1"/>
    <col min="16" max="16" width="1.42578125" style="10" customWidth="1"/>
    <col min="17" max="17" width="11.42578125" style="10" customWidth="1"/>
    <col min="18" max="18" width="1.42578125" style="10" customWidth="1"/>
    <col min="19" max="19" width="17" style="10" customWidth="1"/>
    <col min="20" max="20" width="1.42578125" style="10" customWidth="1"/>
    <col min="21" max="21" width="17" style="10" customWidth="1"/>
    <col min="22" max="22" width="1.42578125" style="10" customWidth="1"/>
    <col min="23" max="23" width="8.42578125" style="10" customWidth="1"/>
    <col min="24" max="16384" width="8.85546875" style="10"/>
  </cols>
  <sheetData>
    <row r="1" spans="1:23" ht="19.899999999999999" customHeight="1" x14ac:dyDescent="0.55000000000000004">
      <c r="A1" s="45" t="s">
        <v>71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3" ht="19.899999999999999" customHeight="1" x14ac:dyDescent="0.55000000000000004">
      <c r="A2" s="45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</row>
    <row r="3" spans="1:23" ht="19.899999999999999" customHeight="1" x14ac:dyDescent="0.55000000000000004">
      <c r="A3" s="45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</row>
    <row r="5" spans="1:23" ht="21" x14ac:dyDescent="0.55000000000000004">
      <c r="A5" s="46" t="s">
        <v>73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</row>
    <row r="6" spans="1:23" ht="21" x14ac:dyDescent="0.55000000000000004">
      <c r="A6" s="46" t="s">
        <v>74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</row>
    <row r="8" spans="1:23" ht="21" x14ac:dyDescent="0.55000000000000004">
      <c r="C8" s="47" t="s">
        <v>2</v>
      </c>
      <c r="D8" s="48"/>
      <c r="E8" s="48"/>
      <c r="F8" s="48"/>
      <c r="G8" s="48"/>
      <c r="I8" s="47" t="s">
        <v>62</v>
      </c>
      <c r="J8" s="48"/>
      <c r="K8" s="48"/>
      <c r="L8" s="48"/>
      <c r="M8" s="48"/>
      <c r="O8" s="47" t="s">
        <v>3</v>
      </c>
      <c r="P8" s="48"/>
      <c r="Q8" s="48"/>
      <c r="R8" s="48"/>
      <c r="S8" s="48"/>
      <c r="T8" s="48"/>
      <c r="U8" s="48"/>
      <c r="V8" s="48"/>
      <c r="W8" s="48"/>
    </row>
    <row r="9" spans="1:23" ht="21" x14ac:dyDescent="0.55000000000000004">
      <c r="A9" s="41" t="s">
        <v>75</v>
      </c>
      <c r="C9" s="41" t="s">
        <v>4</v>
      </c>
      <c r="E9" s="41" t="s">
        <v>5</v>
      </c>
      <c r="G9" s="41" t="s">
        <v>6</v>
      </c>
      <c r="I9" s="41" t="s">
        <v>61</v>
      </c>
      <c r="J9" s="44"/>
      <c r="L9" s="41" t="s">
        <v>60</v>
      </c>
      <c r="M9" s="44"/>
      <c r="O9" s="41" t="s">
        <v>4</v>
      </c>
      <c r="Q9" s="43" t="s">
        <v>76</v>
      </c>
      <c r="S9" s="41" t="s">
        <v>5</v>
      </c>
      <c r="U9" s="41" t="s">
        <v>6</v>
      </c>
      <c r="W9" s="43" t="s">
        <v>7</v>
      </c>
    </row>
    <row r="10" spans="1:23" ht="21" x14ac:dyDescent="0.55000000000000004">
      <c r="A10" s="42"/>
      <c r="C10" s="42"/>
      <c r="E10" s="42"/>
      <c r="G10" s="42"/>
      <c r="I10" s="12" t="s">
        <v>4</v>
      </c>
      <c r="J10" s="12" t="s">
        <v>5</v>
      </c>
      <c r="L10" s="12" t="s">
        <v>4</v>
      </c>
      <c r="M10" s="12" t="s">
        <v>8</v>
      </c>
      <c r="O10" s="42"/>
      <c r="Q10" s="42"/>
      <c r="S10" s="42"/>
      <c r="U10" s="42"/>
      <c r="W10" s="42"/>
    </row>
    <row r="11" spans="1:23" ht="21" x14ac:dyDescent="0.55000000000000004">
      <c r="A11" s="13" t="s">
        <v>77</v>
      </c>
      <c r="C11" s="14">
        <v>579887</v>
      </c>
      <c r="E11" s="14">
        <v>2921674505</v>
      </c>
      <c r="G11" s="14">
        <v>3326039599</v>
      </c>
      <c r="I11" s="14">
        <v>0</v>
      </c>
      <c r="J11" s="14">
        <v>0</v>
      </c>
      <c r="L11" s="14">
        <v>467651</v>
      </c>
      <c r="M11" s="14">
        <v>2589317429</v>
      </c>
      <c r="O11" s="14">
        <v>112236</v>
      </c>
      <c r="Q11" s="14">
        <v>5680</v>
      </c>
      <c r="S11" s="14">
        <v>565484413</v>
      </c>
      <c r="U11" s="14">
        <v>624781896</v>
      </c>
      <c r="W11" s="15">
        <v>5.6717152498321098E-4</v>
      </c>
    </row>
    <row r="12" spans="1:23" ht="21" x14ac:dyDescent="0.55000000000000004">
      <c r="A12" s="13" t="s">
        <v>78</v>
      </c>
      <c r="C12" s="14">
        <v>75000</v>
      </c>
      <c r="E12" s="14">
        <v>525487200</v>
      </c>
      <c r="G12" s="14">
        <v>689622187</v>
      </c>
      <c r="I12" s="14">
        <v>0</v>
      </c>
      <c r="J12" s="14">
        <v>0</v>
      </c>
      <c r="L12" s="14">
        <v>0</v>
      </c>
      <c r="M12" s="14">
        <v>0</v>
      </c>
      <c r="N12" s="11"/>
      <c r="O12" s="14">
        <v>75000</v>
      </c>
      <c r="Q12" s="14">
        <v>7130</v>
      </c>
      <c r="S12" s="14">
        <v>525487200</v>
      </c>
      <c r="U12" s="14">
        <v>534550387</v>
      </c>
      <c r="W12" s="15">
        <v>4.8526015256875429E-4</v>
      </c>
    </row>
    <row r="13" spans="1:23" ht="21" x14ac:dyDescent="0.55000000000000004">
      <c r="A13" s="13" t="s">
        <v>79</v>
      </c>
      <c r="C13" s="14">
        <v>2000000</v>
      </c>
      <c r="E13" s="14">
        <v>8799272430</v>
      </c>
      <c r="G13" s="14">
        <v>9021997800</v>
      </c>
      <c r="I13" s="14">
        <v>0</v>
      </c>
      <c r="J13" s="14">
        <v>0</v>
      </c>
      <c r="L13" s="14">
        <v>1000000</v>
      </c>
      <c r="M13" s="14">
        <v>4170420373</v>
      </c>
      <c r="O13" s="14">
        <v>1000000</v>
      </c>
      <c r="Q13" s="14">
        <v>4304</v>
      </c>
      <c r="S13" s="14">
        <v>4399636215</v>
      </c>
      <c r="U13" s="14">
        <v>4205825550</v>
      </c>
      <c r="W13" s="15">
        <v>3.8180115433544058E-3</v>
      </c>
    </row>
    <row r="14" spans="1:23" ht="21" x14ac:dyDescent="0.55000000000000004">
      <c r="A14" s="13" t="s">
        <v>80</v>
      </c>
      <c r="C14" s="14">
        <v>2500000</v>
      </c>
      <c r="E14" s="14">
        <v>11089731654</v>
      </c>
      <c r="G14" s="14">
        <v>10487227500</v>
      </c>
      <c r="I14" s="14">
        <v>0</v>
      </c>
      <c r="J14" s="14">
        <v>0</v>
      </c>
      <c r="L14" s="14">
        <v>0</v>
      </c>
      <c r="M14" s="14">
        <v>0</v>
      </c>
      <c r="N14" s="11"/>
      <c r="O14" s="14">
        <v>4242039</v>
      </c>
      <c r="Q14" s="14">
        <v>2438</v>
      </c>
      <c r="S14" s="14">
        <v>11089731654</v>
      </c>
      <c r="U14" s="14">
        <v>10280555640</v>
      </c>
      <c r="W14" s="15">
        <v>9.332598235230475E-3</v>
      </c>
    </row>
    <row r="15" spans="1:23" ht="21" x14ac:dyDescent="0.55000000000000004">
      <c r="A15" s="13" t="s">
        <v>81</v>
      </c>
      <c r="C15" s="14">
        <v>7726948</v>
      </c>
      <c r="E15" s="14">
        <v>17704787532</v>
      </c>
      <c r="G15" s="14">
        <v>25969368561</v>
      </c>
      <c r="I15" s="14">
        <v>0</v>
      </c>
      <c r="J15" s="14">
        <v>0</v>
      </c>
      <c r="L15" s="14">
        <v>0</v>
      </c>
      <c r="M15" s="14">
        <v>0</v>
      </c>
      <c r="N15" s="11"/>
      <c r="O15" s="14">
        <v>7726948</v>
      </c>
      <c r="Q15" s="14">
        <v>3868</v>
      </c>
      <c r="S15" s="14">
        <v>17704787532</v>
      </c>
      <c r="U15" s="14">
        <v>29663916411</v>
      </c>
      <c r="W15" s="15">
        <v>2.6928643124130101E-2</v>
      </c>
    </row>
    <row r="16" spans="1:23" ht="21" x14ac:dyDescent="0.55000000000000004">
      <c r="A16" s="13" t="s">
        <v>82</v>
      </c>
      <c r="C16" s="14">
        <v>10000000</v>
      </c>
      <c r="E16" s="14">
        <v>14560081342</v>
      </c>
      <c r="G16" s="14">
        <v>16998255000</v>
      </c>
      <c r="I16" s="14">
        <v>0</v>
      </c>
      <c r="J16" s="14">
        <v>0</v>
      </c>
      <c r="L16" s="14">
        <v>0</v>
      </c>
      <c r="M16" s="14">
        <v>0</v>
      </c>
      <c r="N16" s="11"/>
      <c r="O16" s="14">
        <v>10000000</v>
      </c>
      <c r="Q16" s="14">
        <v>1826</v>
      </c>
      <c r="S16" s="14">
        <v>14560081342</v>
      </c>
      <c r="U16" s="14">
        <v>18032067000</v>
      </c>
      <c r="W16" s="15">
        <v>1.636935225631031E-2</v>
      </c>
    </row>
    <row r="17" spans="1:23" ht="21" x14ac:dyDescent="0.55000000000000004">
      <c r="A17" s="13" t="s">
        <v>83</v>
      </c>
      <c r="C17" s="14">
        <v>37560926</v>
      </c>
      <c r="E17" s="14">
        <v>23562427309</v>
      </c>
      <c r="G17" s="14">
        <v>22813174918</v>
      </c>
      <c r="I17" s="14">
        <v>0</v>
      </c>
      <c r="J17" s="14">
        <v>0</v>
      </c>
      <c r="L17" s="14">
        <v>0</v>
      </c>
      <c r="M17" s="14">
        <v>0</v>
      </c>
      <c r="N17" s="11"/>
      <c r="O17" s="14">
        <v>37560926</v>
      </c>
      <c r="Q17" s="14">
        <v>556</v>
      </c>
      <c r="S17" s="14">
        <v>23562427309</v>
      </c>
      <c r="U17" s="14">
        <v>20759615801</v>
      </c>
      <c r="W17" s="15">
        <v>1.8845397133464208E-2</v>
      </c>
    </row>
    <row r="18" spans="1:23" ht="21" x14ac:dyDescent="0.55000000000000004">
      <c r="A18" s="13" t="s">
        <v>84</v>
      </c>
      <c r="C18" s="14">
        <v>14900000</v>
      </c>
      <c r="E18" s="14">
        <v>22714344403</v>
      </c>
      <c r="G18" s="14">
        <v>45352338390</v>
      </c>
      <c r="I18" s="14">
        <v>0</v>
      </c>
      <c r="J18" s="14">
        <v>0</v>
      </c>
      <c r="L18" s="14">
        <v>0</v>
      </c>
      <c r="M18" s="14">
        <v>0</v>
      </c>
      <c r="N18" s="11"/>
      <c r="O18" s="14">
        <v>25392957</v>
      </c>
      <c r="Q18" s="14">
        <v>2101</v>
      </c>
      <c r="S18" s="14">
        <v>22714344403</v>
      </c>
      <c r="U18" s="14">
        <v>54598162443</v>
      </c>
      <c r="W18" s="15">
        <v>4.956373296398682E-2</v>
      </c>
    </row>
    <row r="19" spans="1:23" ht="21" x14ac:dyDescent="0.55000000000000004">
      <c r="A19" s="13" t="s">
        <v>85</v>
      </c>
      <c r="C19" s="14">
        <v>1700000</v>
      </c>
      <c r="E19" s="14">
        <v>8016464339</v>
      </c>
      <c r="G19" s="14">
        <v>6815306205</v>
      </c>
      <c r="I19" s="14">
        <v>0</v>
      </c>
      <c r="J19" s="14">
        <v>0</v>
      </c>
      <c r="L19" s="14">
        <v>0</v>
      </c>
      <c r="M19" s="14">
        <v>0</v>
      </c>
      <c r="N19" s="11"/>
      <c r="O19" s="14">
        <v>1700000</v>
      </c>
      <c r="Q19" s="14">
        <v>3862</v>
      </c>
      <c r="S19" s="14">
        <v>8016464339</v>
      </c>
      <c r="U19" s="14">
        <v>6587171730</v>
      </c>
      <c r="W19" s="15">
        <v>5.9797767178426629E-3</v>
      </c>
    </row>
    <row r="20" spans="1:23" ht="21" x14ac:dyDescent="0.55000000000000004">
      <c r="A20" s="13" t="s">
        <v>86</v>
      </c>
      <c r="C20" s="14">
        <v>285750</v>
      </c>
      <c r="E20" s="14">
        <v>13013430474</v>
      </c>
      <c r="G20" s="14">
        <v>14855803886</v>
      </c>
      <c r="I20" s="14">
        <v>0</v>
      </c>
      <c r="J20" s="14">
        <v>0</v>
      </c>
      <c r="L20" s="14">
        <v>0</v>
      </c>
      <c r="M20" s="14">
        <v>0</v>
      </c>
      <c r="N20" s="11"/>
      <c r="O20" s="14">
        <v>285750</v>
      </c>
      <c r="Q20" s="14">
        <v>48050</v>
      </c>
      <c r="S20" s="14">
        <v>13013430474</v>
      </c>
      <c r="U20" s="14">
        <v>13620187311</v>
      </c>
      <c r="W20" s="15">
        <v>1.236428657295289E-2</v>
      </c>
    </row>
    <row r="21" spans="1:23" ht="21" x14ac:dyDescent="0.55000000000000004">
      <c r="A21" s="13" t="s">
        <v>87</v>
      </c>
      <c r="C21" s="14">
        <v>7153333</v>
      </c>
      <c r="E21" s="14">
        <v>14800767603</v>
      </c>
      <c r="G21" s="14">
        <v>18352899096</v>
      </c>
      <c r="I21" s="14">
        <v>0</v>
      </c>
      <c r="J21" s="14">
        <v>0</v>
      </c>
      <c r="L21" s="14">
        <v>2000000</v>
      </c>
      <c r="M21" s="14">
        <v>4769451925</v>
      </c>
      <c r="O21" s="14">
        <v>5153333</v>
      </c>
      <c r="Q21" s="14">
        <v>2367</v>
      </c>
      <c r="S21" s="14">
        <v>10662621762</v>
      </c>
      <c r="U21" s="14">
        <v>12115116131</v>
      </c>
      <c r="W21" s="15">
        <v>1.0997996157314982E-2</v>
      </c>
    </row>
    <row r="22" spans="1:23" ht="21" x14ac:dyDescent="0.55000000000000004">
      <c r="A22" s="13" t="s">
        <v>88</v>
      </c>
      <c r="C22" s="14">
        <v>1450000</v>
      </c>
      <c r="E22" s="14">
        <v>1550155735</v>
      </c>
      <c r="G22" s="14">
        <v>2278809922</v>
      </c>
      <c r="I22" s="14">
        <v>0</v>
      </c>
      <c r="J22" s="14">
        <v>0</v>
      </c>
      <c r="L22" s="14">
        <v>0</v>
      </c>
      <c r="M22" s="14">
        <v>0</v>
      </c>
      <c r="N22" s="11"/>
      <c r="O22" s="14">
        <v>1450000</v>
      </c>
      <c r="Q22" s="14">
        <v>1213</v>
      </c>
      <c r="S22" s="14">
        <v>1550155735</v>
      </c>
      <c r="U22" s="14">
        <v>1751267587</v>
      </c>
      <c r="W22" s="15">
        <v>1.5897853544278402E-3</v>
      </c>
    </row>
    <row r="23" spans="1:23" ht="21" x14ac:dyDescent="0.55000000000000004">
      <c r="A23" s="13" t="s">
        <v>89</v>
      </c>
      <c r="C23" s="14">
        <v>900000</v>
      </c>
      <c r="E23" s="14">
        <v>2932719040</v>
      </c>
      <c r="G23" s="14">
        <v>3611681865</v>
      </c>
      <c r="I23" s="14">
        <v>0</v>
      </c>
      <c r="J23" s="14">
        <v>0</v>
      </c>
      <c r="L23" s="14">
        <v>0</v>
      </c>
      <c r="M23" s="14">
        <v>0</v>
      </c>
      <c r="N23" s="11"/>
      <c r="O23" s="14">
        <v>900000</v>
      </c>
      <c r="Q23" s="14">
        <v>3261</v>
      </c>
      <c r="S23" s="14">
        <v>2932719040</v>
      </c>
      <c r="U23" s="14">
        <v>2980062495</v>
      </c>
      <c r="W23" s="15">
        <v>2.7052745936710408E-3</v>
      </c>
    </row>
    <row r="24" spans="1:23" ht="21" x14ac:dyDescent="0.55000000000000004">
      <c r="A24" s="13" t="s">
        <v>90</v>
      </c>
      <c r="C24" s="14">
        <v>800000</v>
      </c>
      <c r="E24" s="14">
        <v>4614185880</v>
      </c>
      <c r="G24" s="14">
        <v>5177012400</v>
      </c>
      <c r="I24" s="14">
        <v>0</v>
      </c>
      <c r="J24" s="14">
        <v>0</v>
      </c>
      <c r="L24" s="14">
        <v>0</v>
      </c>
      <c r="M24" s="14">
        <v>0</v>
      </c>
      <c r="N24" s="11"/>
      <c r="O24" s="14">
        <v>800000</v>
      </c>
      <c r="Q24" s="14">
        <v>6430</v>
      </c>
      <c r="S24" s="14">
        <v>4614185880</v>
      </c>
      <c r="U24" s="14">
        <v>5113393200</v>
      </c>
      <c r="W24" s="15">
        <v>4.6418934953947211E-3</v>
      </c>
    </row>
    <row r="25" spans="1:23" ht="21" x14ac:dyDescent="0.55000000000000004">
      <c r="A25" s="13" t="s">
        <v>91</v>
      </c>
      <c r="C25" s="14">
        <v>24500000</v>
      </c>
      <c r="E25" s="14">
        <v>11694161736</v>
      </c>
      <c r="G25" s="14">
        <v>10959401250</v>
      </c>
      <c r="I25" s="14">
        <v>0</v>
      </c>
      <c r="J25" s="14">
        <v>0</v>
      </c>
      <c r="L25" s="14">
        <v>24500000</v>
      </c>
      <c r="M25" s="14">
        <v>10435935006</v>
      </c>
      <c r="O25" s="14">
        <v>0</v>
      </c>
      <c r="Q25" s="14">
        <v>0</v>
      </c>
      <c r="S25" s="14">
        <v>0</v>
      </c>
      <c r="U25" s="14">
        <v>0</v>
      </c>
      <c r="W25" s="15">
        <v>0</v>
      </c>
    </row>
    <row r="26" spans="1:23" ht="21" x14ac:dyDescent="0.55000000000000004">
      <c r="A26" s="13" t="s">
        <v>92</v>
      </c>
      <c r="C26" s="14">
        <v>3400000</v>
      </c>
      <c r="E26" s="14">
        <v>9586342604</v>
      </c>
      <c r="G26" s="14">
        <v>9196354170</v>
      </c>
      <c r="I26" s="14">
        <v>0</v>
      </c>
      <c r="J26" s="14">
        <v>0</v>
      </c>
      <c r="L26" s="14">
        <v>0</v>
      </c>
      <c r="M26" s="14">
        <v>0</v>
      </c>
      <c r="N26" s="11"/>
      <c r="O26" s="14">
        <v>3400000</v>
      </c>
      <c r="Q26" s="14">
        <v>2952</v>
      </c>
      <c r="S26" s="14">
        <v>9586342604</v>
      </c>
      <c r="U26" s="14">
        <v>9936523800</v>
      </c>
      <c r="W26" s="15">
        <v>9.0202891485158688E-3</v>
      </c>
    </row>
    <row r="27" spans="1:23" ht="21" x14ac:dyDescent="0.55000000000000004">
      <c r="A27" s="13" t="s">
        <v>93</v>
      </c>
      <c r="C27" s="14">
        <v>32600000</v>
      </c>
      <c r="E27" s="14">
        <v>39464253596</v>
      </c>
      <c r="G27" s="14">
        <v>42063026940</v>
      </c>
      <c r="I27" s="14">
        <v>0</v>
      </c>
      <c r="J27" s="14">
        <v>0</v>
      </c>
      <c r="L27" s="14">
        <v>6600000</v>
      </c>
      <c r="M27" s="14">
        <v>8504700751</v>
      </c>
      <c r="O27" s="14">
        <v>26000000</v>
      </c>
      <c r="Q27" s="14">
        <v>1306</v>
      </c>
      <c r="S27" s="14">
        <v>31474558083</v>
      </c>
      <c r="U27" s="14">
        <v>34115796000</v>
      </c>
      <c r="W27" s="15">
        <v>3.0970020365852804E-2</v>
      </c>
    </row>
    <row r="28" spans="1:23" ht="21" x14ac:dyDescent="0.55000000000000004">
      <c r="A28" s="13" t="s">
        <v>94</v>
      </c>
      <c r="C28" s="14">
        <v>500000</v>
      </c>
      <c r="E28" s="14">
        <v>12548398732</v>
      </c>
      <c r="G28" s="14">
        <v>12992233500</v>
      </c>
      <c r="I28" s="14">
        <v>0</v>
      </c>
      <c r="J28" s="14">
        <v>0</v>
      </c>
      <c r="L28" s="14">
        <v>0</v>
      </c>
      <c r="M28" s="14">
        <v>0</v>
      </c>
      <c r="N28" s="11"/>
      <c r="O28" s="14">
        <v>500000</v>
      </c>
      <c r="Q28" s="14">
        <v>23520</v>
      </c>
      <c r="S28" s="14">
        <v>12548398732</v>
      </c>
      <c r="U28" s="14">
        <v>11401753500</v>
      </c>
      <c r="W28" s="15">
        <v>1.0350411818074931E-2</v>
      </c>
    </row>
    <row r="29" spans="1:23" ht="21" x14ac:dyDescent="0.55000000000000004">
      <c r="A29" s="13" t="s">
        <v>95</v>
      </c>
      <c r="C29" s="14">
        <v>888004</v>
      </c>
      <c r="E29" s="14">
        <v>8268927676</v>
      </c>
      <c r="G29" s="14">
        <v>11157585555</v>
      </c>
      <c r="I29" s="14">
        <v>0</v>
      </c>
      <c r="J29" s="14">
        <v>0</v>
      </c>
      <c r="L29" s="14">
        <v>0</v>
      </c>
      <c r="M29" s="14">
        <v>0</v>
      </c>
      <c r="N29" s="11"/>
      <c r="O29" s="14">
        <v>888004</v>
      </c>
      <c r="Q29" s="14">
        <v>12620</v>
      </c>
      <c r="S29" s="14">
        <v>8268927676</v>
      </c>
      <c r="U29" s="14">
        <v>11298820815</v>
      </c>
      <c r="W29" s="15">
        <v>1.0256970429494642E-2</v>
      </c>
    </row>
    <row r="30" spans="1:23" ht="21" x14ac:dyDescent="0.55000000000000004">
      <c r="A30" s="13" t="s">
        <v>96</v>
      </c>
      <c r="C30" s="14">
        <v>4279048</v>
      </c>
      <c r="E30" s="14">
        <v>29900688297</v>
      </c>
      <c r="G30" s="14">
        <v>48023004731</v>
      </c>
      <c r="I30" s="14">
        <v>0</v>
      </c>
      <c r="J30" s="14">
        <v>0</v>
      </c>
      <c r="L30" s="14">
        <v>379048</v>
      </c>
      <c r="M30" s="14">
        <v>3555752666</v>
      </c>
      <c r="O30" s="14">
        <v>3900000</v>
      </c>
      <c r="Q30" s="14">
        <v>9170</v>
      </c>
      <c r="S30" s="14">
        <v>27252015953</v>
      </c>
      <c r="U30" s="14">
        <v>36092961450</v>
      </c>
      <c r="W30" s="15">
        <v>3.2764873818873816E-2</v>
      </c>
    </row>
    <row r="31" spans="1:23" ht="21" x14ac:dyDescent="0.55000000000000004">
      <c r="A31" s="13" t="s">
        <v>97</v>
      </c>
      <c r="C31" s="14">
        <v>2785714</v>
      </c>
      <c r="E31" s="14">
        <v>10855064124</v>
      </c>
      <c r="G31" s="14">
        <v>14842585049</v>
      </c>
      <c r="I31" s="14">
        <v>0</v>
      </c>
      <c r="J31" s="14">
        <v>0</v>
      </c>
      <c r="L31" s="14">
        <v>1500000</v>
      </c>
      <c r="M31" s="14">
        <v>7997741250</v>
      </c>
      <c r="O31" s="14">
        <v>1285714</v>
      </c>
      <c r="Q31" s="14">
        <v>5390</v>
      </c>
      <c r="S31" s="14">
        <v>5010028996</v>
      </c>
      <c r="U31" s="14">
        <v>6735397289</v>
      </c>
      <c r="W31" s="15">
        <v>6.114334580158697E-3</v>
      </c>
    </row>
    <row r="32" spans="1:23" ht="21" x14ac:dyDescent="0.55000000000000004">
      <c r="A32" s="13" t="s">
        <v>98</v>
      </c>
      <c r="C32" s="14">
        <v>1300000</v>
      </c>
      <c r="E32" s="14">
        <v>11563220662</v>
      </c>
      <c r="G32" s="14">
        <v>11139324300</v>
      </c>
      <c r="I32" s="14">
        <v>0</v>
      </c>
      <c r="J32" s="14">
        <v>0</v>
      </c>
      <c r="L32" s="14">
        <v>0</v>
      </c>
      <c r="M32" s="14">
        <v>0</v>
      </c>
      <c r="N32" s="11"/>
      <c r="O32" s="14">
        <v>1300000</v>
      </c>
      <c r="Q32" s="14">
        <v>8150</v>
      </c>
      <c r="S32" s="14">
        <v>11563220662</v>
      </c>
      <c r="U32" s="14">
        <v>10958407200</v>
      </c>
      <c r="W32" s="15">
        <v>9.9479459356981732E-3</v>
      </c>
    </row>
    <row r="33" spans="1:23" ht="21" x14ac:dyDescent="0.55000000000000004">
      <c r="A33" s="13" t="s">
        <v>99</v>
      </c>
      <c r="C33" s="14">
        <v>2400000</v>
      </c>
      <c r="E33" s="14">
        <v>11429569715</v>
      </c>
      <c r="G33" s="14">
        <v>10225195920</v>
      </c>
      <c r="I33" s="14">
        <v>0</v>
      </c>
      <c r="J33" s="14">
        <v>0</v>
      </c>
      <c r="L33" s="14">
        <v>0</v>
      </c>
      <c r="M33" s="14">
        <v>0</v>
      </c>
      <c r="N33" s="11"/>
      <c r="O33" s="14">
        <v>2400000</v>
      </c>
      <c r="Q33" s="14">
        <v>3774</v>
      </c>
      <c r="S33" s="14">
        <v>11429569715</v>
      </c>
      <c r="U33" s="14">
        <v>9087207480</v>
      </c>
      <c r="W33" s="15">
        <v>8.2492872429044285E-3</v>
      </c>
    </row>
    <row r="34" spans="1:23" ht="21" x14ac:dyDescent="0.55000000000000004">
      <c r="A34" s="13" t="s">
        <v>100</v>
      </c>
      <c r="C34" s="14">
        <v>249999</v>
      </c>
      <c r="E34" s="14">
        <v>1709077715</v>
      </c>
      <c r="G34" s="14">
        <v>1930934401</v>
      </c>
      <c r="I34" s="14">
        <v>0</v>
      </c>
      <c r="J34" s="14">
        <v>0</v>
      </c>
      <c r="L34" s="14">
        <v>0</v>
      </c>
      <c r="M34" s="14">
        <v>0</v>
      </c>
      <c r="N34" s="11"/>
      <c r="O34" s="14">
        <v>249999</v>
      </c>
      <c r="Q34" s="14">
        <v>6970</v>
      </c>
      <c r="S34" s="14">
        <v>1709077715</v>
      </c>
      <c r="U34" s="14">
        <v>1729640081</v>
      </c>
      <c r="W34" s="15">
        <v>1.5701520941843272E-3</v>
      </c>
    </row>
    <row r="35" spans="1:23" ht="21" x14ac:dyDescent="0.55000000000000004">
      <c r="A35" s="13" t="s">
        <v>101</v>
      </c>
      <c r="C35" s="14">
        <v>3000000</v>
      </c>
      <c r="E35" s="14">
        <v>9308630400</v>
      </c>
      <c r="G35" s="14">
        <v>8979253650</v>
      </c>
      <c r="I35" s="14">
        <v>0</v>
      </c>
      <c r="J35" s="14">
        <v>0</v>
      </c>
      <c r="L35" s="14">
        <v>1500000</v>
      </c>
      <c r="M35" s="14">
        <v>5355941527</v>
      </c>
      <c r="O35" s="14">
        <v>1500000</v>
      </c>
      <c r="Q35" s="14">
        <v>3633</v>
      </c>
      <c r="S35" s="14">
        <v>4654315200</v>
      </c>
      <c r="U35" s="14">
        <v>5431986225</v>
      </c>
      <c r="W35" s="15">
        <v>4.9311094489860909E-3</v>
      </c>
    </row>
    <row r="36" spans="1:23" ht="21" x14ac:dyDescent="0.55000000000000004">
      <c r="A36" s="13" t="s">
        <v>102</v>
      </c>
      <c r="C36" s="14">
        <v>10000000</v>
      </c>
      <c r="E36" s="14">
        <v>63076093275</v>
      </c>
      <c r="G36" s="14">
        <v>100896075000</v>
      </c>
      <c r="I36" s="14">
        <v>0</v>
      </c>
      <c r="J36" s="14">
        <v>0</v>
      </c>
      <c r="L36" s="14">
        <v>500000</v>
      </c>
      <c r="M36" s="14">
        <v>4697880354</v>
      </c>
      <c r="O36" s="14">
        <v>12666666</v>
      </c>
      <c r="Q36" s="14">
        <v>7185</v>
      </c>
      <c r="S36" s="14">
        <v>59922288611</v>
      </c>
      <c r="U36" s="14">
        <v>90468485739</v>
      </c>
      <c r="W36" s="15">
        <v>8.2126497819505484E-2</v>
      </c>
    </row>
    <row r="37" spans="1:23" ht="21" x14ac:dyDescent="0.55000000000000004">
      <c r="A37" s="13" t="s">
        <v>103</v>
      </c>
      <c r="C37" s="14">
        <v>1092665</v>
      </c>
      <c r="E37" s="14">
        <v>20222828436</v>
      </c>
      <c r="G37" s="14">
        <v>25231581433</v>
      </c>
      <c r="I37" s="14">
        <v>0</v>
      </c>
      <c r="J37" s="14">
        <v>0</v>
      </c>
      <c r="L37" s="14">
        <v>442665</v>
      </c>
      <c r="M37" s="14">
        <v>10269779848</v>
      </c>
      <c r="O37" s="14">
        <v>650000</v>
      </c>
      <c r="Q37" s="14">
        <v>23130</v>
      </c>
      <c r="S37" s="14">
        <v>12030071874</v>
      </c>
      <c r="U37" s="14">
        <v>15184113750</v>
      </c>
      <c r="W37" s="15">
        <v>1.3784005276468577E-2</v>
      </c>
    </row>
    <row r="38" spans="1:23" ht="21" x14ac:dyDescent="0.55000000000000004">
      <c r="A38" s="13" t="s">
        <v>104</v>
      </c>
      <c r="C38" s="14">
        <v>8500000</v>
      </c>
      <c r="E38" s="14">
        <v>27916940097</v>
      </c>
      <c r="G38" s="14">
        <v>20810933775</v>
      </c>
      <c r="I38" s="14">
        <v>0</v>
      </c>
      <c r="J38" s="14">
        <v>0</v>
      </c>
      <c r="L38" s="14">
        <v>5500000</v>
      </c>
      <c r="M38" s="14">
        <v>12481418704</v>
      </c>
      <c r="O38" s="14">
        <v>3868421</v>
      </c>
      <c r="Q38" s="14">
        <v>1801</v>
      </c>
      <c r="S38" s="14">
        <v>9853037681</v>
      </c>
      <c r="U38" s="14">
        <v>6925572415</v>
      </c>
      <c r="W38" s="15">
        <v>6.2869738914413248E-3</v>
      </c>
    </row>
    <row r="39" spans="1:23" ht="21" x14ac:dyDescent="0.55000000000000004">
      <c r="A39" s="13" t="s">
        <v>105</v>
      </c>
      <c r="C39" s="14">
        <v>14351672</v>
      </c>
      <c r="E39" s="14">
        <v>65646651603</v>
      </c>
      <c r="G39" s="14">
        <v>77037909579</v>
      </c>
      <c r="I39" s="14">
        <v>600000</v>
      </c>
      <c r="J39" s="14">
        <v>3387140334</v>
      </c>
      <c r="L39" s="14">
        <v>0</v>
      </c>
      <c r="M39" s="14">
        <v>0</v>
      </c>
      <c r="O39" s="14">
        <v>20766211</v>
      </c>
      <c r="Q39" s="14">
        <v>3866</v>
      </c>
      <c r="S39" s="14">
        <v>69033791937</v>
      </c>
      <c r="U39" s="14">
        <v>81538475576</v>
      </c>
      <c r="W39" s="15">
        <v>7.4019912922134695E-2</v>
      </c>
    </row>
    <row r="40" spans="1:23" ht="21" x14ac:dyDescent="0.55000000000000004">
      <c r="A40" s="13" t="s">
        <v>106</v>
      </c>
      <c r="C40" s="14">
        <v>200000</v>
      </c>
      <c r="E40" s="14">
        <v>2542357120</v>
      </c>
      <c r="G40" s="14">
        <v>3157102800</v>
      </c>
      <c r="I40" s="14">
        <v>0</v>
      </c>
      <c r="J40" s="14">
        <v>0</v>
      </c>
      <c r="L40" s="14">
        <v>0</v>
      </c>
      <c r="M40" s="14">
        <v>0</v>
      </c>
      <c r="N40" s="11"/>
      <c r="O40" s="14">
        <v>200000</v>
      </c>
      <c r="Q40" s="14">
        <v>14020</v>
      </c>
      <c r="S40" s="14">
        <v>2542357120</v>
      </c>
      <c r="U40" s="14">
        <v>2749542300</v>
      </c>
      <c r="W40" s="15">
        <v>2.4960103826325423E-3</v>
      </c>
    </row>
    <row r="41" spans="1:23" ht="21" x14ac:dyDescent="0.55000000000000004">
      <c r="A41" s="13" t="s">
        <v>107</v>
      </c>
      <c r="C41" s="14">
        <v>1341844</v>
      </c>
      <c r="E41" s="14">
        <v>11432747846</v>
      </c>
      <c r="G41" s="14">
        <v>14659121710</v>
      </c>
      <c r="I41" s="14">
        <v>0</v>
      </c>
      <c r="J41" s="14">
        <v>0</v>
      </c>
      <c r="L41" s="14">
        <v>0</v>
      </c>
      <c r="M41" s="14">
        <v>0</v>
      </c>
      <c r="N41" s="11"/>
      <c r="O41" s="14">
        <v>1341844</v>
      </c>
      <c r="Q41" s="14">
        <v>10610</v>
      </c>
      <c r="S41" s="14">
        <v>11432747846</v>
      </c>
      <c r="U41" s="14">
        <v>14245625101</v>
      </c>
      <c r="W41" s="15">
        <v>1.2932053512756199E-2</v>
      </c>
    </row>
    <row r="42" spans="1:23" ht="21" x14ac:dyDescent="0.55000000000000004">
      <c r="A42" s="13" t="s">
        <v>108</v>
      </c>
      <c r="C42" s="14">
        <v>1250000</v>
      </c>
      <c r="E42" s="14">
        <v>8819935931</v>
      </c>
      <c r="G42" s="14">
        <v>10661186250</v>
      </c>
      <c r="I42" s="14">
        <v>0</v>
      </c>
      <c r="J42" s="14">
        <v>0</v>
      </c>
      <c r="L42" s="14">
        <v>0</v>
      </c>
      <c r="M42" s="14">
        <v>0</v>
      </c>
      <c r="N42" s="11"/>
      <c r="O42" s="14">
        <v>1250000</v>
      </c>
      <c r="Q42" s="14">
        <v>8480</v>
      </c>
      <c r="S42" s="14">
        <v>8819935931</v>
      </c>
      <c r="U42" s="14">
        <v>10561781250</v>
      </c>
      <c r="W42" s="15">
        <v>9.5878923772490104E-3</v>
      </c>
    </row>
    <row r="43" spans="1:23" ht="21" x14ac:dyDescent="0.55000000000000004">
      <c r="A43" s="13" t="s">
        <v>109</v>
      </c>
      <c r="C43" s="14">
        <v>800000</v>
      </c>
      <c r="E43" s="14">
        <v>12871934080</v>
      </c>
      <c r="G43" s="14">
        <v>11968362000</v>
      </c>
      <c r="I43" s="14">
        <v>0</v>
      </c>
      <c r="J43" s="14">
        <v>0</v>
      </c>
      <c r="L43" s="14">
        <v>0</v>
      </c>
      <c r="M43" s="14">
        <v>0</v>
      </c>
      <c r="N43" s="11"/>
      <c r="O43" s="14">
        <v>800000</v>
      </c>
      <c r="Q43" s="14">
        <v>13770</v>
      </c>
      <c r="S43" s="14">
        <v>12871934080</v>
      </c>
      <c r="U43" s="14">
        <v>10680073200</v>
      </c>
      <c r="W43" s="15">
        <v>9.6952767718741992E-3</v>
      </c>
    </row>
    <row r="44" spans="1:23" ht="21" x14ac:dyDescent="0.55000000000000004">
      <c r="A44" s="13" t="s">
        <v>110</v>
      </c>
      <c r="C44" s="14">
        <v>1621626</v>
      </c>
      <c r="E44" s="14">
        <v>9889816990</v>
      </c>
      <c r="G44" s="14">
        <v>9365588260</v>
      </c>
      <c r="I44" s="14">
        <v>800000</v>
      </c>
      <c r="J44" s="14">
        <v>4764417252</v>
      </c>
      <c r="L44" s="14">
        <v>0</v>
      </c>
      <c r="M44" s="14">
        <v>0</v>
      </c>
      <c r="O44" s="14">
        <v>2421626</v>
      </c>
      <c r="Q44" s="14">
        <v>5730</v>
      </c>
      <c r="S44" s="14">
        <v>14654234242</v>
      </c>
      <c r="U44" s="14">
        <v>13721138754</v>
      </c>
      <c r="W44" s="15">
        <v>1.2455929407423827E-2</v>
      </c>
    </row>
    <row r="45" spans="1:23" ht="21" x14ac:dyDescent="0.55000000000000004">
      <c r="A45" s="13" t="s">
        <v>111</v>
      </c>
      <c r="C45" s="14">
        <v>0</v>
      </c>
      <c r="D45" s="14"/>
      <c r="E45" s="14">
        <v>0</v>
      </c>
      <c r="F45" s="14"/>
      <c r="G45" s="14">
        <v>0</v>
      </c>
      <c r="H45" s="11"/>
      <c r="I45" s="14">
        <v>350000</v>
      </c>
      <c r="J45" s="14">
        <v>14363029800</v>
      </c>
      <c r="L45" s="14">
        <v>0</v>
      </c>
      <c r="M45" s="14">
        <v>0</v>
      </c>
      <c r="O45" s="14">
        <v>350000</v>
      </c>
      <c r="Q45" s="14">
        <v>40600</v>
      </c>
      <c r="S45" s="14">
        <v>14363029800</v>
      </c>
      <c r="U45" s="14">
        <v>14125450500</v>
      </c>
      <c r="W45" s="15">
        <v>1.2822960064066677E-2</v>
      </c>
    </row>
    <row r="46" spans="1:23" ht="21" x14ac:dyDescent="0.55000000000000004">
      <c r="A46" s="13" t="s">
        <v>112</v>
      </c>
      <c r="C46" s="14">
        <v>12320000</v>
      </c>
      <c r="E46" s="14">
        <v>67389428873</v>
      </c>
      <c r="G46" s="14">
        <v>102259911600</v>
      </c>
      <c r="I46" s="14">
        <v>0</v>
      </c>
      <c r="J46" s="14">
        <v>0</v>
      </c>
      <c r="L46" s="14">
        <v>1000000</v>
      </c>
      <c r="M46" s="14">
        <v>8617419289</v>
      </c>
      <c r="O46" s="14">
        <v>11320000</v>
      </c>
      <c r="Q46" s="14">
        <v>9080</v>
      </c>
      <c r="S46" s="14">
        <v>61919507698</v>
      </c>
      <c r="U46" s="14">
        <v>104312028420</v>
      </c>
      <c r="W46" s="15">
        <v>9.469354443820735E-2</v>
      </c>
    </row>
    <row r="47" spans="1:23" ht="21" x14ac:dyDescent="0.55000000000000004">
      <c r="A47" s="13" t="s">
        <v>113</v>
      </c>
      <c r="C47" s="14">
        <v>10000000</v>
      </c>
      <c r="E47" s="14">
        <v>37019592698</v>
      </c>
      <c r="G47" s="14">
        <v>48410235000</v>
      </c>
      <c r="I47" s="14">
        <v>0</v>
      </c>
      <c r="J47" s="14">
        <v>0</v>
      </c>
      <c r="L47" s="14">
        <v>0</v>
      </c>
      <c r="M47" s="14">
        <v>0</v>
      </c>
      <c r="N47" s="11"/>
      <c r="O47" s="14">
        <v>14200000</v>
      </c>
      <c r="Q47" s="14">
        <v>3437</v>
      </c>
      <c r="S47" s="14">
        <v>37019592698</v>
      </c>
      <c r="U47" s="14">
        <v>48515007870</v>
      </c>
      <c r="W47" s="15">
        <v>4.4041498600337771E-2</v>
      </c>
    </row>
    <row r="48" spans="1:23" ht="21" x14ac:dyDescent="0.55000000000000004">
      <c r="A48" s="13" t="s">
        <v>114</v>
      </c>
      <c r="C48" s="14">
        <v>600000</v>
      </c>
      <c r="E48" s="14">
        <v>10164067669</v>
      </c>
      <c r="G48" s="14">
        <v>8636306400</v>
      </c>
      <c r="I48" s="14">
        <v>0</v>
      </c>
      <c r="J48" s="14">
        <v>0</v>
      </c>
      <c r="L48" s="14">
        <v>200000</v>
      </c>
      <c r="M48" s="14">
        <v>2614598713</v>
      </c>
      <c r="O48" s="14">
        <v>400000</v>
      </c>
      <c r="Q48" s="14">
        <v>13270</v>
      </c>
      <c r="S48" s="14">
        <v>6776045113</v>
      </c>
      <c r="U48" s="14">
        <v>5224726800</v>
      </c>
      <c r="W48" s="15">
        <v>4.7429611609243107E-3</v>
      </c>
    </row>
    <row r="49" spans="1:23" ht="21" x14ac:dyDescent="0.55000000000000004">
      <c r="A49" s="13" t="s">
        <v>115</v>
      </c>
      <c r="C49" s="14">
        <v>650000</v>
      </c>
      <c r="E49" s="14">
        <v>10326401749</v>
      </c>
      <c r="G49" s="14">
        <v>12728810250</v>
      </c>
      <c r="I49" s="14">
        <v>0</v>
      </c>
      <c r="J49" s="14">
        <v>0</v>
      </c>
      <c r="L49" s="14">
        <v>0</v>
      </c>
      <c r="M49" s="14">
        <v>0</v>
      </c>
      <c r="N49" s="11"/>
      <c r="O49" s="14">
        <v>650000</v>
      </c>
      <c r="Q49" s="14">
        <v>17710</v>
      </c>
      <c r="S49" s="14">
        <v>10326401749</v>
      </c>
      <c r="U49" s="14">
        <v>11520542475</v>
      </c>
      <c r="W49" s="15">
        <v>1.0458247407635521E-2</v>
      </c>
    </row>
    <row r="50" spans="1:23" ht="21" x14ac:dyDescent="0.55000000000000004">
      <c r="A50" s="13" t="s">
        <v>116</v>
      </c>
      <c r="C50" s="14">
        <v>4688661</v>
      </c>
      <c r="E50" s="14">
        <v>12347277052</v>
      </c>
      <c r="G50" s="14">
        <v>14583528888</v>
      </c>
      <c r="I50" s="14">
        <v>0</v>
      </c>
      <c r="J50" s="14">
        <v>0</v>
      </c>
      <c r="L50" s="14">
        <v>0</v>
      </c>
      <c r="M50" s="14">
        <v>0</v>
      </c>
      <c r="N50" s="11"/>
      <c r="O50" s="14">
        <v>6485981</v>
      </c>
      <c r="Q50" s="14">
        <v>2306</v>
      </c>
      <c r="S50" s="14">
        <v>12347277052</v>
      </c>
      <c r="U50" s="14">
        <v>15441497644</v>
      </c>
      <c r="W50" s="15">
        <v>1.4017656117827298E-2</v>
      </c>
    </row>
    <row r="51" spans="1:23" ht="21" x14ac:dyDescent="0.55000000000000004">
      <c r="A51" s="13" t="s">
        <v>117</v>
      </c>
      <c r="C51" s="14">
        <v>607000</v>
      </c>
      <c r="E51" s="14">
        <v>21314456002</v>
      </c>
      <c r="G51" s="14">
        <v>33077749347</v>
      </c>
      <c r="I51" s="14">
        <v>0</v>
      </c>
      <c r="J51" s="14">
        <v>0</v>
      </c>
      <c r="L51" s="14">
        <v>107000</v>
      </c>
      <c r="M51" s="14">
        <v>6157421097</v>
      </c>
      <c r="O51" s="14">
        <v>500000</v>
      </c>
      <c r="Q51" s="14">
        <v>57800</v>
      </c>
      <c r="S51" s="14">
        <v>17557212522</v>
      </c>
      <c r="U51" s="14">
        <v>29269802250</v>
      </c>
      <c r="W51" s="15">
        <v>2.6570869745703257E-2</v>
      </c>
    </row>
    <row r="52" spans="1:23" ht="21" x14ac:dyDescent="0.55000000000000004">
      <c r="A52" s="13" t="s">
        <v>118</v>
      </c>
      <c r="C52" s="14">
        <v>2400000</v>
      </c>
      <c r="E52" s="14">
        <v>12743349120</v>
      </c>
      <c r="G52" s="14">
        <v>12095600400</v>
      </c>
      <c r="I52" s="14">
        <v>200000</v>
      </c>
      <c r="J52" s="14">
        <v>976405239</v>
      </c>
      <c r="L52" s="14">
        <v>0</v>
      </c>
      <c r="M52" s="14">
        <v>0</v>
      </c>
      <c r="O52" s="14">
        <v>3250000</v>
      </c>
      <c r="Q52" s="14">
        <v>3896</v>
      </c>
      <c r="S52" s="14">
        <v>13719754359</v>
      </c>
      <c r="U52" s="14">
        <v>12586661100</v>
      </c>
      <c r="W52" s="15">
        <v>1.1426060544068421E-2</v>
      </c>
    </row>
    <row r="53" spans="1:23" ht="21" x14ac:dyDescent="0.55000000000000004">
      <c r="A53" s="13" t="s">
        <v>119</v>
      </c>
      <c r="C53" s="14">
        <v>300000</v>
      </c>
      <c r="E53" s="14">
        <v>18534183747</v>
      </c>
      <c r="G53" s="14">
        <v>21969499050</v>
      </c>
      <c r="I53" s="14">
        <v>0</v>
      </c>
      <c r="J53" s="14">
        <v>0</v>
      </c>
      <c r="L53" s="14">
        <v>80000</v>
      </c>
      <c r="M53" s="14">
        <v>5912445118</v>
      </c>
      <c r="O53" s="14">
        <v>220000</v>
      </c>
      <c r="Q53" s="14">
        <v>78230</v>
      </c>
      <c r="S53" s="14">
        <v>13591734748</v>
      </c>
      <c r="U53" s="14">
        <v>17418738150</v>
      </c>
      <c r="W53" s="15">
        <v>1.5812577706026766E-2</v>
      </c>
    </row>
    <row r="54" spans="1:23" ht="21" x14ac:dyDescent="0.55000000000000004">
      <c r="A54" s="13" t="s">
        <v>120</v>
      </c>
      <c r="C54" s="14">
        <v>285000</v>
      </c>
      <c r="E54" s="14">
        <v>12204019862</v>
      </c>
      <c r="G54" s="14">
        <v>18445939717</v>
      </c>
      <c r="I54" s="14">
        <v>0</v>
      </c>
      <c r="J54" s="14">
        <v>0</v>
      </c>
      <c r="L54" s="14">
        <v>57971</v>
      </c>
      <c r="M54" s="14">
        <v>3706094373</v>
      </c>
      <c r="O54" s="14">
        <v>227029</v>
      </c>
      <c r="Q54" s="14">
        <v>64480</v>
      </c>
      <c r="S54" s="14">
        <v>9721636580</v>
      </c>
      <c r="U54" s="14">
        <v>14590094172</v>
      </c>
      <c r="W54" s="15">
        <v>1.3244759513937481E-2</v>
      </c>
    </row>
    <row r="55" spans="1:23" ht="21" x14ac:dyDescent="0.55000000000000004">
      <c r="A55" s="13" t="s">
        <v>121</v>
      </c>
      <c r="C55" s="14">
        <v>100000</v>
      </c>
      <c r="E55" s="14">
        <v>3261023424</v>
      </c>
      <c r="G55" s="14">
        <v>3695877900</v>
      </c>
      <c r="I55" s="14">
        <v>0</v>
      </c>
      <c r="J55" s="14">
        <v>0</v>
      </c>
      <c r="L55" s="14">
        <v>0</v>
      </c>
      <c r="M55" s="14">
        <v>0</v>
      </c>
      <c r="N55" s="11"/>
      <c r="O55" s="14">
        <v>100000</v>
      </c>
      <c r="Q55" s="14">
        <v>35520</v>
      </c>
      <c r="S55" s="14">
        <v>3261023424</v>
      </c>
      <c r="U55" s="14">
        <v>3509990550</v>
      </c>
      <c r="W55" s="15">
        <v>3.1863386337944713E-3</v>
      </c>
    </row>
    <row r="56" spans="1:23" ht="21" x14ac:dyDescent="0.55000000000000004">
      <c r="A56" s="13" t="s">
        <v>122</v>
      </c>
      <c r="C56" s="14">
        <v>138735</v>
      </c>
      <c r="E56" s="14">
        <v>24193498250</v>
      </c>
      <c r="G56" s="14">
        <v>36558436446</v>
      </c>
      <c r="I56" s="14">
        <v>0</v>
      </c>
      <c r="J56" s="14">
        <v>0</v>
      </c>
      <c r="L56" s="14">
        <v>0</v>
      </c>
      <c r="M56" s="14">
        <v>0</v>
      </c>
      <c r="N56" s="11"/>
      <c r="O56" s="14">
        <v>924900</v>
      </c>
      <c r="Q56" s="14">
        <v>44555</v>
      </c>
      <c r="S56" s="14">
        <v>24193498250</v>
      </c>
      <c r="U56" s="14">
        <v>40963726429</v>
      </c>
      <c r="W56" s="15">
        <v>3.7186511543431458E-2</v>
      </c>
    </row>
    <row r="57" spans="1:23" ht="21" x14ac:dyDescent="0.55000000000000004">
      <c r="A57" s="13" t="s">
        <v>123</v>
      </c>
      <c r="C57" s="14">
        <v>3800000</v>
      </c>
      <c r="E57" s="14">
        <v>8983290238</v>
      </c>
      <c r="G57" s="14">
        <v>12185860140</v>
      </c>
      <c r="I57" s="14">
        <v>0</v>
      </c>
      <c r="J57" s="14">
        <v>0</v>
      </c>
      <c r="L57" s="14">
        <v>0</v>
      </c>
      <c r="M57" s="14">
        <v>0</v>
      </c>
      <c r="N57" s="11"/>
      <c r="O57" s="14">
        <v>3800000</v>
      </c>
      <c r="Q57" s="14">
        <v>3508</v>
      </c>
      <c r="S57" s="14">
        <v>8983290238</v>
      </c>
      <c r="U57" s="14">
        <v>13258638900</v>
      </c>
      <c r="W57" s="15">
        <v>1.2036076096729157E-2</v>
      </c>
    </row>
    <row r="58" spans="1:23" ht="21" x14ac:dyDescent="0.55000000000000004">
      <c r="A58" s="13" t="s">
        <v>124</v>
      </c>
      <c r="C58" s="14">
        <v>128000</v>
      </c>
      <c r="E58" s="14">
        <v>17760573980</v>
      </c>
      <c r="G58" s="14">
        <v>31077979200</v>
      </c>
      <c r="I58" s="14">
        <v>0</v>
      </c>
      <c r="J58" s="14">
        <v>0</v>
      </c>
      <c r="L58" s="14">
        <v>20000</v>
      </c>
      <c r="M58" s="14">
        <v>4904535772</v>
      </c>
      <c r="O58" s="14">
        <v>108000</v>
      </c>
      <c r="Q58" s="14">
        <v>253380</v>
      </c>
      <c r="S58" s="14">
        <v>14985484296</v>
      </c>
      <c r="U58" s="14">
        <v>27836700246</v>
      </c>
      <c r="W58" s="15">
        <v>2.5269912316768447E-2</v>
      </c>
    </row>
    <row r="59" spans="1:23" ht="21" x14ac:dyDescent="0.55000000000000004">
      <c r="A59" s="13" t="s">
        <v>125</v>
      </c>
      <c r="C59" s="14">
        <v>1218099</v>
      </c>
      <c r="E59" s="14">
        <v>13852230236</v>
      </c>
      <c r="G59" s="14">
        <v>21758998058</v>
      </c>
      <c r="I59" s="14">
        <v>200000</v>
      </c>
      <c r="J59" s="14">
        <v>3710940548</v>
      </c>
      <c r="L59" s="14">
        <v>300000</v>
      </c>
      <c r="M59" s="14">
        <v>5245904839</v>
      </c>
      <c r="O59" s="14">
        <v>1118099</v>
      </c>
      <c r="Q59" s="14">
        <v>17240</v>
      </c>
      <c r="S59" s="14">
        <v>13847667681</v>
      </c>
      <c r="U59" s="14">
        <v>19528111683</v>
      </c>
      <c r="W59" s="15">
        <v>1.7727448497146542E-2</v>
      </c>
    </row>
    <row r="60" spans="1:23" ht="21" x14ac:dyDescent="0.55000000000000004">
      <c r="A60" s="13" t="s">
        <v>126</v>
      </c>
      <c r="C60" s="14">
        <v>560000</v>
      </c>
      <c r="E60" s="14">
        <v>17515657869</v>
      </c>
      <c r="G60" s="14">
        <v>20318382000</v>
      </c>
      <c r="I60" s="14">
        <v>0</v>
      </c>
      <c r="J60" s="14">
        <v>0</v>
      </c>
      <c r="L60" s="14">
        <v>210000</v>
      </c>
      <c r="M60" s="14">
        <v>6431163739</v>
      </c>
      <c r="O60" s="14">
        <v>350000</v>
      </c>
      <c r="Q60" s="14">
        <v>29900</v>
      </c>
      <c r="S60" s="14">
        <v>10947286168</v>
      </c>
      <c r="U60" s="14">
        <v>10402733250</v>
      </c>
      <c r="W60" s="15">
        <v>9.4435099979210246E-3</v>
      </c>
    </row>
    <row r="61" spans="1:23" ht="21" x14ac:dyDescent="0.55000000000000004">
      <c r="A61" s="13" t="s">
        <v>127</v>
      </c>
      <c r="C61" s="14">
        <v>3600000</v>
      </c>
      <c r="E61" s="14">
        <v>18948298801</v>
      </c>
      <c r="G61" s="14">
        <v>24727987800</v>
      </c>
      <c r="I61" s="14">
        <v>0</v>
      </c>
      <c r="J61" s="14">
        <v>0</v>
      </c>
      <c r="L61" s="14">
        <v>0</v>
      </c>
      <c r="M61" s="14">
        <v>0</v>
      </c>
      <c r="N61" s="11"/>
      <c r="O61" s="14">
        <v>3600000</v>
      </c>
      <c r="Q61" s="14">
        <v>6770</v>
      </c>
      <c r="S61" s="14">
        <v>18948298801</v>
      </c>
      <c r="U61" s="14">
        <v>24226986600</v>
      </c>
      <c r="W61" s="15">
        <v>2.1993045931135331E-2</v>
      </c>
    </row>
    <row r="62" spans="1:23" ht="21" x14ac:dyDescent="0.55000000000000004">
      <c r="A62" s="13" t="s">
        <v>128</v>
      </c>
      <c r="C62" s="14">
        <v>6000000</v>
      </c>
      <c r="E62" s="14">
        <v>21649634061</v>
      </c>
      <c r="G62" s="14">
        <v>20028119400</v>
      </c>
      <c r="I62" s="14">
        <v>800000</v>
      </c>
      <c r="J62" s="14">
        <v>2873864397</v>
      </c>
      <c r="L62" s="14">
        <v>1200000</v>
      </c>
      <c r="M62" s="14">
        <v>3796872247</v>
      </c>
      <c r="O62" s="14">
        <v>5600000</v>
      </c>
      <c r="Q62" s="14">
        <v>3217</v>
      </c>
      <c r="S62" s="14">
        <v>20195822260</v>
      </c>
      <c r="U62" s="14">
        <v>17980376400</v>
      </c>
      <c r="W62" s="15">
        <v>1.6322427983028714E-2</v>
      </c>
    </row>
    <row r="63" spans="1:23" ht="21" x14ac:dyDescent="0.55000000000000004">
      <c r="A63" s="13" t="s">
        <v>129</v>
      </c>
      <c r="C63" s="14">
        <v>6286264</v>
      </c>
      <c r="E63" s="14">
        <v>16102955538</v>
      </c>
      <c r="G63" s="14">
        <v>17809253078</v>
      </c>
      <c r="I63" s="14">
        <v>0</v>
      </c>
      <c r="J63" s="14">
        <v>0</v>
      </c>
      <c r="L63" s="14">
        <v>0</v>
      </c>
      <c r="M63" s="14">
        <v>0</v>
      </c>
      <c r="N63" s="11"/>
      <c r="O63" s="14">
        <v>6710221</v>
      </c>
      <c r="Q63" s="14">
        <v>2327</v>
      </c>
      <c r="S63" s="14">
        <v>14478267197</v>
      </c>
      <c r="U63" s="14">
        <v>15521776896</v>
      </c>
      <c r="W63" s="15">
        <v>1.4090532918632281E-2</v>
      </c>
    </row>
    <row r="64" spans="1:23" ht="21" x14ac:dyDescent="0.55000000000000004">
      <c r="A64" s="13" t="s">
        <v>130</v>
      </c>
      <c r="C64" s="14">
        <v>0</v>
      </c>
      <c r="D64" s="14"/>
      <c r="E64" s="14">
        <v>0</v>
      </c>
      <c r="F64" s="14"/>
      <c r="G64" s="14">
        <v>0</v>
      </c>
      <c r="H64" s="11"/>
      <c r="I64" s="14">
        <v>0</v>
      </c>
      <c r="J64" s="14">
        <v>0</v>
      </c>
      <c r="L64" s="14">
        <v>0</v>
      </c>
      <c r="M64" s="14">
        <v>0</v>
      </c>
      <c r="N64" s="11"/>
      <c r="O64" s="14">
        <v>1403444</v>
      </c>
      <c r="Q64" s="14">
        <v>1327</v>
      </c>
      <c r="S64" s="14">
        <v>1624688341</v>
      </c>
      <c r="U64" s="14">
        <v>1851289085</v>
      </c>
      <c r="W64" s="15">
        <v>1.6805839929846867E-3</v>
      </c>
    </row>
    <row r="65" spans="1:23" ht="21.75" thickBot="1" x14ac:dyDescent="0.6">
      <c r="A65" s="16" t="s">
        <v>9</v>
      </c>
      <c r="C65" s="14"/>
      <c r="E65" s="16">
        <f>SUM(E11:E64)</f>
        <v>869863109250</v>
      </c>
      <c r="G65" s="16">
        <f>SUM(G11:G64)</f>
        <v>1101414772276</v>
      </c>
      <c r="I65" s="14"/>
      <c r="J65" s="16">
        <f>SUM(J11:J64)</f>
        <v>30075797570</v>
      </c>
      <c r="L65" s="14"/>
      <c r="M65" s="16">
        <f>SUM(M11:M64)</f>
        <v>122214795020</v>
      </c>
      <c r="O65" s="14"/>
      <c r="Q65" s="14"/>
      <c r="S65" s="16">
        <f>SUM(S11:S64)</f>
        <v>789375930931</v>
      </c>
      <c r="U65" s="16">
        <f>SUM(U11:U64)</f>
        <v>1011814854927</v>
      </c>
      <c r="W65" s="18">
        <f>SUM(W11:W64)</f>
        <v>0.91851665028016916</v>
      </c>
    </row>
    <row r="66" spans="1:23" ht="21.75" thickTop="1" x14ac:dyDescent="0.55000000000000004">
      <c r="C66" s="14"/>
      <c r="E66" s="17"/>
      <c r="G66" s="17"/>
      <c r="I66" s="14"/>
      <c r="J66" s="17"/>
      <c r="L66" s="14"/>
      <c r="M66" s="17"/>
      <c r="O66" s="14"/>
      <c r="Q66" s="14"/>
      <c r="S66" s="17"/>
      <c r="U66" s="17"/>
      <c r="W66" s="17"/>
    </row>
  </sheetData>
  <mergeCells count="19">
    <mergeCell ref="C8:G8"/>
    <mergeCell ref="I8:M8"/>
    <mergeCell ref="O8:W8"/>
    <mergeCell ref="A1:W1"/>
    <mergeCell ref="A2:W2"/>
    <mergeCell ref="A3:W3"/>
    <mergeCell ref="A5:W5"/>
    <mergeCell ref="A6:W6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7" right="0.7" top="0.75" bottom="0.75" header="0.3" footer="0.3"/>
  <pageSetup paperSize="9" scale="6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943F-B153-4390-B4CD-290EBB9165A4}">
  <sheetPr>
    <pageSetUpPr fitToPage="1"/>
  </sheetPr>
  <dimension ref="A1:S13"/>
  <sheetViews>
    <sheetView rightToLeft="1" view="pageBreakPreview" zoomScale="60" zoomScaleNormal="100" workbookViewId="0">
      <selection activeCell="A2" sqref="A2:S2"/>
    </sheetView>
  </sheetViews>
  <sheetFormatPr defaultColWidth="8.85546875" defaultRowHeight="19.5" x14ac:dyDescent="0.55000000000000004"/>
  <cols>
    <col min="1" max="1" width="21.285156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9.8554687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0" width="1.42578125" style="1" customWidth="1"/>
    <col min="11" max="11" width="18.425781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8.42578125" style="1" customWidth="1"/>
    <col min="18" max="18" width="1.42578125" style="1" customWidth="1"/>
    <col min="19" max="19" width="10.5703125" style="1" customWidth="1"/>
    <col min="20" max="16384" width="8.85546875" style="1"/>
  </cols>
  <sheetData>
    <row r="1" spans="1:19" ht="19.899999999999999" customHeight="1" x14ac:dyDescent="0.55000000000000004">
      <c r="A1" s="49" t="s">
        <v>71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ht="19.899999999999999" customHeight="1" x14ac:dyDescent="0.55000000000000004">
      <c r="A2" s="4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5" spans="1:19" ht="21" x14ac:dyDescent="0.55000000000000004">
      <c r="A5" s="50" t="s">
        <v>63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</row>
    <row r="7" spans="1:19" ht="21" x14ac:dyDescent="0.55000000000000004">
      <c r="C7" s="51" t="s">
        <v>13</v>
      </c>
      <c r="D7" s="52"/>
      <c r="E7" s="52"/>
      <c r="F7" s="52"/>
      <c r="G7" s="52"/>
      <c r="H7" s="52"/>
      <c r="I7" s="52"/>
      <c r="K7" s="8" t="s">
        <v>2</v>
      </c>
      <c r="M7" s="51" t="s">
        <v>62</v>
      </c>
      <c r="N7" s="52"/>
      <c r="O7" s="52"/>
      <c r="Q7" s="51" t="s">
        <v>3</v>
      </c>
      <c r="R7" s="52"/>
      <c r="S7" s="52"/>
    </row>
    <row r="8" spans="1:19" ht="63" x14ac:dyDescent="0.55000000000000004">
      <c r="A8" s="8" t="s">
        <v>14</v>
      </c>
      <c r="C8" s="8" t="s">
        <v>15</v>
      </c>
      <c r="E8" s="8" t="s">
        <v>16</v>
      </c>
      <c r="G8" s="9" t="s">
        <v>17</v>
      </c>
      <c r="I8" s="9" t="s">
        <v>18</v>
      </c>
      <c r="K8" s="8" t="s">
        <v>19</v>
      </c>
      <c r="M8" s="8" t="s">
        <v>20</v>
      </c>
      <c r="O8" s="8" t="s">
        <v>21</v>
      </c>
      <c r="Q8" s="8" t="s">
        <v>19</v>
      </c>
      <c r="S8" s="9" t="s">
        <v>7</v>
      </c>
    </row>
    <row r="9" spans="1:19" ht="42" x14ac:dyDescent="0.55000000000000004">
      <c r="A9" s="5" t="s">
        <v>24</v>
      </c>
      <c r="C9" s="6" t="s">
        <v>142</v>
      </c>
      <c r="E9" s="7" t="s">
        <v>22</v>
      </c>
      <c r="G9" s="6" t="s">
        <v>141</v>
      </c>
      <c r="I9" s="6">
        <v>10</v>
      </c>
      <c r="K9" s="3">
        <v>1910962763</v>
      </c>
      <c r="M9" s="3">
        <v>107595216223</v>
      </c>
      <c r="O9" s="3">
        <v>100673303361</v>
      </c>
      <c r="Q9" s="3">
        <v>8832875625</v>
      </c>
      <c r="S9" s="4">
        <v>8.0184070157792841E-3</v>
      </c>
    </row>
    <row r="10" spans="1:19" ht="42" x14ac:dyDescent="0.55000000000000004">
      <c r="A10" s="5" t="s">
        <v>25</v>
      </c>
      <c r="C10" s="6" t="s">
        <v>140</v>
      </c>
      <c r="E10" s="7" t="s">
        <v>139</v>
      </c>
      <c r="G10" s="6" t="s">
        <v>138</v>
      </c>
      <c r="I10" s="6" t="s">
        <v>23</v>
      </c>
      <c r="K10" s="3">
        <v>156818</v>
      </c>
      <c r="M10" s="3">
        <v>0</v>
      </c>
      <c r="N10" s="3"/>
      <c r="O10" s="3">
        <v>0</v>
      </c>
      <c r="P10" s="6"/>
      <c r="Q10" s="3">
        <v>156818</v>
      </c>
      <c r="S10" s="4">
        <v>1.4235800488818448E-7</v>
      </c>
    </row>
    <row r="11" spans="1:19" ht="42" x14ac:dyDescent="0.55000000000000004">
      <c r="A11" s="5" t="s">
        <v>25</v>
      </c>
      <c r="C11" s="6" t="s">
        <v>137</v>
      </c>
      <c r="E11" s="7" t="s">
        <v>22</v>
      </c>
      <c r="G11" s="6" t="s">
        <v>136</v>
      </c>
      <c r="I11" s="6" t="s">
        <v>11</v>
      </c>
      <c r="K11" s="3">
        <v>38611298589</v>
      </c>
      <c r="M11" s="3">
        <v>128467251353</v>
      </c>
      <c r="O11" s="3">
        <v>100306830000</v>
      </c>
      <c r="Q11" s="3">
        <v>66771719942</v>
      </c>
      <c r="S11" s="4">
        <v>6.0614781682560175E-2</v>
      </c>
    </row>
    <row r="12" spans="1:19" ht="21.75" thickBot="1" x14ac:dyDescent="0.6">
      <c r="A12" s="19" t="s">
        <v>9</v>
      </c>
      <c r="K12" s="19">
        <f>SUM(K9:$K$11)</f>
        <v>40522418170</v>
      </c>
      <c r="M12" s="19">
        <f>SUM(M9:$M$11)</f>
        <v>236062467576</v>
      </c>
      <c r="O12" s="19">
        <f>SUM(O9:$O$11)</f>
        <v>200980133361</v>
      </c>
      <c r="Q12" s="19">
        <f>SUM(Q9:$Q$11)</f>
        <v>75604752385</v>
      </c>
      <c r="S12" s="20">
        <f>SUM(S9:$S$11)</f>
        <v>6.8633331056344352E-2</v>
      </c>
    </row>
    <row r="13" spans="1:19" ht="21.75" thickTop="1" x14ac:dyDescent="0.55000000000000004">
      <c r="K13" s="2"/>
      <c r="M13" s="2"/>
      <c r="O13" s="2"/>
      <c r="Q13" s="2"/>
      <c r="S13" s="2"/>
    </row>
  </sheetData>
  <mergeCells count="7">
    <mergeCell ref="A1:S1"/>
    <mergeCell ref="A2:S2"/>
    <mergeCell ref="A3:S3"/>
    <mergeCell ref="A5:S5"/>
    <mergeCell ref="C7:I7"/>
    <mergeCell ref="M7:O7"/>
    <mergeCell ref="Q7:S7"/>
  </mergeCells>
  <pageMargins left="0.7" right="0.7" top="0.75" bottom="0.75" header="0.3" footer="0.3"/>
  <pageSetup paperSize="9" scale="77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3B9E-370D-46D7-A415-A6CB6904CE8B}">
  <sheetPr>
    <pageSetUpPr fitToPage="1"/>
  </sheetPr>
  <dimension ref="A1:I12"/>
  <sheetViews>
    <sheetView rightToLeft="1" view="pageBreakPreview" zoomScale="60" zoomScaleNormal="100" workbookViewId="0">
      <selection activeCell="O7" sqref="O7"/>
    </sheetView>
  </sheetViews>
  <sheetFormatPr defaultColWidth="8.85546875" defaultRowHeight="19.5" x14ac:dyDescent="0.55000000000000004"/>
  <cols>
    <col min="1" max="1" width="49.7109375" style="23" customWidth="1"/>
    <col min="2" max="2" width="1.42578125" style="23" customWidth="1"/>
    <col min="3" max="3" width="11.42578125" style="23" customWidth="1"/>
    <col min="4" max="4" width="1.42578125" style="23" customWidth="1"/>
    <col min="5" max="5" width="21.28515625" style="23" customWidth="1"/>
    <col min="6" max="6" width="1.42578125" style="23" customWidth="1"/>
    <col min="7" max="7" width="11.42578125" style="23" customWidth="1"/>
    <col min="8" max="8" width="1.42578125" style="23" customWidth="1"/>
    <col min="9" max="9" width="11.42578125" style="23" customWidth="1"/>
    <col min="10" max="16384" width="8.85546875" style="23"/>
  </cols>
  <sheetData>
    <row r="1" spans="1:9" ht="19.899999999999999" customHeight="1" x14ac:dyDescent="0.55000000000000004">
      <c r="A1" s="53" t="s">
        <v>71</v>
      </c>
      <c r="B1" s="54"/>
      <c r="C1" s="54"/>
      <c r="D1" s="54"/>
      <c r="E1" s="54"/>
      <c r="F1" s="54"/>
      <c r="G1" s="54"/>
      <c r="H1" s="54"/>
      <c r="I1" s="54"/>
    </row>
    <row r="2" spans="1:9" ht="19.899999999999999" customHeight="1" x14ac:dyDescent="0.55000000000000004">
      <c r="A2" s="53" t="s">
        <v>26</v>
      </c>
      <c r="B2" s="54"/>
      <c r="C2" s="54"/>
      <c r="D2" s="54"/>
      <c r="E2" s="54"/>
      <c r="F2" s="54"/>
      <c r="G2" s="54"/>
      <c r="H2" s="54"/>
      <c r="I2" s="54"/>
    </row>
    <row r="3" spans="1:9" ht="19.899999999999999" customHeight="1" x14ac:dyDescent="0.55000000000000004">
      <c r="A3" s="53" t="s">
        <v>1</v>
      </c>
      <c r="B3" s="54"/>
      <c r="C3" s="54"/>
      <c r="D3" s="54"/>
      <c r="E3" s="54"/>
      <c r="F3" s="54"/>
      <c r="G3" s="54"/>
      <c r="H3" s="54"/>
      <c r="I3" s="54"/>
    </row>
    <row r="5" spans="1:9" ht="21" x14ac:dyDescent="0.55000000000000004">
      <c r="A5" s="55" t="s">
        <v>27</v>
      </c>
      <c r="B5" s="54"/>
      <c r="C5" s="54"/>
      <c r="D5" s="54"/>
      <c r="E5" s="54"/>
      <c r="F5" s="54"/>
      <c r="G5" s="54"/>
      <c r="H5" s="54"/>
      <c r="I5" s="54"/>
    </row>
    <row r="7" spans="1:9" ht="63" x14ac:dyDescent="0.55000000000000004">
      <c r="A7" s="25" t="s">
        <v>28</v>
      </c>
      <c r="C7" s="25" t="s">
        <v>29</v>
      </c>
      <c r="E7" s="25" t="s">
        <v>19</v>
      </c>
      <c r="G7" s="26" t="s">
        <v>30</v>
      </c>
      <c r="I7" s="26" t="s">
        <v>31</v>
      </c>
    </row>
    <row r="8" spans="1:9" ht="21" x14ac:dyDescent="0.55000000000000004">
      <c r="A8" s="24" t="s">
        <v>143</v>
      </c>
      <c r="C8" s="27" t="s">
        <v>69</v>
      </c>
      <c r="E8" s="28">
        <f>'4'!S117</f>
        <v>63533626943</v>
      </c>
      <c r="G8" s="29">
        <f>E8/$E$11</f>
        <v>0.95064891416228103</v>
      </c>
      <c r="I8" s="29">
        <v>5.7675269260644084E-2</v>
      </c>
    </row>
    <row r="9" spans="1:9" ht="21" x14ac:dyDescent="0.55000000000000004">
      <c r="A9" s="24" t="s">
        <v>33</v>
      </c>
      <c r="C9" s="27" t="s">
        <v>32</v>
      </c>
      <c r="E9" s="28">
        <f>'5'!I11</f>
        <v>3248493566</v>
      </c>
      <c r="G9" s="29">
        <f t="shared" ref="G9:G10" si="0">E9/$E$11</f>
        <v>4.8606966574592909E-2</v>
      </c>
      <c r="I9" s="29">
        <v>2.9489539654112655E-3</v>
      </c>
    </row>
    <row r="10" spans="1:9" ht="21" x14ac:dyDescent="0.55000000000000004">
      <c r="A10" s="24" t="s">
        <v>34</v>
      </c>
      <c r="C10" s="27" t="s">
        <v>70</v>
      </c>
      <c r="E10" s="28">
        <f>'6'!$E$10</f>
        <v>49730868</v>
      </c>
      <c r="G10" s="29">
        <f t="shared" si="0"/>
        <v>7.4411926312600613E-4</v>
      </c>
      <c r="I10" s="29">
        <v>4.5145245761568555E-5</v>
      </c>
    </row>
    <row r="11" spans="1:9" ht="21.75" thickBot="1" x14ac:dyDescent="0.6">
      <c r="A11" s="33" t="s">
        <v>9</v>
      </c>
      <c r="E11" s="30">
        <f>SUM(E8:$E$10)</f>
        <v>66831851377</v>
      </c>
      <c r="G11" s="34">
        <f>SUM(G8:$G$10)</f>
        <v>1</v>
      </c>
      <c r="I11" s="31">
        <f>SUM(I8:$I$10)</f>
        <v>6.0669368471816913E-2</v>
      </c>
    </row>
    <row r="12" spans="1:9" ht="21.75" thickTop="1" x14ac:dyDescent="0.55000000000000004">
      <c r="E12" s="32"/>
      <c r="G12" s="32"/>
      <c r="I12" s="32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8612-C0AB-4537-8BCC-61265BB9A2B0}">
  <sheetPr>
    <pageSetUpPr fitToPage="1"/>
  </sheetPr>
  <dimension ref="A1:U118"/>
  <sheetViews>
    <sheetView rightToLeft="1" view="pageBreakPreview" zoomScale="55" zoomScaleNormal="56" zoomScaleSheetLayoutView="55" workbookViewId="0">
      <selection activeCell="Q117" sqref="Q117"/>
    </sheetView>
  </sheetViews>
  <sheetFormatPr defaultColWidth="8.85546875" defaultRowHeight="19.5" x14ac:dyDescent="0.55000000000000004"/>
  <cols>
    <col min="1" max="1" width="36.8554687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0.570312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8" width="1.42578125" style="1" customWidth="1"/>
    <col min="19" max="19" width="17" style="1" customWidth="1"/>
    <col min="20" max="20" width="1.42578125" style="1" customWidth="1"/>
    <col min="21" max="21" width="10.5703125" style="1" customWidth="1"/>
    <col min="22" max="16384" width="8.85546875" style="1"/>
  </cols>
  <sheetData>
    <row r="1" spans="1:21" ht="19.899999999999999" customHeight="1" x14ac:dyDescent="0.55000000000000004">
      <c r="A1" s="49" t="s">
        <v>71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ht="19.899999999999999" customHeight="1" x14ac:dyDescent="0.55000000000000004">
      <c r="A2" s="49" t="s">
        <v>26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</row>
    <row r="5" spans="1:21" ht="21" x14ac:dyDescent="0.55000000000000004">
      <c r="A5" s="50" t="s">
        <v>193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</row>
    <row r="7" spans="1:21" ht="21" x14ac:dyDescent="0.55000000000000004">
      <c r="C7" s="51" t="s">
        <v>65</v>
      </c>
      <c r="D7" s="52"/>
      <c r="E7" s="52"/>
      <c r="F7" s="52"/>
      <c r="G7" s="52"/>
      <c r="H7" s="52"/>
      <c r="I7" s="52"/>
      <c r="J7" s="52"/>
      <c r="K7" s="52"/>
      <c r="M7" s="51" t="s">
        <v>64</v>
      </c>
      <c r="N7" s="52"/>
      <c r="O7" s="52"/>
      <c r="P7" s="52"/>
      <c r="Q7" s="52"/>
      <c r="R7" s="52"/>
      <c r="S7" s="52"/>
      <c r="T7" s="52"/>
      <c r="U7" s="52"/>
    </row>
    <row r="8" spans="1:21" ht="63" x14ac:dyDescent="0.55000000000000004">
      <c r="A8" s="8" t="s">
        <v>192</v>
      </c>
      <c r="C8" s="9" t="s">
        <v>153</v>
      </c>
      <c r="E8" s="9" t="s">
        <v>45</v>
      </c>
      <c r="G8" s="9" t="s">
        <v>46</v>
      </c>
      <c r="I8" s="9" t="s">
        <v>191</v>
      </c>
      <c r="K8" s="9" t="s">
        <v>190</v>
      </c>
      <c r="M8" s="9" t="s">
        <v>153</v>
      </c>
      <c r="O8" s="9" t="s">
        <v>45</v>
      </c>
      <c r="Q8" s="9" t="s">
        <v>46</v>
      </c>
      <c r="S8" s="9" t="s">
        <v>191</v>
      </c>
      <c r="U8" s="9" t="s">
        <v>190</v>
      </c>
    </row>
    <row r="9" spans="1:21" ht="21" x14ac:dyDescent="0.55000000000000004">
      <c r="A9" s="7" t="s">
        <v>77</v>
      </c>
      <c r="C9" s="3">
        <v>0</v>
      </c>
      <c r="E9" s="3">
        <v>-395659063</v>
      </c>
      <c r="G9" s="3">
        <v>299217430</v>
      </c>
      <c r="I9" s="3">
        <f>C9+E9+G9</f>
        <v>-96441633</v>
      </c>
      <c r="K9" s="4">
        <v>-8.1267056468378642E-3</v>
      </c>
      <c r="M9" s="3">
        <v>0</v>
      </c>
      <c r="O9" s="3">
        <v>71439405</v>
      </c>
      <c r="Q9" s="3">
        <v>299217430</v>
      </c>
      <c r="S9" s="3">
        <f>M9+O9+Q9</f>
        <v>370656835</v>
      </c>
      <c r="U9" s="4">
        <v>5.546110535066825E-3</v>
      </c>
    </row>
    <row r="10" spans="1:21" ht="21" x14ac:dyDescent="0.55000000000000004">
      <c r="A10" s="7" t="s">
        <v>78</v>
      </c>
      <c r="C10" s="3">
        <v>0</v>
      </c>
      <c r="E10" s="3">
        <v>-155071800</v>
      </c>
      <c r="G10" s="3">
        <v>0</v>
      </c>
      <c r="I10" s="3">
        <f t="shared" ref="I10:I73" si="0">C10+E10+G10</f>
        <v>-155071800</v>
      </c>
      <c r="K10" s="4">
        <v>-1.3067207942500433E-2</v>
      </c>
      <c r="M10" s="3">
        <v>0</v>
      </c>
      <c r="O10" s="3">
        <v>9063187</v>
      </c>
      <c r="Q10" s="3">
        <v>196012800</v>
      </c>
      <c r="S10" s="3">
        <f t="shared" ref="S10:S73" si="1">M10+O10+Q10</f>
        <v>205075987</v>
      </c>
      <c r="U10" s="4">
        <v>3.0685366748732078E-3</v>
      </c>
    </row>
    <row r="11" spans="1:21" ht="21" x14ac:dyDescent="0.55000000000000004">
      <c r="A11" s="7" t="s">
        <v>81</v>
      </c>
      <c r="C11" s="3">
        <v>0</v>
      </c>
      <c r="E11" s="3">
        <v>3694547850</v>
      </c>
      <c r="G11" s="3">
        <v>0</v>
      </c>
      <c r="I11" s="3">
        <f t="shared" si="0"/>
        <v>3694547850</v>
      </c>
      <c r="K11" s="4">
        <v>0.31132304525689325</v>
      </c>
      <c r="M11" s="3">
        <v>0</v>
      </c>
      <c r="O11" s="3">
        <v>3164560736</v>
      </c>
      <c r="Q11" s="3">
        <v>0</v>
      </c>
      <c r="S11" s="3">
        <f t="shared" si="1"/>
        <v>3164560736</v>
      </c>
      <c r="U11" s="4">
        <v>4.7351085908852661E-2</v>
      </c>
    </row>
    <row r="12" spans="1:21" ht="21" x14ac:dyDescent="0.55000000000000004">
      <c r="A12" s="7" t="s">
        <v>189</v>
      </c>
      <c r="C12" s="3">
        <v>0</v>
      </c>
      <c r="E12" s="3">
        <v>-206671860</v>
      </c>
      <c r="G12" s="3">
        <v>0</v>
      </c>
      <c r="I12" s="3">
        <f t="shared" si="0"/>
        <v>-206671860</v>
      </c>
      <c r="K12" s="4">
        <v>-1.7415314521939756E-2</v>
      </c>
      <c r="M12" s="3">
        <v>0</v>
      </c>
      <c r="O12" s="3">
        <v>-809176014</v>
      </c>
      <c r="Q12" s="3">
        <v>0</v>
      </c>
      <c r="S12" s="3">
        <f t="shared" si="1"/>
        <v>-809176014</v>
      </c>
      <c r="U12" s="4">
        <v>-1.2107640254276656E-2</v>
      </c>
    </row>
    <row r="13" spans="1:21" ht="21" x14ac:dyDescent="0.55000000000000004">
      <c r="A13" s="7" t="s">
        <v>82</v>
      </c>
      <c r="C13" s="3">
        <v>0</v>
      </c>
      <c r="E13" s="3">
        <v>1033812000</v>
      </c>
      <c r="G13" s="3">
        <v>0</v>
      </c>
      <c r="I13" s="3">
        <f t="shared" si="0"/>
        <v>1033812000</v>
      </c>
      <c r="K13" s="4">
        <v>8.7114719616669556E-2</v>
      </c>
      <c r="M13" s="3">
        <v>0</v>
      </c>
      <c r="O13" s="3">
        <v>-1153098000</v>
      </c>
      <c r="Q13" s="3">
        <v>0</v>
      </c>
      <c r="S13" s="3">
        <f t="shared" si="1"/>
        <v>-1153098000</v>
      </c>
      <c r="U13" s="4">
        <v>-1.7253719240775598E-2</v>
      </c>
    </row>
    <row r="14" spans="1:21" ht="21" x14ac:dyDescent="0.55000000000000004">
      <c r="A14" s="7" t="s">
        <v>188</v>
      </c>
      <c r="C14" s="3">
        <v>0</v>
      </c>
      <c r="E14" s="3">
        <v>-2053559117</v>
      </c>
      <c r="G14" s="3">
        <v>0</v>
      </c>
      <c r="I14" s="3">
        <f t="shared" si="0"/>
        <v>-2053559117</v>
      </c>
      <c r="K14" s="4">
        <v>-0.17304425436511717</v>
      </c>
      <c r="M14" s="3">
        <v>0</v>
      </c>
      <c r="O14" s="3">
        <v>-2910307069</v>
      </c>
      <c r="Q14" s="3">
        <v>0</v>
      </c>
      <c r="S14" s="3">
        <f t="shared" si="1"/>
        <v>-2910307069</v>
      </c>
      <c r="U14" s="4">
        <v>-4.3546707281575836E-2</v>
      </c>
    </row>
    <row r="15" spans="1:21" ht="21" x14ac:dyDescent="0.55000000000000004">
      <c r="A15" s="7" t="s">
        <v>84</v>
      </c>
      <c r="C15" s="3">
        <v>0</v>
      </c>
      <c r="E15" s="3">
        <v>9245824053</v>
      </c>
      <c r="G15" s="3">
        <v>0</v>
      </c>
      <c r="I15" s="3">
        <f t="shared" si="0"/>
        <v>9245824053</v>
      </c>
      <c r="K15" s="4">
        <v>0.7791042955606573</v>
      </c>
      <c r="M15" s="3">
        <v>0</v>
      </c>
      <c r="O15" s="3">
        <v>6579781953</v>
      </c>
      <c r="Q15" s="3">
        <v>0</v>
      </c>
      <c r="S15" s="3">
        <f t="shared" si="1"/>
        <v>6579781953</v>
      </c>
      <c r="U15" s="4">
        <v>9.8452785871265186E-2</v>
      </c>
    </row>
    <row r="16" spans="1:21" ht="21" x14ac:dyDescent="0.55000000000000004">
      <c r="A16" s="7" t="s">
        <v>85</v>
      </c>
      <c r="C16" s="3">
        <v>0</v>
      </c>
      <c r="E16" s="3">
        <v>-228134475</v>
      </c>
      <c r="G16" s="3">
        <v>0</v>
      </c>
      <c r="I16" s="3">
        <f t="shared" si="0"/>
        <v>-228134475</v>
      </c>
      <c r="K16" s="4">
        <v>-1.9223873223101599E-2</v>
      </c>
      <c r="M16" s="3">
        <v>952000000</v>
      </c>
      <c r="O16" s="3">
        <v>-2436814170</v>
      </c>
      <c r="Q16" s="3">
        <v>0</v>
      </c>
      <c r="S16" s="3">
        <f t="shared" si="1"/>
        <v>-1484814170</v>
      </c>
      <c r="U16" s="4">
        <v>-2.2217163514207161E-2</v>
      </c>
    </row>
    <row r="17" spans="1:21" ht="21" x14ac:dyDescent="0.55000000000000004">
      <c r="A17" s="7" t="s">
        <v>187</v>
      </c>
      <c r="C17" s="3">
        <v>0</v>
      </c>
      <c r="E17" s="3">
        <v>-408866758</v>
      </c>
      <c r="G17" s="3">
        <v>0</v>
      </c>
      <c r="I17" s="3">
        <f t="shared" si="0"/>
        <v>-408866758</v>
      </c>
      <c r="K17" s="4">
        <v>-3.4453375452932138E-2</v>
      </c>
      <c r="M17" s="3">
        <v>0</v>
      </c>
      <c r="O17" s="3">
        <v>-933095488</v>
      </c>
      <c r="Q17" s="3">
        <v>0</v>
      </c>
      <c r="S17" s="3">
        <f t="shared" si="1"/>
        <v>-933095488</v>
      </c>
      <c r="U17" s="4">
        <v>-1.3961838087297434E-2</v>
      </c>
    </row>
    <row r="18" spans="1:21" ht="21" x14ac:dyDescent="0.55000000000000004">
      <c r="A18" s="7" t="s">
        <v>86</v>
      </c>
      <c r="C18" s="3">
        <v>1257300000</v>
      </c>
      <c r="E18" s="3">
        <v>-1235616575</v>
      </c>
      <c r="G18" s="3">
        <v>0</v>
      </c>
      <c r="I18" s="3">
        <f t="shared" si="0"/>
        <v>21683425</v>
      </c>
      <c r="K18" s="4">
        <v>1.8271653735921841E-3</v>
      </c>
      <c r="M18" s="3">
        <v>1257300000</v>
      </c>
      <c r="O18" s="3">
        <v>606756837</v>
      </c>
      <c r="Q18" s="3">
        <v>2850861976</v>
      </c>
      <c r="S18" s="3">
        <f t="shared" si="1"/>
        <v>4714918813</v>
      </c>
      <c r="U18" s="4">
        <v>7.0548978007552651E-2</v>
      </c>
    </row>
    <row r="19" spans="1:21" ht="21" x14ac:dyDescent="0.55000000000000004">
      <c r="A19" s="7" t="s">
        <v>89</v>
      </c>
      <c r="C19" s="3">
        <v>292500000</v>
      </c>
      <c r="E19" s="3">
        <v>-631619370</v>
      </c>
      <c r="G19" s="3">
        <v>0</v>
      </c>
      <c r="I19" s="3">
        <f t="shared" si="0"/>
        <v>-339119370</v>
      </c>
      <c r="K19" s="4">
        <v>-2.8576074599764387E-2</v>
      </c>
      <c r="M19" s="3">
        <v>292500000</v>
      </c>
      <c r="O19" s="3">
        <v>47343455</v>
      </c>
      <c r="Q19" s="3">
        <v>957825935</v>
      </c>
      <c r="S19" s="3">
        <f t="shared" si="1"/>
        <v>1297669390</v>
      </c>
      <c r="U19" s="4">
        <v>1.9416930150263492E-2</v>
      </c>
    </row>
    <row r="20" spans="1:21" ht="21" x14ac:dyDescent="0.55000000000000004">
      <c r="A20" s="7" t="s">
        <v>90</v>
      </c>
      <c r="C20" s="3">
        <v>0</v>
      </c>
      <c r="E20" s="3">
        <v>-63619200</v>
      </c>
      <c r="G20" s="3">
        <v>0</v>
      </c>
      <c r="I20" s="3">
        <f t="shared" si="0"/>
        <v>-63619200</v>
      </c>
      <c r="K20" s="4">
        <v>-5.3609058225642797E-3</v>
      </c>
      <c r="M20" s="3">
        <v>0</v>
      </c>
      <c r="O20" s="3">
        <v>-119286000</v>
      </c>
      <c r="Q20" s="3">
        <v>1007320800</v>
      </c>
      <c r="S20" s="3">
        <f t="shared" si="1"/>
        <v>888034800</v>
      </c>
      <c r="U20" s="4">
        <v>1.3287598378661926E-2</v>
      </c>
    </row>
    <row r="21" spans="1:21" ht="21" x14ac:dyDescent="0.55000000000000004">
      <c r="A21" s="7" t="s">
        <v>186</v>
      </c>
      <c r="C21" s="3">
        <v>0</v>
      </c>
      <c r="E21" s="3">
        <v>1997046450</v>
      </c>
      <c r="G21" s="3">
        <v>-2458047700</v>
      </c>
      <c r="I21" s="3">
        <f t="shared" si="0"/>
        <v>-461001250</v>
      </c>
      <c r="K21" s="4">
        <v>-3.8846516229918186E-2</v>
      </c>
      <c r="M21" s="3">
        <v>0</v>
      </c>
      <c r="O21" s="3">
        <v>0</v>
      </c>
      <c r="Q21" s="3">
        <v>-2458047700</v>
      </c>
      <c r="S21" s="3">
        <f t="shared" si="1"/>
        <v>-2458047700</v>
      </c>
      <c r="U21" s="4">
        <v>-3.6779584125750116E-2</v>
      </c>
    </row>
    <row r="22" spans="1:21" ht="21" x14ac:dyDescent="0.55000000000000004">
      <c r="A22" s="7" t="s">
        <v>185</v>
      </c>
      <c r="C22" s="3">
        <v>0</v>
      </c>
      <c r="E22" s="3">
        <v>-118174449</v>
      </c>
      <c r="G22" s="3">
        <v>-546347714</v>
      </c>
      <c r="I22" s="3">
        <f t="shared" si="0"/>
        <v>-664522163</v>
      </c>
      <c r="K22" s="4">
        <v>-5.5996314522183704E-2</v>
      </c>
      <c r="M22" s="3">
        <v>0</v>
      </c>
      <c r="O22" s="3">
        <v>-2176621677</v>
      </c>
      <c r="Q22" s="3">
        <v>-546347714</v>
      </c>
      <c r="S22" s="3">
        <f t="shared" si="1"/>
        <v>-2722969391</v>
      </c>
      <c r="U22" s="4">
        <v>-4.0743587599267113E-2</v>
      </c>
    </row>
    <row r="23" spans="1:21" ht="21" x14ac:dyDescent="0.55000000000000004">
      <c r="A23" s="7" t="s">
        <v>92</v>
      </c>
      <c r="C23" s="3">
        <v>0</v>
      </c>
      <c r="E23" s="3">
        <v>740169630</v>
      </c>
      <c r="G23" s="3">
        <v>0</v>
      </c>
      <c r="I23" s="3">
        <f t="shared" si="0"/>
        <v>740169630</v>
      </c>
      <c r="K23" s="4">
        <v>6.2370788679396293E-2</v>
      </c>
      <c r="M23" s="3">
        <v>0</v>
      </c>
      <c r="O23" s="3">
        <v>226737918</v>
      </c>
      <c r="Q23" s="3">
        <v>0</v>
      </c>
      <c r="S23" s="3">
        <f t="shared" si="1"/>
        <v>226737918</v>
      </c>
      <c r="U23" s="4">
        <v>3.3926625303400057E-3</v>
      </c>
    </row>
    <row r="24" spans="1:21" ht="21" x14ac:dyDescent="0.55000000000000004">
      <c r="A24" s="7" t="s">
        <v>93</v>
      </c>
      <c r="C24" s="3">
        <v>0</v>
      </c>
      <c r="E24" s="3">
        <v>1369005660</v>
      </c>
      <c r="G24" s="3">
        <v>-760630187</v>
      </c>
      <c r="I24" s="3">
        <f t="shared" si="0"/>
        <v>608375473</v>
      </c>
      <c r="K24" s="4">
        <v>5.1265083740616009E-2</v>
      </c>
      <c r="M24" s="3">
        <v>0</v>
      </c>
      <c r="O24" s="3">
        <v>-2584530000</v>
      </c>
      <c r="Q24" s="3">
        <v>-760630187</v>
      </c>
      <c r="S24" s="3">
        <f t="shared" si="1"/>
        <v>-3345160187</v>
      </c>
      <c r="U24" s="4">
        <v>-5.0053382003887266E-2</v>
      </c>
    </row>
    <row r="25" spans="1:21" ht="21" x14ac:dyDescent="0.55000000000000004">
      <c r="A25" s="7" t="s">
        <v>184</v>
      </c>
      <c r="C25" s="3">
        <v>0</v>
      </c>
      <c r="E25" s="3">
        <v>-865291155</v>
      </c>
      <c r="G25" s="3">
        <v>-1102034145</v>
      </c>
      <c r="I25" s="3">
        <f t="shared" si="0"/>
        <v>-1967325300</v>
      </c>
      <c r="K25" s="4">
        <v>-0.16577771577838166</v>
      </c>
      <c r="M25" s="3">
        <v>0</v>
      </c>
      <c r="O25" s="3">
        <v>-2886192347</v>
      </c>
      <c r="Q25" s="3">
        <v>-1102034145</v>
      </c>
      <c r="S25" s="3">
        <f t="shared" si="1"/>
        <v>-3988226492</v>
      </c>
      <c r="U25" s="4">
        <v>-5.9675535090331751E-2</v>
      </c>
    </row>
    <row r="26" spans="1:21" ht="21" x14ac:dyDescent="0.55000000000000004">
      <c r="A26" s="7" t="s">
        <v>94</v>
      </c>
      <c r="C26" s="3">
        <v>0</v>
      </c>
      <c r="E26" s="3">
        <v>-1590480000</v>
      </c>
      <c r="G26" s="3">
        <v>0</v>
      </c>
      <c r="I26" s="3">
        <f t="shared" si="0"/>
        <v>-1590480000</v>
      </c>
      <c r="K26" s="4">
        <v>-0.13402264556410701</v>
      </c>
      <c r="M26" s="3">
        <v>0</v>
      </c>
      <c r="O26" s="3">
        <v>-1892639177</v>
      </c>
      <c r="Q26" s="3">
        <v>902449800</v>
      </c>
      <c r="S26" s="3">
        <f t="shared" si="1"/>
        <v>-990189377</v>
      </c>
      <c r="U26" s="4">
        <v>-1.481612968364918E-2</v>
      </c>
    </row>
    <row r="27" spans="1:21" ht="21" x14ac:dyDescent="0.55000000000000004">
      <c r="A27" s="7" t="s">
        <v>95</v>
      </c>
      <c r="C27" s="3">
        <v>0</v>
      </c>
      <c r="E27" s="3">
        <v>141235260</v>
      </c>
      <c r="G27" s="3">
        <v>0</v>
      </c>
      <c r="I27" s="3">
        <f t="shared" si="0"/>
        <v>141235260</v>
      </c>
      <c r="K27" s="4">
        <v>1.1901264518971945E-2</v>
      </c>
      <c r="M27" s="3">
        <v>0</v>
      </c>
      <c r="O27" s="3">
        <v>1244635730</v>
      </c>
      <c r="Q27" s="3">
        <v>0</v>
      </c>
      <c r="S27" s="3">
        <f t="shared" si="1"/>
        <v>1244635730</v>
      </c>
      <c r="U27" s="4">
        <v>1.8623391457150893E-2</v>
      </c>
    </row>
    <row r="28" spans="1:21" ht="42" x14ac:dyDescent="0.55000000000000004">
      <c r="A28" s="7" t="s">
        <v>183</v>
      </c>
      <c r="C28" s="3">
        <v>0</v>
      </c>
      <c r="E28" s="3">
        <v>46846743</v>
      </c>
      <c r="G28" s="3">
        <v>236936174</v>
      </c>
      <c r="I28" s="3">
        <f t="shared" si="0"/>
        <v>283782917</v>
      </c>
      <c r="K28" s="4">
        <v>2.3913118871183161E-2</v>
      </c>
      <c r="M28" s="3">
        <v>0</v>
      </c>
      <c r="O28" s="3">
        <v>361834200</v>
      </c>
      <c r="Q28" s="3">
        <v>236936174</v>
      </c>
      <c r="S28" s="3">
        <f t="shared" si="1"/>
        <v>598770374</v>
      </c>
      <c r="U28" s="4">
        <v>8.9593563796747551E-3</v>
      </c>
    </row>
    <row r="29" spans="1:21" ht="21" x14ac:dyDescent="0.55000000000000004">
      <c r="A29" s="7" t="s">
        <v>182</v>
      </c>
      <c r="C29" s="3">
        <v>5006486160</v>
      </c>
      <c r="E29" s="3">
        <v>-7936041038</v>
      </c>
      <c r="G29" s="3">
        <v>-416966303</v>
      </c>
      <c r="I29" s="3">
        <f t="shared" si="0"/>
        <v>-3346521181</v>
      </c>
      <c r="K29" s="4">
        <v>-0.28199639235572893</v>
      </c>
      <c r="M29" s="3">
        <v>5006486160</v>
      </c>
      <c r="O29" s="3">
        <v>-5001065550</v>
      </c>
      <c r="Q29" s="3">
        <v>-416966303</v>
      </c>
      <c r="S29" s="3">
        <f t="shared" si="1"/>
        <v>-411545693</v>
      </c>
      <c r="U29" s="4">
        <v>-6.1579274630364699E-3</v>
      </c>
    </row>
    <row r="30" spans="1:21" ht="21" x14ac:dyDescent="0.55000000000000004">
      <c r="A30" s="7" t="s">
        <v>97</v>
      </c>
      <c r="C30" s="3">
        <v>0</v>
      </c>
      <c r="E30" s="3">
        <v>-736688581</v>
      </c>
      <c r="G30" s="3">
        <v>675113341</v>
      </c>
      <c r="I30" s="3">
        <f t="shared" si="0"/>
        <v>-61575240</v>
      </c>
      <c r="K30" s="4">
        <v>-5.1886704429133495E-3</v>
      </c>
      <c r="M30" s="3">
        <v>0</v>
      </c>
      <c r="O30" s="3">
        <v>417827968</v>
      </c>
      <c r="Q30" s="3">
        <v>675113341</v>
      </c>
      <c r="S30" s="3">
        <f t="shared" si="1"/>
        <v>1092941309</v>
      </c>
      <c r="U30" s="4">
        <v>1.6353599166880669E-2</v>
      </c>
    </row>
    <row r="31" spans="1:21" ht="21" x14ac:dyDescent="0.55000000000000004">
      <c r="A31" s="7" t="s">
        <v>98</v>
      </c>
      <c r="C31" s="3">
        <v>0</v>
      </c>
      <c r="E31" s="3">
        <v>-180917100</v>
      </c>
      <c r="G31" s="3">
        <v>0</v>
      </c>
      <c r="I31" s="3">
        <f t="shared" si="0"/>
        <v>-180917100</v>
      </c>
      <c r="K31" s="4">
        <v>-1.5245075932917171E-2</v>
      </c>
      <c r="M31" s="3">
        <v>0</v>
      </c>
      <c r="O31" s="3">
        <v>-604813462</v>
      </c>
      <c r="Q31" s="3">
        <v>0</v>
      </c>
      <c r="S31" s="3">
        <f t="shared" si="1"/>
        <v>-604813462</v>
      </c>
      <c r="U31" s="4">
        <v>-9.0497786540168317E-3</v>
      </c>
    </row>
    <row r="32" spans="1:21" ht="21" x14ac:dyDescent="0.55000000000000004">
      <c r="A32" s="7" t="s">
        <v>181</v>
      </c>
      <c r="C32" s="3">
        <v>0</v>
      </c>
      <c r="E32" s="3">
        <v>-275351850</v>
      </c>
      <c r="G32" s="3">
        <v>-345437536</v>
      </c>
      <c r="I32" s="3">
        <f t="shared" si="0"/>
        <v>-620789386</v>
      </c>
      <c r="K32" s="4">
        <v>-5.23111487411584E-2</v>
      </c>
      <c r="M32" s="3">
        <v>0</v>
      </c>
      <c r="O32" s="3">
        <v>-334994850</v>
      </c>
      <c r="Q32" s="3">
        <v>-345437536</v>
      </c>
      <c r="S32" s="3">
        <f t="shared" si="1"/>
        <v>-680432386</v>
      </c>
      <c r="U32" s="4">
        <v>-1.0181258965304812E-2</v>
      </c>
    </row>
    <row r="33" spans="1:21" ht="21" x14ac:dyDescent="0.55000000000000004">
      <c r="A33" s="7" t="s">
        <v>180</v>
      </c>
      <c r="C33" s="3">
        <v>0</v>
      </c>
      <c r="E33" s="3">
        <v>-99405000</v>
      </c>
      <c r="G33" s="3">
        <v>0</v>
      </c>
      <c r="I33" s="3">
        <f t="shared" si="0"/>
        <v>-99405000</v>
      </c>
      <c r="K33" s="4">
        <v>-8.3764153477566879E-3</v>
      </c>
      <c r="M33" s="3">
        <v>0</v>
      </c>
      <c r="O33" s="3">
        <v>-1105880625</v>
      </c>
      <c r="Q33" s="3">
        <v>0</v>
      </c>
      <c r="S33" s="3">
        <f t="shared" si="1"/>
        <v>-1105880625</v>
      </c>
      <c r="U33" s="4">
        <v>-1.6547209185657632E-2</v>
      </c>
    </row>
    <row r="34" spans="1:21" ht="21" x14ac:dyDescent="0.55000000000000004">
      <c r="A34" s="7" t="s">
        <v>179</v>
      </c>
      <c r="C34" s="3">
        <v>0</v>
      </c>
      <c r="E34" s="3">
        <v>2613208343</v>
      </c>
      <c r="G34" s="3">
        <v>-226878470</v>
      </c>
      <c r="I34" s="3">
        <f t="shared" si="0"/>
        <v>2386329873</v>
      </c>
      <c r="K34" s="4">
        <v>0.20108535961981255</v>
      </c>
      <c r="M34" s="3">
        <v>4394680000</v>
      </c>
      <c r="O34" s="3">
        <v>-735596999</v>
      </c>
      <c r="Q34" s="3">
        <v>-226878470</v>
      </c>
      <c r="S34" s="3">
        <f t="shared" si="1"/>
        <v>3432204531</v>
      </c>
      <c r="U34" s="4">
        <v>5.1355820021188041E-2</v>
      </c>
    </row>
    <row r="35" spans="1:21" ht="21" x14ac:dyDescent="0.55000000000000004">
      <c r="A35" s="7" t="s">
        <v>99</v>
      </c>
      <c r="C35" s="3">
        <v>0</v>
      </c>
      <c r="E35" s="3">
        <v>-1137988440</v>
      </c>
      <c r="G35" s="3">
        <v>0</v>
      </c>
      <c r="I35" s="3">
        <f t="shared" si="0"/>
        <v>-1137988440</v>
      </c>
      <c r="K35" s="4">
        <v>-9.5893202901118552E-2</v>
      </c>
      <c r="M35" s="3">
        <v>0</v>
      </c>
      <c r="O35" s="3">
        <v>-2719720800</v>
      </c>
      <c r="Q35" s="3">
        <v>0</v>
      </c>
      <c r="S35" s="3">
        <f t="shared" si="1"/>
        <v>-2719720800</v>
      </c>
      <c r="U35" s="4">
        <v>-4.0694979174794858E-2</v>
      </c>
    </row>
    <row r="36" spans="1:21" ht="21" x14ac:dyDescent="0.55000000000000004">
      <c r="A36" s="7" t="s">
        <v>100</v>
      </c>
      <c r="C36" s="3">
        <v>0</v>
      </c>
      <c r="E36" s="3">
        <v>-201294320</v>
      </c>
      <c r="G36" s="3">
        <v>0</v>
      </c>
      <c r="I36" s="3">
        <f t="shared" si="0"/>
        <v>-201294320</v>
      </c>
      <c r="K36" s="4">
        <v>-1.6962173245452905E-2</v>
      </c>
      <c r="M36" s="3">
        <v>0</v>
      </c>
      <c r="O36" s="3">
        <v>20562366</v>
      </c>
      <c r="Q36" s="3">
        <v>573417743</v>
      </c>
      <c r="S36" s="3">
        <f t="shared" si="1"/>
        <v>593980109</v>
      </c>
      <c r="U36" s="4">
        <v>8.8876800022992721E-3</v>
      </c>
    </row>
    <row r="37" spans="1:21" ht="21" x14ac:dyDescent="0.55000000000000004">
      <c r="A37" s="7" t="s">
        <v>101</v>
      </c>
      <c r="C37" s="3">
        <v>0</v>
      </c>
      <c r="E37" s="3">
        <v>1107047775</v>
      </c>
      <c r="G37" s="3">
        <v>733684800</v>
      </c>
      <c r="I37" s="3">
        <f t="shared" si="0"/>
        <v>1840732575</v>
      </c>
      <c r="K37" s="4">
        <v>0.15511031228153199</v>
      </c>
      <c r="M37" s="3">
        <v>0</v>
      </c>
      <c r="O37" s="3">
        <v>777671025</v>
      </c>
      <c r="Q37" s="3">
        <v>733684800</v>
      </c>
      <c r="S37" s="3">
        <f t="shared" si="1"/>
        <v>1511355825</v>
      </c>
      <c r="U37" s="4">
        <v>2.2614304315384103E-2</v>
      </c>
    </row>
    <row r="38" spans="1:21" ht="21" x14ac:dyDescent="0.55000000000000004">
      <c r="A38" s="7" t="s">
        <v>102</v>
      </c>
      <c r="C38" s="3">
        <v>0</v>
      </c>
      <c r="E38" s="3">
        <v>-5879810511</v>
      </c>
      <c r="G38" s="3">
        <v>178221250</v>
      </c>
      <c r="I38" s="3">
        <f t="shared" si="0"/>
        <v>-5701589261</v>
      </c>
      <c r="K38" s="4">
        <v>-0.48044746031331531</v>
      </c>
      <c r="M38" s="3">
        <v>0</v>
      </c>
      <c r="O38" s="3">
        <v>4060689489</v>
      </c>
      <c r="Q38" s="3">
        <v>2984004494</v>
      </c>
      <c r="S38" s="3">
        <f t="shared" si="1"/>
        <v>7044693983</v>
      </c>
      <c r="U38" s="4">
        <v>0.1054092298485152</v>
      </c>
    </row>
    <row r="39" spans="1:21" ht="21" x14ac:dyDescent="0.55000000000000004">
      <c r="A39" s="7" t="s">
        <v>104</v>
      </c>
      <c r="C39" s="3">
        <v>0</v>
      </c>
      <c r="E39" s="3">
        <v>3308641176</v>
      </c>
      <c r="G39" s="3">
        <v>-4637875190</v>
      </c>
      <c r="I39" s="3">
        <f t="shared" si="0"/>
        <v>-1329234014</v>
      </c>
      <c r="K39" s="4">
        <v>-0.11200861320486724</v>
      </c>
      <c r="M39" s="3">
        <v>0</v>
      </c>
      <c r="O39" s="3">
        <v>-2452974423</v>
      </c>
      <c r="Q39" s="3">
        <v>-4637875190</v>
      </c>
      <c r="S39" s="3">
        <f t="shared" si="1"/>
        <v>-7090849613</v>
      </c>
      <c r="U39" s="4">
        <v>-0.10609985309250758</v>
      </c>
    </row>
    <row r="40" spans="1:21" ht="21" x14ac:dyDescent="0.55000000000000004">
      <c r="A40" s="7" t="s">
        <v>178</v>
      </c>
      <c r="C40" s="3">
        <v>0</v>
      </c>
      <c r="E40" s="3">
        <v>1113425663</v>
      </c>
      <c r="G40" s="3">
        <v>0</v>
      </c>
      <c r="I40" s="3">
        <f t="shared" si="0"/>
        <v>1113425663</v>
      </c>
      <c r="K40" s="4">
        <v>9.3823407395396255E-2</v>
      </c>
      <c r="M40" s="3">
        <v>0</v>
      </c>
      <c r="O40" s="3">
        <v>-5180041754</v>
      </c>
      <c r="Q40" s="3">
        <v>0</v>
      </c>
      <c r="S40" s="3">
        <f t="shared" si="1"/>
        <v>-5180041754</v>
      </c>
      <c r="U40" s="4">
        <v>-7.7508577830341194E-2</v>
      </c>
    </row>
    <row r="41" spans="1:21" ht="21" x14ac:dyDescent="0.55000000000000004">
      <c r="A41" s="7" t="s">
        <v>106</v>
      </c>
      <c r="C41" s="3">
        <v>0</v>
      </c>
      <c r="E41" s="3">
        <v>-407560500</v>
      </c>
      <c r="G41" s="3">
        <v>0</v>
      </c>
      <c r="I41" s="3">
        <f t="shared" si="0"/>
        <v>-407560500</v>
      </c>
      <c r="K41" s="4">
        <v>-3.434330292580242E-2</v>
      </c>
      <c r="M41" s="3">
        <v>0</v>
      </c>
      <c r="O41" s="3">
        <v>-882716400</v>
      </c>
      <c r="Q41" s="3">
        <v>0</v>
      </c>
      <c r="S41" s="3">
        <f t="shared" si="1"/>
        <v>-882716400</v>
      </c>
      <c r="U41" s="4">
        <v>-1.3208019556731664E-2</v>
      </c>
    </row>
    <row r="42" spans="1:21" ht="21" x14ac:dyDescent="0.55000000000000004">
      <c r="A42" s="7" t="s">
        <v>177</v>
      </c>
      <c r="C42" s="3">
        <v>0</v>
      </c>
      <c r="E42" s="3">
        <v>-413496609</v>
      </c>
      <c r="G42" s="3">
        <v>0</v>
      </c>
      <c r="I42" s="3">
        <f t="shared" si="0"/>
        <v>-413496609</v>
      </c>
      <c r="K42" s="4">
        <v>-3.4843512317015705E-2</v>
      </c>
      <c r="M42" s="3">
        <v>0</v>
      </c>
      <c r="O42" s="3">
        <v>-613575613</v>
      </c>
      <c r="Q42" s="3">
        <v>0</v>
      </c>
      <c r="S42" s="3">
        <f t="shared" si="1"/>
        <v>-613575613</v>
      </c>
      <c r="U42" s="4">
        <v>-9.180886064921439E-3</v>
      </c>
    </row>
    <row r="43" spans="1:21" ht="21" x14ac:dyDescent="0.55000000000000004">
      <c r="A43" s="7" t="s">
        <v>109</v>
      </c>
      <c r="C43" s="3">
        <v>0</v>
      </c>
      <c r="E43" s="3">
        <v>-1288288800</v>
      </c>
      <c r="G43" s="3">
        <v>0</v>
      </c>
      <c r="I43" s="3">
        <f t="shared" si="0"/>
        <v>-1288288800</v>
      </c>
      <c r="K43" s="4">
        <v>-0.10855834290692667</v>
      </c>
      <c r="M43" s="3">
        <v>0</v>
      </c>
      <c r="O43" s="3">
        <v>-2191860880</v>
      </c>
      <c r="Q43" s="3">
        <v>1838065920</v>
      </c>
      <c r="S43" s="3">
        <f t="shared" si="1"/>
        <v>-353794960</v>
      </c>
      <c r="U43" s="4">
        <v>-5.2938075589771495E-3</v>
      </c>
    </row>
    <row r="44" spans="1:21" ht="21" x14ac:dyDescent="0.55000000000000004">
      <c r="A44" s="7" t="s">
        <v>111</v>
      </c>
      <c r="C44" s="3">
        <v>0</v>
      </c>
      <c r="E44" s="3">
        <v>-237579300</v>
      </c>
      <c r="G44" s="3">
        <v>0</v>
      </c>
      <c r="I44" s="3">
        <f t="shared" si="0"/>
        <v>-237579300</v>
      </c>
      <c r="K44" s="4">
        <v>-2.0019746439608573E-2</v>
      </c>
      <c r="M44" s="3">
        <v>0</v>
      </c>
      <c r="O44" s="3">
        <v>-237579300</v>
      </c>
      <c r="Q44" s="3">
        <v>0</v>
      </c>
      <c r="S44" s="3">
        <f t="shared" si="1"/>
        <v>-237579300</v>
      </c>
      <c r="U44" s="4">
        <v>-3.5548813193848204E-3</v>
      </c>
    </row>
    <row r="45" spans="1:21" ht="21" x14ac:dyDescent="0.55000000000000004">
      <c r="A45" s="7" t="s">
        <v>176</v>
      </c>
      <c r="C45" s="3">
        <v>0</v>
      </c>
      <c r="E45" s="3">
        <v>-305673804</v>
      </c>
      <c r="G45" s="3">
        <v>-796334853</v>
      </c>
      <c r="I45" s="3">
        <f t="shared" si="0"/>
        <v>-1102008657</v>
      </c>
      <c r="K45" s="4">
        <v>-9.2861347294960359E-2</v>
      </c>
      <c r="M45" s="3">
        <v>0</v>
      </c>
      <c r="O45" s="3">
        <v>-3560647032</v>
      </c>
      <c r="Q45" s="3">
        <v>-796334853</v>
      </c>
      <c r="S45" s="3">
        <f t="shared" si="1"/>
        <v>-4356981885</v>
      </c>
      <c r="U45" s="4">
        <v>-6.519319449078502E-2</v>
      </c>
    </row>
    <row r="46" spans="1:21" ht="21" x14ac:dyDescent="0.55000000000000004">
      <c r="A46" s="7" t="s">
        <v>175</v>
      </c>
      <c r="C46" s="3">
        <v>0</v>
      </c>
      <c r="E46" s="3">
        <v>-436187097</v>
      </c>
      <c r="G46" s="3">
        <v>0</v>
      </c>
      <c r="I46" s="3">
        <f t="shared" si="0"/>
        <v>-436187097</v>
      </c>
      <c r="K46" s="4">
        <v>-3.6755538391471602E-2</v>
      </c>
      <c r="M46" s="3">
        <v>0</v>
      </c>
      <c r="O46" s="3">
        <v>-6172641247</v>
      </c>
      <c r="Q46" s="3">
        <v>0</v>
      </c>
      <c r="S46" s="3">
        <f t="shared" si="1"/>
        <v>-6172641247</v>
      </c>
      <c r="U46" s="4">
        <v>-9.236076989966939E-2</v>
      </c>
    </row>
    <row r="47" spans="1:21" ht="21" x14ac:dyDescent="0.55000000000000004">
      <c r="A47" s="7" t="s">
        <v>174</v>
      </c>
      <c r="C47" s="3">
        <v>0</v>
      </c>
      <c r="E47" s="3">
        <v>9895171320</v>
      </c>
      <c r="G47" s="3">
        <v>825945230</v>
      </c>
      <c r="I47" s="3">
        <f t="shared" si="0"/>
        <v>10721116550</v>
      </c>
      <c r="K47" s="4">
        <v>0.90342060474330499</v>
      </c>
      <c r="M47" s="3">
        <v>0</v>
      </c>
      <c r="O47" s="3">
        <v>15528651480</v>
      </c>
      <c r="Q47" s="3">
        <v>825945230</v>
      </c>
      <c r="S47" s="3">
        <f t="shared" si="1"/>
        <v>16354596710</v>
      </c>
      <c r="U47" s="4">
        <v>0.24471260892868801</v>
      </c>
    </row>
    <row r="48" spans="1:21" ht="21" x14ac:dyDescent="0.55000000000000004">
      <c r="A48" s="7" t="s">
        <v>114</v>
      </c>
      <c r="C48" s="3">
        <v>0</v>
      </c>
      <c r="E48" s="3">
        <v>-157207350</v>
      </c>
      <c r="G48" s="3">
        <v>-624123600</v>
      </c>
      <c r="I48" s="3">
        <f t="shared" si="0"/>
        <v>-781330950</v>
      </c>
      <c r="K48" s="4">
        <v>-6.5839269264698089E-2</v>
      </c>
      <c r="M48" s="3">
        <v>0</v>
      </c>
      <c r="O48" s="3">
        <v>-1284017701</v>
      </c>
      <c r="Q48" s="3">
        <v>-624123600</v>
      </c>
      <c r="S48" s="3">
        <f t="shared" si="1"/>
        <v>-1908141301</v>
      </c>
      <c r="U48" s="4">
        <v>-2.8551375753996869E-2</v>
      </c>
    </row>
    <row r="49" spans="1:21" ht="21" x14ac:dyDescent="0.55000000000000004">
      <c r="A49" s="7" t="s">
        <v>118</v>
      </c>
      <c r="C49" s="3">
        <v>0</v>
      </c>
      <c r="E49" s="3">
        <v>-485344539</v>
      </c>
      <c r="G49" s="3">
        <v>0</v>
      </c>
      <c r="I49" s="3">
        <f t="shared" si="0"/>
        <v>-485344539</v>
      </c>
      <c r="K49" s="4">
        <v>-4.0897816462245301E-2</v>
      </c>
      <c r="M49" s="3">
        <v>0</v>
      </c>
      <c r="O49" s="3">
        <v>-1133093259</v>
      </c>
      <c r="Q49" s="3">
        <v>0</v>
      </c>
      <c r="S49" s="3">
        <f t="shared" si="1"/>
        <v>-1133093259</v>
      </c>
      <c r="U49" s="4">
        <v>-1.6954389795491302E-2</v>
      </c>
    </row>
    <row r="50" spans="1:21" ht="21" x14ac:dyDescent="0.55000000000000004">
      <c r="A50" s="7" t="s">
        <v>173</v>
      </c>
      <c r="C50" s="3">
        <v>0</v>
      </c>
      <c r="E50" s="3">
        <v>104772870</v>
      </c>
      <c r="G50" s="3">
        <v>0</v>
      </c>
      <c r="I50" s="3">
        <f t="shared" si="0"/>
        <v>104772870</v>
      </c>
      <c r="K50" s="4">
        <v>8.8287417765355487E-3</v>
      </c>
      <c r="M50" s="3">
        <v>0</v>
      </c>
      <c r="O50" s="3">
        <v>671381370</v>
      </c>
      <c r="Q50" s="3">
        <v>0</v>
      </c>
      <c r="S50" s="3">
        <f t="shared" si="1"/>
        <v>671381370</v>
      </c>
      <c r="U50" s="4">
        <v>1.004582928898262E-2</v>
      </c>
    </row>
    <row r="51" spans="1:21" ht="21" x14ac:dyDescent="0.55000000000000004">
      <c r="A51" s="7" t="s">
        <v>172</v>
      </c>
      <c r="C51" s="3">
        <v>0</v>
      </c>
      <c r="E51" s="3">
        <v>-1208267775</v>
      </c>
      <c r="G51" s="3">
        <v>0</v>
      </c>
      <c r="I51" s="3">
        <f t="shared" si="0"/>
        <v>-1208267775</v>
      </c>
      <c r="K51" s="4">
        <v>-0.10181532855198254</v>
      </c>
      <c r="M51" s="3">
        <v>0</v>
      </c>
      <c r="O51" s="3">
        <v>711506638</v>
      </c>
      <c r="Q51" s="3">
        <v>0</v>
      </c>
      <c r="S51" s="3">
        <f t="shared" si="1"/>
        <v>711506638</v>
      </c>
      <c r="U51" s="4">
        <v>1.064622067682032E-2</v>
      </c>
    </row>
    <row r="52" spans="1:21" ht="21" x14ac:dyDescent="0.55000000000000004">
      <c r="A52" s="7" t="s">
        <v>171</v>
      </c>
      <c r="C52" s="3">
        <v>0</v>
      </c>
      <c r="E52" s="3">
        <v>857968756</v>
      </c>
      <c r="G52" s="3">
        <v>0</v>
      </c>
      <c r="I52" s="3">
        <f t="shared" si="0"/>
        <v>857968756</v>
      </c>
      <c r="K52" s="4">
        <v>7.2297194865993786E-2</v>
      </c>
      <c r="M52" s="3">
        <v>0</v>
      </c>
      <c r="O52" s="3">
        <v>1696906180</v>
      </c>
      <c r="Q52" s="3">
        <v>0</v>
      </c>
      <c r="S52" s="3">
        <f t="shared" si="1"/>
        <v>1696906180</v>
      </c>
      <c r="U52" s="4">
        <v>2.5390680417151899E-2</v>
      </c>
    </row>
    <row r="53" spans="1:21" ht="21" x14ac:dyDescent="0.55000000000000004">
      <c r="A53" s="7" t="s">
        <v>119</v>
      </c>
      <c r="C53" s="3">
        <v>0</v>
      </c>
      <c r="E53" s="3">
        <v>606966230</v>
      </c>
      <c r="G53" s="3">
        <v>790107480</v>
      </c>
      <c r="I53" s="3">
        <f t="shared" si="0"/>
        <v>1397073710</v>
      </c>
      <c r="K53" s="4">
        <v>0.11772516137408959</v>
      </c>
      <c r="M53" s="3">
        <v>0</v>
      </c>
      <c r="O53" s="3">
        <v>3234988542</v>
      </c>
      <c r="Q53" s="3">
        <v>790107480</v>
      </c>
      <c r="S53" s="3">
        <f t="shared" si="1"/>
        <v>4025096022</v>
      </c>
      <c r="U53" s="4">
        <v>6.0227211113670055E-2</v>
      </c>
    </row>
    <row r="54" spans="1:21" ht="21" x14ac:dyDescent="0.55000000000000004">
      <c r="A54" s="7" t="s">
        <v>120</v>
      </c>
      <c r="C54" s="3">
        <v>0</v>
      </c>
      <c r="E54" s="3">
        <v>-899628023</v>
      </c>
      <c r="G54" s="3">
        <v>772060038</v>
      </c>
      <c r="I54" s="3">
        <f t="shared" si="0"/>
        <v>-127567985</v>
      </c>
      <c r="K54" s="4">
        <v>-1.0749584300954629E-2</v>
      </c>
      <c r="M54" s="3">
        <v>0</v>
      </c>
      <c r="O54" s="3">
        <v>3012803669</v>
      </c>
      <c r="Q54" s="3">
        <v>772060038</v>
      </c>
      <c r="S54" s="3">
        <f t="shared" si="1"/>
        <v>3784863707</v>
      </c>
      <c r="U54" s="4">
        <v>5.6632632929013105E-2</v>
      </c>
    </row>
    <row r="55" spans="1:21" ht="21" x14ac:dyDescent="0.55000000000000004">
      <c r="A55" s="7" t="s">
        <v>121</v>
      </c>
      <c r="C55" s="3">
        <v>0</v>
      </c>
      <c r="E55" s="3">
        <v>-185887350</v>
      </c>
      <c r="G55" s="3">
        <v>0</v>
      </c>
      <c r="I55" s="3">
        <f t="shared" si="0"/>
        <v>-185887350</v>
      </c>
      <c r="K55" s="4">
        <v>-1.5663896700305005E-2</v>
      </c>
      <c r="M55" s="3">
        <v>0</v>
      </c>
      <c r="O55" s="3">
        <v>177934950</v>
      </c>
      <c r="Q55" s="3">
        <v>0</v>
      </c>
      <c r="S55" s="3">
        <f t="shared" si="1"/>
        <v>177934950</v>
      </c>
      <c r="U55" s="4">
        <v>2.6624273656024413E-3</v>
      </c>
    </row>
    <row r="56" spans="1:21" ht="21" x14ac:dyDescent="0.55000000000000004">
      <c r="A56" s="7" t="s">
        <v>122</v>
      </c>
      <c r="C56" s="3">
        <v>0</v>
      </c>
      <c r="E56" s="3">
        <v>4405289983</v>
      </c>
      <c r="G56" s="3">
        <v>0</v>
      </c>
      <c r="I56" s="3">
        <f t="shared" si="0"/>
        <v>4405289983</v>
      </c>
      <c r="K56" s="4">
        <v>0.37121411020491923</v>
      </c>
      <c r="M56" s="3">
        <v>0</v>
      </c>
      <c r="O56" s="3">
        <v>10147404687</v>
      </c>
      <c r="Q56" s="3">
        <v>0</v>
      </c>
      <c r="S56" s="3">
        <f t="shared" si="1"/>
        <v>10147404687</v>
      </c>
      <c r="U56" s="4">
        <v>0.15183485834857782</v>
      </c>
    </row>
    <row r="57" spans="1:21" ht="21" x14ac:dyDescent="0.55000000000000004">
      <c r="A57" s="7" t="s">
        <v>123</v>
      </c>
      <c r="C57" s="3">
        <v>0</v>
      </c>
      <c r="E57" s="3">
        <v>1072778760</v>
      </c>
      <c r="G57" s="3">
        <v>0</v>
      </c>
      <c r="I57" s="3">
        <f t="shared" si="0"/>
        <v>1072778760</v>
      </c>
      <c r="K57" s="4">
        <v>9.0398274432990172E-2</v>
      </c>
      <c r="M57" s="3">
        <v>0</v>
      </c>
      <c r="O57" s="3">
        <v>2296427789</v>
      </c>
      <c r="Q57" s="3">
        <v>0</v>
      </c>
      <c r="S57" s="3">
        <f t="shared" si="1"/>
        <v>2296427789</v>
      </c>
      <c r="U57" s="4">
        <v>3.436127747001648E-2</v>
      </c>
    </row>
    <row r="58" spans="1:21" x14ac:dyDescent="0.55000000000000004">
      <c r="A58" s="7" t="s">
        <v>170</v>
      </c>
      <c r="C58" s="3">
        <v>0</v>
      </c>
      <c r="E58" s="3">
        <v>913850046</v>
      </c>
      <c r="G58" s="3">
        <v>778763390</v>
      </c>
      <c r="I58" s="3">
        <f t="shared" si="0"/>
        <v>1692613436</v>
      </c>
      <c r="K58" s="4">
        <v>0.14262897402675501</v>
      </c>
      <c r="M58" s="3">
        <v>0</v>
      </c>
      <c r="O58" s="3">
        <v>5399003646</v>
      </c>
      <c r="Q58" s="3">
        <v>778763390</v>
      </c>
      <c r="S58" s="3">
        <f t="shared" si="1"/>
        <v>6177767036</v>
      </c>
      <c r="U58" s="4">
        <v>9.2437466697594159E-2</v>
      </c>
    </row>
    <row r="59" spans="1:21" ht="21" x14ac:dyDescent="0.55000000000000004">
      <c r="A59" s="7" t="s">
        <v>126</v>
      </c>
      <c r="C59" s="3">
        <v>0</v>
      </c>
      <c r="E59" s="3">
        <v>-3347277049</v>
      </c>
      <c r="G59" s="3">
        <v>-98713601</v>
      </c>
      <c r="I59" s="3">
        <f t="shared" si="0"/>
        <v>-3445990650</v>
      </c>
      <c r="K59" s="4">
        <v>-0.2903782402181585</v>
      </c>
      <c r="M59" s="3">
        <v>0</v>
      </c>
      <c r="O59" s="3">
        <v>-544552918</v>
      </c>
      <c r="Q59" s="3">
        <v>649133501</v>
      </c>
      <c r="S59" s="3">
        <f t="shared" si="1"/>
        <v>104580583</v>
      </c>
      <c r="U59" s="4">
        <v>1.5648314515493301E-3</v>
      </c>
    </row>
    <row r="60" spans="1:21" ht="21" x14ac:dyDescent="0.55000000000000004">
      <c r="A60" s="7" t="s">
        <v>127</v>
      </c>
      <c r="C60" s="3">
        <v>0</v>
      </c>
      <c r="E60" s="3">
        <v>-501001200</v>
      </c>
      <c r="G60" s="3">
        <v>0</v>
      </c>
      <c r="I60" s="3">
        <f t="shared" si="0"/>
        <v>-501001200</v>
      </c>
      <c r="K60" s="4">
        <v>-4.2217133352693705E-2</v>
      </c>
      <c r="M60" s="3">
        <v>0</v>
      </c>
      <c r="O60" s="3">
        <v>5439441600</v>
      </c>
      <c r="Q60" s="3">
        <v>0</v>
      </c>
      <c r="S60" s="3">
        <f t="shared" si="1"/>
        <v>5439441600</v>
      </c>
      <c r="U60" s="4">
        <v>8.1389958349589717E-2</v>
      </c>
    </row>
    <row r="61" spans="1:21" ht="21" x14ac:dyDescent="0.55000000000000004">
      <c r="A61" s="7" t="s">
        <v>194</v>
      </c>
      <c r="C61" s="3">
        <v>0</v>
      </c>
      <c r="E61" s="3">
        <v>0</v>
      </c>
      <c r="G61" s="3">
        <v>0</v>
      </c>
      <c r="I61" s="3">
        <f t="shared" si="0"/>
        <v>0</v>
      </c>
      <c r="K61" s="4">
        <v>0</v>
      </c>
      <c r="M61" s="3">
        <v>0</v>
      </c>
      <c r="O61" s="3">
        <v>322177018</v>
      </c>
      <c r="Q61" s="3">
        <v>2539867414</v>
      </c>
      <c r="S61" s="3">
        <f t="shared" si="1"/>
        <v>2862044432</v>
      </c>
      <c r="U61" s="4">
        <v>4.2824557049230043E-2</v>
      </c>
    </row>
    <row r="62" spans="1:21" ht="21" x14ac:dyDescent="0.55000000000000004">
      <c r="A62" s="7" t="s">
        <v>195</v>
      </c>
      <c r="C62" s="3">
        <v>0</v>
      </c>
      <c r="E62" s="3">
        <v>0</v>
      </c>
      <c r="G62" s="3">
        <v>0</v>
      </c>
      <c r="I62" s="3">
        <f t="shared" si="0"/>
        <v>0</v>
      </c>
      <c r="K62" s="4">
        <v>0</v>
      </c>
      <c r="M62" s="3">
        <v>0</v>
      </c>
      <c r="O62" s="3">
        <v>26803097</v>
      </c>
      <c r="Q62" s="3">
        <v>798978106</v>
      </c>
      <c r="S62" s="3">
        <f t="shared" si="1"/>
        <v>825781203</v>
      </c>
      <c r="U62" s="4">
        <v>1.2356102456922065E-2</v>
      </c>
    </row>
    <row r="63" spans="1:21" ht="21" x14ac:dyDescent="0.55000000000000004">
      <c r="A63" s="7" t="s">
        <v>196</v>
      </c>
      <c r="C63" s="3">
        <v>0</v>
      </c>
      <c r="E63" s="3">
        <v>0</v>
      </c>
      <c r="G63" s="3">
        <v>0</v>
      </c>
      <c r="I63" s="3">
        <f t="shared" si="0"/>
        <v>0</v>
      </c>
      <c r="K63" s="4">
        <v>0</v>
      </c>
      <c r="M63" s="3">
        <v>0</v>
      </c>
      <c r="O63" s="3">
        <v>136568824</v>
      </c>
      <c r="Q63" s="3">
        <v>288880900</v>
      </c>
      <c r="S63" s="3">
        <f t="shared" si="1"/>
        <v>425449724</v>
      </c>
      <c r="U63" s="4">
        <v>6.3659724402968937E-3</v>
      </c>
    </row>
    <row r="64" spans="1:21" ht="21" x14ac:dyDescent="0.55000000000000004">
      <c r="A64" s="7" t="s">
        <v>197</v>
      </c>
      <c r="C64" s="3">
        <v>0</v>
      </c>
      <c r="E64" s="3">
        <v>0</v>
      </c>
      <c r="G64" s="3">
        <v>0</v>
      </c>
      <c r="I64" s="3">
        <f t="shared" si="0"/>
        <v>0</v>
      </c>
      <c r="K64" s="4">
        <v>0</v>
      </c>
      <c r="M64" s="3">
        <v>0</v>
      </c>
      <c r="O64" s="3">
        <v>25493434</v>
      </c>
      <c r="Q64" s="3">
        <v>416670792</v>
      </c>
      <c r="S64" s="3">
        <f t="shared" si="1"/>
        <v>442164226</v>
      </c>
      <c r="U64" s="4">
        <v>6.6160702851959241E-3</v>
      </c>
    </row>
    <row r="65" spans="1:21" ht="21" x14ac:dyDescent="0.55000000000000004">
      <c r="A65" s="7" t="s">
        <v>198</v>
      </c>
      <c r="C65" s="3">
        <v>0</v>
      </c>
      <c r="E65" s="3">
        <v>0</v>
      </c>
      <c r="G65" s="3">
        <v>0</v>
      </c>
      <c r="I65" s="3">
        <f t="shared" si="0"/>
        <v>0</v>
      </c>
      <c r="K65" s="4">
        <v>0</v>
      </c>
      <c r="M65" s="3">
        <v>0</v>
      </c>
      <c r="O65" s="3">
        <v>-1999485</v>
      </c>
      <c r="Q65" s="3">
        <v>103932028</v>
      </c>
      <c r="S65" s="3">
        <f t="shared" si="1"/>
        <v>101932543</v>
      </c>
      <c r="U65" s="4">
        <v>1.5252090268305782E-3</v>
      </c>
    </row>
    <row r="66" spans="1:21" ht="21" x14ac:dyDescent="0.55000000000000004">
      <c r="A66" s="7" t="s">
        <v>199</v>
      </c>
      <c r="C66" s="3">
        <v>0</v>
      </c>
      <c r="E66" s="3">
        <v>0</v>
      </c>
      <c r="G66" s="3">
        <v>0</v>
      </c>
      <c r="I66" s="3">
        <f t="shared" si="0"/>
        <v>0</v>
      </c>
      <c r="K66" s="4">
        <v>0</v>
      </c>
      <c r="M66" s="3">
        <v>0</v>
      </c>
      <c r="O66" s="3">
        <v>-11996910</v>
      </c>
      <c r="Q66" s="3">
        <v>818500907</v>
      </c>
      <c r="S66" s="3">
        <f t="shared" si="1"/>
        <v>806503997</v>
      </c>
      <c r="U66" s="4">
        <v>1.206765906349792E-2</v>
      </c>
    </row>
    <row r="67" spans="1:21" ht="21" x14ac:dyDescent="0.55000000000000004">
      <c r="A67" s="7" t="s">
        <v>200</v>
      </c>
      <c r="C67" s="3">
        <v>0</v>
      </c>
      <c r="E67" s="3">
        <v>0</v>
      </c>
      <c r="G67" s="3">
        <v>0</v>
      </c>
      <c r="I67" s="3">
        <f t="shared" si="0"/>
        <v>0</v>
      </c>
      <c r="K67" s="4">
        <v>0</v>
      </c>
      <c r="M67" s="3">
        <v>0</v>
      </c>
      <c r="O67" s="3">
        <v>552857603</v>
      </c>
      <c r="Q67" s="3">
        <v>652987649</v>
      </c>
      <c r="S67" s="3">
        <f t="shared" si="1"/>
        <v>1205845252</v>
      </c>
      <c r="U67" s="4">
        <v>1.8042972432378079E-2</v>
      </c>
    </row>
    <row r="68" spans="1:21" ht="21" x14ac:dyDescent="0.55000000000000004">
      <c r="A68" s="7" t="s">
        <v>201</v>
      </c>
      <c r="C68" s="3">
        <v>0</v>
      </c>
      <c r="E68" s="3">
        <v>0</v>
      </c>
      <c r="G68" s="3">
        <v>0</v>
      </c>
      <c r="I68" s="3">
        <f t="shared" si="0"/>
        <v>0</v>
      </c>
      <c r="K68" s="4">
        <v>0</v>
      </c>
      <c r="M68" s="3">
        <v>0</v>
      </c>
      <c r="O68" s="3">
        <v>-3551085</v>
      </c>
      <c r="Q68" s="3">
        <v>1027103692</v>
      </c>
      <c r="S68" s="3">
        <f t="shared" si="1"/>
        <v>1023552607</v>
      </c>
      <c r="U68" s="4">
        <v>1.5315341201998376E-2</v>
      </c>
    </row>
    <row r="69" spans="1:21" ht="21" x14ac:dyDescent="0.55000000000000004">
      <c r="A69" s="7" t="s">
        <v>202</v>
      </c>
      <c r="C69" s="3">
        <v>0</v>
      </c>
      <c r="E69" s="3">
        <v>0</v>
      </c>
      <c r="G69" s="3">
        <v>0</v>
      </c>
      <c r="I69" s="3">
        <f t="shared" si="0"/>
        <v>0</v>
      </c>
      <c r="K69" s="4">
        <v>0</v>
      </c>
      <c r="M69" s="3">
        <v>0</v>
      </c>
      <c r="O69" s="3">
        <v>-2469364</v>
      </c>
      <c r="Q69" s="3">
        <v>394213597</v>
      </c>
      <c r="S69" s="3">
        <f t="shared" si="1"/>
        <v>391744233</v>
      </c>
      <c r="U69" s="4">
        <v>5.8616396961706455E-3</v>
      </c>
    </row>
    <row r="70" spans="1:21" ht="21" x14ac:dyDescent="0.55000000000000004">
      <c r="A70" s="7" t="s">
        <v>203</v>
      </c>
      <c r="C70" s="3">
        <v>0</v>
      </c>
      <c r="E70" s="3">
        <v>0</v>
      </c>
      <c r="G70" s="3">
        <v>0</v>
      </c>
      <c r="I70" s="3">
        <f t="shared" si="0"/>
        <v>0</v>
      </c>
      <c r="K70" s="4">
        <v>0</v>
      </c>
      <c r="M70" s="3">
        <v>0</v>
      </c>
      <c r="O70" s="3">
        <v>18005293</v>
      </c>
      <c r="Q70" s="3">
        <v>17872710</v>
      </c>
      <c r="S70" s="3">
        <f t="shared" si="1"/>
        <v>35878003</v>
      </c>
      <c r="U70" s="4">
        <v>5.3683987890162379E-4</v>
      </c>
    </row>
    <row r="71" spans="1:21" ht="21" x14ac:dyDescent="0.55000000000000004">
      <c r="A71" s="7" t="s">
        <v>204</v>
      </c>
      <c r="C71" s="3">
        <v>0</v>
      </c>
      <c r="E71" s="3">
        <v>0</v>
      </c>
      <c r="G71" s="3">
        <v>0</v>
      </c>
      <c r="I71" s="3">
        <f t="shared" si="0"/>
        <v>0</v>
      </c>
      <c r="K71" s="4">
        <v>0</v>
      </c>
      <c r="M71" s="3">
        <v>0</v>
      </c>
      <c r="O71" s="3">
        <v>-3898996</v>
      </c>
      <c r="Q71" s="3">
        <v>330679973</v>
      </c>
      <c r="S71" s="3">
        <f t="shared" si="1"/>
        <v>326780977</v>
      </c>
      <c r="U71" s="4">
        <v>4.8895993492178011E-3</v>
      </c>
    </row>
    <row r="72" spans="1:21" ht="21" x14ac:dyDescent="0.55000000000000004">
      <c r="A72" s="7" t="s">
        <v>205</v>
      </c>
      <c r="C72" s="3">
        <v>0</v>
      </c>
      <c r="E72" s="3">
        <v>0</v>
      </c>
      <c r="G72" s="3">
        <v>0</v>
      </c>
      <c r="I72" s="3">
        <f t="shared" si="0"/>
        <v>0</v>
      </c>
      <c r="K72" s="4">
        <v>0</v>
      </c>
      <c r="M72" s="3">
        <v>0</v>
      </c>
      <c r="O72" s="3">
        <v>-79979</v>
      </c>
      <c r="Q72" s="3">
        <v>2313123597</v>
      </c>
      <c r="S72" s="3">
        <f t="shared" si="1"/>
        <v>2313043618</v>
      </c>
      <c r="U72" s="4">
        <v>3.4609898878187113E-2</v>
      </c>
    </row>
    <row r="73" spans="1:21" ht="21" x14ac:dyDescent="0.55000000000000004">
      <c r="A73" s="7" t="s">
        <v>206</v>
      </c>
      <c r="C73" s="3">
        <v>0</v>
      </c>
      <c r="E73" s="3">
        <v>0</v>
      </c>
      <c r="G73" s="3">
        <v>0</v>
      </c>
      <c r="I73" s="3">
        <f t="shared" si="0"/>
        <v>0</v>
      </c>
      <c r="K73" s="4">
        <v>0</v>
      </c>
      <c r="M73" s="3">
        <v>0</v>
      </c>
      <c r="O73" s="3">
        <v>180993382</v>
      </c>
      <c r="Q73" s="3">
        <v>294439966</v>
      </c>
      <c r="S73" s="3">
        <f t="shared" si="1"/>
        <v>475433348</v>
      </c>
      <c r="U73" s="4">
        <v>7.1138736725707271E-3</v>
      </c>
    </row>
    <row r="74" spans="1:21" ht="21" x14ac:dyDescent="0.55000000000000004">
      <c r="A74" s="7" t="s">
        <v>208</v>
      </c>
      <c r="C74" s="3">
        <v>0</v>
      </c>
      <c r="E74" s="3">
        <v>0</v>
      </c>
      <c r="G74" s="3">
        <v>0</v>
      </c>
      <c r="I74" s="3">
        <f t="shared" ref="I74:I116" si="2">C74+E74+G74</f>
        <v>0</v>
      </c>
      <c r="K74" s="4">
        <v>0</v>
      </c>
      <c r="M74" s="3">
        <v>0</v>
      </c>
      <c r="O74" s="3">
        <v>1769544</v>
      </c>
      <c r="Q74" s="3">
        <v>1500319978</v>
      </c>
      <c r="S74" s="3">
        <f t="shared" ref="S74:S116" si="3">M74+O74+Q74</f>
        <v>1502089522</v>
      </c>
      <c r="U74" s="4">
        <v>2.2475653315762251E-2</v>
      </c>
    </row>
    <row r="75" spans="1:21" ht="21" x14ac:dyDescent="0.55000000000000004">
      <c r="A75" s="7" t="s">
        <v>209</v>
      </c>
      <c r="C75" s="3">
        <v>0</v>
      </c>
      <c r="E75" s="3">
        <v>0</v>
      </c>
      <c r="G75" s="3">
        <v>0</v>
      </c>
      <c r="I75" s="3">
        <f t="shared" si="2"/>
        <v>0</v>
      </c>
      <c r="K75" s="4">
        <v>0</v>
      </c>
      <c r="M75" s="3">
        <v>0</v>
      </c>
      <c r="O75" s="3">
        <v>-2499356</v>
      </c>
      <c r="Q75" s="3">
        <v>593579598</v>
      </c>
      <c r="S75" s="3">
        <f t="shared" si="3"/>
        <v>591080242</v>
      </c>
      <c r="U75" s="4">
        <v>8.8442895089902995E-3</v>
      </c>
    </row>
    <row r="76" spans="1:21" ht="21" x14ac:dyDescent="0.55000000000000004">
      <c r="A76" s="7" t="s">
        <v>210</v>
      </c>
      <c r="C76" s="3">
        <v>0</v>
      </c>
      <c r="E76" s="3">
        <v>0</v>
      </c>
      <c r="G76" s="3">
        <v>0</v>
      </c>
      <c r="I76" s="3">
        <f t="shared" si="2"/>
        <v>0</v>
      </c>
      <c r="K76" s="4">
        <v>0</v>
      </c>
      <c r="M76" s="3">
        <v>0</v>
      </c>
      <c r="O76" s="3">
        <v>-9760486</v>
      </c>
      <c r="Q76" s="3">
        <v>853398759</v>
      </c>
      <c r="S76" s="3">
        <f t="shared" si="3"/>
        <v>843638273</v>
      </c>
      <c r="U76" s="4">
        <v>1.2623296461458433E-2</v>
      </c>
    </row>
    <row r="77" spans="1:21" ht="21" x14ac:dyDescent="0.55000000000000004">
      <c r="A77" s="7" t="s">
        <v>211</v>
      </c>
      <c r="C77" s="3">
        <v>0</v>
      </c>
      <c r="E77" s="3">
        <v>0</v>
      </c>
      <c r="G77" s="3">
        <v>0</v>
      </c>
      <c r="I77" s="3">
        <f t="shared" si="2"/>
        <v>0</v>
      </c>
      <c r="K77" s="4">
        <v>0</v>
      </c>
      <c r="M77" s="3">
        <v>0</v>
      </c>
      <c r="O77" s="3">
        <v>29992</v>
      </c>
      <c r="Q77" s="3">
        <v>836739081</v>
      </c>
      <c r="S77" s="3">
        <f t="shared" si="3"/>
        <v>836769073</v>
      </c>
      <c r="U77" s="4">
        <v>1.2520513134968632E-2</v>
      </c>
    </row>
    <row r="78" spans="1:21" ht="21" x14ac:dyDescent="0.55000000000000004">
      <c r="A78" s="7" t="s">
        <v>212</v>
      </c>
      <c r="C78" s="3">
        <v>0</v>
      </c>
      <c r="E78" s="3">
        <v>0</v>
      </c>
      <c r="G78" s="3">
        <v>0</v>
      </c>
      <c r="I78" s="3">
        <f t="shared" si="2"/>
        <v>0</v>
      </c>
      <c r="K78" s="4">
        <v>0</v>
      </c>
      <c r="M78" s="3">
        <v>0</v>
      </c>
      <c r="O78" s="3">
        <v>6238393</v>
      </c>
      <c r="Q78" s="3">
        <v>718657381</v>
      </c>
      <c r="S78" s="3">
        <f t="shared" si="3"/>
        <v>724895774</v>
      </c>
      <c r="U78" s="4">
        <v>1.0846561318656973E-2</v>
      </c>
    </row>
    <row r="79" spans="1:21" ht="21" x14ac:dyDescent="0.55000000000000004">
      <c r="A79" s="7" t="s">
        <v>213</v>
      </c>
      <c r="C79" s="3">
        <v>0</v>
      </c>
      <c r="E79" s="3">
        <v>0</v>
      </c>
      <c r="G79" s="3">
        <v>0</v>
      </c>
      <c r="I79" s="3">
        <f t="shared" si="2"/>
        <v>0</v>
      </c>
      <c r="K79" s="4">
        <v>0</v>
      </c>
      <c r="M79" s="3">
        <v>0</v>
      </c>
      <c r="O79" s="3">
        <v>1519609</v>
      </c>
      <c r="Q79" s="3">
        <v>1596292</v>
      </c>
      <c r="S79" s="3">
        <f t="shared" si="3"/>
        <v>3115901</v>
      </c>
      <c r="U79" s="4">
        <v>4.6622993913832064E-5</v>
      </c>
    </row>
    <row r="80" spans="1:21" ht="21" x14ac:dyDescent="0.55000000000000004">
      <c r="A80" s="7" t="s">
        <v>214</v>
      </c>
      <c r="C80" s="3">
        <v>0</v>
      </c>
      <c r="E80" s="3">
        <v>0</v>
      </c>
      <c r="G80" s="3">
        <v>0</v>
      </c>
      <c r="I80" s="3">
        <f t="shared" si="2"/>
        <v>0</v>
      </c>
      <c r="K80" s="4">
        <v>0</v>
      </c>
      <c r="M80" s="3">
        <v>0</v>
      </c>
      <c r="O80" s="3">
        <v>-22527198</v>
      </c>
      <c r="Q80" s="3">
        <v>299720319</v>
      </c>
      <c r="S80" s="3">
        <f t="shared" si="3"/>
        <v>277193121</v>
      </c>
      <c r="U80" s="4">
        <v>4.147619963965195E-3</v>
      </c>
    </row>
    <row r="81" spans="1:21" ht="21" x14ac:dyDescent="0.55000000000000004">
      <c r="A81" s="7" t="s">
        <v>215</v>
      </c>
      <c r="C81" s="3">
        <v>0</v>
      </c>
      <c r="E81" s="3">
        <v>-405563241</v>
      </c>
      <c r="G81" s="3">
        <v>401389403</v>
      </c>
      <c r="I81" s="3">
        <f t="shared" si="2"/>
        <v>-4173838</v>
      </c>
      <c r="K81" s="4">
        <v>-3.5171068540063456E-4</v>
      </c>
      <c r="M81" s="3">
        <v>0</v>
      </c>
      <c r="O81" s="3">
        <v>-15336050</v>
      </c>
      <c r="Q81" s="3">
        <v>429981911</v>
      </c>
      <c r="S81" s="3">
        <f t="shared" si="3"/>
        <v>414645861</v>
      </c>
      <c r="U81" s="4">
        <v>6.2043150452465133E-3</v>
      </c>
    </row>
    <row r="82" spans="1:21" ht="21" x14ac:dyDescent="0.55000000000000004">
      <c r="A82" s="7" t="s">
        <v>216</v>
      </c>
      <c r="C82" s="3">
        <v>0</v>
      </c>
      <c r="E82" s="3">
        <v>-92605802</v>
      </c>
      <c r="G82" s="3">
        <v>29584792</v>
      </c>
      <c r="I82" s="3">
        <f t="shared" si="2"/>
        <v>-63021010</v>
      </c>
      <c r="K82" s="4">
        <v>-5.3104990231389532E-3</v>
      </c>
      <c r="M82" s="3">
        <v>0</v>
      </c>
      <c r="O82" s="3">
        <v>-66380556</v>
      </c>
      <c r="Q82" s="3">
        <v>2137548559</v>
      </c>
      <c r="S82" s="3">
        <f t="shared" si="3"/>
        <v>2071168003</v>
      </c>
      <c r="U82" s="4">
        <v>3.0990732118380111E-2</v>
      </c>
    </row>
    <row r="83" spans="1:21" ht="21" x14ac:dyDescent="0.55000000000000004">
      <c r="A83" s="7" t="s">
        <v>217</v>
      </c>
      <c r="C83" s="3">
        <v>0</v>
      </c>
      <c r="E83" s="3">
        <v>-129319312</v>
      </c>
      <c r="G83" s="3">
        <v>153286869</v>
      </c>
      <c r="I83" s="3">
        <f t="shared" si="2"/>
        <v>23967557</v>
      </c>
      <c r="K83" s="4">
        <v>2.0196389749311729E-3</v>
      </c>
      <c r="M83" s="3">
        <v>0</v>
      </c>
      <c r="O83" s="3">
        <v>6998198</v>
      </c>
      <c r="Q83" s="3">
        <v>153286869</v>
      </c>
      <c r="S83" s="3">
        <f t="shared" si="3"/>
        <v>160285067</v>
      </c>
      <c r="U83" s="4">
        <v>2.3983334846707787E-3</v>
      </c>
    </row>
    <row r="84" spans="1:21" ht="21" x14ac:dyDescent="0.55000000000000004">
      <c r="A84" s="7" t="s">
        <v>218</v>
      </c>
      <c r="C84" s="3">
        <v>0</v>
      </c>
      <c r="E84" s="3">
        <v>36578579</v>
      </c>
      <c r="G84" s="3">
        <v>0</v>
      </c>
      <c r="I84" s="3">
        <f t="shared" si="2"/>
        <v>36578579</v>
      </c>
      <c r="K84" s="4">
        <v>3.0823134704967602E-3</v>
      </c>
      <c r="M84" s="3">
        <v>0</v>
      </c>
      <c r="O84" s="3">
        <v>289548098</v>
      </c>
      <c r="Q84" s="3">
        <v>0</v>
      </c>
      <c r="S84" s="3">
        <f t="shared" si="3"/>
        <v>289548098</v>
      </c>
      <c r="U84" s="4">
        <v>4.3324865619336593E-3</v>
      </c>
    </row>
    <row r="85" spans="1:21" ht="21" x14ac:dyDescent="0.55000000000000004">
      <c r="A85" s="7" t="s">
        <v>219</v>
      </c>
      <c r="C85" s="3">
        <v>0</v>
      </c>
      <c r="E85" s="3">
        <v>-3995972</v>
      </c>
      <c r="G85" s="3">
        <v>-2617102250</v>
      </c>
      <c r="I85" s="3">
        <f t="shared" si="2"/>
        <v>-2621098222</v>
      </c>
      <c r="K85" s="4">
        <v>-0.22086823977404119</v>
      </c>
      <c r="M85" s="3">
        <v>0</v>
      </c>
      <c r="O85" s="3">
        <v>2998</v>
      </c>
      <c r="Q85" s="3">
        <v>-2600103280</v>
      </c>
      <c r="S85" s="3">
        <f t="shared" si="3"/>
        <v>-2600100282</v>
      </c>
      <c r="U85" s="4">
        <v>-3.8905106299281983E-2</v>
      </c>
    </row>
    <row r="86" spans="1:21" ht="21" x14ac:dyDescent="0.55000000000000004">
      <c r="A86" s="7" t="s">
        <v>220</v>
      </c>
      <c r="C86" s="3">
        <v>0</v>
      </c>
      <c r="E86" s="3">
        <v>-248210997</v>
      </c>
      <c r="G86" s="3">
        <v>-143352748</v>
      </c>
      <c r="I86" s="3">
        <f t="shared" si="2"/>
        <v>-391563745</v>
      </c>
      <c r="K86" s="4">
        <v>-3.2995327833037429E-2</v>
      </c>
      <c r="M86" s="3">
        <v>0</v>
      </c>
      <c r="O86" s="3">
        <v>36052714</v>
      </c>
      <c r="Q86" s="3">
        <v>-143352748</v>
      </c>
      <c r="S86" s="3">
        <f t="shared" si="3"/>
        <v>-107300034</v>
      </c>
      <c r="U86" s="4">
        <v>-1.6055223937268782E-3</v>
      </c>
    </row>
    <row r="87" spans="1:21" ht="21" x14ac:dyDescent="0.55000000000000004">
      <c r="A87" s="7" t="s">
        <v>221</v>
      </c>
      <c r="C87" s="3">
        <v>0</v>
      </c>
      <c r="E87" s="3">
        <v>-72634181</v>
      </c>
      <c r="G87" s="3">
        <v>64568918</v>
      </c>
      <c r="I87" s="3">
        <f t="shared" si="2"/>
        <v>-8065263</v>
      </c>
      <c r="K87" s="4">
        <v>-6.7962368871680643E-4</v>
      </c>
      <c r="M87" s="3">
        <v>0</v>
      </c>
      <c r="O87" s="3">
        <v>-59984550</v>
      </c>
      <c r="Q87" s="3">
        <v>64568918</v>
      </c>
      <c r="S87" s="3">
        <f t="shared" si="3"/>
        <v>4584368</v>
      </c>
      <c r="U87" s="4">
        <v>6.8595555944417512E-5</v>
      </c>
    </row>
    <row r="88" spans="1:21" ht="21" x14ac:dyDescent="0.55000000000000004">
      <c r="A88" s="7" t="s">
        <v>222</v>
      </c>
      <c r="C88" s="3">
        <v>0</v>
      </c>
      <c r="E88" s="3">
        <v>-117330032</v>
      </c>
      <c r="G88" s="3">
        <v>-987077134</v>
      </c>
      <c r="I88" s="3">
        <f t="shared" si="2"/>
        <v>-1104407166</v>
      </c>
      <c r="K88" s="4">
        <v>-9.30634589352132E-2</v>
      </c>
      <c r="M88" s="3">
        <v>0</v>
      </c>
      <c r="O88" s="3">
        <v>-132110973</v>
      </c>
      <c r="Q88" s="3">
        <v>-987077134</v>
      </c>
      <c r="S88" s="3">
        <f t="shared" si="3"/>
        <v>-1119188107</v>
      </c>
      <c r="U88" s="4">
        <v>-1.6746328044791613E-2</v>
      </c>
    </row>
    <row r="89" spans="1:21" ht="21" x14ac:dyDescent="0.55000000000000004">
      <c r="A89" s="7" t="s">
        <v>224</v>
      </c>
      <c r="C89" s="3">
        <v>0</v>
      </c>
      <c r="E89" s="3">
        <v>0</v>
      </c>
      <c r="G89" s="3">
        <v>152611430</v>
      </c>
      <c r="I89" s="3">
        <f t="shared" si="2"/>
        <v>152611430</v>
      </c>
      <c r="K89" s="4">
        <v>1.2859883552085864E-2</v>
      </c>
      <c r="M89" s="3">
        <v>0</v>
      </c>
      <c r="O89" s="3">
        <v>0</v>
      </c>
      <c r="Q89" s="3">
        <v>152611430</v>
      </c>
      <c r="S89" s="3">
        <f t="shared" si="3"/>
        <v>152611430</v>
      </c>
      <c r="U89" s="4">
        <v>2.2835134274391926E-3</v>
      </c>
    </row>
    <row r="90" spans="1:21" ht="21" x14ac:dyDescent="0.55000000000000004">
      <c r="A90" s="7" t="s">
        <v>223</v>
      </c>
      <c r="C90" s="3">
        <v>0</v>
      </c>
      <c r="E90" s="3">
        <v>3399125</v>
      </c>
      <c r="G90" s="3">
        <v>165978980</v>
      </c>
      <c r="I90" s="3">
        <f t="shared" si="2"/>
        <v>169378105</v>
      </c>
      <c r="K90" s="4">
        <v>1.4272736364327184E-2</v>
      </c>
      <c r="M90" s="3">
        <v>0</v>
      </c>
      <c r="O90" s="3">
        <v>3399125</v>
      </c>
      <c r="Q90" s="3">
        <v>165978980</v>
      </c>
      <c r="S90" s="3">
        <f t="shared" si="3"/>
        <v>169378105</v>
      </c>
      <c r="U90" s="4">
        <v>2.5343919330400445E-3</v>
      </c>
    </row>
    <row r="91" spans="1:21" ht="21" x14ac:dyDescent="0.55000000000000004">
      <c r="A91" s="7" t="s">
        <v>207</v>
      </c>
      <c r="C91" s="3">
        <v>0</v>
      </c>
      <c r="E91" s="3">
        <v>0</v>
      </c>
      <c r="G91" s="3">
        <v>0</v>
      </c>
      <c r="I91" s="3">
        <f t="shared" si="2"/>
        <v>0</v>
      </c>
      <c r="K91" s="4">
        <v>0</v>
      </c>
      <c r="M91" s="3">
        <v>0</v>
      </c>
      <c r="O91" s="3">
        <v>0</v>
      </c>
      <c r="Q91" s="3">
        <v>169892337</v>
      </c>
      <c r="S91" s="3">
        <f t="shared" si="3"/>
        <v>169892337</v>
      </c>
      <c r="U91" s="4">
        <v>2.5420863480443397E-3</v>
      </c>
    </row>
    <row r="92" spans="1:21" ht="21" x14ac:dyDescent="0.55000000000000004">
      <c r="A92" s="7" t="s">
        <v>225</v>
      </c>
      <c r="C92" s="3">
        <v>0</v>
      </c>
      <c r="E92" s="3">
        <v>-27490106</v>
      </c>
      <c r="G92" s="3">
        <v>9166510</v>
      </c>
      <c r="I92" s="3">
        <f t="shared" si="2"/>
        <v>-18323596</v>
      </c>
      <c r="K92" s="4">
        <v>-1.5440475907700121E-3</v>
      </c>
      <c r="M92" s="3">
        <v>0</v>
      </c>
      <c r="O92" s="3">
        <v>-27490106</v>
      </c>
      <c r="Q92" s="3">
        <v>9166510</v>
      </c>
      <c r="S92" s="3">
        <f t="shared" si="3"/>
        <v>-18323596</v>
      </c>
      <c r="U92" s="4">
        <v>-2.7417459822616876E-4</v>
      </c>
    </row>
    <row r="93" spans="1:21" ht="21" x14ac:dyDescent="0.55000000000000004">
      <c r="A93" s="7" t="s">
        <v>226</v>
      </c>
      <c r="C93" s="3">
        <v>0</v>
      </c>
      <c r="E93" s="3">
        <v>-113769496</v>
      </c>
      <c r="G93" s="3">
        <v>0</v>
      </c>
      <c r="I93" s="3">
        <f t="shared" si="2"/>
        <v>-113769496</v>
      </c>
      <c r="K93" s="4">
        <v>-9.5868472652375948E-3</v>
      </c>
      <c r="M93" s="3">
        <v>0</v>
      </c>
      <c r="O93" s="3">
        <v>-113769496</v>
      </c>
      <c r="Q93" s="3">
        <v>0</v>
      </c>
      <c r="S93" s="3">
        <f t="shared" si="3"/>
        <v>-113769496</v>
      </c>
      <c r="U93" s="4">
        <v>-1.702324470381999E-3</v>
      </c>
    </row>
    <row r="94" spans="1:21" ht="21" x14ac:dyDescent="0.55000000000000004">
      <c r="A94" s="7" t="s">
        <v>239</v>
      </c>
      <c r="C94" s="3">
        <v>0</v>
      </c>
      <c r="E94" s="3">
        <v>0</v>
      </c>
      <c r="G94" s="3">
        <v>-1001</v>
      </c>
      <c r="I94" s="3">
        <f t="shared" si="2"/>
        <v>-1001</v>
      </c>
      <c r="K94" s="4">
        <v>-8.4349798934705946E-8</v>
      </c>
      <c r="M94" s="3">
        <v>0</v>
      </c>
      <c r="O94" s="3">
        <v>0</v>
      </c>
      <c r="Q94" s="3">
        <v>-1001</v>
      </c>
      <c r="S94" s="3">
        <f t="shared" si="3"/>
        <v>-1001</v>
      </c>
      <c r="U94" s="4">
        <v>-1.4977888228074607E-8</v>
      </c>
    </row>
    <row r="95" spans="1:21" ht="21" x14ac:dyDescent="0.55000000000000004">
      <c r="A95" s="7" t="s">
        <v>227</v>
      </c>
      <c r="C95" s="3">
        <v>0</v>
      </c>
      <c r="E95" s="3">
        <v>0</v>
      </c>
      <c r="G95" s="3">
        <v>0</v>
      </c>
      <c r="I95" s="3">
        <f t="shared" si="2"/>
        <v>0</v>
      </c>
      <c r="K95" s="4">
        <v>0</v>
      </c>
      <c r="M95" s="3">
        <v>0</v>
      </c>
      <c r="O95" s="3">
        <v>-24993562</v>
      </c>
      <c r="Q95" s="3">
        <v>2635614794</v>
      </c>
      <c r="S95" s="3">
        <f t="shared" si="3"/>
        <v>2610621232</v>
      </c>
      <c r="U95" s="4">
        <v>3.9062530488246178E-2</v>
      </c>
    </row>
    <row r="96" spans="1:21" ht="21" x14ac:dyDescent="0.55000000000000004">
      <c r="A96" s="7" t="s">
        <v>228</v>
      </c>
      <c r="C96" s="3">
        <v>0</v>
      </c>
      <c r="E96" s="3">
        <v>0</v>
      </c>
      <c r="G96" s="3">
        <v>0</v>
      </c>
      <c r="I96" s="3">
        <f t="shared" si="2"/>
        <v>0</v>
      </c>
      <c r="K96" s="4">
        <v>0</v>
      </c>
      <c r="M96" s="3">
        <v>0</v>
      </c>
      <c r="O96" s="3">
        <v>51986610</v>
      </c>
      <c r="Q96" s="3">
        <v>220595472</v>
      </c>
      <c r="S96" s="3">
        <f t="shared" si="3"/>
        <v>272582082</v>
      </c>
      <c r="U96" s="4">
        <v>4.0786253318400275E-3</v>
      </c>
    </row>
    <row r="97" spans="1:21" ht="21" x14ac:dyDescent="0.55000000000000004">
      <c r="A97" s="7" t="s">
        <v>237</v>
      </c>
      <c r="C97" s="3">
        <v>0</v>
      </c>
      <c r="E97" s="3">
        <v>0</v>
      </c>
      <c r="G97" s="3">
        <v>2823802</v>
      </c>
      <c r="I97" s="3">
        <f t="shared" si="2"/>
        <v>2823802</v>
      </c>
      <c r="K97" s="4">
        <v>2.3794918174967084E-4</v>
      </c>
      <c r="M97" s="3">
        <v>0</v>
      </c>
      <c r="O97" s="3">
        <v>0</v>
      </c>
      <c r="Q97" s="3">
        <v>2823802</v>
      </c>
      <c r="S97" s="3">
        <f t="shared" si="3"/>
        <v>2823802</v>
      </c>
      <c r="U97" s="4">
        <v>4.2252338395817716E-5</v>
      </c>
    </row>
    <row r="98" spans="1:21" ht="21" x14ac:dyDescent="0.55000000000000004">
      <c r="A98" s="7" t="s">
        <v>229</v>
      </c>
      <c r="C98" s="3">
        <v>0</v>
      </c>
      <c r="E98" s="3">
        <v>0</v>
      </c>
      <c r="G98" s="3">
        <v>0</v>
      </c>
      <c r="I98" s="3">
        <f t="shared" si="2"/>
        <v>0</v>
      </c>
      <c r="K98" s="4">
        <v>0</v>
      </c>
      <c r="M98" s="3">
        <v>0</v>
      </c>
      <c r="O98" s="3">
        <v>-1887514</v>
      </c>
      <c r="Q98" s="3">
        <v>250998754</v>
      </c>
      <c r="S98" s="3">
        <f t="shared" si="3"/>
        <v>249111240</v>
      </c>
      <c r="U98" s="4">
        <v>3.7274328762008672E-3</v>
      </c>
    </row>
    <row r="99" spans="1:21" ht="21" x14ac:dyDescent="0.55000000000000004">
      <c r="A99" s="7" t="s">
        <v>230</v>
      </c>
      <c r="C99" s="3">
        <v>0</v>
      </c>
      <c r="E99" s="3">
        <v>0</v>
      </c>
      <c r="G99" s="3">
        <v>0</v>
      </c>
      <c r="I99" s="3">
        <f t="shared" si="2"/>
        <v>0</v>
      </c>
      <c r="K99" s="4">
        <v>0</v>
      </c>
      <c r="M99" s="3">
        <v>0</v>
      </c>
      <c r="O99" s="3">
        <v>24667646</v>
      </c>
      <c r="Q99" s="3">
        <v>137838676</v>
      </c>
      <c r="S99" s="3">
        <f t="shared" si="3"/>
        <v>162506322</v>
      </c>
      <c r="U99" s="4">
        <v>2.4315699573141873E-3</v>
      </c>
    </row>
    <row r="100" spans="1:21" ht="21" x14ac:dyDescent="0.55000000000000004">
      <c r="A100" s="7" t="s">
        <v>231</v>
      </c>
      <c r="C100" s="3">
        <v>0</v>
      </c>
      <c r="E100" s="3">
        <v>31698602</v>
      </c>
      <c r="G100" s="3">
        <v>769032514</v>
      </c>
      <c r="I100" s="3">
        <f t="shared" si="2"/>
        <v>800731116</v>
      </c>
      <c r="K100" s="4">
        <v>6.7474034600761942E-2</v>
      </c>
      <c r="M100" s="3">
        <v>0</v>
      </c>
      <c r="O100" s="3">
        <v>-998</v>
      </c>
      <c r="Q100" s="3">
        <v>769032514</v>
      </c>
      <c r="S100" s="3">
        <f t="shared" si="3"/>
        <v>769031516</v>
      </c>
      <c r="U100" s="4">
        <v>1.1506961129385384E-2</v>
      </c>
    </row>
    <row r="101" spans="1:21" ht="21" x14ac:dyDescent="0.55000000000000004">
      <c r="A101" s="7" t="s">
        <v>232</v>
      </c>
      <c r="C101" s="3">
        <v>0</v>
      </c>
      <c r="E101" s="3">
        <v>-21039737</v>
      </c>
      <c r="G101" s="3">
        <v>97524246</v>
      </c>
      <c r="I101" s="3">
        <f t="shared" si="2"/>
        <v>76484509</v>
      </c>
      <c r="K101" s="4">
        <v>6.4450079478218852E-3</v>
      </c>
      <c r="M101" s="3">
        <v>0</v>
      </c>
      <c r="O101" s="3">
        <v>-20994592</v>
      </c>
      <c r="Q101" s="3">
        <v>97524246</v>
      </c>
      <c r="S101" s="3">
        <f t="shared" si="3"/>
        <v>76529654</v>
      </c>
      <c r="U101" s="4">
        <v>1.1451074962489738E-3</v>
      </c>
    </row>
    <row r="102" spans="1:21" ht="21" x14ac:dyDescent="0.55000000000000004">
      <c r="A102" s="7" t="s">
        <v>238</v>
      </c>
      <c r="C102" s="3">
        <v>0</v>
      </c>
      <c r="E102" s="3">
        <v>230678875</v>
      </c>
      <c r="G102" s="3">
        <v>228052331</v>
      </c>
      <c r="I102" s="3">
        <f t="shared" si="2"/>
        <v>458731206</v>
      </c>
      <c r="K102" s="4">
        <v>3.8655229761413758E-2</v>
      </c>
      <c r="M102" s="3">
        <v>0</v>
      </c>
      <c r="O102" s="3">
        <v>0</v>
      </c>
      <c r="Q102" s="3">
        <v>228052331</v>
      </c>
      <c r="S102" s="3">
        <f t="shared" si="3"/>
        <v>228052331</v>
      </c>
      <c r="U102" s="4">
        <v>3.4123299938759975E-3</v>
      </c>
    </row>
    <row r="103" spans="1:21" ht="21" x14ac:dyDescent="0.55000000000000004">
      <c r="A103" s="7" t="s">
        <v>233</v>
      </c>
      <c r="C103" s="3">
        <v>0</v>
      </c>
      <c r="E103" s="3">
        <v>2000</v>
      </c>
      <c r="G103" s="3">
        <v>1604128594</v>
      </c>
      <c r="I103" s="3">
        <f t="shared" si="2"/>
        <v>1604130594</v>
      </c>
      <c r="K103" s="4">
        <v>0.13517292014876164</v>
      </c>
      <c r="M103" s="3">
        <v>0</v>
      </c>
      <c r="O103" s="3">
        <v>2000</v>
      </c>
      <c r="Q103" s="3">
        <v>1604128594</v>
      </c>
      <c r="S103" s="3">
        <f t="shared" si="3"/>
        <v>1604130594</v>
      </c>
      <c r="U103" s="4">
        <v>2.4002486253913012E-2</v>
      </c>
    </row>
    <row r="104" spans="1:21" ht="21" x14ac:dyDescent="0.55000000000000004">
      <c r="A104" s="7" t="s">
        <v>234</v>
      </c>
      <c r="C104" s="3">
        <v>0</v>
      </c>
      <c r="E104" s="3">
        <v>17717036</v>
      </c>
      <c r="G104" s="3">
        <v>798792798</v>
      </c>
      <c r="I104" s="3">
        <f t="shared" si="2"/>
        <v>816509834</v>
      </c>
      <c r="K104" s="4">
        <v>6.8803636689420702E-2</v>
      </c>
      <c r="M104" s="3">
        <v>0</v>
      </c>
      <c r="O104" s="3">
        <v>17717036</v>
      </c>
      <c r="Q104" s="3">
        <v>798792798</v>
      </c>
      <c r="S104" s="3">
        <f t="shared" si="3"/>
        <v>816509834</v>
      </c>
      <c r="U104" s="4">
        <v>1.221737565512063E-2</v>
      </c>
    </row>
    <row r="105" spans="1:21" ht="21" x14ac:dyDescent="0.55000000000000004">
      <c r="A105" s="7" t="s">
        <v>235</v>
      </c>
      <c r="C105" s="3">
        <v>0</v>
      </c>
      <c r="E105" s="3">
        <v>-38778102</v>
      </c>
      <c r="G105" s="3">
        <v>0</v>
      </c>
      <c r="I105" s="3">
        <f t="shared" si="2"/>
        <v>-38778102</v>
      </c>
      <c r="K105" s="4">
        <v>-3.267657449320198E-3</v>
      </c>
      <c r="M105" s="3">
        <v>0</v>
      </c>
      <c r="O105" s="3">
        <v>-38778102</v>
      </c>
      <c r="Q105" s="3">
        <v>0</v>
      </c>
      <c r="S105" s="3">
        <f t="shared" si="3"/>
        <v>-38778102</v>
      </c>
      <c r="U105" s="4">
        <v>-5.8023384360926706E-4</v>
      </c>
    </row>
    <row r="106" spans="1:21" ht="21" x14ac:dyDescent="0.55000000000000004">
      <c r="A106" s="7" t="s">
        <v>236</v>
      </c>
      <c r="C106" s="3">
        <v>0</v>
      </c>
      <c r="E106" s="3">
        <v>50986</v>
      </c>
      <c r="G106" s="3">
        <v>1173724363</v>
      </c>
      <c r="I106" s="3">
        <f t="shared" si="2"/>
        <v>1173775349</v>
      </c>
      <c r="K106" s="4">
        <v>9.8908805876787506E-2</v>
      </c>
      <c r="M106" s="3">
        <v>0</v>
      </c>
      <c r="O106" s="3">
        <v>50986</v>
      </c>
      <c r="Q106" s="3">
        <v>1173724363</v>
      </c>
      <c r="S106" s="3">
        <f t="shared" si="3"/>
        <v>1173775349</v>
      </c>
      <c r="U106" s="4">
        <v>1.756311286932194E-2</v>
      </c>
    </row>
    <row r="107" spans="1:21" ht="21" x14ac:dyDescent="0.55000000000000004">
      <c r="A107" s="7" t="s">
        <v>166</v>
      </c>
      <c r="C107" s="3">
        <v>0</v>
      </c>
      <c r="E107" s="3">
        <v>0</v>
      </c>
      <c r="G107" s="3">
        <v>0</v>
      </c>
      <c r="I107" s="3">
        <f t="shared" si="2"/>
        <v>0</v>
      </c>
      <c r="K107" s="4">
        <v>0</v>
      </c>
      <c r="L107" s="6"/>
      <c r="M107" s="3">
        <v>0</v>
      </c>
      <c r="O107" s="3">
        <v>0</v>
      </c>
      <c r="Q107" s="3">
        <v>-136788503</v>
      </c>
      <c r="S107" s="3">
        <f t="shared" si="3"/>
        <v>-136788503</v>
      </c>
      <c r="U107" s="4">
        <v>-2.0467561526669809E-3</v>
      </c>
    </row>
    <row r="108" spans="1:21" ht="21" x14ac:dyDescent="0.55000000000000004">
      <c r="A108" s="7" t="s">
        <v>169</v>
      </c>
      <c r="C108" s="3">
        <v>0</v>
      </c>
      <c r="E108" s="3">
        <v>0</v>
      </c>
      <c r="G108" s="3">
        <v>0</v>
      </c>
      <c r="I108" s="3">
        <f t="shared" si="2"/>
        <v>0</v>
      </c>
      <c r="K108" s="4">
        <v>0</v>
      </c>
      <c r="L108" s="6"/>
      <c r="M108" s="3">
        <v>0</v>
      </c>
      <c r="O108" s="3">
        <v>0</v>
      </c>
      <c r="Q108" s="3">
        <v>-2314315880</v>
      </c>
      <c r="S108" s="3">
        <f t="shared" si="3"/>
        <v>-2314315880</v>
      </c>
      <c r="U108" s="4">
        <v>-3.4628935639458666E-2</v>
      </c>
    </row>
    <row r="109" spans="1:21" ht="21" x14ac:dyDescent="0.55000000000000004">
      <c r="A109" s="7" t="s">
        <v>165</v>
      </c>
      <c r="C109" s="3">
        <v>0</v>
      </c>
      <c r="E109" s="3">
        <v>0</v>
      </c>
      <c r="G109" s="3">
        <v>0</v>
      </c>
      <c r="I109" s="3">
        <f t="shared" si="2"/>
        <v>0</v>
      </c>
      <c r="K109" s="4">
        <v>0</v>
      </c>
      <c r="L109" s="6"/>
      <c r="M109" s="3">
        <v>0</v>
      </c>
      <c r="O109" s="3">
        <v>0</v>
      </c>
      <c r="Q109" s="3">
        <v>6310789540</v>
      </c>
      <c r="S109" s="3">
        <f t="shared" si="3"/>
        <v>6310789540</v>
      </c>
      <c r="U109" s="4">
        <v>9.4427872488533834E-2</v>
      </c>
    </row>
    <row r="110" spans="1:21" ht="21" x14ac:dyDescent="0.55000000000000004">
      <c r="A110" s="7" t="s">
        <v>164</v>
      </c>
      <c r="C110" s="3">
        <v>0</v>
      </c>
      <c r="E110" s="3">
        <v>0</v>
      </c>
      <c r="G110" s="3">
        <v>0</v>
      </c>
      <c r="I110" s="3">
        <f t="shared" si="2"/>
        <v>0</v>
      </c>
      <c r="K110" s="4">
        <v>0</v>
      </c>
      <c r="L110" s="6"/>
      <c r="M110" s="3">
        <v>0</v>
      </c>
      <c r="O110" s="3">
        <v>0</v>
      </c>
      <c r="Q110" s="3">
        <v>-436957507</v>
      </c>
      <c r="S110" s="3">
        <f t="shared" si="3"/>
        <v>-436957507</v>
      </c>
      <c r="U110" s="4">
        <v>-6.5381625377264009E-3</v>
      </c>
    </row>
    <row r="111" spans="1:21" ht="21" x14ac:dyDescent="0.55000000000000004">
      <c r="A111" s="7" t="s">
        <v>163</v>
      </c>
      <c r="C111" s="3">
        <v>0</v>
      </c>
      <c r="E111" s="3">
        <v>0</v>
      </c>
      <c r="G111" s="3">
        <v>0</v>
      </c>
      <c r="I111" s="3">
        <f t="shared" si="2"/>
        <v>0</v>
      </c>
      <c r="K111" s="4">
        <v>0</v>
      </c>
      <c r="L111" s="6"/>
      <c r="M111" s="3">
        <v>0</v>
      </c>
      <c r="O111" s="3">
        <v>0</v>
      </c>
      <c r="Q111" s="3">
        <v>2546816440</v>
      </c>
      <c r="S111" s="3">
        <f t="shared" si="3"/>
        <v>2546816440</v>
      </c>
      <c r="U111" s="4">
        <v>3.8107824151591287E-2</v>
      </c>
    </row>
    <row r="112" spans="1:21" ht="21" x14ac:dyDescent="0.55000000000000004">
      <c r="A112" s="7" t="s">
        <v>162</v>
      </c>
      <c r="C112" s="3">
        <v>0</v>
      </c>
      <c r="E112" s="3">
        <v>0</v>
      </c>
      <c r="G112" s="3">
        <v>0</v>
      </c>
      <c r="I112" s="3">
        <f t="shared" si="2"/>
        <v>0</v>
      </c>
      <c r="K112" s="4">
        <v>0</v>
      </c>
      <c r="L112" s="6"/>
      <c r="M112" s="3">
        <v>0</v>
      </c>
      <c r="O112" s="3">
        <v>0</v>
      </c>
      <c r="Q112" s="3">
        <v>1447873382</v>
      </c>
      <c r="S112" s="3">
        <f t="shared" si="3"/>
        <v>1447873382</v>
      </c>
      <c r="U112" s="4">
        <v>2.166442126273763E-2</v>
      </c>
    </row>
    <row r="113" spans="1:21" ht="21" x14ac:dyDescent="0.55000000000000004">
      <c r="A113" s="7" t="s">
        <v>168</v>
      </c>
      <c r="C113" s="3">
        <v>0</v>
      </c>
      <c r="E113" s="3">
        <v>0</v>
      </c>
      <c r="G113" s="3">
        <v>0</v>
      </c>
      <c r="I113" s="3">
        <f t="shared" si="2"/>
        <v>0</v>
      </c>
      <c r="K113" s="4">
        <v>0</v>
      </c>
      <c r="L113" s="6"/>
      <c r="M113" s="3">
        <v>0</v>
      </c>
      <c r="O113" s="3">
        <v>0</v>
      </c>
      <c r="Q113" s="3">
        <v>60230850</v>
      </c>
      <c r="S113" s="3">
        <f t="shared" si="3"/>
        <v>60230850</v>
      </c>
      <c r="U113" s="4">
        <v>9.0122970947245499E-4</v>
      </c>
    </row>
    <row r="114" spans="1:21" ht="21" x14ac:dyDescent="0.55000000000000004">
      <c r="A114" s="7" t="s">
        <v>160</v>
      </c>
      <c r="C114" s="3">
        <v>0</v>
      </c>
      <c r="E114" s="3">
        <v>0</v>
      </c>
      <c r="G114" s="3">
        <v>0</v>
      </c>
      <c r="I114" s="3">
        <f t="shared" si="2"/>
        <v>0</v>
      </c>
      <c r="K114" s="4">
        <v>0</v>
      </c>
      <c r="L114" s="6"/>
      <c r="M114" s="3">
        <v>0</v>
      </c>
      <c r="O114" s="3">
        <v>0</v>
      </c>
      <c r="Q114" s="3">
        <v>157727</v>
      </c>
      <c r="S114" s="3">
        <f t="shared" si="3"/>
        <v>157727</v>
      </c>
      <c r="U114" s="4">
        <v>2.3600573192302934E-6</v>
      </c>
    </row>
    <row r="115" spans="1:21" ht="21" x14ac:dyDescent="0.55000000000000004">
      <c r="A115" s="7" t="s">
        <v>167</v>
      </c>
      <c r="C115" s="3">
        <v>0</v>
      </c>
      <c r="E115" s="3">
        <v>0</v>
      </c>
      <c r="G115" s="3">
        <v>0</v>
      </c>
      <c r="I115" s="3">
        <f t="shared" si="2"/>
        <v>0</v>
      </c>
      <c r="K115" s="4">
        <v>0</v>
      </c>
      <c r="L115" s="6"/>
      <c r="M115" s="3">
        <v>0</v>
      </c>
      <c r="O115" s="3">
        <v>0</v>
      </c>
      <c r="Q115" s="3">
        <v>-364180561</v>
      </c>
      <c r="S115" s="3">
        <f t="shared" si="3"/>
        <v>-364180561</v>
      </c>
      <c r="U115" s="4">
        <v>-5.4492065309645421E-3</v>
      </c>
    </row>
    <row r="116" spans="1:21" ht="21" x14ac:dyDescent="0.55000000000000004">
      <c r="A116" s="7" t="s">
        <v>157</v>
      </c>
      <c r="C116" s="3">
        <v>0</v>
      </c>
      <c r="E116" s="3">
        <v>0</v>
      </c>
      <c r="G116" s="3">
        <v>0</v>
      </c>
      <c r="I116" s="3">
        <f t="shared" si="2"/>
        <v>0</v>
      </c>
      <c r="K116" s="4">
        <v>0</v>
      </c>
      <c r="L116" s="6"/>
      <c r="M116" s="3">
        <v>0</v>
      </c>
      <c r="O116" s="3">
        <v>0</v>
      </c>
      <c r="Q116" s="3">
        <v>2697705400</v>
      </c>
      <c r="S116" s="3">
        <f t="shared" si="3"/>
        <v>2697705400</v>
      </c>
      <c r="U116" s="4">
        <v>4.0365564389084216E-2</v>
      </c>
    </row>
    <row r="117" spans="1:21" ht="21.75" thickBot="1" x14ac:dyDescent="0.6">
      <c r="A117" s="21" t="s">
        <v>9</v>
      </c>
      <c r="C117" s="21">
        <f>SUM(C9:C116)</f>
        <v>6556286160</v>
      </c>
      <c r="E117" s="21">
        <f>SUM(E9:E116)</f>
        <v>9043336735</v>
      </c>
      <c r="G117" s="21">
        <f>SUM(G9:G116)</f>
        <v>-4820207749</v>
      </c>
      <c r="I117" s="21">
        <f>SUM(I9:I116)</f>
        <v>10779415146</v>
      </c>
      <c r="K117" s="36">
        <f>SUM(K9:K116)</f>
        <v>0.90833316703179223</v>
      </c>
      <c r="M117" s="21">
        <f>SUM(M9:M116)</f>
        <v>11902966160</v>
      </c>
      <c r="O117" s="21">
        <f>SUM(O9:O116)</f>
        <v>14390194307</v>
      </c>
      <c r="Q117" s="21">
        <f>SUM(Q9:Q116)</f>
        <v>37240466476</v>
      </c>
      <c r="S117" s="21">
        <f>SUM(S9:S116)</f>
        <v>63533626943</v>
      </c>
      <c r="U117" s="36">
        <f>SUM(U9:U116)</f>
        <v>0.95064891416228103</v>
      </c>
    </row>
    <row r="118" spans="1:21" ht="21.75" thickTop="1" x14ac:dyDescent="0.55000000000000004">
      <c r="C118" s="2"/>
      <c r="E118" s="2"/>
      <c r="G118" s="2"/>
      <c r="I118" s="2"/>
      <c r="K118" s="2"/>
      <c r="M118" s="2"/>
      <c r="O118" s="2"/>
      <c r="Q118" s="2"/>
      <c r="S118" s="2"/>
      <c r="U118" s="2"/>
    </row>
  </sheetData>
  <mergeCells count="6">
    <mergeCell ref="A1:U1"/>
    <mergeCell ref="A2:U2"/>
    <mergeCell ref="A3:U3"/>
    <mergeCell ref="A5:U5"/>
    <mergeCell ref="C7:K7"/>
    <mergeCell ref="M7:U7"/>
  </mergeCells>
  <pageMargins left="0.24" right="0.18" top="0.49" bottom="0.32" header="0.3" footer="0.3"/>
  <pageSetup paperSize="9" scale="69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45FB-093A-40E6-BE0B-D02FB6AEEDD2}">
  <dimension ref="A1:K12"/>
  <sheetViews>
    <sheetView rightToLeft="1" view="pageBreakPreview" zoomScale="60" zoomScaleNormal="100" workbookViewId="0">
      <selection activeCell="A2" sqref="A2:K2"/>
    </sheetView>
  </sheetViews>
  <sheetFormatPr defaultColWidth="8.85546875" defaultRowHeight="19.5" x14ac:dyDescent="0.55000000000000004"/>
  <cols>
    <col min="1" max="1" width="25.57031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4.140625" style="1" customWidth="1"/>
    <col min="8" max="8" width="1.42578125" style="1" customWidth="1"/>
    <col min="9" max="9" width="17" style="1" customWidth="1"/>
    <col min="10" max="10" width="1.42578125" style="1" customWidth="1"/>
    <col min="11" max="11" width="14.140625" style="1" customWidth="1"/>
    <col min="12" max="16384" width="8.85546875" style="1"/>
  </cols>
  <sheetData>
    <row r="1" spans="1:11" ht="19.899999999999999" customHeight="1" x14ac:dyDescent="0.55000000000000004">
      <c r="A1" s="49" t="s">
        <v>71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9.899999999999999" customHeight="1" x14ac:dyDescent="0.55000000000000004">
      <c r="A2" s="49" t="s">
        <v>26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5" spans="1:11" ht="21" x14ac:dyDescent="0.55000000000000004">
      <c r="A5" s="50" t="s">
        <v>66</v>
      </c>
      <c r="B5" s="39"/>
      <c r="C5" s="39"/>
      <c r="D5" s="39"/>
      <c r="E5" s="39"/>
      <c r="F5" s="39"/>
      <c r="G5" s="39"/>
      <c r="H5" s="39"/>
      <c r="I5" s="39"/>
      <c r="J5" s="39"/>
      <c r="K5" s="39"/>
    </row>
    <row r="7" spans="1:11" ht="21" x14ac:dyDescent="0.55000000000000004">
      <c r="A7" s="51" t="s">
        <v>47</v>
      </c>
      <c r="B7" s="52"/>
      <c r="C7" s="52"/>
      <c r="E7" s="51" t="s">
        <v>65</v>
      </c>
      <c r="F7" s="52"/>
      <c r="G7" s="52"/>
      <c r="I7" s="51" t="s">
        <v>240</v>
      </c>
      <c r="J7" s="52"/>
      <c r="K7" s="52"/>
    </row>
    <row r="8" spans="1:11" ht="42" x14ac:dyDescent="0.55000000000000004">
      <c r="A8" s="9" t="s">
        <v>48</v>
      </c>
      <c r="C8" s="9" t="s">
        <v>15</v>
      </c>
      <c r="E8" s="9" t="s">
        <v>49</v>
      </c>
      <c r="G8" s="9" t="s">
        <v>50</v>
      </c>
      <c r="I8" s="9" t="s">
        <v>49</v>
      </c>
      <c r="K8" s="9" t="s">
        <v>50</v>
      </c>
    </row>
    <row r="9" spans="1:11" ht="42" x14ac:dyDescent="0.55000000000000004">
      <c r="A9" s="7" t="s">
        <v>51</v>
      </c>
      <c r="C9" s="6" t="s">
        <v>142</v>
      </c>
      <c r="E9" s="3">
        <v>3988583</v>
      </c>
      <c r="G9" s="4">
        <f>E9/$E$11</f>
        <v>3.7072515056604778E-3</v>
      </c>
      <c r="I9" s="3">
        <v>5807203</v>
      </c>
      <c r="K9" s="4">
        <f>I9/$I$11</f>
        <v>1.7876603053121147E-3</v>
      </c>
    </row>
    <row r="10" spans="1:11" ht="42" x14ac:dyDescent="0.55000000000000004">
      <c r="A10" s="7" t="s">
        <v>52</v>
      </c>
      <c r="C10" s="6" t="s">
        <v>137</v>
      </c>
      <c r="E10" s="3">
        <v>1071898228</v>
      </c>
      <c r="G10" s="4">
        <f>E10/$E$11</f>
        <v>0.99629274849433958</v>
      </c>
      <c r="I10" s="3">
        <v>3242686363</v>
      </c>
      <c r="K10" s="4">
        <f>I10/$I$11</f>
        <v>0.99821233969468792</v>
      </c>
    </row>
    <row r="11" spans="1:11" ht="21.75" thickBot="1" x14ac:dyDescent="0.6">
      <c r="A11" s="21" t="s">
        <v>9</v>
      </c>
      <c r="E11" s="21">
        <f>SUM(E9:$E$10)</f>
        <v>1075886811</v>
      </c>
      <c r="G11" s="22">
        <f>SUM(G9:$G$10)</f>
        <v>1</v>
      </c>
      <c r="I11" s="21">
        <f>SUM(I9:$I$10)</f>
        <v>3248493566</v>
      </c>
      <c r="K11" s="22">
        <f>SUM(K9:$K$10)</f>
        <v>1</v>
      </c>
    </row>
    <row r="12" spans="1:11" ht="21.75" thickTop="1" x14ac:dyDescent="0.55000000000000004">
      <c r="E12" s="2"/>
      <c r="G12" s="2"/>
      <c r="I12" s="2"/>
      <c r="K12" s="2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A2F7-49D7-4895-A917-AD44B9871DA6}">
  <dimension ref="A1:E11"/>
  <sheetViews>
    <sheetView rightToLeft="1" view="pageBreakPreview" zoomScale="60" zoomScaleNormal="100" workbookViewId="0">
      <selection activeCell="C10" sqref="C10"/>
    </sheetView>
  </sheetViews>
  <sheetFormatPr defaultColWidth="8.85546875" defaultRowHeight="19.5" x14ac:dyDescent="0.55000000000000004"/>
  <cols>
    <col min="1" max="1" width="33" style="1" customWidth="1"/>
    <col min="2" max="2" width="1.42578125" style="1" customWidth="1"/>
    <col min="3" max="3" width="26.140625" style="1" customWidth="1"/>
    <col min="4" max="4" width="1.42578125" style="1" customWidth="1"/>
    <col min="5" max="5" width="27.42578125" style="1" bestFit="1" customWidth="1"/>
    <col min="6" max="16384" width="8.85546875" style="1"/>
  </cols>
  <sheetData>
    <row r="1" spans="1:5" ht="19.899999999999999" customHeight="1" x14ac:dyDescent="0.55000000000000004">
      <c r="A1" s="49" t="s">
        <v>71</v>
      </c>
      <c r="B1" s="39"/>
      <c r="C1" s="39"/>
      <c r="D1" s="39"/>
      <c r="E1" s="39"/>
    </row>
    <row r="2" spans="1:5" ht="19.899999999999999" customHeight="1" x14ac:dyDescent="0.55000000000000004">
      <c r="A2" s="49" t="s">
        <v>26</v>
      </c>
      <c r="B2" s="39"/>
      <c r="C2" s="39"/>
      <c r="D2" s="39"/>
      <c r="E2" s="39"/>
    </row>
    <row r="3" spans="1:5" ht="19.899999999999999" customHeight="1" x14ac:dyDescent="0.55000000000000004">
      <c r="A3" s="49" t="s">
        <v>1</v>
      </c>
      <c r="B3" s="39"/>
      <c r="C3" s="39"/>
      <c r="D3" s="39"/>
      <c r="E3" s="39"/>
    </row>
    <row r="5" spans="1:5" ht="21" x14ac:dyDescent="0.55000000000000004">
      <c r="A5" s="50" t="s">
        <v>67</v>
      </c>
      <c r="B5" s="39"/>
      <c r="C5" s="39"/>
      <c r="D5" s="39"/>
      <c r="E5" s="39"/>
    </row>
    <row r="7" spans="1:5" ht="21" x14ac:dyDescent="0.55000000000000004">
      <c r="C7" s="8" t="s">
        <v>65</v>
      </c>
      <c r="E7" s="8" t="s">
        <v>64</v>
      </c>
    </row>
    <row r="8" spans="1:5" ht="21" x14ac:dyDescent="0.55000000000000004">
      <c r="A8" s="9" t="s">
        <v>34</v>
      </c>
      <c r="C8" s="9" t="s">
        <v>19</v>
      </c>
      <c r="E8" s="9" t="s">
        <v>19</v>
      </c>
    </row>
    <row r="9" spans="1:5" ht="21" x14ac:dyDescent="0.55000000000000004">
      <c r="A9" s="7" t="s">
        <v>68</v>
      </c>
      <c r="C9" s="3">
        <v>13887900</v>
      </c>
      <c r="E9" s="3">
        <v>49730868</v>
      </c>
    </row>
    <row r="10" spans="1:5" ht="21.75" thickBot="1" x14ac:dyDescent="0.6">
      <c r="A10" s="21" t="s">
        <v>9</v>
      </c>
      <c r="C10" s="21">
        <f>SUM(C9:$C$9)</f>
        <v>13887900</v>
      </c>
      <c r="E10" s="21">
        <f>SUM(E9:$E$9)</f>
        <v>49730868</v>
      </c>
    </row>
    <row r="11" spans="1:5" ht="21.75" thickTop="1" x14ac:dyDescent="0.55000000000000004">
      <c r="C11" s="2"/>
      <c r="E11" s="2"/>
    </row>
  </sheetData>
  <mergeCells count="4">
    <mergeCell ref="A1:E1"/>
    <mergeCell ref="A2:E2"/>
    <mergeCell ref="A3:E3"/>
    <mergeCell ref="A5:E5"/>
  </mergeCells>
  <pageMargins left="0.7" right="1.52" top="0.75" bottom="0.75" header="0.3" footer="0.3"/>
  <pageSetup paperSize="9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1046-4FD0-42AE-873F-C194A9825D0A}">
  <sheetPr>
    <pageSetUpPr fitToPage="1"/>
  </sheetPr>
  <dimension ref="A1:S15"/>
  <sheetViews>
    <sheetView rightToLeft="1" view="pageBreakPreview" zoomScale="60" zoomScaleNormal="100" workbookViewId="0">
      <selection activeCell="A2" sqref="A2:S2"/>
    </sheetView>
  </sheetViews>
  <sheetFormatPr defaultColWidth="8.85546875" defaultRowHeight="19.5" x14ac:dyDescent="0.55000000000000004"/>
  <cols>
    <col min="1" max="1" width="28.4257812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2.8554687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4.140625" style="1" customWidth="1"/>
    <col min="18" max="18" width="1.42578125" style="1" customWidth="1"/>
    <col min="19" max="19" width="18.42578125" style="1" customWidth="1"/>
    <col min="20" max="16384" width="8.85546875" style="1"/>
  </cols>
  <sheetData>
    <row r="1" spans="1:19" ht="19.899999999999999" customHeight="1" x14ac:dyDescent="0.55000000000000004">
      <c r="A1" s="49" t="s">
        <v>72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ht="19.899999999999999" customHeight="1" x14ac:dyDescent="0.55000000000000004">
      <c r="A2" s="49" t="s">
        <v>26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5" spans="1:19" ht="21" x14ac:dyDescent="0.55000000000000004">
      <c r="A5" s="50" t="s">
        <v>153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</row>
    <row r="7" spans="1:19" ht="21" x14ac:dyDescent="0.55000000000000004">
      <c r="C7" s="51" t="s">
        <v>152</v>
      </c>
      <c r="D7" s="52"/>
      <c r="E7" s="52"/>
      <c r="F7" s="52"/>
      <c r="G7" s="52"/>
      <c r="I7" s="51" t="s">
        <v>65</v>
      </c>
      <c r="J7" s="52"/>
      <c r="K7" s="52"/>
      <c r="L7" s="52"/>
      <c r="M7" s="52"/>
      <c r="O7" s="51" t="s">
        <v>64</v>
      </c>
      <c r="P7" s="52"/>
      <c r="Q7" s="52"/>
      <c r="R7" s="52"/>
      <c r="S7" s="52"/>
    </row>
    <row r="8" spans="1:19" ht="63" x14ac:dyDescent="0.55000000000000004">
      <c r="A8" s="8" t="s">
        <v>133</v>
      </c>
      <c r="C8" s="9" t="s">
        <v>151</v>
      </c>
      <c r="E8" s="9" t="s">
        <v>150</v>
      </c>
      <c r="G8" s="9" t="s">
        <v>149</v>
      </c>
      <c r="I8" s="9" t="s">
        <v>148</v>
      </c>
      <c r="K8" s="9" t="s">
        <v>35</v>
      </c>
      <c r="M8" s="9" t="s">
        <v>147</v>
      </c>
      <c r="O8" s="9" t="s">
        <v>148</v>
      </c>
      <c r="Q8" s="9" t="s">
        <v>35</v>
      </c>
      <c r="S8" s="9" t="s">
        <v>147</v>
      </c>
    </row>
    <row r="9" spans="1:19" ht="21" x14ac:dyDescent="0.55000000000000004">
      <c r="A9" s="7" t="s">
        <v>85</v>
      </c>
      <c r="C9" s="6" t="s">
        <v>146</v>
      </c>
      <c r="E9" s="3">
        <v>1700000</v>
      </c>
      <c r="G9" s="3">
        <v>560</v>
      </c>
      <c r="I9" s="3">
        <v>0</v>
      </c>
      <c r="J9" s="3"/>
      <c r="K9" s="3">
        <v>0</v>
      </c>
      <c r="L9" s="3"/>
      <c r="M9" s="3">
        <v>0</v>
      </c>
      <c r="N9" s="6"/>
      <c r="O9" s="3">
        <v>952000000</v>
      </c>
      <c r="Q9" s="3">
        <v>0</v>
      </c>
      <c r="S9" s="3">
        <v>952000000</v>
      </c>
    </row>
    <row r="10" spans="1:19" ht="21" x14ac:dyDescent="0.55000000000000004">
      <c r="A10" s="7" t="s">
        <v>86</v>
      </c>
      <c r="C10" s="6" t="s">
        <v>145</v>
      </c>
      <c r="E10" s="3">
        <v>285750</v>
      </c>
      <c r="G10" s="3">
        <v>4400</v>
      </c>
      <c r="I10" s="3">
        <v>1257300000</v>
      </c>
      <c r="J10" s="3"/>
      <c r="K10" s="3">
        <v>-171111834</v>
      </c>
      <c r="L10" s="3"/>
      <c r="M10" s="3">
        <v>1086188166</v>
      </c>
      <c r="O10" s="3">
        <v>1257300000</v>
      </c>
      <c r="Q10" s="3">
        <v>-171111834</v>
      </c>
      <c r="S10" s="3">
        <v>1086188166</v>
      </c>
    </row>
    <row r="11" spans="1:19" ht="21" x14ac:dyDescent="0.55000000000000004">
      <c r="A11" s="7" t="s">
        <v>89</v>
      </c>
      <c r="C11" s="6" t="s">
        <v>135</v>
      </c>
      <c r="E11" s="3">
        <v>900000</v>
      </c>
      <c r="G11" s="3">
        <v>325</v>
      </c>
      <c r="I11" s="3">
        <v>292500000</v>
      </c>
      <c r="J11" s="3"/>
      <c r="K11" s="3">
        <v>-40106383</v>
      </c>
      <c r="L11" s="3"/>
      <c r="M11" s="3">
        <v>252393617</v>
      </c>
      <c r="O11" s="3">
        <v>292500000</v>
      </c>
      <c r="Q11" s="3">
        <v>-40106383</v>
      </c>
      <c r="S11" s="3">
        <v>252393617</v>
      </c>
    </row>
    <row r="12" spans="1:19" ht="21" x14ac:dyDescent="0.55000000000000004">
      <c r="A12" s="7" t="s">
        <v>96</v>
      </c>
      <c r="C12" s="6" t="s">
        <v>134</v>
      </c>
      <c r="E12" s="3">
        <v>4279048</v>
      </c>
      <c r="G12" s="3">
        <v>1170</v>
      </c>
      <c r="I12" s="3">
        <v>5006486160</v>
      </c>
      <c r="J12" s="3"/>
      <c r="K12" s="3">
        <v>0</v>
      </c>
      <c r="L12" s="3"/>
      <c r="M12" s="3">
        <v>5006486160</v>
      </c>
      <c r="O12" s="3">
        <v>5006486160</v>
      </c>
      <c r="Q12" s="3">
        <v>0</v>
      </c>
      <c r="S12" s="3">
        <v>5006486160</v>
      </c>
    </row>
    <row r="13" spans="1:19" ht="21" x14ac:dyDescent="0.55000000000000004">
      <c r="A13" s="7" t="s">
        <v>117</v>
      </c>
      <c r="C13" s="6" t="s">
        <v>144</v>
      </c>
      <c r="E13" s="3">
        <v>607000</v>
      </c>
      <c r="G13" s="3">
        <v>7240</v>
      </c>
      <c r="I13" s="3">
        <v>0</v>
      </c>
      <c r="J13" s="3"/>
      <c r="K13" s="3">
        <v>0</v>
      </c>
      <c r="L13" s="3"/>
      <c r="M13" s="3">
        <v>0</v>
      </c>
      <c r="N13" s="6"/>
      <c r="O13" s="3">
        <v>4394680000</v>
      </c>
      <c r="Q13" s="3">
        <v>0</v>
      </c>
      <c r="S13" s="3">
        <v>4394680000</v>
      </c>
    </row>
    <row r="14" spans="1:19" ht="21.75" thickBot="1" x14ac:dyDescent="0.6">
      <c r="A14" s="19" t="s">
        <v>9</v>
      </c>
      <c r="I14" s="19">
        <f>SUM(I9:$I$13)</f>
        <v>6556286160</v>
      </c>
      <c r="K14" s="19">
        <f>SUM(K9:$K$13)</f>
        <v>-211218217</v>
      </c>
      <c r="M14" s="19">
        <f>SUM(M9:$M$13)</f>
        <v>6345067943</v>
      </c>
      <c r="O14" s="19">
        <f>SUM(O9:$O$13)</f>
        <v>11902966160</v>
      </c>
      <c r="Q14" s="19">
        <f>SUM(Q9:$Q$13)</f>
        <v>-211218217</v>
      </c>
      <c r="S14" s="19">
        <f>SUM(S9:$S$13)</f>
        <v>11691747943</v>
      </c>
    </row>
    <row r="15" spans="1:19" ht="21.75" thickTop="1" x14ac:dyDescent="0.55000000000000004">
      <c r="I15" s="2"/>
      <c r="K15" s="2"/>
      <c r="M15" s="2"/>
      <c r="O15" s="2"/>
      <c r="Q15" s="2"/>
      <c r="S15" s="2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63B4-2988-44FD-ABBF-5EFCA53C3DFF}">
  <sheetPr>
    <pageSetUpPr fitToPage="1"/>
  </sheetPr>
  <dimension ref="A1:S12"/>
  <sheetViews>
    <sheetView rightToLeft="1" view="pageBreakPreview" zoomScale="60" zoomScaleNormal="100" workbookViewId="0">
      <selection activeCell="C27" sqref="C27"/>
    </sheetView>
  </sheetViews>
  <sheetFormatPr defaultColWidth="8.85546875" defaultRowHeight="19.5" x14ac:dyDescent="0.55000000000000004"/>
  <cols>
    <col min="1" max="1" width="32.2851562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4.140625" style="1" customWidth="1"/>
    <col min="18" max="18" width="1.42578125" style="1" customWidth="1"/>
    <col min="19" max="19" width="18.42578125" style="1" customWidth="1"/>
    <col min="20" max="16384" width="8.85546875" style="1"/>
  </cols>
  <sheetData>
    <row r="1" spans="1:19" ht="19.899999999999999" customHeight="1" x14ac:dyDescent="0.55000000000000004">
      <c r="A1" s="49" t="s">
        <v>72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ht="19.899999999999999" customHeight="1" x14ac:dyDescent="0.55000000000000004">
      <c r="A2" s="49" t="s">
        <v>26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5" spans="1:19" ht="21" x14ac:dyDescent="0.55000000000000004">
      <c r="A5" s="50" t="s">
        <v>241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</row>
    <row r="7" spans="1:19" ht="21" x14ac:dyDescent="0.55000000000000004">
      <c r="I7" s="51" t="s">
        <v>65</v>
      </c>
      <c r="J7" s="52"/>
      <c r="K7" s="52"/>
      <c r="L7" s="52"/>
      <c r="M7" s="52"/>
      <c r="O7" s="51" t="s">
        <v>64</v>
      </c>
      <c r="P7" s="52"/>
      <c r="Q7" s="52"/>
      <c r="R7" s="52"/>
      <c r="S7" s="52"/>
    </row>
    <row r="8" spans="1:19" ht="42" x14ac:dyDescent="0.55000000000000004">
      <c r="A8" s="8" t="s">
        <v>28</v>
      </c>
      <c r="C8" s="9" t="s">
        <v>36</v>
      </c>
      <c r="E8" s="9" t="s">
        <v>10</v>
      </c>
      <c r="G8" s="9" t="s">
        <v>18</v>
      </c>
      <c r="I8" s="9" t="s">
        <v>37</v>
      </c>
      <c r="K8" s="9" t="s">
        <v>35</v>
      </c>
      <c r="M8" s="9" t="s">
        <v>38</v>
      </c>
      <c r="O8" s="9" t="s">
        <v>37</v>
      </c>
      <c r="Q8" s="9" t="s">
        <v>35</v>
      </c>
      <c r="S8" s="9" t="s">
        <v>38</v>
      </c>
    </row>
    <row r="9" spans="1:19" ht="42" x14ac:dyDescent="0.55000000000000004">
      <c r="A9" s="7" t="s">
        <v>156</v>
      </c>
      <c r="C9" s="6" t="s">
        <v>155</v>
      </c>
      <c r="E9" s="6" t="s">
        <v>12</v>
      </c>
      <c r="G9" s="6" t="s">
        <v>11</v>
      </c>
      <c r="I9" s="3">
        <v>1071898228</v>
      </c>
      <c r="K9" s="3">
        <v>-17137691</v>
      </c>
      <c r="M9" s="3">
        <v>1054760537</v>
      </c>
      <c r="O9" s="3">
        <v>3242686363</v>
      </c>
      <c r="Q9" s="3">
        <v>0</v>
      </c>
      <c r="S9" s="3">
        <v>3242686363</v>
      </c>
    </row>
    <row r="10" spans="1:19" ht="42" x14ac:dyDescent="0.55000000000000004">
      <c r="A10" s="7" t="s">
        <v>154</v>
      </c>
      <c r="C10" s="6" t="s">
        <v>39</v>
      </c>
      <c r="E10" s="6" t="s">
        <v>12</v>
      </c>
      <c r="G10" s="6">
        <v>10</v>
      </c>
      <c r="I10" s="3">
        <v>3988583</v>
      </c>
      <c r="K10" s="3">
        <v>0</v>
      </c>
      <c r="M10" s="3">
        <v>3988583</v>
      </c>
      <c r="O10" s="3">
        <v>5807203</v>
      </c>
      <c r="Q10" s="3">
        <v>0</v>
      </c>
      <c r="S10" s="3">
        <v>5807203</v>
      </c>
    </row>
    <row r="11" spans="1:19" ht="21.75" thickBot="1" x14ac:dyDescent="0.6">
      <c r="A11" s="19" t="s">
        <v>9</v>
      </c>
      <c r="I11" s="19">
        <f>SUM(I9:$I$10)</f>
        <v>1075886811</v>
      </c>
      <c r="K11" s="19">
        <f>SUM(K9:$K$10)</f>
        <v>-17137691</v>
      </c>
      <c r="M11" s="19">
        <f>SUM(M9:$M$10)</f>
        <v>1058749120</v>
      </c>
      <c r="O11" s="19">
        <f>SUM(O9:$O$10)</f>
        <v>3248493566</v>
      </c>
      <c r="Q11" s="19">
        <f>SUM(Q9:$Q$10)</f>
        <v>0</v>
      </c>
      <c r="S11" s="19">
        <f>SUM(S9:$S$10)</f>
        <v>3248493566</v>
      </c>
    </row>
    <row r="12" spans="1:19" ht="21.75" thickTop="1" x14ac:dyDescent="0.55000000000000004">
      <c r="I12" s="2"/>
      <c r="K12" s="2"/>
      <c r="M12" s="2"/>
      <c r="O12" s="2"/>
      <c r="Q12" s="2"/>
      <c r="S12" s="2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2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0FC2-C5E3-4D6F-91B4-57A49E98D6D7}">
  <sheetPr>
    <pageSetUpPr fitToPage="1"/>
  </sheetPr>
  <dimension ref="A1:Q120"/>
  <sheetViews>
    <sheetView rightToLeft="1" tabSelected="1" view="pageBreakPreview" topLeftCell="A34" zoomScale="60" zoomScaleNormal="100" workbookViewId="0">
      <selection activeCell="A65" sqref="A43:XFD65"/>
    </sheetView>
  </sheetViews>
  <sheetFormatPr defaultColWidth="8.85546875" defaultRowHeight="19.5" x14ac:dyDescent="0.55000000000000004"/>
  <cols>
    <col min="1" max="1" width="36.140625" style="1" customWidth="1"/>
    <col min="2" max="2" width="1.42578125" style="1" customWidth="1"/>
    <col min="3" max="3" width="12.8554687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2.8554687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8.85546875" style="1"/>
  </cols>
  <sheetData>
    <row r="1" spans="1:17" ht="19.899999999999999" customHeight="1" x14ac:dyDescent="0.55000000000000004">
      <c r="A1" s="49" t="s">
        <v>72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9.899999999999999" customHeight="1" x14ac:dyDescent="0.55000000000000004">
      <c r="A2" s="49" t="s">
        <v>26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5" spans="1:17" ht="21" x14ac:dyDescent="0.55000000000000004">
      <c r="A5" s="50" t="s">
        <v>40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7" spans="1:17" ht="21" x14ac:dyDescent="0.55000000000000004">
      <c r="C7" s="51" t="s">
        <v>65</v>
      </c>
      <c r="D7" s="52"/>
      <c r="E7" s="52"/>
      <c r="F7" s="52"/>
      <c r="G7" s="52"/>
      <c r="H7" s="52"/>
      <c r="I7" s="52"/>
      <c r="K7" s="51" t="s">
        <v>64</v>
      </c>
      <c r="L7" s="52"/>
      <c r="M7" s="52"/>
      <c r="N7" s="52"/>
      <c r="O7" s="52"/>
      <c r="P7" s="52"/>
      <c r="Q7" s="52"/>
    </row>
    <row r="8" spans="1:17" ht="42" x14ac:dyDescent="0.55000000000000004">
      <c r="A8" s="8" t="s">
        <v>28</v>
      </c>
      <c r="C8" s="9" t="s">
        <v>4</v>
      </c>
      <c r="E8" s="9" t="s">
        <v>6</v>
      </c>
      <c r="G8" s="9" t="s">
        <v>41</v>
      </c>
      <c r="I8" s="9" t="s">
        <v>42</v>
      </c>
      <c r="K8" s="9" t="s">
        <v>4</v>
      </c>
      <c r="M8" s="9" t="s">
        <v>6</v>
      </c>
      <c r="O8" s="9" t="s">
        <v>41</v>
      </c>
      <c r="Q8" s="9" t="s">
        <v>42</v>
      </c>
    </row>
    <row r="9" spans="1:17" ht="21" x14ac:dyDescent="0.55000000000000004">
      <c r="A9" s="7" t="s">
        <v>77</v>
      </c>
      <c r="C9" s="3">
        <v>467651</v>
      </c>
      <c r="E9" s="3">
        <v>2589317429</v>
      </c>
      <c r="G9" s="3">
        <v>2290099999</v>
      </c>
      <c r="I9" s="3">
        <v>299217430</v>
      </c>
      <c r="K9" s="3">
        <v>467651</v>
      </c>
      <c r="M9" s="3">
        <v>2589317429</v>
      </c>
      <c r="O9" s="3">
        <v>2290099999</v>
      </c>
      <c r="Q9" s="3">
        <v>299217430</v>
      </c>
    </row>
    <row r="10" spans="1:17" ht="21" x14ac:dyDescent="0.55000000000000004">
      <c r="A10" s="7" t="s">
        <v>194</v>
      </c>
      <c r="C10" s="3">
        <v>0</v>
      </c>
      <c r="D10" s="3"/>
      <c r="E10" s="3">
        <v>0</v>
      </c>
      <c r="F10" s="3"/>
      <c r="G10" s="3">
        <v>0</v>
      </c>
      <c r="H10" s="3"/>
      <c r="I10" s="3">
        <v>0</v>
      </c>
      <c r="K10" s="3"/>
      <c r="M10" s="3"/>
      <c r="O10" s="3"/>
      <c r="Q10" s="3">
        <v>2539867414</v>
      </c>
    </row>
    <row r="11" spans="1:17" ht="21" x14ac:dyDescent="0.55000000000000004">
      <c r="A11" s="7" t="s">
        <v>195</v>
      </c>
      <c r="C11" s="3">
        <v>0</v>
      </c>
      <c r="D11" s="3"/>
      <c r="E11" s="3">
        <v>0</v>
      </c>
      <c r="F11" s="3"/>
      <c r="G11" s="3">
        <v>0</v>
      </c>
      <c r="H11" s="3"/>
      <c r="I11" s="3">
        <v>0</v>
      </c>
      <c r="K11" s="3"/>
      <c r="M11" s="3"/>
      <c r="O11" s="3"/>
      <c r="Q11" s="3">
        <v>798978106</v>
      </c>
    </row>
    <row r="12" spans="1:17" ht="21" x14ac:dyDescent="0.55000000000000004">
      <c r="A12" s="7" t="s">
        <v>196</v>
      </c>
      <c r="C12" s="3">
        <v>0</v>
      </c>
      <c r="D12" s="3"/>
      <c r="E12" s="3">
        <v>0</v>
      </c>
      <c r="F12" s="3"/>
      <c r="G12" s="3">
        <v>0</v>
      </c>
      <c r="H12" s="3"/>
      <c r="I12" s="3">
        <v>0</v>
      </c>
      <c r="K12" s="3"/>
      <c r="M12" s="3"/>
      <c r="O12" s="3"/>
      <c r="Q12" s="3">
        <v>288880900</v>
      </c>
    </row>
    <row r="13" spans="1:17" ht="21" x14ac:dyDescent="0.55000000000000004">
      <c r="A13" s="7" t="s">
        <v>197</v>
      </c>
      <c r="C13" s="3">
        <v>0</v>
      </c>
      <c r="D13" s="3"/>
      <c r="E13" s="3">
        <v>0</v>
      </c>
      <c r="F13" s="3"/>
      <c r="G13" s="3">
        <v>0</v>
      </c>
      <c r="H13" s="3"/>
      <c r="I13" s="3">
        <v>0</v>
      </c>
      <c r="K13" s="3"/>
      <c r="M13" s="3"/>
      <c r="O13" s="3"/>
      <c r="Q13" s="3">
        <v>416670792</v>
      </c>
    </row>
    <row r="14" spans="1:17" ht="21" x14ac:dyDescent="0.55000000000000004">
      <c r="A14" s="7" t="s">
        <v>198</v>
      </c>
      <c r="C14" s="3">
        <v>0</v>
      </c>
      <c r="D14" s="3"/>
      <c r="E14" s="3">
        <v>0</v>
      </c>
      <c r="F14" s="3"/>
      <c r="G14" s="3">
        <v>0</v>
      </c>
      <c r="H14" s="3"/>
      <c r="I14" s="3">
        <v>0</v>
      </c>
      <c r="K14" s="3"/>
      <c r="M14" s="3"/>
      <c r="O14" s="3"/>
      <c r="Q14" s="3">
        <v>103932028</v>
      </c>
    </row>
    <row r="15" spans="1:17" ht="21" x14ac:dyDescent="0.55000000000000004">
      <c r="A15" s="7" t="s">
        <v>199</v>
      </c>
      <c r="C15" s="3">
        <v>0</v>
      </c>
      <c r="D15" s="3"/>
      <c r="E15" s="3">
        <v>0</v>
      </c>
      <c r="F15" s="3"/>
      <c r="G15" s="3">
        <v>0</v>
      </c>
      <c r="H15" s="3"/>
      <c r="I15" s="3">
        <v>0</v>
      </c>
      <c r="K15" s="3"/>
      <c r="M15" s="3"/>
      <c r="O15" s="3"/>
      <c r="Q15" s="3">
        <v>818500907</v>
      </c>
    </row>
    <row r="16" spans="1:17" ht="21" x14ac:dyDescent="0.55000000000000004">
      <c r="A16" s="7" t="s">
        <v>200</v>
      </c>
      <c r="C16" s="3">
        <v>0</v>
      </c>
      <c r="D16" s="3"/>
      <c r="E16" s="3">
        <v>0</v>
      </c>
      <c r="F16" s="3"/>
      <c r="G16" s="3">
        <v>0</v>
      </c>
      <c r="H16" s="3"/>
      <c r="I16" s="3">
        <v>0</v>
      </c>
      <c r="K16" s="3"/>
      <c r="M16" s="3"/>
      <c r="O16" s="3"/>
      <c r="Q16" s="3">
        <v>652987649</v>
      </c>
    </row>
    <row r="17" spans="1:17" ht="21" x14ac:dyDescent="0.55000000000000004">
      <c r="A17" s="7" t="s">
        <v>201</v>
      </c>
      <c r="C17" s="3">
        <v>0</v>
      </c>
      <c r="D17" s="3"/>
      <c r="E17" s="3">
        <v>0</v>
      </c>
      <c r="F17" s="3"/>
      <c r="G17" s="3">
        <v>0</v>
      </c>
      <c r="H17" s="3"/>
      <c r="I17" s="3">
        <v>0</v>
      </c>
      <c r="K17" s="3"/>
      <c r="M17" s="3"/>
      <c r="O17" s="3"/>
      <c r="Q17" s="3">
        <v>1027103692</v>
      </c>
    </row>
    <row r="18" spans="1:17" ht="21" x14ac:dyDescent="0.55000000000000004">
      <c r="A18" s="7" t="s">
        <v>202</v>
      </c>
      <c r="C18" s="3">
        <v>0</v>
      </c>
      <c r="D18" s="3"/>
      <c r="E18" s="3">
        <v>0</v>
      </c>
      <c r="F18" s="3"/>
      <c r="G18" s="3">
        <v>0</v>
      </c>
      <c r="H18" s="3"/>
      <c r="I18" s="3">
        <v>0</v>
      </c>
      <c r="K18" s="3"/>
      <c r="M18" s="3"/>
      <c r="O18" s="3"/>
      <c r="Q18" s="3">
        <v>394213597</v>
      </c>
    </row>
    <row r="19" spans="1:17" ht="21" x14ac:dyDescent="0.55000000000000004">
      <c r="A19" s="7" t="s">
        <v>203</v>
      </c>
      <c r="C19" s="3">
        <v>0</v>
      </c>
      <c r="D19" s="3"/>
      <c r="E19" s="3">
        <v>0</v>
      </c>
      <c r="F19" s="3"/>
      <c r="G19" s="3">
        <v>0</v>
      </c>
      <c r="H19" s="3"/>
      <c r="I19" s="3">
        <v>0</v>
      </c>
      <c r="K19" s="3"/>
      <c r="M19" s="3"/>
      <c r="O19" s="3"/>
      <c r="Q19" s="3">
        <v>17872710</v>
      </c>
    </row>
    <row r="20" spans="1:17" ht="21" x14ac:dyDescent="0.55000000000000004">
      <c r="A20" s="7" t="s">
        <v>204</v>
      </c>
      <c r="C20" s="3">
        <v>0</v>
      </c>
      <c r="D20" s="3"/>
      <c r="E20" s="3">
        <v>0</v>
      </c>
      <c r="F20" s="3"/>
      <c r="G20" s="3">
        <v>0</v>
      </c>
      <c r="H20" s="3"/>
      <c r="I20" s="3">
        <v>0</v>
      </c>
      <c r="K20" s="3"/>
      <c r="M20" s="3"/>
      <c r="O20" s="3"/>
      <c r="Q20" s="3">
        <v>330679973</v>
      </c>
    </row>
    <row r="21" spans="1:17" ht="21" x14ac:dyDescent="0.55000000000000004">
      <c r="A21" s="7" t="s">
        <v>205</v>
      </c>
      <c r="C21" s="3">
        <v>0</v>
      </c>
      <c r="D21" s="3"/>
      <c r="E21" s="3">
        <v>0</v>
      </c>
      <c r="F21" s="3"/>
      <c r="G21" s="3">
        <v>0</v>
      </c>
      <c r="H21" s="3"/>
      <c r="I21" s="3">
        <v>0</v>
      </c>
      <c r="K21" s="3"/>
      <c r="M21" s="3"/>
      <c r="O21" s="3"/>
      <c r="Q21" s="3">
        <v>2313123597</v>
      </c>
    </row>
    <row r="22" spans="1:17" ht="21" x14ac:dyDescent="0.55000000000000004">
      <c r="A22" s="7" t="s">
        <v>206</v>
      </c>
      <c r="C22" s="3">
        <v>0</v>
      </c>
      <c r="D22" s="3"/>
      <c r="E22" s="3">
        <v>0</v>
      </c>
      <c r="F22" s="3"/>
      <c r="G22" s="3">
        <v>0</v>
      </c>
      <c r="H22" s="3"/>
      <c r="I22" s="3">
        <v>0</v>
      </c>
      <c r="K22" s="3"/>
      <c r="M22" s="3"/>
      <c r="O22" s="3"/>
      <c r="Q22" s="3">
        <v>294439966</v>
      </c>
    </row>
    <row r="23" spans="1:17" ht="21" x14ac:dyDescent="0.55000000000000004">
      <c r="A23" s="7" t="s">
        <v>208</v>
      </c>
      <c r="C23" s="3">
        <v>0</v>
      </c>
      <c r="D23" s="3"/>
      <c r="E23" s="3">
        <v>0</v>
      </c>
      <c r="F23" s="3"/>
      <c r="G23" s="3">
        <v>0</v>
      </c>
      <c r="H23" s="3"/>
      <c r="I23" s="3">
        <v>0</v>
      </c>
      <c r="K23" s="3"/>
      <c r="M23" s="3"/>
      <c r="O23" s="3"/>
      <c r="Q23" s="3">
        <v>1500319978</v>
      </c>
    </row>
    <row r="24" spans="1:17" ht="21" x14ac:dyDescent="0.55000000000000004">
      <c r="A24" s="7" t="s">
        <v>209</v>
      </c>
      <c r="C24" s="3">
        <v>0</v>
      </c>
      <c r="D24" s="3"/>
      <c r="E24" s="3">
        <v>0</v>
      </c>
      <c r="F24" s="3"/>
      <c r="G24" s="3">
        <v>0</v>
      </c>
      <c r="H24" s="3"/>
      <c r="I24" s="3">
        <v>0</v>
      </c>
      <c r="K24" s="3"/>
      <c r="M24" s="3"/>
      <c r="O24" s="3"/>
      <c r="Q24" s="3">
        <v>593579598</v>
      </c>
    </row>
    <row r="25" spans="1:17" ht="21" x14ac:dyDescent="0.55000000000000004">
      <c r="A25" s="7" t="s">
        <v>210</v>
      </c>
      <c r="C25" s="3">
        <v>0</v>
      </c>
      <c r="D25" s="3"/>
      <c r="E25" s="3">
        <v>0</v>
      </c>
      <c r="F25" s="3"/>
      <c r="G25" s="3">
        <v>0</v>
      </c>
      <c r="H25" s="3"/>
      <c r="I25" s="3">
        <v>0</v>
      </c>
      <c r="K25" s="3"/>
      <c r="M25" s="3"/>
      <c r="O25" s="3"/>
      <c r="Q25" s="3">
        <v>853398759</v>
      </c>
    </row>
    <row r="26" spans="1:17" ht="21" x14ac:dyDescent="0.55000000000000004">
      <c r="A26" s="7" t="s">
        <v>211</v>
      </c>
      <c r="C26" s="3">
        <v>0</v>
      </c>
      <c r="D26" s="3"/>
      <c r="E26" s="3">
        <v>0</v>
      </c>
      <c r="F26" s="3"/>
      <c r="G26" s="3">
        <v>0</v>
      </c>
      <c r="H26" s="3"/>
      <c r="I26" s="3">
        <v>0</v>
      </c>
      <c r="K26" s="3"/>
      <c r="M26" s="3"/>
      <c r="O26" s="3"/>
      <c r="Q26" s="3">
        <v>836739081</v>
      </c>
    </row>
    <row r="27" spans="1:17" ht="21" x14ac:dyDescent="0.55000000000000004">
      <c r="A27" s="7" t="s">
        <v>212</v>
      </c>
      <c r="C27" s="3">
        <v>0</v>
      </c>
      <c r="D27" s="3"/>
      <c r="E27" s="3">
        <v>0</v>
      </c>
      <c r="F27" s="3"/>
      <c r="G27" s="3">
        <v>0</v>
      </c>
      <c r="H27" s="3"/>
      <c r="I27" s="3">
        <v>0</v>
      </c>
      <c r="K27" s="3"/>
      <c r="M27" s="3"/>
      <c r="O27" s="3"/>
      <c r="Q27" s="3">
        <v>718657381</v>
      </c>
    </row>
    <row r="28" spans="1:17" ht="21" x14ac:dyDescent="0.55000000000000004">
      <c r="A28" s="7" t="s">
        <v>213</v>
      </c>
      <c r="C28" s="3">
        <v>0</v>
      </c>
      <c r="D28" s="3"/>
      <c r="E28" s="3">
        <v>0</v>
      </c>
      <c r="F28" s="3"/>
      <c r="G28" s="3">
        <v>0</v>
      </c>
      <c r="H28" s="3"/>
      <c r="I28" s="3">
        <v>0</v>
      </c>
      <c r="K28" s="3"/>
      <c r="M28" s="3"/>
      <c r="O28" s="3"/>
      <c r="Q28" s="3">
        <v>1596292</v>
      </c>
    </row>
    <row r="29" spans="1:17" ht="21" x14ac:dyDescent="0.55000000000000004">
      <c r="A29" s="7" t="s">
        <v>214</v>
      </c>
      <c r="C29" s="3">
        <v>0</v>
      </c>
      <c r="D29" s="3"/>
      <c r="E29" s="3">
        <v>0</v>
      </c>
      <c r="F29" s="3"/>
      <c r="G29" s="3">
        <v>0</v>
      </c>
      <c r="H29" s="3"/>
      <c r="I29" s="3">
        <v>0</v>
      </c>
      <c r="K29" s="3"/>
      <c r="M29" s="3"/>
      <c r="O29" s="3"/>
      <c r="Q29" s="3">
        <v>299720319</v>
      </c>
    </row>
    <row r="30" spans="1:17" ht="21" x14ac:dyDescent="0.55000000000000004">
      <c r="A30" s="7" t="s">
        <v>215</v>
      </c>
      <c r="C30" s="3"/>
      <c r="E30" s="3"/>
      <c r="G30" s="3"/>
      <c r="I30" s="3">
        <v>401389403</v>
      </c>
      <c r="K30" s="3"/>
      <c r="M30" s="3"/>
      <c r="O30" s="3"/>
      <c r="Q30" s="3">
        <v>429981911</v>
      </c>
    </row>
    <row r="31" spans="1:17" ht="21" x14ac:dyDescent="0.55000000000000004">
      <c r="A31" s="7" t="s">
        <v>216</v>
      </c>
      <c r="C31" s="3"/>
      <c r="E31" s="3"/>
      <c r="G31" s="3"/>
      <c r="I31" s="3">
        <v>29584792</v>
      </c>
      <c r="K31" s="3"/>
      <c r="M31" s="3"/>
      <c r="O31" s="3"/>
      <c r="Q31" s="3">
        <v>2137548559</v>
      </c>
    </row>
    <row r="32" spans="1:17" ht="21" x14ac:dyDescent="0.55000000000000004">
      <c r="A32" s="7" t="s">
        <v>217</v>
      </c>
      <c r="C32" s="3"/>
      <c r="E32" s="3"/>
      <c r="G32" s="3"/>
      <c r="I32" s="3">
        <v>153286869</v>
      </c>
      <c r="K32" s="3"/>
      <c r="M32" s="3"/>
      <c r="O32" s="3"/>
      <c r="Q32" s="3">
        <v>153286869</v>
      </c>
    </row>
    <row r="33" spans="1:17" ht="21" x14ac:dyDescent="0.55000000000000004">
      <c r="A33" s="7" t="s">
        <v>131</v>
      </c>
      <c r="C33" s="3"/>
      <c r="E33" s="35">
        <f>SUM(E9:E32)</f>
        <v>2589317429</v>
      </c>
      <c r="G33" s="35">
        <f>SUM(G9:G32)</f>
        <v>2290099999</v>
      </c>
      <c r="I33" s="35">
        <f>SUM(I9:I32)</f>
        <v>883478494</v>
      </c>
      <c r="K33" s="3"/>
      <c r="M33" s="35">
        <f>SUM(M9:M32)</f>
        <v>2589317429</v>
      </c>
      <c r="O33" s="35">
        <f>SUM(O9:O32)</f>
        <v>2290099999</v>
      </c>
      <c r="Q33" s="35">
        <f>SUM(Q9:Q32)</f>
        <v>17821297508</v>
      </c>
    </row>
    <row r="34" spans="1:17" ht="19.899999999999999" customHeight="1" x14ac:dyDescent="0.55000000000000004">
      <c r="A34" s="49" t="s">
        <v>72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</row>
    <row r="35" spans="1:17" ht="19.899999999999999" customHeight="1" x14ac:dyDescent="0.55000000000000004">
      <c r="A35" s="49" t="s">
        <v>26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  <row r="36" spans="1:17" ht="19.899999999999999" customHeight="1" x14ac:dyDescent="0.55000000000000004">
      <c r="A36" s="49" t="s">
        <v>1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</row>
    <row r="38" spans="1:17" ht="21" x14ac:dyDescent="0.55000000000000004">
      <c r="A38" s="50" t="s">
        <v>40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</row>
    <row r="40" spans="1:17" ht="21" x14ac:dyDescent="0.55000000000000004">
      <c r="C40" s="51" t="s">
        <v>65</v>
      </c>
      <c r="D40" s="52"/>
      <c r="E40" s="52"/>
      <c r="F40" s="52"/>
      <c r="G40" s="52"/>
      <c r="H40" s="52"/>
      <c r="I40" s="52"/>
      <c r="K40" s="51" t="s">
        <v>64</v>
      </c>
      <c r="L40" s="52"/>
      <c r="M40" s="52"/>
      <c r="N40" s="52"/>
      <c r="O40" s="52"/>
      <c r="P40" s="52"/>
      <c r="Q40" s="52"/>
    </row>
    <row r="41" spans="1:17" ht="42" x14ac:dyDescent="0.55000000000000004">
      <c r="A41" s="8" t="s">
        <v>28</v>
      </c>
      <c r="C41" s="9" t="s">
        <v>4</v>
      </c>
      <c r="E41" s="9" t="s">
        <v>6</v>
      </c>
      <c r="G41" s="9" t="s">
        <v>41</v>
      </c>
      <c r="I41" s="9" t="s">
        <v>42</v>
      </c>
      <c r="K41" s="9" t="s">
        <v>4</v>
      </c>
      <c r="M41" s="9" t="s">
        <v>6</v>
      </c>
      <c r="O41" s="9" t="s">
        <v>41</v>
      </c>
      <c r="Q41" s="9" t="s">
        <v>42</v>
      </c>
    </row>
    <row r="42" spans="1:17" ht="21" x14ac:dyDescent="0.55000000000000004">
      <c r="A42" s="7" t="s">
        <v>132</v>
      </c>
      <c r="C42" s="3"/>
      <c r="D42" s="3"/>
      <c r="E42" s="3">
        <f>E33</f>
        <v>2589317429</v>
      </c>
      <c r="F42" s="3"/>
      <c r="G42" s="3">
        <f>G33</f>
        <v>2290099999</v>
      </c>
      <c r="H42" s="3"/>
      <c r="I42" s="3">
        <f>I33</f>
        <v>883478494</v>
      </c>
      <c r="J42" s="3"/>
      <c r="K42" s="3"/>
      <c r="L42" s="3"/>
      <c r="M42" s="3">
        <f>M33</f>
        <v>2589317429</v>
      </c>
      <c r="N42" s="3"/>
      <c r="O42" s="3">
        <f>O33</f>
        <v>2290099999</v>
      </c>
      <c r="P42" s="3"/>
      <c r="Q42" s="3">
        <f>Q33</f>
        <v>17821297508</v>
      </c>
    </row>
    <row r="43" spans="1:17" ht="21" x14ac:dyDescent="0.55000000000000004">
      <c r="A43" s="7" t="s">
        <v>219</v>
      </c>
      <c r="C43" s="3"/>
      <c r="E43" s="3"/>
      <c r="G43" s="3"/>
      <c r="I43" s="3">
        <v>-2617102250</v>
      </c>
      <c r="K43" s="3"/>
      <c r="M43" s="3"/>
      <c r="O43" s="3"/>
      <c r="Q43" s="3">
        <v>-2600103280</v>
      </c>
    </row>
    <row r="44" spans="1:17" ht="21" x14ac:dyDescent="0.55000000000000004">
      <c r="A44" s="7" t="s">
        <v>220</v>
      </c>
      <c r="C44" s="3"/>
      <c r="E44" s="3"/>
      <c r="G44" s="3"/>
      <c r="I44" s="3">
        <v>-143352748</v>
      </c>
      <c r="K44" s="3"/>
      <c r="M44" s="3"/>
      <c r="O44" s="3"/>
      <c r="Q44" s="3">
        <v>-143352748</v>
      </c>
    </row>
    <row r="45" spans="1:17" ht="21" x14ac:dyDescent="0.55000000000000004">
      <c r="A45" s="7" t="s">
        <v>221</v>
      </c>
      <c r="C45" s="3"/>
      <c r="E45" s="3"/>
      <c r="G45" s="3"/>
      <c r="I45" s="3">
        <v>64568918</v>
      </c>
      <c r="K45" s="3"/>
      <c r="M45" s="3"/>
      <c r="O45" s="3"/>
      <c r="Q45" s="3">
        <v>64568918</v>
      </c>
    </row>
    <row r="46" spans="1:17" ht="21" x14ac:dyDescent="0.55000000000000004">
      <c r="A46" s="7" t="s">
        <v>222</v>
      </c>
      <c r="C46" s="3"/>
      <c r="E46" s="3"/>
      <c r="G46" s="3"/>
      <c r="I46" s="3">
        <v>-987077134</v>
      </c>
      <c r="K46" s="3"/>
      <c r="M46" s="3"/>
      <c r="O46" s="3"/>
      <c r="Q46" s="3">
        <v>-987077134</v>
      </c>
    </row>
    <row r="47" spans="1:17" ht="21" x14ac:dyDescent="0.55000000000000004">
      <c r="A47" s="7" t="s">
        <v>224</v>
      </c>
      <c r="C47" s="3"/>
      <c r="E47" s="3"/>
      <c r="G47" s="3"/>
      <c r="I47" s="3">
        <v>152611430</v>
      </c>
      <c r="K47" s="3"/>
      <c r="M47" s="3"/>
      <c r="O47" s="3"/>
      <c r="Q47" s="3">
        <v>152611430</v>
      </c>
    </row>
    <row r="48" spans="1:17" ht="21" x14ac:dyDescent="0.55000000000000004">
      <c r="A48" s="7" t="s">
        <v>223</v>
      </c>
      <c r="C48" s="3"/>
      <c r="E48" s="3"/>
      <c r="G48" s="3"/>
      <c r="I48" s="3">
        <v>165978980</v>
      </c>
      <c r="K48" s="3"/>
      <c r="M48" s="3"/>
      <c r="O48" s="3"/>
      <c r="Q48" s="3">
        <v>165978980</v>
      </c>
    </row>
    <row r="49" spans="1:17" ht="21" x14ac:dyDescent="0.55000000000000004">
      <c r="A49" s="7" t="s">
        <v>207</v>
      </c>
      <c r="C49" s="3">
        <v>0</v>
      </c>
      <c r="D49" s="3"/>
      <c r="E49" s="3">
        <v>0</v>
      </c>
      <c r="F49" s="3"/>
      <c r="G49" s="3">
        <v>0</v>
      </c>
      <c r="H49" s="3"/>
      <c r="I49" s="3">
        <v>0</v>
      </c>
      <c r="K49" s="3"/>
      <c r="M49" s="3"/>
      <c r="O49" s="3"/>
      <c r="Q49" s="3">
        <v>169892337</v>
      </c>
    </row>
    <row r="50" spans="1:17" ht="21" x14ac:dyDescent="0.55000000000000004">
      <c r="A50" s="7" t="s">
        <v>225</v>
      </c>
      <c r="C50" s="3"/>
      <c r="E50" s="3"/>
      <c r="G50" s="3"/>
      <c r="I50" s="3">
        <v>9166510</v>
      </c>
      <c r="K50" s="3"/>
      <c r="M50" s="3"/>
      <c r="O50" s="3"/>
      <c r="Q50" s="3">
        <v>9166510</v>
      </c>
    </row>
    <row r="51" spans="1:17" ht="21" x14ac:dyDescent="0.55000000000000004">
      <c r="A51" s="7" t="s">
        <v>239</v>
      </c>
      <c r="C51" s="3"/>
      <c r="E51" s="3"/>
      <c r="G51" s="3"/>
      <c r="I51" s="3">
        <v>-1001</v>
      </c>
      <c r="K51" s="3"/>
      <c r="M51" s="3"/>
      <c r="O51" s="3"/>
      <c r="Q51" s="3">
        <v>-1001</v>
      </c>
    </row>
    <row r="52" spans="1:17" ht="21" x14ac:dyDescent="0.55000000000000004">
      <c r="A52" s="7" t="s">
        <v>227</v>
      </c>
      <c r="C52" s="3">
        <v>0</v>
      </c>
      <c r="D52" s="3"/>
      <c r="E52" s="3">
        <v>0</v>
      </c>
      <c r="F52" s="3"/>
      <c r="G52" s="3">
        <v>0</v>
      </c>
      <c r="H52" s="3"/>
      <c r="I52" s="3">
        <v>0</v>
      </c>
      <c r="K52" s="3"/>
      <c r="M52" s="3"/>
      <c r="O52" s="3"/>
      <c r="Q52" s="3">
        <v>2635614794</v>
      </c>
    </row>
    <row r="53" spans="1:17" ht="21" x14ac:dyDescent="0.55000000000000004">
      <c r="A53" s="7" t="s">
        <v>228</v>
      </c>
      <c r="C53" s="3">
        <v>0</v>
      </c>
      <c r="D53" s="3"/>
      <c r="E53" s="3">
        <v>0</v>
      </c>
      <c r="F53" s="3"/>
      <c r="G53" s="3">
        <v>0</v>
      </c>
      <c r="H53" s="3"/>
      <c r="I53" s="3">
        <v>0</v>
      </c>
      <c r="K53" s="3"/>
      <c r="M53" s="3"/>
      <c r="O53" s="3"/>
      <c r="Q53" s="3">
        <v>220595472</v>
      </c>
    </row>
    <row r="54" spans="1:17" ht="21" x14ac:dyDescent="0.55000000000000004">
      <c r="A54" s="7" t="s">
        <v>237</v>
      </c>
      <c r="C54" s="3"/>
      <c r="E54" s="3"/>
      <c r="G54" s="3"/>
      <c r="I54" s="3">
        <v>2823802</v>
      </c>
      <c r="K54" s="3"/>
      <c r="M54" s="3"/>
      <c r="O54" s="3"/>
      <c r="Q54" s="3">
        <v>2823802</v>
      </c>
    </row>
    <row r="55" spans="1:17" ht="21" x14ac:dyDescent="0.55000000000000004">
      <c r="A55" s="7" t="s">
        <v>229</v>
      </c>
      <c r="C55" s="3">
        <v>0</v>
      </c>
      <c r="D55" s="3"/>
      <c r="E55" s="3">
        <v>0</v>
      </c>
      <c r="F55" s="3"/>
      <c r="G55" s="3">
        <v>0</v>
      </c>
      <c r="H55" s="3"/>
      <c r="I55" s="3">
        <v>0</v>
      </c>
      <c r="K55" s="3"/>
      <c r="M55" s="3"/>
      <c r="O55" s="3"/>
      <c r="Q55" s="3">
        <v>250998754</v>
      </c>
    </row>
    <row r="56" spans="1:17" ht="21" x14ac:dyDescent="0.55000000000000004">
      <c r="A56" s="7" t="s">
        <v>230</v>
      </c>
      <c r="C56" s="3">
        <v>0</v>
      </c>
      <c r="D56" s="3"/>
      <c r="E56" s="3">
        <v>0</v>
      </c>
      <c r="F56" s="3"/>
      <c r="G56" s="3">
        <v>0</v>
      </c>
      <c r="H56" s="3"/>
      <c r="I56" s="3">
        <v>0</v>
      </c>
      <c r="K56" s="3"/>
      <c r="M56" s="3"/>
      <c r="O56" s="3"/>
      <c r="Q56" s="3">
        <v>137838676</v>
      </c>
    </row>
    <row r="57" spans="1:17" ht="21" x14ac:dyDescent="0.55000000000000004">
      <c r="A57" s="7" t="s">
        <v>231</v>
      </c>
      <c r="C57" s="3"/>
      <c r="E57" s="3"/>
      <c r="G57" s="3"/>
      <c r="I57" s="3">
        <v>769032514</v>
      </c>
      <c r="K57" s="3"/>
      <c r="M57" s="3"/>
      <c r="O57" s="3"/>
      <c r="Q57" s="3">
        <v>769032514</v>
      </c>
    </row>
    <row r="58" spans="1:17" ht="21" x14ac:dyDescent="0.55000000000000004">
      <c r="A58" s="7" t="s">
        <v>232</v>
      </c>
      <c r="C58" s="3"/>
      <c r="E58" s="3"/>
      <c r="G58" s="3"/>
      <c r="I58" s="3">
        <v>97524246</v>
      </c>
      <c r="K58" s="3"/>
      <c r="M58" s="3"/>
      <c r="O58" s="3"/>
      <c r="Q58" s="3">
        <v>97524246</v>
      </c>
    </row>
    <row r="59" spans="1:17" ht="21" x14ac:dyDescent="0.55000000000000004">
      <c r="A59" s="7" t="s">
        <v>238</v>
      </c>
      <c r="C59" s="3"/>
      <c r="E59" s="3"/>
      <c r="G59" s="3"/>
      <c r="I59" s="3">
        <v>228052331</v>
      </c>
      <c r="K59" s="3"/>
      <c r="M59" s="3"/>
      <c r="O59" s="3"/>
      <c r="Q59" s="3">
        <v>228052331</v>
      </c>
    </row>
    <row r="60" spans="1:17" ht="21" x14ac:dyDescent="0.55000000000000004">
      <c r="A60" s="7" t="s">
        <v>233</v>
      </c>
      <c r="C60" s="3"/>
      <c r="E60" s="3"/>
      <c r="G60" s="3"/>
      <c r="I60" s="3">
        <v>1604128594</v>
      </c>
      <c r="K60" s="3"/>
      <c r="M60" s="3"/>
      <c r="O60" s="3"/>
      <c r="Q60" s="3">
        <v>1604128594</v>
      </c>
    </row>
    <row r="61" spans="1:17" ht="21" x14ac:dyDescent="0.55000000000000004">
      <c r="A61" s="7" t="s">
        <v>234</v>
      </c>
      <c r="C61" s="3"/>
      <c r="E61" s="3"/>
      <c r="G61" s="3"/>
      <c r="I61" s="3">
        <v>798792798</v>
      </c>
      <c r="K61" s="3"/>
      <c r="M61" s="3"/>
      <c r="O61" s="3"/>
      <c r="Q61" s="3">
        <v>798792798</v>
      </c>
    </row>
    <row r="62" spans="1:17" ht="21" x14ac:dyDescent="0.55000000000000004">
      <c r="A62" s="7" t="s">
        <v>236</v>
      </c>
      <c r="C62" s="3"/>
      <c r="E62" s="3"/>
      <c r="G62" s="3"/>
      <c r="I62" s="3">
        <v>1173724363</v>
      </c>
      <c r="K62" s="3"/>
      <c r="M62" s="3"/>
      <c r="O62" s="3"/>
      <c r="Q62" s="3">
        <v>1173724363</v>
      </c>
    </row>
    <row r="63" spans="1:17" ht="21" x14ac:dyDescent="0.55000000000000004">
      <c r="A63" s="7" t="s">
        <v>78</v>
      </c>
      <c r="C63" s="3">
        <v>0</v>
      </c>
      <c r="D63" s="3"/>
      <c r="E63" s="3">
        <v>0</v>
      </c>
      <c r="F63" s="3"/>
      <c r="G63" s="3">
        <v>0</v>
      </c>
      <c r="H63" s="3"/>
      <c r="I63" s="3">
        <v>0</v>
      </c>
      <c r="J63" s="6"/>
      <c r="K63" s="3">
        <v>75000</v>
      </c>
      <c r="M63" s="3">
        <v>717207107</v>
      </c>
      <c r="O63" s="3">
        <v>521194307</v>
      </c>
      <c r="Q63" s="3">
        <v>196012800</v>
      </c>
    </row>
    <row r="64" spans="1:17" ht="21" x14ac:dyDescent="0.55000000000000004">
      <c r="A64" s="7" t="s">
        <v>79</v>
      </c>
      <c r="C64" s="3">
        <v>1000000</v>
      </c>
      <c r="E64" s="3">
        <v>4170420373</v>
      </c>
      <c r="G64" s="3">
        <v>4515857909</v>
      </c>
      <c r="I64" s="3">
        <v>-345437536</v>
      </c>
      <c r="K64" s="3">
        <v>1000000</v>
      </c>
      <c r="M64" s="3">
        <v>4170420373</v>
      </c>
      <c r="O64" s="3">
        <v>4515857909</v>
      </c>
      <c r="Q64" s="3">
        <v>-345437536</v>
      </c>
    </row>
    <row r="65" spans="1:17" ht="21" x14ac:dyDescent="0.55000000000000004">
      <c r="A65" s="7" t="s">
        <v>166</v>
      </c>
      <c r="C65" s="3">
        <v>0</v>
      </c>
      <c r="D65" s="3"/>
      <c r="E65" s="3">
        <v>0</v>
      </c>
      <c r="F65" s="3"/>
      <c r="G65" s="3">
        <v>0</v>
      </c>
      <c r="H65" s="3"/>
      <c r="I65" s="3">
        <v>0</v>
      </c>
      <c r="J65" s="6"/>
      <c r="K65" s="3">
        <v>491813</v>
      </c>
      <c r="M65" s="3">
        <v>2682696973</v>
      </c>
      <c r="O65" s="3">
        <v>2819485476</v>
      </c>
      <c r="Q65" s="3">
        <v>-136788503</v>
      </c>
    </row>
    <row r="66" spans="1:17" ht="21" x14ac:dyDescent="0.55000000000000004">
      <c r="A66" s="7" t="s">
        <v>131</v>
      </c>
      <c r="C66" s="3"/>
      <c r="E66" s="35">
        <f>SUM(E42:E65)</f>
        <v>6759737802</v>
      </c>
      <c r="G66" s="35">
        <f>SUM(G42:G65)</f>
        <v>6805957908</v>
      </c>
      <c r="I66" s="35">
        <f>SUM(I42:I65)</f>
        <v>1856912311</v>
      </c>
      <c r="K66" s="3"/>
      <c r="M66" s="35">
        <f>SUM(M42:M65)</f>
        <v>10159641882</v>
      </c>
      <c r="O66" s="35">
        <f>SUM(O42:O65)</f>
        <v>10146637691</v>
      </c>
      <c r="Q66" s="35">
        <f>SUM(Q42:Q65)</f>
        <v>22285894625</v>
      </c>
    </row>
    <row r="67" spans="1:17" ht="19.899999999999999" customHeight="1" x14ac:dyDescent="0.55000000000000004">
      <c r="A67" s="49" t="s">
        <v>72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</row>
    <row r="68" spans="1:17" ht="19.899999999999999" customHeight="1" x14ac:dyDescent="0.55000000000000004">
      <c r="A68" s="49" t="s">
        <v>26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</row>
    <row r="69" spans="1:17" ht="19.899999999999999" customHeight="1" x14ac:dyDescent="0.55000000000000004">
      <c r="A69" s="49" t="s">
        <v>1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</row>
    <row r="71" spans="1:17" ht="21" x14ac:dyDescent="0.55000000000000004">
      <c r="A71" s="50" t="s">
        <v>40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</row>
    <row r="73" spans="1:17" ht="21" x14ac:dyDescent="0.55000000000000004">
      <c r="C73" s="51" t="s">
        <v>65</v>
      </c>
      <c r="D73" s="52"/>
      <c r="E73" s="52"/>
      <c r="F73" s="52"/>
      <c r="G73" s="52"/>
      <c r="H73" s="52"/>
      <c r="I73" s="52"/>
      <c r="K73" s="51" t="s">
        <v>64</v>
      </c>
      <c r="L73" s="52"/>
      <c r="M73" s="52"/>
      <c r="N73" s="52"/>
      <c r="O73" s="52"/>
      <c r="P73" s="52"/>
      <c r="Q73" s="52"/>
    </row>
    <row r="74" spans="1:17" ht="42" x14ac:dyDescent="0.55000000000000004">
      <c r="A74" s="8" t="s">
        <v>28</v>
      </c>
      <c r="C74" s="9" t="s">
        <v>4</v>
      </c>
      <c r="E74" s="9" t="s">
        <v>6</v>
      </c>
      <c r="G74" s="9" t="s">
        <v>41</v>
      </c>
      <c r="I74" s="9" t="s">
        <v>42</v>
      </c>
      <c r="K74" s="9" t="s">
        <v>4</v>
      </c>
      <c r="M74" s="9" t="s">
        <v>6</v>
      </c>
      <c r="O74" s="9" t="s">
        <v>41</v>
      </c>
      <c r="Q74" s="9" t="s">
        <v>42</v>
      </c>
    </row>
    <row r="75" spans="1:17" ht="21" x14ac:dyDescent="0.55000000000000004">
      <c r="A75" s="7" t="s">
        <v>132</v>
      </c>
      <c r="C75" s="3"/>
      <c r="D75" s="3"/>
      <c r="E75" s="3">
        <f>E66</f>
        <v>6759737802</v>
      </c>
      <c r="F75" s="3"/>
      <c r="G75" s="3">
        <f>G66</f>
        <v>6805957908</v>
      </c>
      <c r="H75" s="3"/>
      <c r="I75" s="3">
        <f>I66</f>
        <v>1856912311</v>
      </c>
      <c r="J75" s="3"/>
      <c r="K75" s="3"/>
      <c r="L75" s="3"/>
      <c r="M75" s="3">
        <f>M66</f>
        <v>10159641882</v>
      </c>
      <c r="N75" s="3"/>
      <c r="O75" s="3">
        <f>O66</f>
        <v>10146637691</v>
      </c>
      <c r="P75" s="3"/>
      <c r="Q75" s="3">
        <f>Q66</f>
        <v>22285894625</v>
      </c>
    </row>
    <row r="76" spans="1:17" ht="21" x14ac:dyDescent="0.55000000000000004">
      <c r="A76" s="7" t="s">
        <v>86</v>
      </c>
      <c r="C76" s="3">
        <v>0</v>
      </c>
      <c r="D76" s="3"/>
      <c r="E76" s="3">
        <v>0</v>
      </c>
      <c r="F76" s="3"/>
      <c r="G76" s="3">
        <v>0</v>
      </c>
      <c r="H76" s="3"/>
      <c r="I76" s="3">
        <v>0</v>
      </c>
      <c r="J76" s="6"/>
      <c r="K76" s="3">
        <v>285750</v>
      </c>
      <c r="M76" s="3">
        <v>15769900291</v>
      </c>
      <c r="O76" s="3">
        <v>12919038315</v>
      </c>
      <c r="Q76" s="3">
        <v>2850861976</v>
      </c>
    </row>
    <row r="77" spans="1:17" ht="21" x14ac:dyDescent="0.55000000000000004">
      <c r="A77" s="7" t="s">
        <v>87</v>
      </c>
      <c r="C77" s="3">
        <v>2000000</v>
      </c>
      <c r="E77" s="3">
        <v>4769451925</v>
      </c>
      <c r="G77" s="3">
        <v>5871486070</v>
      </c>
      <c r="I77" s="3">
        <v>-1102034145</v>
      </c>
      <c r="K77" s="3">
        <v>2000000</v>
      </c>
      <c r="M77" s="3">
        <v>4769451925</v>
      </c>
      <c r="O77" s="3">
        <v>5871486070</v>
      </c>
      <c r="Q77" s="3">
        <v>-1102034145</v>
      </c>
    </row>
    <row r="78" spans="1:17" ht="21" x14ac:dyDescent="0.55000000000000004">
      <c r="A78" s="7" t="s">
        <v>89</v>
      </c>
      <c r="C78" s="3">
        <v>0</v>
      </c>
      <c r="D78" s="3"/>
      <c r="E78" s="3">
        <v>0</v>
      </c>
      <c r="F78" s="3"/>
      <c r="G78" s="3">
        <v>0</v>
      </c>
      <c r="H78" s="3"/>
      <c r="I78" s="3">
        <v>0</v>
      </c>
      <c r="J78" s="6"/>
      <c r="K78" s="3">
        <v>900000</v>
      </c>
      <c r="M78" s="3">
        <v>3867396344</v>
      </c>
      <c r="O78" s="3">
        <v>2909570409</v>
      </c>
      <c r="Q78" s="3">
        <v>957825935</v>
      </c>
    </row>
    <row r="79" spans="1:17" ht="21" x14ac:dyDescent="0.55000000000000004">
      <c r="A79" s="7" t="s">
        <v>90</v>
      </c>
      <c r="C79" s="3">
        <v>0</v>
      </c>
      <c r="D79" s="3"/>
      <c r="E79" s="3">
        <v>0</v>
      </c>
      <c r="F79" s="3"/>
      <c r="G79" s="3">
        <v>0</v>
      </c>
      <c r="H79" s="3"/>
      <c r="I79" s="3">
        <v>0</v>
      </c>
      <c r="J79" s="6"/>
      <c r="K79" s="3">
        <v>800000</v>
      </c>
      <c r="M79" s="3">
        <v>6202872074</v>
      </c>
      <c r="O79" s="3">
        <v>5195551274</v>
      </c>
      <c r="Q79" s="3">
        <v>1007320800</v>
      </c>
    </row>
    <row r="80" spans="1:17" ht="21" x14ac:dyDescent="0.55000000000000004">
      <c r="A80" s="7" t="s">
        <v>165</v>
      </c>
      <c r="C80" s="3">
        <v>0</v>
      </c>
      <c r="D80" s="3"/>
      <c r="E80" s="3">
        <v>0</v>
      </c>
      <c r="F80" s="3"/>
      <c r="G80" s="3">
        <v>0</v>
      </c>
      <c r="H80" s="3"/>
      <c r="I80" s="3">
        <v>0</v>
      </c>
      <c r="J80" s="6"/>
      <c r="K80" s="3">
        <v>595000</v>
      </c>
      <c r="M80" s="3">
        <v>17461482461</v>
      </c>
      <c r="O80" s="3">
        <v>11150692921</v>
      </c>
      <c r="Q80" s="3">
        <v>6310789540</v>
      </c>
    </row>
    <row r="81" spans="1:17" ht="21" x14ac:dyDescent="0.55000000000000004">
      <c r="A81" s="7" t="s">
        <v>91</v>
      </c>
      <c r="C81" s="3">
        <v>24500000</v>
      </c>
      <c r="E81" s="3">
        <v>10435935006</v>
      </c>
      <c r="G81" s="3">
        <v>12893982706</v>
      </c>
      <c r="I81" s="3">
        <v>-2458047700</v>
      </c>
      <c r="K81" s="3">
        <v>24500000</v>
      </c>
      <c r="M81" s="3">
        <v>10435935006</v>
      </c>
      <c r="O81" s="3">
        <v>12893982706</v>
      </c>
      <c r="Q81" s="3">
        <v>-2458047700</v>
      </c>
    </row>
    <row r="82" spans="1:17" ht="21" x14ac:dyDescent="0.55000000000000004">
      <c r="A82" s="7" t="s">
        <v>93</v>
      </c>
      <c r="C82" s="3">
        <v>6600000</v>
      </c>
      <c r="E82" s="3">
        <v>8504700751</v>
      </c>
      <c r="G82" s="3">
        <v>9265330938</v>
      </c>
      <c r="I82" s="3">
        <v>-760630187</v>
      </c>
      <c r="K82" s="3">
        <v>6600000</v>
      </c>
      <c r="M82" s="3">
        <v>8504700751</v>
      </c>
      <c r="O82" s="3">
        <v>9265330938</v>
      </c>
      <c r="Q82" s="3">
        <v>-760630187</v>
      </c>
    </row>
    <row r="83" spans="1:17" ht="21" x14ac:dyDescent="0.55000000000000004">
      <c r="A83" s="7" t="s">
        <v>164</v>
      </c>
      <c r="C83" s="3">
        <v>0</v>
      </c>
      <c r="D83" s="3"/>
      <c r="E83" s="3">
        <v>0</v>
      </c>
      <c r="F83" s="3"/>
      <c r="G83" s="3">
        <v>0</v>
      </c>
      <c r="H83" s="3"/>
      <c r="I83" s="3">
        <v>0</v>
      </c>
      <c r="J83" s="6"/>
      <c r="K83" s="3">
        <v>24869520</v>
      </c>
      <c r="M83" s="3">
        <v>29276157072</v>
      </c>
      <c r="O83" s="3">
        <v>29713114579</v>
      </c>
      <c r="Q83" s="3">
        <v>-436957507</v>
      </c>
    </row>
    <row r="84" spans="1:17" ht="21" x14ac:dyDescent="0.55000000000000004">
      <c r="A84" s="7" t="s">
        <v>94</v>
      </c>
      <c r="C84" s="3">
        <v>0</v>
      </c>
      <c r="D84" s="3"/>
      <c r="E84" s="3">
        <v>0</v>
      </c>
      <c r="F84" s="3"/>
      <c r="G84" s="3">
        <v>0</v>
      </c>
      <c r="H84" s="3"/>
      <c r="I84" s="3">
        <v>0</v>
      </c>
      <c r="J84" s="6"/>
      <c r="K84" s="3">
        <v>200000</v>
      </c>
      <c r="M84" s="3">
        <v>6057123374</v>
      </c>
      <c r="O84" s="3">
        <v>5154673574</v>
      </c>
      <c r="Q84" s="3">
        <v>902449800</v>
      </c>
    </row>
    <row r="85" spans="1:17" ht="21" x14ac:dyDescent="0.55000000000000004">
      <c r="A85" s="7" t="s">
        <v>96</v>
      </c>
      <c r="C85" s="3">
        <v>379048</v>
      </c>
      <c r="E85" s="3">
        <v>3555752666</v>
      </c>
      <c r="G85" s="3">
        <v>3972718969</v>
      </c>
      <c r="I85" s="3">
        <v>-416966303</v>
      </c>
      <c r="K85" s="3">
        <v>379048</v>
      </c>
      <c r="M85" s="3">
        <v>3555752666</v>
      </c>
      <c r="O85" s="3">
        <v>3972718969</v>
      </c>
      <c r="Q85" s="3">
        <v>-416966303</v>
      </c>
    </row>
    <row r="86" spans="1:17" ht="21" x14ac:dyDescent="0.55000000000000004">
      <c r="A86" s="7" t="s">
        <v>97</v>
      </c>
      <c r="C86" s="3">
        <v>1500000</v>
      </c>
      <c r="E86" s="3">
        <v>7997741250</v>
      </c>
      <c r="G86" s="3">
        <v>7322627909</v>
      </c>
      <c r="I86" s="3">
        <v>675113341</v>
      </c>
      <c r="K86" s="3">
        <v>1500000</v>
      </c>
      <c r="M86" s="3">
        <v>7997741250</v>
      </c>
      <c r="O86" s="3">
        <v>7322627909</v>
      </c>
      <c r="Q86" s="3">
        <v>675113341</v>
      </c>
    </row>
    <row r="87" spans="1:17" ht="21" x14ac:dyDescent="0.55000000000000004">
      <c r="A87" s="7" t="s">
        <v>163</v>
      </c>
      <c r="C87" s="3">
        <v>0</v>
      </c>
      <c r="D87" s="3"/>
      <c r="E87" s="3">
        <v>0</v>
      </c>
      <c r="F87" s="3"/>
      <c r="G87" s="3">
        <v>0</v>
      </c>
      <c r="H87" s="3"/>
      <c r="I87" s="3">
        <v>0</v>
      </c>
      <c r="J87" s="6"/>
      <c r="K87" s="3">
        <v>1183146</v>
      </c>
      <c r="M87" s="3">
        <v>12796435204</v>
      </c>
      <c r="O87" s="3">
        <v>10249618764</v>
      </c>
      <c r="Q87" s="3">
        <v>2546816440</v>
      </c>
    </row>
    <row r="88" spans="1:17" ht="21" x14ac:dyDescent="0.55000000000000004">
      <c r="A88" s="7" t="s">
        <v>100</v>
      </c>
      <c r="C88" s="3">
        <v>0</v>
      </c>
      <c r="D88" s="3"/>
      <c r="E88" s="3">
        <v>0</v>
      </c>
      <c r="F88" s="3"/>
      <c r="G88" s="3">
        <v>0</v>
      </c>
      <c r="H88" s="3"/>
      <c r="I88" s="3">
        <v>0</v>
      </c>
      <c r="J88" s="6"/>
      <c r="K88" s="3">
        <v>250001</v>
      </c>
      <c r="M88" s="3">
        <v>2268928246</v>
      </c>
      <c r="O88" s="3">
        <v>1695510503</v>
      </c>
      <c r="Q88" s="3">
        <v>573417743</v>
      </c>
    </row>
    <row r="89" spans="1:17" ht="21" x14ac:dyDescent="0.55000000000000004">
      <c r="A89" s="7" t="s">
        <v>101</v>
      </c>
      <c r="C89" s="3">
        <v>1500000</v>
      </c>
      <c r="E89" s="3">
        <v>5355941527</v>
      </c>
      <c r="G89" s="3">
        <v>4622256727</v>
      </c>
      <c r="I89" s="3">
        <v>733684800</v>
      </c>
      <c r="K89" s="3">
        <v>1500000</v>
      </c>
      <c r="M89" s="3">
        <v>5355941527</v>
      </c>
      <c r="O89" s="3">
        <v>4622256727</v>
      </c>
      <c r="Q89" s="3">
        <v>733684800</v>
      </c>
    </row>
    <row r="90" spans="1:17" ht="21" x14ac:dyDescent="0.55000000000000004">
      <c r="A90" s="7" t="s">
        <v>162</v>
      </c>
      <c r="C90" s="3">
        <v>0</v>
      </c>
      <c r="D90" s="3"/>
      <c r="E90" s="3">
        <v>0</v>
      </c>
      <c r="F90" s="3"/>
      <c r="G90" s="3">
        <v>0</v>
      </c>
      <c r="H90" s="3"/>
      <c r="I90" s="3">
        <v>0</v>
      </c>
      <c r="J90" s="6"/>
      <c r="K90" s="3">
        <v>9506493</v>
      </c>
      <c r="M90" s="3">
        <v>25599861319</v>
      </c>
      <c r="O90" s="3">
        <v>24151987937</v>
      </c>
      <c r="Q90" s="3">
        <v>1447873382</v>
      </c>
    </row>
    <row r="91" spans="1:17" ht="21" x14ac:dyDescent="0.55000000000000004">
      <c r="A91" s="7" t="s">
        <v>102</v>
      </c>
      <c r="C91" s="3">
        <v>500000</v>
      </c>
      <c r="E91" s="3">
        <v>4697880354</v>
      </c>
      <c r="G91" s="3">
        <v>4519659104</v>
      </c>
      <c r="I91" s="3">
        <v>178221250</v>
      </c>
      <c r="K91" s="3">
        <v>1899204</v>
      </c>
      <c r="M91" s="3">
        <v>20137787069</v>
      </c>
      <c r="O91" s="3">
        <v>17153782575</v>
      </c>
      <c r="Q91" s="3">
        <v>2984004494</v>
      </c>
    </row>
    <row r="92" spans="1:17" ht="21" x14ac:dyDescent="0.55000000000000004">
      <c r="A92" s="7" t="s">
        <v>103</v>
      </c>
      <c r="C92" s="3">
        <v>442665</v>
      </c>
      <c r="E92" s="3">
        <v>10269779848</v>
      </c>
      <c r="G92" s="3">
        <v>10032843674</v>
      </c>
      <c r="I92" s="3">
        <v>236936174</v>
      </c>
      <c r="K92" s="3">
        <v>442665</v>
      </c>
      <c r="M92" s="3">
        <v>10269779848</v>
      </c>
      <c r="O92" s="3">
        <v>10032843674</v>
      </c>
      <c r="Q92" s="3">
        <v>236936174</v>
      </c>
    </row>
    <row r="93" spans="1:17" ht="21" x14ac:dyDescent="0.55000000000000004">
      <c r="A93" s="7" t="s">
        <v>161</v>
      </c>
      <c r="C93" s="3">
        <v>0</v>
      </c>
      <c r="D93" s="3"/>
      <c r="E93" s="3">
        <v>0</v>
      </c>
      <c r="F93" s="3"/>
      <c r="G93" s="3">
        <v>0</v>
      </c>
      <c r="H93" s="3"/>
      <c r="I93" s="3">
        <v>0</v>
      </c>
      <c r="J93" s="6"/>
      <c r="K93" s="3">
        <v>3800000</v>
      </c>
      <c r="M93" s="3">
        <v>23683463035</v>
      </c>
      <c r="O93" s="3">
        <v>25997778915</v>
      </c>
      <c r="Q93" s="3">
        <v>-2314315880</v>
      </c>
    </row>
    <row r="94" spans="1:17" ht="21" x14ac:dyDescent="0.55000000000000004">
      <c r="A94" s="7" t="s">
        <v>160</v>
      </c>
      <c r="C94" s="3">
        <v>0</v>
      </c>
      <c r="D94" s="3"/>
      <c r="E94" s="3">
        <v>0</v>
      </c>
      <c r="F94" s="3"/>
      <c r="G94" s="3">
        <v>0</v>
      </c>
      <c r="H94" s="3"/>
      <c r="I94" s="3">
        <v>0</v>
      </c>
      <c r="J94" s="6"/>
      <c r="K94" s="3">
        <v>265</v>
      </c>
      <c r="M94" s="3">
        <v>5023485</v>
      </c>
      <c r="O94" s="3">
        <v>4865758</v>
      </c>
      <c r="Q94" s="3">
        <v>157727</v>
      </c>
    </row>
    <row r="95" spans="1:17" ht="21" x14ac:dyDescent="0.55000000000000004">
      <c r="A95" s="7" t="s">
        <v>159</v>
      </c>
      <c r="C95" s="3">
        <v>0</v>
      </c>
      <c r="D95" s="3"/>
      <c r="E95" s="3">
        <v>0</v>
      </c>
      <c r="F95" s="3"/>
      <c r="G95" s="3">
        <v>0</v>
      </c>
      <c r="H95" s="3"/>
      <c r="I95" s="3">
        <v>0</v>
      </c>
      <c r="J95" s="6"/>
      <c r="K95" s="3">
        <v>800000</v>
      </c>
      <c r="M95" s="3">
        <v>2926501004</v>
      </c>
      <c r="O95" s="3">
        <v>3290681565</v>
      </c>
      <c r="Q95" s="3">
        <v>-364180561</v>
      </c>
    </row>
    <row r="96" spans="1:17" ht="21" x14ac:dyDescent="0.55000000000000004">
      <c r="A96" s="7" t="s">
        <v>104</v>
      </c>
      <c r="C96" s="3">
        <v>5500000</v>
      </c>
      <c r="E96" s="3">
        <v>12481418704</v>
      </c>
      <c r="G96" s="3">
        <v>17119293894</v>
      </c>
      <c r="I96" s="3">
        <v>-4637875190</v>
      </c>
      <c r="K96" s="3">
        <v>5500000</v>
      </c>
      <c r="M96" s="3">
        <v>12481418704</v>
      </c>
      <c r="O96" s="3">
        <v>17119293894</v>
      </c>
      <c r="Q96" s="3">
        <v>-4637875190</v>
      </c>
    </row>
    <row r="97" spans="1:17" ht="21" x14ac:dyDescent="0.55000000000000004">
      <c r="A97" s="7" t="s">
        <v>158</v>
      </c>
      <c r="C97" s="3">
        <v>0</v>
      </c>
      <c r="D97" s="3"/>
      <c r="E97" s="3">
        <v>0</v>
      </c>
      <c r="F97" s="3"/>
      <c r="G97" s="3">
        <v>0</v>
      </c>
      <c r="H97" s="3"/>
      <c r="I97" s="3">
        <v>0</v>
      </c>
      <c r="J97" s="6"/>
      <c r="K97" s="3">
        <v>100000</v>
      </c>
      <c r="M97" s="3">
        <v>596430000</v>
      </c>
      <c r="O97" s="3">
        <v>536199150</v>
      </c>
      <c r="Q97" s="3">
        <v>60230850</v>
      </c>
    </row>
    <row r="98" spans="1:17" ht="21" x14ac:dyDescent="0.55000000000000004">
      <c r="A98" s="7" t="s">
        <v>109</v>
      </c>
      <c r="C98" s="3">
        <v>0</v>
      </c>
      <c r="D98" s="3"/>
      <c r="E98" s="3">
        <v>0</v>
      </c>
      <c r="F98" s="3"/>
      <c r="G98" s="3">
        <v>0</v>
      </c>
      <c r="H98" s="3"/>
      <c r="I98" s="3">
        <v>0</v>
      </c>
      <c r="J98" s="6"/>
      <c r="K98" s="3">
        <v>800000</v>
      </c>
      <c r="M98" s="3">
        <v>14622475665</v>
      </c>
      <c r="O98" s="3">
        <v>12784409745</v>
      </c>
      <c r="Q98" s="3">
        <v>1838065920</v>
      </c>
    </row>
    <row r="99" spans="1:17" ht="21" x14ac:dyDescent="0.55000000000000004">
      <c r="A99" s="7" t="s">
        <v>131</v>
      </c>
      <c r="C99" s="3"/>
      <c r="E99" s="35">
        <f>SUM(E75:E98)</f>
        <v>74828339833</v>
      </c>
      <c r="G99" s="35">
        <f>SUM(G75:G98)</f>
        <v>82426157899</v>
      </c>
      <c r="I99" s="35">
        <f>SUM(I75:I98)</f>
        <v>-5694685649</v>
      </c>
      <c r="K99" s="3"/>
      <c r="M99" s="35">
        <f>SUM(M75:M98)</f>
        <v>254802200202</v>
      </c>
      <c r="O99" s="35">
        <f>SUM(O75:O98)</f>
        <v>244154654562</v>
      </c>
      <c r="Q99" s="35">
        <f>SUM(Q75:Q98)</f>
        <v>32920436074</v>
      </c>
    </row>
    <row r="100" spans="1:17" ht="19.899999999999999" customHeight="1" x14ac:dyDescent="0.55000000000000004">
      <c r="A100" s="49" t="s">
        <v>72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</row>
    <row r="101" spans="1:17" ht="19.899999999999999" customHeight="1" x14ac:dyDescent="0.55000000000000004">
      <c r="A101" s="49" t="s">
        <v>26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</row>
    <row r="102" spans="1:17" ht="19.899999999999999" customHeight="1" x14ac:dyDescent="0.55000000000000004">
      <c r="A102" s="49" t="s">
        <v>1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</row>
    <row r="104" spans="1:17" ht="21" x14ac:dyDescent="0.55000000000000004">
      <c r="A104" s="50" t="s">
        <v>40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</row>
    <row r="106" spans="1:17" ht="21" x14ac:dyDescent="0.55000000000000004">
      <c r="C106" s="51" t="s">
        <v>65</v>
      </c>
      <c r="D106" s="52"/>
      <c r="E106" s="52"/>
      <c r="F106" s="52"/>
      <c r="G106" s="52"/>
      <c r="H106" s="52"/>
      <c r="I106" s="52"/>
      <c r="K106" s="51" t="s">
        <v>64</v>
      </c>
      <c r="L106" s="52"/>
      <c r="M106" s="52"/>
      <c r="N106" s="52"/>
      <c r="O106" s="52"/>
      <c r="P106" s="52"/>
      <c r="Q106" s="52"/>
    </row>
    <row r="107" spans="1:17" ht="42" x14ac:dyDescent="0.55000000000000004">
      <c r="A107" s="8" t="s">
        <v>28</v>
      </c>
      <c r="C107" s="9" t="s">
        <v>4</v>
      </c>
      <c r="E107" s="9" t="s">
        <v>6</v>
      </c>
      <c r="G107" s="9" t="s">
        <v>41</v>
      </c>
      <c r="I107" s="9" t="s">
        <v>42</v>
      </c>
      <c r="K107" s="9" t="s">
        <v>4</v>
      </c>
      <c r="M107" s="9" t="s">
        <v>6</v>
      </c>
      <c r="O107" s="9" t="s">
        <v>41</v>
      </c>
      <c r="Q107" s="9" t="s">
        <v>42</v>
      </c>
    </row>
    <row r="108" spans="1:17" ht="21" x14ac:dyDescent="0.55000000000000004">
      <c r="A108" s="7" t="s">
        <v>132</v>
      </c>
      <c r="C108" s="3"/>
      <c r="D108" s="3"/>
      <c r="E108" s="3">
        <f>E99</f>
        <v>74828339833</v>
      </c>
      <c r="F108" s="3"/>
      <c r="G108" s="3">
        <f>G99</f>
        <v>82426157899</v>
      </c>
      <c r="H108" s="3"/>
      <c r="I108" s="3">
        <f>I99</f>
        <v>-5694685649</v>
      </c>
      <c r="J108" s="3"/>
      <c r="K108" s="3"/>
      <c r="L108" s="3"/>
      <c r="M108" s="3">
        <f>M99</f>
        <v>254802200202</v>
      </c>
      <c r="N108" s="3"/>
      <c r="O108" s="3">
        <f>O99</f>
        <v>244154654562</v>
      </c>
      <c r="P108" s="3"/>
      <c r="Q108" s="3">
        <f>Q99</f>
        <v>32920436074</v>
      </c>
    </row>
    <row r="109" spans="1:17" ht="21" x14ac:dyDescent="0.55000000000000004">
      <c r="A109" s="7" t="s">
        <v>112</v>
      </c>
      <c r="C109" s="3">
        <v>1000000</v>
      </c>
      <c r="E109" s="3">
        <v>8617419289</v>
      </c>
      <c r="G109" s="3">
        <v>7791474059</v>
      </c>
      <c r="I109" s="3">
        <v>825945230</v>
      </c>
      <c r="K109" s="3">
        <v>1000000</v>
      </c>
      <c r="M109" s="3">
        <v>8617419289</v>
      </c>
      <c r="O109" s="3">
        <v>7791474059</v>
      </c>
      <c r="Q109" s="3">
        <v>825945230</v>
      </c>
    </row>
    <row r="110" spans="1:17" ht="21" x14ac:dyDescent="0.55000000000000004">
      <c r="A110" s="7" t="s">
        <v>157</v>
      </c>
      <c r="C110" s="3">
        <v>0</v>
      </c>
      <c r="D110" s="3"/>
      <c r="E110" s="3">
        <v>0</v>
      </c>
      <c r="F110" s="3"/>
      <c r="G110" s="3">
        <v>0</v>
      </c>
      <c r="H110" s="3"/>
      <c r="I110" s="3">
        <v>0</v>
      </c>
      <c r="J110" s="6"/>
      <c r="K110" s="3">
        <v>450000</v>
      </c>
      <c r="M110" s="3">
        <v>5159086050</v>
      </c>
      <c r="O110" s="3">
        <v>2461380650</v>
      </c>
      <c r="Q110" s="3">
        <v>2697705400</v>
      </c>
    </row>
    <row r="111" spans="1:17" ht="21" x14ac:dyDescent="0.55000000000000004">
      <c r="A111" s="7" t="s">
        <v>114</v>
      </c>
      <c r="C111" s="3">
        <v>200000</v>
      </c>
      <c r="E111" s="3">
        <v>2614598713</v>
      </c>
      <c r="G111" s="3">
        <v>3238722313</v>
      </c>
      <c r="I111" s="3">
        <v>-624123600</v>
      </c>
      <c r="K111" s="3">
        <v>200000</v>
      </c>
      <c r="M111" s="3">
        <v>2614598713</v>
      </c>
      <c r="O111" s="3">
        <v>3238722313</v>
      </c>
      <c r="Q111" s="3">
        <v>-624123600</v>
      </c>
    </row>
    <row r="112" spans="1:17" ht="21" x14ac:dyDescent="0.55000000000000004">
      <c r="A112" s="7" t="s">
        <v>117</v>
      </c>
      <c r="C112" s="3">
        <v>107000</v>
      </c>
      <c r="E112" s="3">
        <v>6157421097</v>
      </c>
      <c r="G112" s="3">
        <v>6384299567</v>
      </c>
      <c r="I112" s="3">
        <v>-226878470</v>
      </c>
      <c r="K112" s="3">
        <v>107000</v>
      </c>
      <c r="M112" s="3">
        <v>6157421097</v>
      </c>
      <c r="O112" s="3">
        <v>6384299567</v>
      </c>
      <c r="Q112" s="3">
        <v>-226878470</v>
      </c>
    </row>
    <row r="113" spans="1:17" ht="21" x14ac:dyDescent="0.55000000000000004">
      <c r="A113" s="7" t="s">
        <v>119</v>
      </c>
      <c r="C113" s="3">
        <v>80000</v>
      </c>
      <c r="E113" s="3">
        <v>5912445118</v>
      </c>
      <c r="G113" s="3">
        <v>5122337638</v>
      </c>
      <c r="I113" s="3">
        <v>790107480</v>
      </c>
      <c r="K113" s="3">
        <v>80000</v>
      </c>
      <c r="M113" s="3">
        <v>5912445118</v>
      </c>
      <c r="O113" s="3">
        <v>5122337638</v>
      </c>
      <c r="Q113" s="3">
        <v>790107480</v>
      </c>
    </row>
    <row r="114" spans="1:17" ht="21" x14ac:dyDescent="0.55000000000000004">
      <c r="A114" s="7" t="s">
        <v>120</v>
      </c>
      <c r="C114" s="3">
        <v>57971</v>
      </c>
      <c r="E114" s="3">
        <v>3706094373</v>
      </c>
      <c r="G114" s="3">
        <v>2934034335</v>
      </c>
      <c r="I114" s="3">
        <v>772060038</v>
      </c>
      <c r="K114" s="3">
        <v>57971</v>
      </c>
      <c r="M114" s="3">
        <v>3706094373</v>
      </c>
      <c r="O114" s="3">
        <v>2934034335</v>
      </c>
      <c r="Q114" s="3">
        <v>772060038</v>
      </c>
    </row>
    <row r="115" spans="1:17" ht="21" x14ac:dyDescent="0.55000000000000004">
      <c r="A115" s="7" t="s">
        <v>124</v>
      </c>
      <c r="C115" s="3">
        <v>20000</v>
      </c>
      <c r="E115" s="3">
        <v>4904535772</v>
      </c>
      <c r="G115" s="3">
        <v>4125772382</v>
      </c>
      <c r="I115" s="3">
        <v>778763390</v>
      </c>
      <c r="K115" s="3">
        <v>20000</v>
      </c>
      <c r="M115" s="3">
        <v>4904535772</v>
      </c>
      <c r="O115" s="3">
        <v>4125772382</v>
      </c>
      <c r="Q115" s="3">
        <v>778763390</v>
      </c>
    </row>
    <row r="116" spans="1:17" ht="21" x14ac:dyDescent="0.55000000000000004">
      <c r="A116" s="7" t="s">
        <v>125</v>
      </c>
      <c r="C116" s="3">
        <v>300000</v>
      </c>
      <c r="E116" s="3">
        <v>5245904839</v>
      </c>
      <c r="G116" s="3">
        <v>5792252553</v>
      </c>
      <c r="I116" s="3">
        <v>-546347714</v>
      </c>
      <c r="K116" s="3">
        <v>300000</v>
      </c>
      <c r="M116" s="3">
        <v>5245904839</v>
      </c>
      <c r="O116" s="3">
        <v>5792252553</v>
      </c>
      <c r="Q116" s="3">
        <v>-546347714</v>
      </c>
    </row>
    <row r="117" spans="1:17" ht="21" x14ac:dyDescent="0.55000000000000004">
      <c r="A117" s="7" t="s">
        <v>126</v>
      </c>
      <c r="C117" s="3">
        <v>210000</v>
      </c>
      <c r="E117" s="3">
        <v>6431163739</v>
      </c>
      <c r="G117" s="3">
        <v>6529877340</v>
      </c>
      <c r="I117" s="3">
        <v>-98713601</v>
      </c>
      <c r="K117" s="3">
        <v>310000</v>
      </c>
      <c r="M117" s="3">
        <v>10283746872</v>
      </c>
      <c r="O117" s="3">
        <v>9634613371</v>
      </c>
      <c r="Q117" s="3">
        <v>649133501</v>
      </c>
    </row>
    <row r="118" spans="1:17" ht="21" x14ac:dyDescent="0.55000000000000004">
      <c r="A118" s="7" t="s">
        <v>128</v>
      </c>
      <c r="C118" s="3">
        <v>1200000</v>
      </c>
      <c r="E118" s="3">
        <v>3796872247</v>
      </c>
      <c r="G118" s="3">
        <v>4593207100</v>
      </c>
      <c r="I118" s="3">
        <v>-796334853</v>
      </c>
      <c r="K118" s="3">
        <v>1200000</v>
      </c>
      <c r="M118" s="3">
        <v>3796872247</v>
      </c>
      <c r="O118" s="3">
        <v>4593207100</v>
      </c>
      <c r="Q118" s="3">
        <v>-796334853</v>
      </c>
    </row>
    <row r="119" spans="1:17" ht="21.75" thickBot="1" x14ac:dyDescent="0.6">
      <c r="A119" s="21" t="s">
        <v>9</v>
      </c>
      <c r="C119" s="3"/>
      <c r="E119" s="21">
        <f>SUM(E108:E118)</f>
        <v>122214795020</v>
      </c>
      <c r="G119" s="21">
        <f>SUM(G108:G118)</f>
        <v>128938135186</v>
      </c>
      <c r="I119" s="21">
        <f>SUM(I108:I118)</f>
        <v>-4820207749</v>
      </c>
      <c r="K119" s="3"/>
      <c r="M119" s="21">
        <f>SUM(M108:M118)</f>
        <v>311200324572</v>
      </c>
      <c r="O119" s="21">
        <f>SUM(O108:O118)</f>
        <v>296232748530</v>
      </c>
      <c r="Q119" s="21">
        <f>SUM(Q108:Q118)</f>
        <v>37240466476</v>
      </c>
    </row>
    <row r="120" spans="1:17" ht="21.75" thickTop="1" x14ac:dyDescent="0.55000000000000004">
      <c r="C120" s="3"/>
      <c r="E120" s="2"/>
      <c r="G120" s="2"/>
      <c r="I120" s="2"/>
      <c r="K120" s="3"/>
      <c r="M120" s="2"/>
      <c r="O120" s="2"/>
      <c r="Q120" s="2"/>
    </row>
  </sheetData>
  <mergeCells count="24">
    <mergeCell ref="A69:Q69"/>
    <mergeCell ref="A1:Q1"/>
    <mergeCell ref="A2:Q2"/>
    <mergeCell ref="A3:Q3"/>
    <mergeCell ref="A5:Q5"/>
    <mergeCell ref="C7:I7"/>
    <mergeCell ref="K7:Q7"/>
    <mergeCell ref="A34:Q34"/>
    <mergeCell ref="A35:Q35"/>
    <mergeCell ref="A36:Q36"/>
    <mergeCell ref="A38:Q38"/>
    <mergeCell ref="C40:I40"/>
    <mergeCell ref="K40:Q40"/>
    <mergeCell ref="A67:Q67"/>
    <mergeCell ref="A68:Q68"/>
    <mergeCell ref="A104:Q104"/>
    <mergeCell ref="C106:I106"/>
    <mergeCell ref="K106:Q106"/>
    <mergeCell ref="A71:Q71"/>
    <mergeCell ref="C73:I73"/>
    <mergeCell ref="K73:Q73"/>
    <mergeCell ref="A100:Q100"/>
    <mergeCell ref="A101:Q101"/>
    <mergeCell ref="A102:Q102"/>
  </mergeCells>
  <pageMargins left="0.47" right="0.34" top="0.37" bottom="0.3" header="0.23" footer="0.24"/>
  <pageSetup paperSize="9" scale="79" fitToHeight="0" orientation="landscape" r:id="rId1"/>
  <rowBreaks count="3" manualBreakCount="3">
    <brk id="33" max="16" man="1"/>
    <brk id="66" max="16" man="1"/>
    <brk id="99" max="1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0DFD-166D-42FA-82FD-773C2A959940}">
  <sheetPr>
    <pageSetUpPr fitToPage="1"/>
  </sheetPr>
  <dimension ref="A1:Q136"/>
  <sheetViews>
    <sheetView rightToLeft="1" view="pageBreakPreview" zoomScale="60" zoomScaleNormal="100" workbookViewId="0">
      <selection activeCell="I138" sqref="I138"/>
    </sheetView>
  </sheetViews>
  <sheetFormatPr defaultColWidth="8.85546875" defaultRowHeight="19.5" x14ac:dyDescent="0.55000000000000004"/>
  <cols>
    <col min="1" max="1" width="33.28515625" style="1" customWidth="1"/>
    <col min="2" max="2" width="1.42578125" style="1" customWidth="1"/>
    <col min="3" max="3" width="14.14062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26.285156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27.42578125" style="1" customWidth="1"/>
    <col min="18" max="16384" width="8.85546875" style="1"/>
  </cols>
  <sheetData>
    <row r="1" spans="1:17" ht="19.899999999999999" customHeight="1" x14ac:dyDescent="0.55000000000000004">
      <c r="A1" s="49" t="s">
        <v>72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9.899999999999999" customHeight="1" x14ac:dyDescent="0.55000000000000004">
      <c r="A2" s="49" t="s">
        <v>26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5" spans="1:17" ht="21" x14ac:dyDescent="0.55000000000000004">
      <c r="A5" s="50" t="s">
        <v>43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7" spans="1:17" ht="21" x14ac:dyDescent="0.55000000000000004">
      <c r="C7" s="51" t="s">
        <v>65</v>
      </c>
      <c r="D7" s="52"/>
      <c r="E7" s="52"/>
      <c r="F7" s="52"/>
      <c r="G7" s="52"/>
      <c r="H7" s="52"/>
      <c r="I7" s="52"/>
      <c r="K7" s="51" t="s">
        <v>64</v>
      </c>
      <c r="L7" s="52"/>
      <c r="M7" s="52"/>
      <c r="N7" s="52"/>
      <c r="O7" s="52"/>
      <c r="P7" s="52"/>
      <c r="Q7" s="52"/>
    </row>
    <row r="8" spans="1:17" ht="42" x14ac:dyDescent="0.55000000000000004">
      <c r="A8" s="8" t="s">
        <v>28</v>
      </c>
      <c r="C8" s="9" t="s">
        <v>4</v>
      </c>
      <c r="E8" s="9" t="s">
        <v>6</v>
      </c>
      <c r="G8" s="9" t="s">
        <v>41</v>
      </c>
      <c r="I8" s="9" t="s">
        <v>44</v>
      </c>
      <c r="K8" s="9" t="s">
        <v>4</v>
      </c>
      <c r="M8" s="9" t="s">
        <v>6</v>
      </c>
      <c r="O8" s="9" t="s">
        <v>41</v>
      </c>
      <c r="Q8" s="9" t="s">
        <v>44</v>
      </c>
    </row>
    <row r="9" spans="1:17" ht="21" x14ac:dyDescent="0.55000000000000004">
      <c r="A9" s="7" t="s">
        <v>77</v>
      </c>
      <c r="C9" s="3">
        <v>112236</v>
      </c>
      <c r="E9" s="3">
        <v>624781896</v>
      </c>
      <c r="G9" s="3">
        <v>1020440959</v>
      </c>
      <c r="I9" s="3">
        <v>-395659063</v>
      </c>
      <c r="K9" s="3">
        <v>112236</v>
      </c>
      <c r="M9" s="3">
        <v>624781896</v>
      </c>
      <c r="O9" s="3">
        <v>553342491</v>
      </c>
      <c r="Q9" s="3">
        <v>71439405</v>
      </c>
    </row>
    <row r="10" spans="1:17" ht="21" x14ac:dyDescent="0.55000000000000004">
      <c r="A10" s="7" t="s">
        <v>194</v>
      </c>
      <c r="C10" s="3">
        <v>0</v>
      </c>
      <c r="D10" s="3"/>
      <c r="E10" s="3">
        <v>0</v>
      </c>
      <c r="F10" s="3"/>
      <c r="G10" s="3">
        <v>0</v>
      </c>
      <c r="H10" s="3"/>
      <c r="I10" s="3">
        <v>0</v>
      </c>
      <c r="K10" s="3"/>
      <c r="M10" s="3"/>
      <c r="O10" s="3"/>
      <c r="Q10" s="3">
        <v>322177018</v>
      </c>
    </row>
    <row r="11" spans="1:17" ht="21" x14ac:dyDescent="0.55000000000000004">
      <c r="A11" s="7" t="s">
        <v>195</v>
      </c>
      <c r="C11" s="3">
        <v>0</v>
      </c>
      <c r="D11" s="3"/>
      <c r="E11" s="3">
        <v>0</v>
      </c>
      <c r="F11" s="3"/>
      <c r="G11" s="3">
        <v>0</v>
      </c>
      <c r="H11" s="3"/>
      <c r="I11" s="3">
        <v>0</v>
      </c>
      <c r="K11" s="3"/>
      <c r="M11" s="3"/>
      <c r="O11" s="3"/>
      <c r="Q11" s="3">
        <v>26803097</v>
      </c>
    </row>
    <row r="12" spans="1:17" ht="21" x14ac:dyDescent="0.55000000000000004">
      <c r="A12" s="7" t="s">
        <v>196</v>
      </c>
      <c r="C12" s="3">
        <v>0</v>
      </c>
      <c r="D12" s="3"/>
      <c r="E12" s="3">
        <v>0</v>
      </c>
      <c r="F12" s="3"/>
      <c r="G12" s="3">
        <v>0</v>
      </c>
      <c r="H12" s="3"/>
      <c r="I12" s="3">
        <v>0</v>
      </c>
      <c r="K12" s="3"/>
      <c r="M12" s="3"/>
      <c r="O12" s="3"/>
      <c r="Q12" s="3">
        <v>136568824</v>
      </c>
    </row>
    <row r="13" spans="1:17" ht="21" x14ac:dyDescent="0.55000000000000004">
      <c r="A13" s="7" t="s">
        <v>197</v>
      </c>
      <c r="C13" s="3">
        <v>0</v>
      </c>
      <c r="D13" s="3"/>
      <c r="E13" s="3">
        <v>0</v>
      </c>
      <c r="F13" s="3"/>
      <c r="G13" s="3">
        <v>0</v>
      </c>
      <c r="H13" s="3"/>
      <c r="I13" s="3">
        <v>0</v>
      </c>
      <c r="K13" s="3"/>
      <c r="M13" s="3"/>
      <c r="O13" s="3"/>
      <c r="Q13" s="3">
        <v>25493434</v>
      </c>
    </row>
    <row r="14" spans="1:17" ht="21" x14ac:dyDescent="0.55000000000000004">
      <c r="A14" s="7" t="s">
        <v>198</v>
      </c>
      <c r="C14" s="3">
        <v>0</v>
      </c>
      <c r="D14" s="3"/>
      <c r="E14" s="3">
        <v>0</v>
      </c>
      <c r="F14" s="3"/>
      <c r="G14" s="3">
        <v>0</v>
      </c>
      <c r="H14" s="3"/>
      <c r="I14" s="3">
        <v>0</v>
      </c>
      <c r="K14" s="3"/>
      <c r="M14" s="3"/>
      <c r="O14" s="3"/>
      <c r="Q14" s="3">
        <v>-1999485</v>
      </c>
    </row>
    <row r="15" spans="1:17" ht="21" x14ac:dyDescent="0.55000000000000004">
      <c r="A15" s="7" t="s">
        <v>199</v>
      </c>
      <c r="C15" s="3">
        <v>0</v>
      </c>
      <c r="D15" s="3"/>
      <c r="E15" s="3">
        <v>0</v>
      </c>
      <c r="F15" s="3"/>
      <c r="G15" s="3">
        <v>0</v>
      </c>
      <c r="H15" s="3"/>
      <c r="I15" s="3">
        <v>0</v>
      </c>
      <c r="K15" s="3"/>
      <c r="M15" s="3"/>
      <c r="O15" s="3"/>
      <c r="Q15" s="3">
        <v>-11996910</v>
      </c>
    </row>
    <row r="16" spans="1:17" ht="21" x14ac:dyDescent="0.55000000000000004">
      <c r="A16" s="7" t="s">
        <v>200</v>
      </c>
      <c r="C16" s="3">
        <v>0</v>
      </c>
      <c r="D16" s="3"/>
      <c r="E16" s="3">
        <v>0</v>
      </c>
      <c r="F16" s="3"/>
      <c r="G16" s="3">
        <v>0</v>
      </c>
      <c r="H16" s="3"/>
      <c r="I16" s="3">
        <v>0</v>
      </c>
      <c r="K16" s="3"/>
      <c r="M16" s="3"/>
      <c r="O16" s="3"/>
      <c r="Q16" s="3">
        <v>552857603</v>
      </c>
    </row>
    <row r="17" spans="1:17" ht="21" x14ac:dyDescent="0.55000000000000004">
      <c r="A17" s="7" t="s">
        <v>201</v>
      </c>
      <c r="C17" s="3">
        <v>0</v>
      </c>
      <c r="D17" s="3"/>
      <c r="E17" s="3">
        <v>0</v>
      </c>
      <c r="F17" s="3"/>
      <c r="G17" s="3">
        <v>0</v>
      </c>
      <c r="H17" s="3"/>
      <c r="I17" s="3">
        <v>0</v>
      </c>
      <c r="K17" s="3"/>
      <c r="M17" s="3"/>
      <c r="O17" s="3"/>
      <c r="Q17" s="3">
        <v>-3551085</v>
      </c>
    </row>
    <row r="18" spans="1:17" ht="21" x14ac:dyDescent="0.55000000000000004">
      <c r="A18" s="7" t="s">
        <v>202</v>
      </c>
      <c r="C18" s="3">
        <v>0</v>
      </c>
      <c r="D18" s="3"/>
      <c r="E18" s="3">
        <v>0</v>
      </c>
      <c r="F18" s="3"/>
      <c r="G18" s="3">
        <v>0</v>
      </c>
      <c r="H18" s="3"/>
      <c r="I18" s="3">
        <v>0</v>
      </c>
      <c r="K18" s="3"/>
      <c r="M18" s="3"/>
      <c r="O18" s="3"/>
      <c r="Q18" s="3">
        <v>-2469364</v>
      </c>
    </row>
    <row r="19" spans="1:17" ht="21" x14ac:dyDescent="0.55000000000000004">
      <c r="A19" s="7" t="s">
        <v>203</v>
      </c>
      <c r="C19" s="3">
        <v>0</v>
      </c>
      <c r="D19" s="3"/>
      <c r="E19" s="3">
        <v>0</v>
      </c>
      <c r="F19" s="3"/>
      <c r="G19" s="3">
        <v>0</v>
      </c>
      <c r="H19" s="3"/>
      <c r="I19" s="3">
        <v>0</v>
      </c>
      <c r="K19" s="3"/>
      <c r="M19" s="3"/>
      <c r="O19" s="3"/>
      <c r="Q19" s="3">
        <v>18005293</v>
      </c>
    </row>
    <row r="20" spans="1:17" ht="21" x14ac:dyDescent="0.55000000000000004">
      <c r="A20" s="7" t="s">
        <v>204</v>
      </c>
      <c r="C20" s="3">
        <v>0</v>
      </c>
      <c r="D20" s="3"/>
      <c r="E20" s="3">
        <v>0</v>
      </c>
      <c r="F20" s="3"/>
      <c r="G20" s="3">
        <v>0</v>
      </c>
      <c r="H20" s="3"/>
      <c r="I20" s="3">
        <v>0</v>
      </c>
      <c r="K20" s="3"/>
      <c r="M20" s="3"/>
      <c r="O20" s="3"/>
      <c r="Q20" s="3">
        <v>-3898996</v>
      </c>
    </row>
    <row r="21" spans="1:17" ht="21" x14ac:dyDescent="0.55000000000000004">
      <c r="A21" s="7" t="s">
        <v>205</v>
      </c>
      <c r="C21" s="3">
        <v>0</v>
      </c>
      <c r="D21" s="3"/>
      <c r="E21" s="3">
        <v>0</v>
      </c>
      <c r="F21" s="3"/>
      <c r="G21" s="3">
        <v>0</v>
      </c>
      <c r="H21" s="3"/>
      <c r="I21" s="3">
        <v>0</v>
      </c>
      <c r="K21" s="3"/>
      <c r="M21" s="3"/>
      <c r="O21" s="3"/>
      <c r="Q21" s="3">
        <v>-79979</v>
      </c>
    </row>
    <row r="22" spans="1:17" ht="21" x14ac:dyDescent="0.55000000000000004">
      <c r="A22" s="7" t="s">
        <v>206</v>
      </c>
      <c r="C22" s="3">
        <v>0</v>
      </c>
      <c r="D22" s="3"/>
      <c r="E22" s="3">
        <v>0</v>
      </c>
      <c r="F22" s="3"/>
      <c r="G22" s="3">
        <v>0</v>
      </c>
      <c r="H22" s="3"/>
      <c r="I22" s="3">
        <v>0</v>
      </c>
      <c r="K22" s="3"/>
      <c r="M22" s="3"/>
      <c r="O22" s="3"/>
      <c r="Q22" s="3">
        <v>180993382</v>
      </c>
    </row>
    <row r="23" spans="1:17" ht="21" x14ac:dyDescent="0.55000000000000004">
      <c r="A23" s="7" t="s">
        <v>208</v>
      </c>
      <c r="C23" s="3">
        <v>0</v>
      </c>
      <c r="D23" s="3"/>
      <c r="E23" s="3">
        <v>0</v>
      </c>
      <c r="F23" s="3"/>
      <c r="G23" s="3">
        <v>0</v>
      </c>
      <c r="H23" s="3"/>
      <c r="I23" s="3">
        <v>0</v>
      </c>
      <c r="K23" s="3"/>
      <c r="M23" s="3"/>
      <c r="O23" s="3"/>
      <c r="Q23" s="3">
        <v>1769544</v>
      </c>
    </row>
    <row r="24" spans="1:17" ht="21" x14ac:dyDescent="0.55000000000000004">
      <c r="A24" s="7" t="s">
        <v>209</v>
      </c>
      <c r="C24" s="3">
        <v>0</v>
      </c>
      <c r="D24" s="3"/>
      <c r="E24" s="3">
        <v>0</v>
      </c>
      <c r="F24" s="3"/>
      <c r="G24" s="3">
        <v>0</v>
      </c>
      <c r="H24" s="3"/>
      <c r="I24" s="3">
        <v>0</v>
      </c>
      <c r="K24" s="3"/>
      <c r="M24" s="3"/>
      <c r="O24" s="3"/>
      <c r="Q24" s="3">
        <v>-2499356</v>
      </c>
    </row>
    <row r="25" spans="1:17" ht="21" x14ac:dyDescent="0.55000000000000004">
      <c r="A25" s="7" t="s">
        <v>210</v>
      </c>
      <c r="C25" s="3">
        <v>0</v>
      </c>
      <c r="D25" s="3"/>
      <c r="E25" s="3">
        <v>0</v>
      </c>
      <c r="F25" s="3"/>
      <c r="G25" s="3">
        <v>0</v>
      </c>
      <c r="H25" s="3"/>
      <c r="I25" s="3">
        <v>0</v>
      </c>
      <c r="K25" s="3"/>
      <c r="M25" s="3"/>
      <c r="O25" s="3"/>
      <c r="Q25" s="3">
        <v>-9760486</v>
      </c>
    </row>
    <row r="26" spans="1:17" ht="21" x14ac:dyDescent="0.55000000000000004">
      <c r="A26" s="7" t="s">
        <v>211</v>
      </c>
      <c r="C26" s="3">
        <v>0</v>
      </c>
      <c r="D26" s="3"/>
      <c r="E26" s="3">
        <v>0</v>
      </c>
      <c r="F26" s="3"/>
      <c r="G26" s="3">
        <v>0</v>
      </c>
      <c r="H26" s="3"/>
      <c r="I26" s="3">
        <v>0</v>
      </c>
      <c r="K26" s="3"/>
      <c r="M26" s="3"/>
      <c r="O26" s="3"/>
      <c r="Q26" s="3">
        <v>29992</v>
      </c>
    </row>
    <row r="27" spans="1:17" ht="21" x14ac:dyDescent="0.55000000000000004">
      <c r="A27" s="7" t="s">
        <v>212</v>
      </c>
      <c r="C27" s="3">
        <v>0</v>
      </c>
      <c r="D27" s="3"/>
      <c r="E27" s="3">
        <v>0</v>
      </c>
      <c r="F27" s="3"/>
      <c r="G27" s="3">
        <v>0</v>
      </c>
      <c r="H27" s="3"/>
      <c r="I27" s="3">
        <v>0</v>
      </c>
      <c r="K27" s="3"/>
      <c r="M27" s="3"/>
      <c r="O27" s="3"/>
      <c r="Q27" s="3">
        <v>6238393</v>
      </c>
    </row>
    <row r="28" spans="1:17" ht="21" x14ac:dyDescent="0.55000000000000004">
      <c r="A28" s="7" t="s">
        <v>213</v>
      </c>
      <c r="C28" s="3">
        <v>0</v>
      </c>
      <c r="D28" s="3"/>
      <c r="E28" s="3">
        <v>0</v>
      </c>
      <c r="F28" s="3"/>
      <c r="G28" s="3">
        <v>0</v>
      </c>
      <c r="H28" s="3"/>
      <c r="I28" s="3">
        <v>0</v>
      </c>
      <c r="K28" s="3"/>
      <c r="M28" s="3"/>
      <c r="O28" s="3"/>
      <c r="Q28" s="3">
        <v>1519609</v>
      </c>
    </row>
    <row r="29" spans="1:17" ht="21" x14ac:dyDescent="0.55000000000000004">
      <c r="A29" s="7" t="s">
        <v>214</v>
      </c>
      <c r="C29" s="3">
        <v>0</v>
      </c>
      <c r="D29" s="3"/>
      <c r="E29" s="3">
        <v>0</v>
      </c>
      <c r="F29" s="3"/>
      <c r="G29" s="3">
        <v>0</v>
      </c>
      <c r="H29" s="3"/>
      <c r="I29" s="3">
        <v>0</v>
      </c>
      <c r="K29" s="3"/>
      <c r="M29" s="3"/>
      <c r="O29" s="3"/>
      <c r="Q29" s="3">
        <v>-22527198</v>
      </c>
    </row>
    <row r="30" spans="1:17" ht="21" x14ac:dyDescent="0.55000000000000004">
      <c r="A30" s="7" t="s">
        <v>215</v>
      </c>
      <c r="C30" s="3"/>
      <c r="E30" s="3"/>
      <c r="G30" s="3"/>
      <c r="I30" s="3">
        <v>-405563241</v>
      </c>
      <c r="K30" s="3"/>
      <c r="M30" s="3"/>
      <c r="O30" s="3"/>
      <c r="Q30" s="3">
        <v>-15336050</v>
      </c>
    </row>
    <row r="31" spans="1:17" ht="21" x14ac:dyDescent="0.55000000000000004">
      <c r="A31" s="7" t="s">
        <v>216</v>
      </c>
      <c r="C31" s="3"/>
      <c r="E31" s="3"/>
      <c r="G31" s="3"/>
      <c r="I31" s="3">
        <v>-92605802</v>
      </c>
      <c r="K31" s="3"/>
      <c r="M31" s="3"/>
      <c r="O31" s="3"/>
      <c r="Q31" s="3">
        <v>-66380556</v>
      </c>
    </row>
    <row r="32" spans="1:17" ht="21" x14ac:dyDescent="0.55000000000000004">
      <c r="A32" s="7" t="s">
        <v>217</v>
      </c>
      <c r="C32" s="3"/>
      <c r="E32" s="3"/>
      <c r="G32" s="3"/>
      <c r="I32" s="3">
        <v>-129319312</v>
      </c>
      <c r="K32" s="3"/>
      <c r="M32" s="3"/>
      <c r="O32" s="3"/>
      <c r="Q32" s="3">
        <v>6998198</v>
      </c>
    </row>
    <row r="33" spans="1:17" ht="21" x14ac:dyDescent="0.55000000000000004">
      <c r="A33" s="7" t="s">
        <v>218</v>
      </c>
      <c r="C33" s="3"/>
      <c r="E33" s="3"/>
      <c r="G33" s="3"/>
      <c r="I33" s="3">
        <v>36578579</v>
      </c>
      <c r="K33" s="3"/>
      <c r="M33" s="3"/>
      <c r="O33" s="3"/>
      <c r="Q33" s="3">
        <v>289548098</v>
      </c>
    </row>
    <row r="34" spans="1:17" ht="21" x14ac:dyDescent="0.55000000000000004">
      <c r="A34" s="7" t="s">
        <v>219</v>
      </c>
      <c r="C34" s="3"/>
      <c r="E34" s="3"/>
      <c r="G34" s="3"/>
      <c r="I34" s="3">
        <v>-3995972</v>
      </c>
      <c r="K34" s="3"/>
      <c r="M34" s="3"/>
      <c r="O34" s="3"/>
      <c r="Q34" s="3">
        <v>2998</v>
      </c>
    </row>
    <row r="35" spans="1:17" ht="21" x14ac:dyDescent="0.55000000000000004">
      <c r="A35" s="7" t="s">
        <v>220</v>
      </c>
      <c r="C35" s="3"/>
      <c r="E35" s="3"/>
      <c r="G35" s="3"/>
      <c r="I35" s="3">
        <v>-248210997</v>
      </c>
      <c r="K35" s="3"/>
      <c r="M35" s="3"/>
      <c r="O35" s="3"/>
      <c r="Q35" s="3">
        <v>36052714</v>
      </c>
    </row>
    <row r="36" spans="1:17" ht="21" x14ac:dyDescent="0.55000000000000004">
      <c r="A36" s="7" t="s">
        <v>221</v>
      </c>
      <c r="C36" s="3"/>
      <c r="E36" s="3"/>
      <c r="G36" s="3"/>
      <c r="I36" s="3">
        <v>-72634181</v>
      </c>
      <c r="K36" s="3"/>
      <c r="M36" s="3"/>
      <c r="O36" s="3"/>
      <c r="Q36" s="3">
        <v>-59984550</v>
      </c>
    </row>
    <row r="37" spans="1:17" ht="21" x14ac:dyDescent="0.55000000000000004">
      <c r="A37" s="7" t="s">
        <v>222</v>
      </c>
      <c r="C37" s="3"/>
      <c r="E37" s="3"/>
      <c r="G37" s="3"/>
      <c r="I37" s="3">
        <v>-117330032</v>
      </c>
      <c r="K37" s="3"/>
      <c r="M37" s="3"/>
      <c r="O37" s="3"/>
      <c r="Q37" s="3">
        <v>-132110973</v>
      </c>
    </row>
    <row r="38" spans="1:17" ht="21" x14ac:dyDescent="0.55000000000000004">
      <c r="A38" s="7" t="s">
        <v>131</v>
      </c>
      <c r="C38" s="3"/>
      <c r="E38" s="35">
        <f>SUM(E9:E37)</f>
        <v>624781896</v>
      </c>
      <c r="G38" s="35">
        <f>SUM(G9:G37)</f>
        <v>1020440959</v>
      </c>
      <c r="I38" s="35">
        <f>SUM(I9:I37)</f>
        <v>-1428740021</v>
      </c>
      <c r="K38" s="3"/>
      <c r="M38" s="35">
        <f>SUM(M9:M37)</f>
        <v>624781896</v>
      </c>
      <c r="O38" s="35">
        <f>SUM(O9:O37)</f>
        <v>553342491</v>
      </c>
      <c r="Q38" s="35">
        <f>SUM(Q9:Q37)</f>
        <v>1343902614</v>
      </c>
    </row>
    <row r="39" spans="1:17" ht="19.899999999999999" customHeight="1" x14ac:dyDescent="0.55000000000000004">
      <c r="A39" s="49" t="s">
        <v>72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</row>
    <row r="40" spans="1:17" ht="19.899999999999999" customHeight="1" x14ac:dyDescent="0.55000000000000004">
      <c r="A40" s="49" t="s">
        <v>26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</row>
    <row r="41" spans="1:17" ht="19.899999999999999" customHeight="1" x14ac:dyDescent="0.55000000000000004">
      <c r="A41" s="49" t="s">
        <v>1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</row>
    <row r="43" spans="1:17" ht="21" x14ac:dyDescent="0.55000000000000004">
      <c r="A43" s="50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</row>
    <row r="45" spans="1:17" ht="21" x14ac:dyDescent="0.55000000000000004">
      <c r="C45" s="51" t="s">
        <v>65</v>
      </c>
      <c r="D45" s="52"/>
      <c r="E45" s="52"/>
      <c r="F45" s="52"/>
      <c r="G45" s="52"/>
      <c r="H45" s="52"/>
      <c r="I45" s="52"/>
      <c r="K45" s="51" t="s">
        <v>64</v>
      </c>
      <c r="L45" s="52"/>
      <c r="M45" s="52"/>
      <c r="N45" s="52"/>
      <c r="O45" s="52"/>
      <c r="P45" s="52"/>
      <c r="Q45" s="52"/>
    </row>
    <row r="46" spans="1:17" ht="42" x14ac:dyDescent="0.55000000000000004">
      <c r="A46" s="8" t="s">
        <v>28</v>
      </c>
      <c r="C46" s="9" t="s">
        <v>4</v>
      </c>
      <c r="E46" s="9" t="s">
        <v>6</v>
      </c>
      <c r="G46" s="9" t="s">
        <v>41</v>
      </c>
      <c r="I46" s="9" t="s">
        <v>44</v>
      </c>
      <c r="K46" s="9" t="s">
        <v>4</v>
      </c>
      <c r="M46" s="9" t="s">
        <v>6</v>
      </c>
      <c r="O46" s="9" t="s">
        <v>41</v>
      </c>
      <c r="Q46" s="9" t="s">
        <v>44</v>
      </c>
    </row>
    <row r="47" spans="1:17" ht="21" x14ac:dyDescent="0.55000000000000004">
      <c r="A47" s="7" t="s">
        <v>132</v>
      </c>
      <c r="C47" s="3"/>
      <c r="D47" s="3"/>
      <c r="E47" s="3">
        <f>E38</f>
        <v>624781896</v>
      </c>
      <c r="F47" s="3"/>
      <c r="G47" s="3">
        <f>G38</f>
        <v>1020440959</v>
      </c>
      <c r="H47" s="3"/>
      <c r="I47" s="3">
        <f>I38</f>
        <v>-1428740021</v>
      </c>
      <c r="J47" s="3"/>
      <c r="K47" s="3"/>
      <c r="L47" s="3"/>
      <c r="M47" s="3">
        <f>M38</f>
        <v>624781896</v>
      </c>
      <c r="N47" s="3"/>
      <c r="O47" s="3">
        <f>O38</f>
        <v>553342491</v>
      </c>
      <c r="P47" s="3"/>
      <c r="Q47" s="3">
        <f>Q38</f>
        <v>1343902614</v>
      </c>
    </row>
    <row r="48" spans="1:17" ht="21" x14ac:dyDescent="0.55000000000000004">
      <c r="A48" s="7" t="s">
        <v>223</v>
      </c>
      <c r="C48" s="3"/>
      <c r="D48" s="3"/>
      <c r="E48" s="3"/>
      <c r="F48" s="3"/>
      <c r="G48" s="3"/>
      <c r="H48" s="3"/>
      <c r="I48" s="3">
        <v>3399125</v>
      </c>
      <c r="K48" s="3"/>
      <c r="M48" s="3"/>
      <c r="O48" s="3"/>
      <c r="Q48" s="3">
        <v>3399125</v>
      </c>
    </row>
    <row r="49" spans="1:17" ht="21" x14ac:dyDescent="0.55000000000000004">
      <c r="A49" s="7" t="s">
        <v>225</v>
      </c>
      <c r="C49" s="3"/>
      <c r="E49" s="3"/>
      <c r="G49" s="3"/>
      <c r="I49" s="3">
        <v>-27490106</v>
      </c>
      <c r="K49" s="3"/>
      <c r="M49" s="3"/>
      <c r="O49" s="3"/>
      <c r="Q49" s="3">
        <v>-27490106</v>
      </c>
    </row>
    <row r="50" spans="1:17" ht="21" x14ac:dyDescent="0.55000000000000004">
      <c r="A50" s="7" t="s">
        <v>226</v>
      </c>
      <c r="C50" s="3"/>
      <c r="D50" s="3"/>
      <c r="E50" s="3"/>
      <c r="F50" s="3"/>
      <c r="G50" s="3"/>
      <c r="H50" s="3"/>
      <c r="I50" s="3">
        <v>-113769496</v>
      </c>
      <c r="K50" s="3"/>
      <c r="M50" s="3"/>
      <c r="O50" s="3"/>
      <c r="Q50" s="3">
        <v>-113769496</v>
      </c>
    </row>
    <row r="51" spans="1:17" ht="21" x14ac:dyDescent="0.55000000000000004">
      <c r="A51" s="7" t="s">
        <v>227</v>
      </c>
      <c r="C51" s="3">
        <v>0</v>
      </c>
      <c r="E51" s="3">
        <v>0</v>
      </c>
      <c r="G51" s="3">
        <v>0</v>
      </c>
      <c r="I51" s="3">
        <v>0</v>
      </c>
      <c r="K51" s="3"/>
      <c r="M51" s="3"/>
      <c r="O51" s="3"/>
      <c r="Q51" s="3">
        <v>-24993562</v>
      </c>
    </row>
    <row r="52" spans="1:17" ht="21" x14ac:dyDescent="0.55000000000000004">
      <c r="A52" s="7" t="s">
        <v>228</v>
      </c>
      <c r="C52" s="3">
        <v>0</v>
      </c>
      <c r="E52" s="3">
        <v>0</v>
      </c>
      <c r="G52" s="3">
        <v>0</v>
      </c>
      <c r="I52" s="3">
        <v>0</v>
      </c>
      <c r="K52" s="3"/>
      <c r="M52" s="3"/>
      <c r="O52" s="3"/>
      <c r="Q52" s="3">
        <v>51986610</v>
      </c>
    </row>
    <row r="53" spans="1:17" ht="21" x14ac:dyDescent="0.55000000000000004">
      <c r="A53" s="7" t="s">
        <v>229</v>
      </c>
      <c r="C53" s="3">
        <v>0</v>
      </c>
      <c r="E53" s="3">
        <v>0</v>
      </c>
      <c r="G53" s="3">
        <v>0</v>
      </c>
      <c r="I53" s="3">
        <v>0</v>
      </c>
      <c r="K53" s="3"/>
      <c r="M53" s="3"/>
      <c r="O53" s="3"/>
      <c r="Q53" s="3">
        <v>-1887514</v>
      </c>
    </row>
    <row r="54" spans="1:17" ht="21" x14ac:dyDescent="0.55000000000000004">
      <c r="A54" s="7" t="s">
        <v>230</v>
      </c>
      <c r="C54" s="3">
        <v>0</v>
      </c>
      <c r="E54" s="3">
        <v>0</v>
      </c>
      <c r="G54" s="3">
        <v>0</v>
      </c>
      <c r="I54" s="3">
        <v>0</v>
      </c>
      <c r="K54" s="3"/>
      <c r="M54" s="3"/>
      <c r="O54" s="3"/>
      <c r="Q54" s="3">
        <v>24667646</v>
      </c>
    </row>
    <row r="55" spans="1:17" ht="21" x14ac:dyDescent="0.55000000000000004">
      <c r="A55" s="7" t="s">
        <v>231</v>
      </c>
      <c r="C55" s="3"/>
      <c r="E55" s="3"/>
      <c r="G55" s="3"/>
      <c r="I55" s="3">
        <v>31698602</v>
      </c>
      <c r="K55" s="3"/>
      <c r="M55" s="3"/>
      <c r="O55" s="3"/>
      <c r="Q55" s="3">
        <v>-998</v>
      </c>
    </row>
    <row r="56" spans="1:17" ht="21" x14ac:dyDescent="0.55000000000000004">
      <c r="A56" s="7" t="s">
        <v>232</v>
      </c>
      <c r="C56" s="3"/>
      <c r="E56" s="3"/>
      <c r="G56" s="3"/>
      <c r="I56" s="3">
        <v>-21039737</v>
      </c>
      <c r="K56" s="3"/>
      <c r="M56" s="3"/>
      <c r="O56" s="3"/>
      <c r="Q56" s="3">
        <v>-20994592</v>
      </c>
    </row>
    <row r="57" spans="1:17" ht="21" x14ac:dyDescent="0.55000000000000004">
      <c r="A57" s="7" t="s">
        <v>238</v>
      </c>
      <c r="C57" s="3"/>
      <c r="E57" s="3"/>
      <c r="G57" s="3"/>
      <c r="I57" s="3">
        <v>230678875</v>
      </c>
      <c r="K57" s="3">
        <v>0</v>
      </c>
      <c r="M57" s="3">
        <v>0</v>
      </c>
      <c r="O57" s="3">
        <v>0</v>
      </c>
      <c r="Q57" s="3">
        <v>0</v>
      </c>
    </row>
    <row r="58" spans="1:17" ht="21" x14ac:dyDescent="0.55000000000000004">
      <c r="A58" s="7" t="s">
        <v>233</v>
      </c>
      <c r="C58" s="3"/>
      <c r="E58" s="3"/>
      <c r="G58" s="3"/>
      <c r="I58" s="3">
        <v>2000</v>
      </c>
      <c r="K58" s="3"/>
      <c r="M58" s="3"/>
      <c r="O58" s="3"/>
      <c r="Q58" s="3">
        <v>2000</v>
      </c>
    </row>
    <row r="59" spans="1:17" ht="21" x14ac:dyDescent="0.55000000000000004">
      <c r="A59" s="7" t="s">
        <v>234</v>
      </c>
      <c r="C59" s="3"/>
      <c r="D59" s="3"/>
      <c r="E59" s="3"/>
      <c r="F59" s="3"/>
      <c r="G59" s="3"/>
      <c r="H59" s="3"/>
      <c r="I59" s="3">
        <v>17717036</v>
      </c>
      <c r="J59" s="6"/>
      <c r="K59" s="3"/>
      <c r="M59" s="3"/>
      <c r="O59" s="3"/>
      <c r="Q59" s="3">
        <v>17717036</v>
      </c>
    </row>
    <row r="60" spans="1:17" ht="21" x14ac:dyDescent="0.55000000000000004">
      <c r="A60" s="7" t="s">
        <v>235</v>
      </c>
      <c r="C60" s="3"/>
      <c r="E60" s="3"/>
      <c r="G60" s="3"/>
      <c r="I60" s="3">
        <v>-38778102</v>
      </c>
      <c r="K60" s="3"/>
      <c r="M60" s="3"/>
      <c r="O60" s="3"/>
      <c r="Q60" s="3">
        <v>-38778102</v>
      </c>
    </row>
    <row r="61" spans="1:17" ht="21" x14ac:dyDescent="0.55000000000000004">
      <c r="A61" s="7" t="s">
        <v>236</v>
      </c>
      <c r="C61" s="3"/>
      <c r="D61" s="3"/>
      <c r="E61" s="3"/>
      <c r="F61" s="3"/>
      <c r="G61" s="3"/>
      <c r="H61" s="3"/>
      <c r="I61" s="3">
        <v>50986</v>
      </c>
      <c r="J61" s="6"/>
      <c r="K61" s="3"/>
      <c r="M61" s="3"/>
      <c r="O61" s="3"/>
      <c r="Q61" s="3">
        <v>50986</v>
      </c>
    </row>
    <row r="62" spans="1:17" ht="21" x14ac:dyDescent="0.55000000000000004">
      <c r="A62" s="7" t="s">
        <v>78</v>
      </c>
      <c r="C62" s="3">
        <v>75000</v>
      </c>
      <c r="E62" s="3">
        <v>534550387</v>
      </c>
      <c r="G62" s="3">
        <v>689622187</v>
      </c>
      <c r="I62" s="3">
        <v>-155071800</v>
      </c>
      <c r="K62" s="3">
        <v>75000</v>
      </c>
      <c r="M62" s="3">
        <v>534550387</v>
      </c>
      <c r="O62" s="3">
        <v>525487200</v>
      </c>
      <c r="Q62" s="3">
        <v>9063187</v>
      </c>
    </row>
    <row r="63" spans="1:17" ht="21" x14ac:dyDescent="0.55000000000000004">
      <c r="A63" s="7" t="s">
        <v>79</v>
      </c>
      <c r="C63" s="3">
        <v>1000000</v>
      </c>
      <c r="E63" s="3">
        <v>4205825550</v>
      </c>
      <c r="G63" s="3">
        <v>4481177400</v>
      </c>
      <c r="I63" s="3">
        <v>-275351850</v>
      </c>
      <c r="K63" s="3">
        <v>1000000</v>
      </c>
      <c r="M63" s="3">
        <v>4205825550</v>
      </c>
      <c r="O63" s="3">
        <v>4540820400</v>
      </c>
      <c r="Q63" s="3">
        <v>-334994850</v>
      </c>
    </row>
    <row r="64" spans="1:17" ht="21" x14ac:dyDescent="0.55000000000000004">
      <c r="A64" s="7" t="s">
        <v>80</v>
      </c>
      <c r="C64" s="3">
        <v>4242039</v>
      </c>
      <c r="E64" s="3">
        <v>10280555640</v>
      </c>
      <c r="G64" s="3">
        <v>10487227500</v>
      </c>
      <c r="I64" s="3">
        <v>-206671860</v>
      </c>
      <c r="K64" s="3">
        <v>4242039</v>
      </c>
      <c r="M64" s="3">
        <v>10280555640</v>
      </c>
      <c r="O64" s="3">
        <v>11089731654</v>
      </c>
      <c r="Q64" s="3">
        <v>-809176014</v>
      </c>
    </row>
    <row r="65" spans="1:17" ht="21" x14ac:dyDescent="0.55000000000000004">
      <c r="A65" s="7" t="s">
        <v>81</v>
      </c>
      <c r="C65" s="3">
        <v>7726948</v>
      </c>
      <c r="E65" s="3">
        <v>29663916411</v>
      </c>
      <c r="G65" s="3">
        <v>25969368561</v>
      </c>
      <c r="I65" s="3">
        <v>3694547850</v>
      </c>
      <c r="K65" s="3">
        <v>7726948</v>
      </c>
      <c r="M65" s="3">
        <v>29663916411</v>
      </c>
      <c r="O65" s="3">
        <v>26499355675</v>
      </c>
      <c r="Q65" s="3">
        <v>3164560736</v>
      </c>
    </row>
    <row r="66" spans="1:17" ht="21" x14ac:dyDescent="0.55000000000000004">
      <c r="A66" s="7" t="s">
        <v>82</v>
      </c>
      <c r="C66" s="3">
        <v>10000000</v>
      </c>
      <c r="E66" s="3">
        <v>18032067000</v>
      </c>
      <c r="G66" s="3">
        <v>16998255000</v>
      </c>
      <c r="I66" s="3">
        <v>1033812000</v>
      </c>
      <c r="K66" s="3">
        <v>10000000</v>
      </c>
      <c r="M66" s="3">
        <v>18032067000</v>
      </c>
      <c r="O66" s="3">
        <v>19185165000</v>
      </c>
      <c r="Q66" s="3">
        <v>-1153098000</v>
      </c>
    </row>
    <row r="67" spans="1:17" ht="21" x14ac:dyDescent="0.55000000000000004">
      <c r="A67" s="7" t="s">
        <v>83</v>
      </c>
      <c r="C67" s="3">
        <v>37560926</v>
      </c>
      <c r="E67" s="3">
        <v>20759615801</v>
      </c>
      <c r="G67" s="3">
        <v>22813174918</v>
      </c>
      <c r="I67" s="3">
        <v>-2053559117</v>
      </c>
      <c r="K67" s="3">
        <v>37560926</v>
      </c>
      <c r="M67" s="3">
        <v>20759615801</v>
      </c>
      <c r="O67" s="3">
        <v>23669922870</v>
      </c>
      <c r="Q67" s="3">
        <v>-2910307069</v>
      </c>
    </row>
    <row r="68" spans="1:17" ht="21" x14ac:dyDescent="0.55000000000000004">
      <c r="A68" s="7" t="s">
        <v>84</v>
      </c>
      <c r="C68" s="3">
        <v>25392957</v>
      </c>
      <c r="E68" s="3">
        <v>54598162443</v>
      </c>
      <c r="G68" s="3">
        <v>45352338390</v>
      </c>
      <c r="I68" s="3">
        <v>9245824053</v>
      </c>
      <c r="K68" s="3">
        <v>25392957</v>
      </c>
      <c r="M68" s="3">
        <v>54598162443</v>
      </c>
      <c r="O68" s="3">
        <v>48018380490</v>
      </c>
      <c r="Q68" s="3">
        <v>6579781953</v>
      </c>
    </row>
    <row r="69" spans="1:17" ht="21" x14ac:dyDescent="0.55000000000000004">
      <c r="A69" s="7" t="s">
        <v>85</v>
      </c>
      <c r="C69" s="3">
        <v>1700000</v>
      </c>
      <c r="E69" s="3">
        <v>6587171730</v>
      </c>
      <c r="G69" s="3">
        <v>6815306205</v>
      </c>
      <c r="I69" s="3">
        <v>-228134475</v>
      </c>
      <c r="K69" s="3">
        <v>1700000</v>
      </c>
      <c r="M69" s="3">
        <v>6587171730</v>
      </c>
      <c r="O69" s="3">
        <v>9023985900</v>
      </c>
      <c r="Q69" s="3">
        <v>-2436814170</v>
      </c>
    </row>
    <row r="70" spans="1:17" ht="21" x14ac:dyDescent="0.55000000000000004">
      <c r="A70" s="7" t="s">
        <v>86</v>
      </c>
      <c r="C70" s="3">
        <v>285750</v>
      </c>
      <c r="E70" s="3">
        <v>13620187311</v>
      </c>
      <c r="G70" s="3">
        <v>14855803886</v>
      </c>
      <c r="I70" s="3">
        <v>-1235616575</v>
      </c>
      <c r="K70" s="3">
        <v>285750</v>
      </c>
      <c r="M70" s="3">
        <v>13620187311</v>
      </c>
      <c r="O70" s="3">
        <v>13013430474</v>
      </c>
      <c r="Q70" s="3">
        <v>606756837</v>
      </c>
    </row>
    <row r="71" spans="1:17" ht="21" x14ac:dyDescent="0.55000000000000004">
      <c r="A71" s="7" t="s">
        <v>87</v>
      </c>
      <c r="C71" s="3">
        <v>5153333</v>
      </c>
      <c r="E71" s="3">
        <v>12115116131</v>
      </c>
      <c r="G71" s="3">
        <v>12452864951</v>
      </c>
      <c r="I71" s="3">
        <v>-337748820</v>
      </c>
      <c r="K71" s="3">
        <v>5153333</v>
      </c>
      <c r="M71" s="3">
        <v>12115116131</v>
      </c>
      <c r="O71" s="3">
        <v>15202420330</v>
      </c>
      <c r="Q71" s="3">
        <v>-3087304199</v>
      </c>
    </row>
    <row r="72" spans="1:17" ht="21" x14ac:dyDescent="0.55000000000000004">
      <c r="A72" s="7" t="s">
        <v>88</v>
      </c>
      <c r="C72" s="3">
        <v>1450000</v>
      </c>
      <c r="E72" s="3">
        <v>1751267587</v>
      </c>
      <c r="G72" s="3">
        <v>2278809922</v>
      </c>
      <c r="I72" s="3">
        <v>-527542335</v>
      </c>
      <c r="K72" s="3">
        <v>1450000</v>
      </c>
      <c r="M72" s="3">
        <v>1751267587</v>
      </c>
      <c r="O72" s="3">
        <v>1550155735</v>
      </c>
      <c r="Q72" s="3">
        <v>201111852</v>
      </c>
    </row>
    <row r="73" spans="1:17" ht="21" x14ac:dyDescent="0.55000000000000004">
      <c r="A73" s="7" t="s">
        <v>89</v>
      </c>
      <c r="C73" s="3">
        <v>900000</v>
      </c>
      <c r="E73" s="3">
        <v>2980062495</v>
      </c>
      <c r="G73" s="3">
        <v>3611681865</v>
      </c>
      <c r="I73" s="3">
        <v>-631619370</v>
      </c>
      <c r="K73" s="3">
        <v>900000</v>
      </c>
      <c r="M73" s="3">
        <v>2980062495</v>
      </c>
      <c r="O73" s="3">
        <v>2932719040</v>
      </c>
      <c r="Q73" s="3">
        <v>47343455</v>
      </c>
    </row>
    <row r="74" spans="1:17" ht="21" x14ac:dyDescent="0.55000000000000004">
      <c r="A74" s="7" t="s">
        <v>90</v>
      </c>
      <c r="C74" s="3">
        <v>800000</v>
      </c>
      <c r="E74" s="3">
        <v>5113393200</v>
      </c>
      <c r="G74" s="3">
        <v>5177012400</v>
      </c>
      <c r="I74" s="3">
        <v>-63619200</v>
      </c>
      <c r="K74" s="3">
        <v>800000</v>
      </c>
      <c r="M74" s="3">
        <v>5113393200</v>
      </c>
      <c r="O74" s="3">
        <v>5232679200</v>
      </c>
      <c r="Q74" s="3">
        <v>-119286000</v>
      </c>
    </row>
    <row r="75" spans="1:17" ht="21" x14ac:dyDescent="0.55000000000000004">
      <c r="A75" s="7" t="s">
        <v>91</v>
      </c>
      <c r="C75" s="3">
        <v>0</v>
      </c>
      <c r="E75" s="3">
        <v>0</v>
      </c>
      <c r="G75" s="3">
        <v>-1997046450</v>
      </c>
      <c r="I75" s="3">
        <v>1997046450</v>
      </c>
    </row>
    <row r="76" spans="1:17" ht="21" x14ac:dyDescent="0.55000000000000004">
      <c r="A76" s="7" t="s">
        <v>131</v>
      </c>
      <c r="C76" s="3"/>
      <c r="E76" s="35">
        <f>SUM(E47:E75)</f>
        <v>180866673582</v>
      </c>
      <c r="G76" s="35">
        <f>SUM(G47:G75)</f>
        <v>171006037694</v>
      </c>
      <c r="I76" s="35">
        <f>SUM(I47:I75)</f>
        <v>8910024113</v>
      </c>
      <c r="K76" s="3"/>
      <c r="M76" s="35">
        <f>SUM(M47:M75)</f>
        <v>180866673582</v>
      </c>
      <c r="O76" s="35">
        <f>SUM(O47:O75)</f>
        <v>181037596459</v>
      </c>
      <c r="Q76" s="35">
        <f>SUM(Q47:Q75)</f>
        <v>971449365</v>
      </c>
    </row>
    <row r="77" spans="1:17" ht="19.899999999999999" customHeight="1" x14ac:dyDescent="0.55000000000000004">
      <c r="A77" s="49" t="s">
        <v>72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</row>
    <row r="78" spans="1:17" ht="19.899999999999999" customHeight="1" x14ac:dyDescent="0.55000000000000004">
      <c r="A78" s="49" t="s">
        <v>26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</row>
    <row r="79" spans="1:17" ht="19.899999999999999" customHeight="1" x14ac:dyDescent="0.55000000000000004">
      <c r="A79" s="49" t="s">
        <v>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</row>
    <row r="81" spans="1:17" ht="21" x14ac:dyDescent="0.55000000000000004">
      <c r="A81" s="50" t="s">
        <v>43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</row>
    <row r="83" spans="1:17" ht="21" x14ac:dyDescent="0.55000000000000004">
      <c r="C83" s="51" t="s">
        <v>65</v>
      </c>
      <c r="D83" s="52"/>
      <c r="E83" s="52"/>
      <c r="F83" s="52"/>
      <c r="G83" s="52"/>
      <c r="H83" s="52"/>
      <c r="I83" s="52"/>
      <c r="K83" s="51" t="s">
        <v>64</v>
      </c>
      <c r="L83" s="52"/>
      <c r="M83" s="52"/>
      <c r="N83" s="52"/>
      <c r="O83" s="52"/>
      <c r="P83" s="52"/>
      <c r="Q83" s="52"/>
    </row>
    <row r="84" spans="1:17" ht="42" x14ac:dyDescent="0.55000000000000004">
      <c r="A84" s="8" t="s">
        <v>28</v>
      </c>
      <c r="C84" s="9" t="s">
        <v>4</v>
      </c>
      <c r="E84" s="9" t="s">
        <v>6</v>
      </c>
      <c r="G84" s="9" t="s">
        <v>41</v>
      </c>
      <c r="I84" s="9" t="s">
        <v>44</v>
      </c>
      <c r="K84" s="9" t="s">
        <v>4</v>
      </c>
      <c r="M84" s="9" t="s">
        <v>6</v>
      </c>
      <c r="O84" s="9" t="s">
        <v>41</v>
      </c>
      <c r="Q84" s="9" t="s">
        <v>44</v>
      </c>
    </row>
    <row r="85" spans="1:17" ht="21" x14ac:dyDescent="0.55000000000000004">
      <c r="A85" s="7" t="s">
        <v>132</v>
      </c>
      <c r="C85" s="3"/>
      <c r="D85" s="3"/>
      <c r="E85" s="3">
        <f>E76</f>
        <v>180866673582</v>
      </c>
      <c r="F85" s="3"/>
      <c r="G85" s="3">
        <f>G76</f>
        <v>171006037694</v>
      </c>
      <c r="H85" s="3"/>
      <c r="I85" s="3">
        <f>I76</f>
        <v>8910024113</v>
      </c>
      <c r="J85" s="3"/>
      <c r="K85" s="3"/>
      <c r="L85" s="3"/>
      <c r="M85" s="3">
        <f>M76</f>
        <v>180866673582</v>
      </c>
      <c r="N85" s="3"/>
      <c r="O85" s="3">
        <f>O76</f>
        <v>181037596459</v>
      </c>
      <c r="P85" s="3"/>
      <c r="Q85" s="3">
        <f>Q76</f>
        <v>971449365</v>
      </c>
    </row>
    <row r="86" spans="1:17" ht="21" x14ac:dyDescent="0.55000000000000004">
      <c r="A86" s="7" t="s">
        <v>92</v>
      </c>
      <c r="C86" s="3">
        <v>3400000</v>
      </c>
      <c r="E86" s="3">
        <v>9936523800</v>
      </c>
      <c r="G86" s="3">
        <v>9196354170</v>
      </c>
      <c r="I86" s="3">
        <v>740169630</v>
      </c>
      <c r="K86" s="3">
        <v>3400000</v>
      </c>
      <c r="M86" s="3">
        <v>9936523800</v>
      </c>
      <c r="O86" s="3">
        <v>9709785882</v>
      </c>
      <c r="Q86" s="3">
        <v>226737918</v>
      </c>
    </row>
    <row r="87" spans="1:17" ht="21" x14ac:dyDescent="0.55000000000000004">
      <c r="A87" s="7" t="s">
        <v>93</v>
      </c>
      <c r="C87" s="3">
        <v>26000000</v>
      </c>
      <c r="E87" s="3">
        <v>34115796000</v>
      </c>
      <c r="G87" s="3">
        <v>32746790340</v>
      </c>
      <c r="I87" s="3">
        <v>1369005660</v>
      </c>
      <c r="K87" s="3">
        <v>26000000</v>
      </c>
      <c r="M87" s="3">
        <v>34115796000</v>
      </c>
      <c r="O87" s="3">
        <v>36700326000</v>
      </c>
      <c r="Q87" s="3">
        <v>-2584530000</v>
      </c>
    </row>
    <row r="88" spans="1:17" ht="21" x14ac:dyDescent="0.55000000000000004">
      <c r="A88" s="7" t="s">
        <v>94</v>
      </c>
      <c r="C88" s="3">
        <v>500000</v>
      </c>
      <c r="E88" s="3">
        <v>11401753500</v>
      </c>
      <c r="G88" s="3">
        <v>12992233500</v>
      </c>
      <c r="I88" s="3">
        <v>-1590480000</v>
      </c>
      <c r="K88" s="3">
        <v>500000</v>
      </c>
      <c r="M88" s="3">
        <v>11401753500</v>
      </c>
      <c r="O88" s="3">
        <v>13294392677</v>
      </c>
      <c r="Q88" s="3">
        <v>-1892639177</v>
      </c>
    </row>
    <row r="89" spans="1:17" ht="21" x14ac:dyDescent="0.55000000000000004">
      <c r="A89" s="7" t="s">
        <v>95</v>
      </c>
      <c r="C89" s="3">
        <v>888004</v>
      </c>
      <c r="E89" s="3">
        <v>11298820815</v>
      </c>
      <c r="G89" s="3">
        <v>11157585555</v>
      </c>
      <c r="I89" s="3">
        <v>141235260</v>
      </c>
      <c r="K89" s="3">
        <v>888004</v>
      </c>
      <c r="M89" s="3">
        <v>11298820815</v>
      </c>
      <c r="O89" s="3">
        <v>10054185085</v>
      </c>
      <c r="Q89" s="3">
        <v>1244635730</v>
      </c>
    </row>
    <row r="90" spans="1:17" ht="21" x14ac:dyDescent="0.55000000000000004">
      <c r="A90" s="7" t="s">
        <v>96</v>
      </c>
      <c r="C90" s="3">
        <v>3900000</v>
      </c>
      <c r="E90" s="3">
        <v>36092961450</v>
      </c>
      <c r="G90" s="3">
        <v>44029002488</v>
      </c>
      <c r="I90" s="3">
        <v>-7936041038</v>
      </c>
      <c r="K90" s="3">
        <v>3900000</v>
      </c>
      <c r="M90" s="3">
        <v>36092961450</v>
      </c>
      <c r="O90" s="3">
        <v>41094027000</v>
      </c>
      <c r="Q90" s="3">
        <v>-5001065550</v>
      </c>
    </row>
    <row r="91" spans="1:17" ht="21" x14ac:dyDescent="0.55000000000000004">
      <c r="A91" s="7" t="s">
        <v>97</v>
      </c>
      <c r="C91" s="3">
        <v>1285714</v>
      </c>
      <c r="E91" s="3">
        <v>6735397289</v>
      </c>
      <c r="G91" s="3">
        <v>7472085870</v>
      </c>
      <c r="I91" s="3">
        <v>-736688581</v>
      </c>
      <c r="K91" s="3">
        <v>1285714</v>
      </c>
      <c r="M91" s="3">
        <v>6735397289</v>
      </c>
      <c r="O91" s="3">
        <v>6317569321</v>
      </c>
      <c r="Q91" s="3">
        <v>417827968</v>
      </c>
    </row>
    <row r="92" spans="1:17" ht="21" x14ac:dyDescent="0.55000000000000004">
      <c r="A92" s="7" t="s">
        <v>98</v>
      </c>
      <c r="C92" s="3">
        <v>1300000</v>
      </c>
      <c r="E92" s="3">
        <v>10958407200</v>
      </c>
      <c r="G92" s="3">
        <v>11139324300</v>
      </c>
      <c r="I92" s="3">
        <v>-180917100</v>
      </c>
      <c r="K92" s="3">
        <v>1300000</v>
      </c>
      <c r="M92" s="3">
        <v>10958407200</v>
      </c>
      <c r="O92" s="3">
        <v>11563220662</v>
      </c>
      <c r="Q92" s="3">
        <v>-604813462</v>
      </c>
    </row>
    <row r="93" spans="1:17" ht="21" x14ac:dyDescent="0.55000000000000004">
      <c r="A93" s="7" t="s">
        <v>99</v>
      </c>
      <c r="C93" s="3">
        <v>2400000</v>
      </c>
      <c r="E93" s="3">
        <v>9087207480</v>
      </c>
      <c r="G93" s="3">
        <v>10225195920</v>
      </c>
      <c r="I93" s="3">
        <v>-1137988440</v>
      </c>
      <c r="K93" s="3">
        <v>2400000</v>
      </c>
      <c r="M93" s="3">
        <v>9087207480</v>
      </c>
      <c r="O93" s="3">
        <v>11806928280</v>
      </c>
      <c r="Q93" s="3">
        <v>-2719720800</v>
      </c>
    </row>
    <row r="94" spans="1:17" ht="21" x14ac:dyDescent="0.55000000000000004">
      <c r="A94" s="7" t="s">
        <v>100</v>
      </c>
      <c r="C94" s="3">
        <v>249999</v>
      </c>
      <c r="E94" s="3">
        <v>1729640081</v>
      </c>
      <c r="G94" s="3">
        <v>1930934401</v>
      </c>
      <c r="I94" s="3">
        <v>-201294320</v>
      </c>
      <c r="K94" s="3">
        <v>249999</v>
      </c>
      <c r="M94" s="3">
        <v>1729640081</v>
      </c>
      <c r="O94" s="3">
        <v>1709077715</v>
      </c>
      <c r="Q94" s="3">
        <v>20562366</v>
      </c>
    </row>
    <row r="95" spans="1:17" ht="21" x14ac:dyDescent="0.55000000000000004">
      <c r="A95" s="7" t="s">
        <v>101</v>
      </c>
      <c r="C95" s="3">
        <v>1500000</v>
      </c>
      <c r="E95" s="3">
        <v>5431986225</v>
      </c>
      <c r="G95" s="3">
        <v>4324938450</v>
      </c>
      <c r="I95" s="3">
        <v>1107047775</v>
      </c>
      <c r="K95" s="3">
        <v>1500000</v>
      </c>
      <c r="M95" s="3">
        <v>5431986225</v>
      </c>
      <c r="O95" s="3">
        <v>4654315200</v>
      </c>
      <c r="Q95" s="3">
        <v>777671025</v>
      </c>
    </row>
    <row r="96" spans="1:17" ht="21" x14ac:dyDescent="0.55000000000000004">
      <c r="A96" s="7" t="s">
        <v>102</v>
      </c>
      <c r="C96" s="3">
        <v>12666666</v>
      </c>
      <c r="E96" s="3">
        <v>90468485739</v>
      </c>
      <c r="G96" s="3">
        <v>96348296250</v>
      </c>
      <c r="I96" s="3">
        <v>-5879810511</v>
      </c>
      <c r="K96" s="3">
        <v>12666666</v>
      </c>
      <c r="M96" s="3">
        <v>90468485739</v>
      </c>
      <c r="O96" s="3">
        <v>86407796250</v>
      </c>
      <c r="Q96" s="3">
        <v>4060689489</v>
      </c>
    </row>
    <row r="97" spans="1:17" ht="21" x14ac:dyDescent="0.55000000000000004">
      <c r="A97" s="7" t="s">
        <v>103</v>
      </c>
      <c r="C97" s="3">
        <v>650000</v>
      </c>
      <c r="E97" s="3">
        <v>15184113750</v>
      </c>
      <c r="G97" s="3">
        <v>15137267007</v>
      </c>
      <c r="I97" s="3">
        <v>46846743</v>
      </c>
      <c r="K97" s="3">
        <v>650000</v>
      </c>
      <c r="M97" s="3">
        <v>15184113750</v>
      </c>
      <c r="O97" s="3">
        <v>14822279550</v>
      </c>
      <c r="Q97" s="3">
        <v>361834200</v>
      </c>
    </row>
    <row r="98" spans="1:17" ht="21" x14ac:dyDescent="0.55000000000000004">
      <c r="A98" s="7" t="s">
        <v>104</v>
      </c>
      <c r="C98" s="3">
        <v>3868421</v>
      </c>
      <c r="E98" s="3">
        <v>6925572415</v>
      </c>
      <c r="G98" s="3">
        <v>3616931239</v>
      </c>
      <c r="I98" s="3">
        <v>3308641176</v>
      </c>
      <c r="K98" s="3">
        <v>3868421</v>
      </c>
      <c r="M98" s="3">
        <v>6925572415</v>
      </c>
      <c r="O98" s="3">
        <v>9378546838</v>
      </c>
      <c r="Q98" s="3">
        <v>-2452974423</v>
      </c>
    </row>
    <row r="99" spans="1:17" ht="21" x14ac:dyDescent="0.55000000000000004">
      <c r="A99" s="7" t="s">
        <v>105</v>
      </c>
      <c r="C99" s="3">
        <v>20766211</v>
      </c>
      <c r="E99" s="3">
        <v>81538475576</v>
      </c>
      <c r="G99" s="3">
        <v>80425049913</v>
      </c>
      <c r="I99" s="3">
        <v>1113425663</v>
      </c>
      <c r="K99" s="3">
        <v>20766211</v>
      </c>
      <c r="M99" s="3">
        <v>81538475576</v>
      </c>
      <c r="O99" s="3">
        <v>86718517330</v>
      </c>
      <c r="Q99" s="3">
        <v>-5180041754</v>
      </c>
    </row>
    <row r="100" spans="1:17" ht="21" x14ac:dyDescent="0.55000000000000004">
      <c r="A100" s="7" t="s">
        <v>106</v>
      </c>
      <c r="C100" s="3">
        <v>200000</v>
      </c>
      <c r="E100" s="3">
        <v>2749542300</v>
      </c>
      <c r="G100" s="3">
        <v>3157102800</v>
      </c>
      <c r="I100" s="3">
        <v>-407560500</v>
      </c>
      <c r="K100" s="3">
        <v>200000</v>
      </c>
      <c r="M100" s="3">
        <v>2749542300</v>
      </c>
      <c r="O100" s="3">
        <v>3632258700</v>
      </c>
      <c r="Q100" s="3">
        <v>-882716400</v>
      </c>
    </row>
    <row r="101" spans="1:17" ht="21" x14ac:dyDescent="0.55000000000000004">
      <c r="A101" s="7" t="s">
        <v>107</v>
      </c>
      <c r="C101" s="3">
        <v>1341844</v>
      </c>
      <c r="E101" s="3">
        <v>14245625101</v>
      </c>
      <c r="G101" s="3">
        <v>14659121710</v>
      </c>
      <c r="I101" s="3">
        <v>-413496609</v>
      </c>
      <c r="K101" s="3">
        <v>1341844</v>
      </c>
      <c r="M101" s="3">
        <v>14245625101</v>
      </c>
      <c r="O101" s="3">
        <v>14859200714</v>
      </c>
      <c r="Q101" s="3">
        <v>-613575613</v>
      </c>
    </row>
    <row r="102" spans="1:17" ht="21" x14ac:dyDescent="0.55000000000000004">
      <c r="A102" s="7" t="s">
        <v>108</v>
      </c>
      <c r="C102" s="3">
        <v>1250000</v>
      </c>
      <c r="E102" s="3">
        <v>10561781250</v>
      </c>
      <c r="G102" s="3">
        <v>10661186250</v>
      </c>
      <c r="I102" s="3">
        <v>-99405000</v>
      </c>
      <c r="K102" s="3">
        <v>1250000</v>
      </c>
      <c r="M102" s="3">
        <v>10561781250</v>
      </c>
      <c r="O102" s="3">
        <v>11667661875</v>
      </c>
      <c r="Q102" s="3">
        <v>-1105880625</v>
      </c>
    </row>
    <row r="103" spans="1:17" ht="21" x14ac:dyDescent="0.55000000000000004">
      <c r="A103" s="7" t="s">
        <v>109</v>
      </c>
      <c r="C103" s="3">
        <v>800000</v>
      </c>
      <c r="E103" s="3">
        <v>10680073200</v>
      </c>
      <c r="G103" s="3">
        <v>11968362000</v>
      </c>
      <c r="I103" s="3">
        <v>-1288288800</v>
      </c>
      <c r="K103" s="3">
        <v>800000</v>
      </c>
      <c r="M103" s="3">
        <v>10680073200</v>
      </c>
      <c r="O103" s="3">
        <v>12871934080</v>
      </c>
      <c r="Q103" s="3">
        <v>-2191860880</v>
      </c>
    </row>
    <row r="104" spans="1:17" ht="21" x14ac:dyDescent="0.55000000000000004">
      <c r="A104" s="7" t="s">
        <v>110</v>
      </c>
      <c r="C104" s="3">
        <v>2421626</v>
      </c>
      <c r="E104" s="3">
        <v>13721138754</v>
      </c>
      <c r="G104" s="3">
        <v>14130005512</v>
      </c>
      <c r="I104" s="3">
        <v>-408866758</v>
      </c>
      <c r="K104" s="3">
        <v>2421626</v>
      </c>
      <c r="M104" s="3">
        <v>13721138754</v>
      </c>
      <c r="O104" s="3">
        <v>14654234242</v>
      </c>
      <c r="Q104" s="3">
        <v>-933095488</v>
      </c>
    </row>
    <row r="105" spans="1:17" ht="21" x14ac:dyDescent="0.55000000000000004">
      <c r="A105" s="7" t="s">
        <v>111</v>
      </c>
      <c r="C105" s="3">
        <v>350000</v>
      </c>
      <c r="E105" s="3">
        <v>14125450500</v>
      </c>
      <c r="G105" s="3">
        <v>14363029800</v>
      </c>
      <c r="I105" s="3">
        <v>-237579300</v>
      </c>
      <c r="K105" s="3">
        <v>350000</v>
      </c>
      <c r="M105" s="3">
        <v>14125450500</v>
      </c>
      <c r="O105" s="3">
        <v>14363029800</v>
      </c>
      <c r="Q105" s="3">
        <v>-237579300</v>
      </c>
    </row>
    <row r="106" spans="1:17" ht="21" x14ac:dyDescent="0.55000000000000004">
      <c r="A106" s="7" t="s">
        <v>112</v>
      </c>
      <c r="C106" s="3">
        <v>11320000</v>
      </c>
      <c r="E106" s="3">
        <v>104312028420</v>
      </c>
      <c r="G106" s="3">
        <v>94416857100</v>
      </c>
      <c r="I106" s="3">
        <v>9895171320</v>
      </c>
      <c r="K106" s="3">
        <v>11320000</v>
      </c>
      <c r="M106" s="3">
        <v>104312028420</v>
      </c>
      <c r="O106" s="3">
        <v>88783376940</v>
      </c>
      <c r="Q106" s="3">
        <v>15528651480</v>
      </c>
    </row>
    <row r="107" spans="1:17" ht="21" x14ac:dyDescent="0.55000000000000004">
      <c r="A107" s="7" t="s">
        <v>113</v>
      </c>
      <c r="C107" s="3">
        <v>14200000</v>
      </c>
      <c r="E107" s="3">
        <v>48515007870</v>
      </c>
      <c r="G107" s="3">
        <v>48410235000</v>
      </c>
      <c r="I107" s="3">
        <v>104772870</v>
      </c>
      <c r="K107" s="3">
        <v>14200000</v>
      </c>
      <c r="M107" s="3">
        <v>48515007870</v>
      </c>
      <c r="O107" s="3">
        <v>47843626500</v>
      </c>
      <c r="Q107" s="3">
        <v>671381370</v>
      </c>
    </row>
    <row r="108" spans="1:17" ht="21" x14ac:dyDescent="0.55000000000000004">
      <c r="A108" s="7" t="s">
        <v>114</v>
      </c>
      <c r="C108" s="3">
        <v>400000</v>
      </c>
      <c r="E108" s="3">
        <v>5224726800</v>
      </c>
      <c r="G108" s="3">
        <v>5381934150</v>
      </c>
      <c r="I108" s="3">
        <v>-157207350</v>
      </c>
      <c r="K108" s="3">
        <v>400000</v>
      </c>
      <c r="M108" s="3">
        <v>5224726800</v>
      </c>
      <c r="O108" s="3">
        <v>6508744501</v>
      </c>
      <c r="Q108" s="3">
        <v>-1284017701</v>
      </c>
    </row>
    <row r="109" spans="1:17" ht="21" x14ac:dyDescent="0.55000000000000004">
      <c r="A109" s="7" t="s">
        <v>115</v>
      </c>
      <c r="C109" s="3">
        <v>650000</v>
      </c>
      <c r="E109" s="3">
        <v>11520542475</v>
      </c>
      <c r="G109" s="3">
        <v>12728810250</v>
      </c>
      <c r="I109" s="3">
        <v>-1208267775</v>
      </c>
      <c r="K109" s="3">
        <v>650000</v>
      </c>
      <c r="M109" s="3">
        <v>11520542475</v>
      </c>
      <c r="O109" s="3">
        <v>10809035837</v>
      </c>
      <c r="Q109" s="3">
        <v>711506638</v>
      </c>
    </row>
    <row r="110" spans="1:17" ht="21" x14ac:dyDescent="0.55000000000000004">
      <c r="A110" s="7" t="s">
        <v>116</v>
      </c>
      <c r="C110" s="3">
        <v>6485981</v>
      </c>
      <c r="E110" s="3">
        <v>15441497644</v>
      </c>
      <c r="G110" s="3">
        <v>14583528888</v>
      </c>
      <c r="I110" s="3">
        <v>857968756</v>
      </c>
      <c r="K110" s="3">
        <v>6485981</v>
      </c>
      <c r="M110" s="3">
        <v>15441497644</v>
      </c>
      <c r="O110" s="3">
        <v>13744591464</v>
      </c>
      <c r="Q110" s="3">
        <v>1696906180</v>
      </c>
    </row>
    <row r="111" spans="1:17" ht="21" x14ac:dyDescent="0.55000000000000004">
      <c r="A111" s="7" t="s">
        <v>117</v>
      </c>
      <c r="C111" s="3">
        <v>500000</v>
      </c>
      <c r="E111" s="3">
        <v>29269802250</v>
      </c>
      <c r="G111" s="3">
        <v>26656593907</v>
      </c>
      <c r="I111" s="3">
        <v>2613208343</v>
      </c>
      <c r="K111" s="3">
        <v>500000</v>
      </c>
      <c r="M111" s="3">
        <v>29269802250</v>
      </c>
      <c r="O111" s="3">
        <v>30005399249</v>
      </c>
      <c r="Q111" s="3">
        <v>-735596999</v>
      </c>
    </row>
    <row r="112" spans="1:17" ht="21" x14ac:dyDescent="0.55000000000000004">
      <c r="A112" s="7" t="s">
        <v>118</v>
      </c>
      <c r="C112" s="3">
        <v>3250000</v>
      </c>
      <c r="E112" s="3">
        <v>12586661100</v>
      </c>
      <c r="G112" s="3">
        <v>13072005639</v>
      </c>
      <c r="I112" s="3">
        <v>-485344539</v>
      </c>
      <c r="K112" s="3">
        <v>3250000</v>
      </c>
      <c r="M112" s="3">
        <v>12586661100</v>
      </c>
      <c r="O112" s="3">
        <v>13719754359</v>
      </c>
      <c r="Q112" s="3">
        <v>-1133093259</v>
      </c>
    </row>
    <row r="113" spans="1:17" ht="21" x14ac:dyDescent="0.55000000000000004">
      <c r="A113" s="7" t="s">
        <v>119</v>
      </c>
      <c r="C113" s="3">
        <v>220000</v>
      </c>
      <c r="E113" s="3">
        <v>17418738150</v>
      </c>
      <c r="G113" s="3">
        <v>16811771920</v>
      </c>
      <c r="I113" s="3">
        <v>606966230</v>
      </c>
      <c r="K113" s="3">
        <v>220000</v>
      </c>
      <c r="M113" s="3">
        <v>17418738150</v>
      </c>
      <c r="O113" s="3">
        <v>14183749608</v>
      </c>
      <c r="Q113" s="3">
        <v>3234988542</v>
      </c>
    </row>
    <row r="114" spans="1:17" ht="21" x14ac:dyDescent="0.55000000000000004">
      <c r="A114" s="7" t="s">
        <v>131</v>
      </c>
      <c r="C114" s="3"/>
      <c r="E114" s="35">
        <f>SUM(E85:E113)</f>
        <v>822144430716</v>
      </c>
      <c r="G114" s="35">
        <f>SUM(G85:G113)</f>
        <v>812748572023</v>
      </c>
      <c r="I114" s="35">
        <f>SUM(I85:I113)</f>
        <v>8445246918</v>
      </c>
      <c r="K114" s="3"/>
      <c r="M114" s="35">
        <f>SUM(M85:M113)</f>
        <v>822144430716</v>
      </c>
      <c r="O114" s="35">
        <f>SUM(O85:O113)</f>
        <v>822915162118</v>
      </c>
      <c r="Q114" s="35">
        <f>SUM(Q85:Q113)</f>
        <v>371640840</v>
      </c>
    </row>
    <row r="115" spans="1:17" ht="19.899999999999999" customHeight="1" x14ac:dyDescent="0.55000000000000004">
      <c r="A115" s="49" t="s">
        <v>72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</row>
    <row r="116" spans="1:17" ht="19.899999999999999" customHeight="1" x14ac:dyDescent="0.55000000000000004">
      <c r="A116" s="49" t="s">
        <v>26</v>
      </c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</row>
    <row r="117" spans="1:17" ht="19.899999999999999" customHeight="1" x14ac:dyDescent="0.55000000000000004">
      <c r="A117" s="49" t="s">
        <v>1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</row>
    <row r="119" spans="1:17" ht="21" x14ac:dyDescent="0.55000000000000004">
      <c r="A119" s="50" t="s">
        <v>43</v>
      </c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</row>
    <row r="121" spans="1:17" ht="21" x14ac:dyDescent="0.55000000000000004">
      <c r="C121" s="51" t="s">
        <v>65</v>
      </c>
      <c r="D121" s="52"/>
      <c r="E121" s="52"/>
      <c r="F121" s="52"/>
      <c r="G121" s="52"/>
      <c r="H121" s="52"/>
      <c r="I121" s="52"/>
      <c r="K121" s="51" t="s">
        <v>64</v>
      </c>
      <c r="L121" s="52"/>
      <c r="M121" s="52"/>
      <c r="N121" s="52"/>
      <c r="O121" s="52"/>
      <c r="P121" s="52"/>
      <c r="Q121" s="52"/>
    </row>
    <row r="122" spans="1:17" ht="42" x14ac:dyDescent="0.55000000000000004">
      <c r="A122" s="8" t="s">
        <v>28</v>
      </c>
      <c r="C122" s="9" t="s">
        <v>4</v>
      </c>
      <c r="E122" s="9" t="s">
        <v>6</v>
      </c>
      <c r="G122" s="9" t="s">
        <v>41</v>
      </c>
      <c r="I122" s="9" t="s">
        <v>44</v>
      </c>
      <c r="K122" s="9" t="s">
        <v>4</v>
      </c>
      <c r="M122" s="9" t="s">
        <v>6</v>
      </c>
      <c r="O122" s="9" t="s">
        <v>41</v>
      </c>
      <c r="Q122" s="9" t="s">
        <v>44</v>
      </c>
    </row>
    <row r="123" spans="1:17" ht="21" x14ac:dyDescent="0.55000000000000004">
      <c r="A123" s="7" t="s">
        <v>132</v>
      </c>
      <c r="C123" s="3"/>
      <c r="D123" s="3"/>
      <c r="E123" s="3">
        <f>E114</f>
        <v>822144430716</v>
      </c>
      <c r="F123" s="3"/>
      <c r="G123" s="3">
        <f>G114</f>
        <v>812748572023</v>
      </c>
      <c r="H123" s="3"/>
      <c r="I123" s="3">
        <f>I114</f>
        <v>8445246918</v>
      </c>
      <c r="J123" s="3"/>
      <c r="K123" s="3"/>
      <c r="L123" s="3"/>
      <c r="M123" s="3">
        <f>M114</f>
        <v>822144430716</v>
      </c>
      <c r="N123" s="3"/>
      <c r="O123" s="3">
        <f>O114</f>
        <v>822915162118</v>
      </c>
      <c r="P123" s="3"/>
      <c r="Q123" s="3">
        <f>Q114</f>
        <v>371640840</v>
      </c>
    </row>
    <row r="124" spans="1:17" ht="21" x14ac:dyDescent="0.55000000000000004">
      <c r="A124" s="7" t="s">
        <v>120</v>
      </c>
      <c r="C124" s="3">
        <v>227029</v>
      </c>
      <c r="E124" s="3">
        <v>14590094172</v>
      </c>
      <c r="G124" s="3">
        <v>15489722195</v>
      </c>
      <c r="I124" s="3">
        <v>-899628023</v>
      </c>
      <c r="K124" s="3">
        <v>227029</v>
      </c>
      <c r="M124" s="3">
        <v>14590094172</v>
      </c>
      <c r="O124" s="3">
        <v>11577290503</v>
      </c>
      <c r="Q124" s="3">
        <v>3012803669</v>
      </c>
    </row>
    <row r="125" spans="1:17" ht="21" x14ac:dyDescent="0.55000000000000004">
      <c r="A125" s="7" t="s">
        <v>121</v>
      </c>
      <c r="C125" s="3">
        <v>100000</v>
      </c>
      <c r="E125" s="3">
        <v>3509990550</v>
      </c>
      <c r="G125" s="3">
        <v>3695877900</v>
      </c>
      <c r="I125" s="3">
        <v>-185887350</v>
      </c>
      <c r="K125" s="3">
        <v>100000</v>
      </c>
      <c r="M125" s="3">
        <v>3509990550</v>
      </c>
      <c r="O125" s="3">
        <v>3332055600</v>
      </c>
      <c r="Q125" s="3">
        <v>177934950</v>
      </c>
    </row>
    <row r="126" spans="1:17" ht="21" x14ac:dyDescent="0.55000000000000004">
      <c r="A126" s="7" t="s">
        <v>122</v>
      </c>
      <c r="C126" s="3">
        <v>924900</v>
      </c>
      <c r="E126" s="3">
        <v>40963726429</v>
      </c>
      <c r="G126" s="3">
        <v>36558436446</v>
      </c>
      <c r="I126" s="3">
        <v>4405289983</v>
      </c>
      <c r="K126" s="3">
        <v>924900</v>
      </c>
      <c r="M126" s="3">
        <v>40963726429</v>
      </c>
      <c r="O126" s="3">
        <v>30816321742</v>
      </c>
      <c r="Q126" s="3">
        <v>10147404687</v>
      </c>
    </row>
    <row r="127" spans="1:17" ht="21" x14ac:dyDescent="0.55000000000000004">
      <c r="A127" s="7" t="s">
        <v>123</v>
      </c>
      <c r="C127" s="3">
        <v>3800000</v>
      </c>
      <c r="E127" s="3">
        <v>13258638900</v>
      </c>
      <c r="G127" s="3">
        <v>12185860140</v>
      </c>
      <c r="I127" s="3">
        <v>1072778760</v>
      </c>
      <c r="K127" s="3">
        <v>3800000</v>
      </c>
      <c r="M127" s="3">
        <v>13258638900</v>
      </c>
      <c r="O127" s="3">
        <v>10962211111</v>
      </c>
      <c r="Q127" s="3">
        <v>2296427789</v>
      </c>
    </row>
    <row r="128" spans="1:17" ht="21" x14ac:dyDescent="0.55000000000000004">
      <c r="A128" s="7" t="s">
        <v>124</v>
      </c>
      <c r="C128" s="3">
        <v>108000</v>
      </c>
      <c r="E128" s="3">
        <v>27836700246</v>
      </c>
      <c r="G128" s="3">
        <v>26922850200</v>
      </c>
      <c r="I128" s="3">
        <v>913850046</v>
      </c>
      <c r="K128" s="3">
        <v>108000</v>
      </c>
      <c r="M128" s="3">
        <v>27836700246</v>
      </c>
      <c r="O128" s="3">
        <v>22437696600</v>
      </c>
      <c r="Q128" s="3">
        <v>5399003646</v>
      </c>
    </row>
    <row r="129" spans="1:17" ht="21" x14ac:dyDescent="0.55000000000000004">
      <c r="A129" s="7" t="s">
        <v>125</v>
      </c>
      <c r="C129" s="3">
        <v>1118099</v>
      </c>
      <c r="E129" s="3">
        <v>19528111683</v>
      </c>
      <c r="G129" s="3">
        <v>19646286132</v>
      </c>
      <c r="I129" s="3">
        <v>-118174449</v>
      </c>
      <c r="K129" s="3">
        <v>1118099</v>
      </c>
      <c r="M129" s="3">
        <v>19528111683</v>
      </c>
      <c r="O129" s="3">
        <v>21704733360</v>
      </c>
      <c r="Q129" s="3">
        <v>-2176621677</v>
      </c>
    </row>
    <row r="130" spans="1:17" ht="21" x14ac:dyDescent="0.55000000000000004">
      <c r="A130" s="7" t="s">
        <v>126</v>
      </c>
      <c r="C130" s="3">
        <v>350000</v>
      </c>
      <c r="E130" s="3">
        <v>10402733250</v>
      </c>
      <c r="G130" s="3">
        <v>13750010299</v>
      </c>
      <c r="I130" s="3">
        <v>-3347277049</v>
      </c>
      <c r="K130" s="3">
        <v>350000</v>
      </c>
      <c r="M130" s="3">
        <v>10402733250</v>
      </c>
      <c r="O130" s="3">
        <v>10947286168</v>
      </c>
      <c r="Q130" s="3">
        <v>-544552918</v>
      </c>
    </row>
    <row r="131" spans="1:17" ht="21" x14ac:dyDescent="0.55000000000000004">
      <c r="A131" s="7" t="s">
        <v>127</v>
      </c>
      <c r="C131" s="3">
        <v>3600000</v>
      </c>
      <c r="E131" s="3">
        <v>24226986600</v>
      </c>
      <c r="G131" s="3">
        <v>24727987800</v>
      </c>
      <c r="I131" s="3">
        <v>-501001200</v>
      </c>
      <c r="K131" s="3">
        <v>3600000</v>
      </c>
      <c r="M131" s="3">
        <v>24226986600</v>
      </c>
      <c r="O131" s="3">
        <v>18787545000</v>
      </c>
      <c r="Q131" s="3">
        <v>5439441600</v>
      </c>
    </row>
    <row r="132" spans="1:17" ht="21" x14ac:dyDescent="0.55000000000000004">
      <c r="A132" s="7" t="s">
        <v>128</v>
      </c>
      <c r="C132" s="3">
        <v>5600000</v>
      </c>
      <c r="E132" s="3">
        <v>17980376400</v>
      </c>
      <c r="G132" s="3">
        <v>18286050204</v>
      </c>
      <c r="I132" s="3">
        <v>-305673804</v>
      </c>
      <c r="K132" s="3">
        <v>5600000</v>
      </c>
      <c r="M132" s="3">
        <v>17980376400</v>
      </c>
      <c r="O132" s="3">
        <v>21541023432</v>
      </c>
      <c r="Q132" s="3">
        <v>-3560647032</v>
      </c>
    </row>
    <row r="133" spans="1:17" ht="21" x14ac:dyDescent="0.55000000000000004">
      <c r="A133" s="7" t="s">
        <v>129</v>
      </c>
      <c r="C133" s="3">
        <v>6710221</v>
      </c>
      <c r="E133" s="3">
        <v>15521776896</v>
      </c>
      <c r="G133" s="3">
        <v>16184564737</v>
      </c>
      <c r="I133" s="3">
        <v>-662787841</v>
      </c>
      <c r="K133" s="3">
        <v>6710221</v>
      </c>
      <c r="M133" s="3">
        <v>15521776896</v>
      </c>
      <c r="O133" s="3">
        <v>21921018887</v>
      </c>
      <c r="Q133" s="3">
        <v>-6399241991</v>
      </c>
    </row>
    <row r="134" spans="1:17" ht="21" x14ac:dyDescent="0.55000000000000004">
      <c r="A134" s="7" t="s">
        <v>130</v>
      </c>
      <c r="C134" s="3">
        <v>1403444</v>
      </c>
      <c r="E134" s="3">
        <v>1851289085</v>
      </c>
      <c r="G134" s="3">
        <v>1624688341</v>
      </c>
      <c r="I134" s="3">
        <v>226600744</v>
      </c>
      <c r="K134" s="3">
        <v>1403444</v>
      </c>
      <c r="M134" s="3">
        <v>1851289085</v>
      </c>
      <c r="O134" s="3">
        <v>1624688341</v>
      </c>
      <c r="Q134" s="3">
        <v>226600744</v>
      </c>
    </row>
    <row r="135" spans="1:17" ht="21.75" thickBot="1" x14ac:dyDescent="0.6">
      <c r="A135" s="21" t="s">
        <v>9</v>
      </c>
      <c r="C135" s="3"/>
      <c r="E135" s="21">
        <f>SUM(E123:E134)</f>
        <v>1011814854927</v>
      </c>
      <c r="G135" s="21">
        <f>SUM(G123:G134)</f>
        <v>1001820906417</v>
      </c>
      <c r="I135" s="21">
        <f>SUM(I123:I134)</f>
        <v>9043336735</v>
      </c>
      <c r="K135" s="3"/>
      <c r="M135" s="21">
        <f>SUM(M123:M134)</f>
        <v>1011814854927</v>
      </c>
      <c r="O135" s="21">
        <f>SUM(O123:O134)</f>
        <v>998567032862</v>
      </c>
      <c r="Q135" s="21">
        <f>SUM(Q123:Q134)</f>
        <v>14390194307</v>
      </c>
    </row>
    <row r="136" spans="1:17" ht="21.75" thickTop="1" x14ac:dyDescent="0.55000000000000004">
      <c r="C136" s="3"/>
      <c r="E136" s="2"/>
      <c r="G136" s="2"/>
      <c r="I136" s="2"/>
      <c r="K136" s="3"/>
      <c r="M136" s="2"/>
      <c r="O136" s="2"/>
      <c r="Q136" s="2"/>
    </row>
  </sheetData>
  <mergeCells count="24">
    <mergeCell ref="A79:Q79"/>
    <mergeCell ref="A1:Q1"/>
    <mergeCell ref="A2:Q2"/>
    <mergeCell ref="A3:Q3"/>
    <mergeCell ref="A5:Q5"/>
    <mergeCell ref="C7:I7"/>
    <mergeCell ref="K7:Q7"/>
    <mergeCell ref="A39:Q39"/>
    <mergeCell ref="A40:Q40"/>
    <mergeCell ref="A41:Q41"/>
    <mergeCell ref="A43:Q43"/>
    <mergeCell ref="C45:I45"/>
    <mergeCell ref="K45:Q45"/>
    <mergeCell ref="A77:Q77"/>
    <mergeCell ref="A78:Q78"/>
    <mergeCell ref="A119:Q119"/>
    <mergeCell ref="C121:I121"/>
    <mergeCell ref="K121:Q121"/>
    <mergeCell ref="A81:Q81"/>
    <mergeCell ref="C83:I83"/>
    <mergeCell ref="K83:Q83"/>
    <mergeCell ref="A115:Q115"/>
    <mergeCell ref="A116:Q116"/>
    <mergeCell ref="A117:Q117"/>
  </mergeCells>
  <pageMargins left="0.7" right="0.7" top="0.52" bottom="0.43" header="0.3" footer="0.3"/>
  <pageSetup paperSize="9" scale="67" fitToHeight="0" orientation="landscape" r:id="rId1"/>
  <rowBreaks count="3" manualBreakCount="3">
    <brk id="38" max="16" man="1"/>
    <brk id="76" max="16" man="1"/>
    <brk id="114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'0'!Print_Area</vt:lpstr>
      <vt:lpstr>'1'!Print_Area</vt:lpstr>
      <vt:lpstr>'2'!Print_Area</vt:lpstr>
      <vt:lpstr>'3'!Print_Area</vt:lpstr>
      <vt:lpstr>'4'!Print_Area</vt:lpstr>
      <vt:lpstr>'1'!Print_Titles</vt:lpstr>
      <vt:lpstr>'4'!Print_Titles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Reza Ahmadi</cp:lastModifiedBy>
  <cp:lastPrinted>2025-03-26T09:01:57Z</cp:lastPrinted>
  <dcterms:created xsi:type="dcterms:W3CDTF">2025-03-25T07:06:12Z</dcterms:created>
  <dcterms:modified xsi:type="dcterms:W3CDTF">2025-03-26T09:01:59Z</dcterms:modified>
</cp:coreProperties>
</file>