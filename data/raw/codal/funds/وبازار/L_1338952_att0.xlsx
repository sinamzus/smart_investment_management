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ahmadi\Desktop\New folder\"/>
    </mc:Choice>
  </mc:AlternateContent>
  <xr:revisionPtr revIDLastSave="0" documentId="13_ncr:1_{39A2F993-918F-48DC-B355-4E79EF56526C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0" sheetId="37" r:id="rId1"/>
    <sheet name="1" sheetId="38" r:id="rId2"/>
    <sheet name="2" sheetId="39" r:id="rId3"/>
    <sheet name="3" sheetId="40" r:id="rId4"/>
    <sheet name="4" sheetId="41" r:id="rId5"/>
    <sheet name="5" sheetId="43" r:id="rId6"/>
    <sheet name="6" sheetId="44" r:id="rId7"/>
    <sheet name="7" sheetId="45" r:id="rId8"/>
    <sheet name="9" sheetId="47" r:id="rId9"/>
    <sheet name="8" sheetId="46" r:id="rId10"/>
    <sheet name="10" sheetId="48" r:id="rId11"/>
    <sheet name="11" sheetId="49" r:id="rId12"/>
  </sheets>
  <definedNames>
    <definedName name="_xlnm.Print_Area" localSheetId="0">'0'!$A$1:$J$29</definedName>
    <definedName name="_xlnm.Print_Area" localSheetId="1">'1'!$A$1:$W$72</definedName>
    <definedName name="_xlnm.Print_Area" localSheetId="10">'10'!$A$1:$Q$104</definedName>
    <definedName name="_xlnm.Print_Area" localSheetId="11">'11'!$A$1:$Q$120</definedName>
    <definedName name="_xlnm.Print_Area" localSheetId="2">'2'!$A$1:$S$13</definedName>
    <definedName name="_xlnm.Print_Area" localSheetId="3">'3'!$A$1:$I$13</definedName>
    <definedName name="_xlnm.Print_Area" localSheetId="4">'4'!$A$1:$U$76</definedName>
    <definedName name="_xlnm.Print_Area" localSheetId="5">'5'!$A$1:$Q$66</definedName>
    <definedName name="_xlnm.Print_Titles" localSheetId="1">'1'!$1:$10</definedName>
    <definedName name="_xlnm.Print_Titles" localSheetId="10">'10'!$1:$8</definedName>
    <definedName name="_xlnm.Print_Titles" localSheetId="11">'11'!$1:$8</definedName>
    <definedName name="_xlnm.Print_Titles" localSheetId="4">'4'!$1:$8</definedName>
    <definedName name="_xlnm.Print_Titles" localSheetId="5">'5'!$1:$8</definedName>
  </definedNames>
  <calcPr calcId="181029"/>
</workbook>
</file>

<file path=xl/calcChain.xml><?xml version="1.0" encoding="utf-8"?>
<calcChain xmlns="http://schemas.openxmlformats.org/spreadsheetml/2006/main">
  <c r="Q120" i="49" l="1"/>
  <c r="E72" i="38"/>
  <c r="G72" i="38"/>
  <c r="J72" i="38"/>
  <c r="M72" i="38"/>
  <c r="S72" i="38"/>
  <c r="U72" i="38"/>
  <c r="W72" i="38"/>
  <c r="U76" i="41"/>
  <c r="S76" i="41"/>
  <c r="Q76" i="41"/>
  <c r="O76" i="41"/>
  <c r="M76" i="41"/>
  <c r="K76" i="41"/>
  <c r="I76" i="41"/>
  <c r="G76" i="41"/>
  <c r="E76" i="41"/>
  <c r="C76" i="41"/>
  <c r="O120" i="49"/>
  <c r="M120" i="49"/>
  <c r="I120" i="49"/>
  <c r="G120" i="49"/>
  <c r="E120" i="49"/>
  <c r="K7" i="48"/>
  <c r="K7" i="49" s="1"/>
  <c r="C7" i="48"/>
  <c r="C7" i="49" s="1"/>
  <c r="Q104" i="48"/>
  <c r="O104" i="48"/>
  <c r="M104" i="48"/>
  <c r="I104" i="48"/>
  <c r="G104" i="48"/>
  <c r="E104" i="48"/>
  <c r="I11" i="47" l="1"/>
  <c r="K11" i="47"/>
  <c r="M11" i="47"/>
  <c r="O11" i="47"/>
  <c r="Q11" i="47"/>
  <c r="S11" i="47"/>
  <c r="I15" i="46"/>
  <c r="K15" i="46"/>
  <c r="M15" i="46"/>
  <c r="O15" i="46"/>
  <c r="Q15" i="46"/>
  <c r="S15" i="46"/>
  <c r="E11" i="40"/>
  <c r="E10" i="40"/>
  <c r="E8" i="40"/>
  <c r="C10" i="45"/>
  <c r="E10" i="45"/>
  <c r="K10" i="44"/>
  <c r="K9" i="44"/>
  <c r="G10" i="44"/>
  <c r="G9" i="44"/>
  <c r="G11" i="44" s="1"/>
  <c r="E11" i="44"/>
  <c r="I11" i="44"/>
  <c r="Q66" i="43"/>
  <c r="I66" i="43"/>
  <c r="E66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8" i="43"/>
  <c r="G29" i="43"/>
  <c r="G30" i="43"/>
  <c r="G31" i="43"/>
  <c r="G32" i="43"/>
  <c r="G33" i="43"/>
  <c r="G34" i="43"/>
  <c r="G35" i="43"/>
  <c r="G36" i="43"/>
  <c r="G37" i="43"/>
  <c r="G38" i="43"/>
  <c r="G39" i="43"/>
  <c r="G40" i="43"/>
  <c r="G41" i="43"/>
  <c r="G42" i="43"/>
  <c r="G4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64" i="43"/>
  <c r="G65" i="43"/>
  <c r="G9" i="43"/>
  <c r="O10" i="43"/>
  <c r="O11" i="43"/>
  <c r="O12" i="43"/>
  <c r="O13" i="43"/>
  <c r="O14" i="43"/>
  <c r="O15" i="43"/>
  <c r="O16" i="43"/>
  <c r="O17" i="43"/>
  <c r="O18" i="43"/>
  <c r="O19" i="43"/>
  <c r="O20" i="43"/>
  <c r="O21" i="43"/>
  <c r="O22" i="43"/>
  <c r="O23" i="43"/>
  <c r="O24" i="43"/>
  <c r="O26" i="43"/>
  <c r="O27" i="43"/>
  <c r="O29" i="43"/>
  <c r="O30" i="43"/>
  <c r="O31" i="43"/>
  <c r="O32" i="43"/>
  <c r="O34" i="43"/>
  <c r="O37" i="43"/>
  <c r="O38" i="43"/>
  <c r="O39" i="43"/>
  <c r="O40" i="43"/>
  <c r="O43" i="43"/>
  <c r="O44" i="43"/>
  <c r="O45" i="43"/>
  <c r="O46" i="43"/>
  <c r="O47" i="43"/>
  <c r="O48" i="43"/>
  <c r="O50" i="43"/>
  <c r="O52" i="43"/>
  <c r="O53" i="43"/>
  <c r="O54" i="43"/>
  <c r="O55" i="43"/>
  <c r="O56" i="43"/>
  <c r="O57" i="43"/>
  <c r="O58" i="43"/>
  <c r="O59" i="43"/>
  <c r="O60" i="43"/>
  <c r="O61" i="43"/>
  <c r="O62" i="43"/>
  <c r="O63" i="43"/>
  <c r="O64" i="43"/>
  <c r="O65" i="43"/>
  <c r="O9" i="43"/>
  <c r="K42" i="43"/>
  <c r="O42" i="43" s="1"/>
  <c r="K25" i="43"/>
  <c r="O25" i="43" s="1"/>
  <c r="M51" i="43"/>
  <c r="O51" i="43" s="1"/>
  <c r="M49" i="43"/>
  <c r="O49" i="43" s="1"/>
  <c r="M41" i="43"/>
  <c r="O41" i="43" s="1"/>
  <c r="M36" i="43"/>
  <c r="O36" i="43" s="1"/>
  <c r="M35" i="43"/>
  <c r="O35" i="43" s="1"/>
  <c r="M33" i="43"/>
  <c r="O33" i="43" s="1"/>
  <c r="M28" i="43"/>
  <c r="O28" i="43" s="1"/>
  <c r="K12" i="39"/>
  <c r="M12" i="39"/>
  <c r="O12" i="39"/>
  <c r="Q12" i="39"/>
  <c r="S12" i="39"/>
  <c r="E12" i="40" l="1"/>
  <c r="G8" i="40" s="1"/>
  <c r="I12" i="40"/>
  <c r="K11" i="44"/>
  <c r="C66" i="43"/>
  <c r="G66" i="43"/>
  <c r="O66" i="43"/>
  <c r="E9" i="40" s="1"/>
  <c r="K66" i="43"/>
  <c r="M66" i="43"/>
  <c r="G11" i="40" l="1"/>
  <c r="G10" i="40"/>
  <c r="G9" i="40"/>
  <c r="G12" i="40" l="1"/>
</calcChain>
</file>

<file path=xl/sharedStrings.xml><?xml version="1.0" encoding="utf-8"?>
<sst xmlns="http://schemas.openxmlformats.org/spreadsheetml/2006/main" count="621" uniqueCount="321">
  <si>
    <t>‫صورت وضعیت پورتفوی</t>
  </si>
  <si>
    <t>‫1403/12/30</t>
  </si>
  <si>
    <t>‫تعداد</t>
  </si>
  <si>
    <t>‫بهای تمام شده</t>
  </si>
  <si>
    <t>‫خالص ارزش فروش</t>
  </si>
  <si>
    <t>‫درصد به کل دارایی ها</t>
  </si>
  <si>
    <t>‫مبلغ فروش</t>
  </si>
  <si>
    <t>‫جمع</t>
  </si>
  <si>
    <t>‫تاریخ سررسید</t>
  </si>
  <si>
    <t>‫-</t>
  </si>
  <si>
    <t>‫مشخصات حساب بانکی</t>
  </si>
  <si>
    <t>‫سپرده‌های بانکی</t>
  </si>
  <si>
    <t>‫شماره حساب</t>
  </si>
  <si>
    <t>‫نوع سپرده</t>
  </si>
  <si>
    <t>‫تاریخ افتتاح حساب</t>
  </si>
  <si>
    <t>‫نرخ سود علی الحساب</t>
  </si>
  <si>
    <t>‫مبلغ</t>
  </si>
  <si>
    <t>‫افزایش</t>
  </si>
  <si>
    <t>‫کاهش</t>
  </si>
  <si>
    <t>‫کوتاه مدت</t>
  </si>
  <si>
    <t>‫0</t>
  </si>
  <si>
    <t>‫سپرده بانکی نزد بانک پاسارگاد</t>
  </si>
  <si>
    <t>‫سپرده بانکی نزد بانک گردشگري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</si>
  <si>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</si>
  <si>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</si>
  <si>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</si>
  <si>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</si>
  <si>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</si>
  <si>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</si>
  <si>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‫2-2</t>
  </si>
  <si>
    <t>‫درآمد حاصل از سرمایه گذاری در سپرده بانکی و گواهی سپرده</t>
  </si>
  <si>
    <t>‫سایر درآمدها</t>
  </si>
  <si>
    <t>‫هزینه تنزیل</t>
  </si>
  <si>
    <t>‫تاریخ دریافت سود</t>
  </si>
  <si>
    <t>‫درآمد سود</t>
  </si>
  <si>
    <t>‫خالص درآمد</t>
  </si>
  <si>
    <t>‫درآمد تغییر ارزش</t>
  </si>
  <si>
    <t>‫درآمد فروش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</si>
  <si>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</si>
  <si>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</si>
  <si>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</si>
  <si>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</si>
  <si>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‫سپرده بانکی کوتاه مدت - پاسارگاد</t>
  </si>
  <si>
    <t>‫سپرده بانکی کوتاه مدت - گردشگري</t>
  </si>
  <si>
    <t>علی اسماعیلی</t>
  </si>
  <si>
    <t>شرکت سبدگردان سهم آشنا</t>
  </si>
  <si>
    <t>مدیر صندوق</t>
  </si>
  <si>
    <t xml:space="preserve">امضا </t>
  </si>
  <si>
    <t>نماینده</t>
  </si>
  <si>
    <t>شرکت</t>
  </si>
  <si>
    <t>رکن صندوق</t>
  </si>
  <si>
    <t>‫1-2- سرمایه گذاری در سپرده بانکی</t>
  </si>
  <si>
    <t>تعدیل کارمزد کارگزاری</t>
  </si>
  <si>
    <t>‫سود سپرده های بانکی</t>
  </si>
  <si>
    <t>‫برای ماه منتهی به 1404/01/31</t>
  </si>
  <si>
    <t>‫چادرملو (تقدم)</t>
  </si>
  <si>
    <t>‫چادرملو</t>
  </si>
  <si>
    <t>‫پست بانك ايران</t>
  </si>
  <si>
    <t>‫پتروشيمي پارس</t>
  </si>
  <si>
    <t>‫پتروشيمي شيراز</t>
  </si>
  <si>
    <t>‫پتروشيمي بوعلي سينا</t>
  </si>
  <si>
    <t>‫نفت اصفهان</t>
  </si>
  <si>
    <t>‫ملي مس</t>
  </si>
  <si>
    <t>‫معدنكاران نسوز</t>
  </si>
  <si>
    <t>‫معادن روي</t>
  </si>
  <si>
    <t>‫مديريت نيروگاهي ايرانيان مپنا</t>
  </si>
  <si>
    <t>‫كاني كربن طبس</t>
  </si>
  <si>
    <t>‫فولاد مباركه</t>
  </si>
  <si>
    <t>‫فولاد خوزستان</t>
  </si>
  <si>
    <t>‫صندوق بازنشستگي</t>
  </si>
  <si>
    <t>‫صنايع پتروشيمي خليج فارس</t>
  </si>
  <si>
    <t>‫صنايع الكترونيك ماديران</t>
  </si>
  <si>
    <t>‫صنايع ارتباطي آوا</t>
  </si>
  <si>
    <t>‫صبا فولاد خليج فارس</t>
  </si>
  <si>
    <t>‫سيمان سپاهان</t>
  </si>
  <si>
    <t>‫سرمايه گذاري پايا تدبيرپارسا</t>
  </si>
  <si>
    <t>‫سرمايه گذاري غدير</t>
  </si>
  <si>
    <t>‫سرمايه گذاري تامين اجتماعي</t>
  </si>
  <si>
    <t>‫دارويي و نهاده هاي زاگرس دارو</t>
  </si>
  <si>
    <t>‫توليدي برنا باطري</t>
  </si>
  <si>
    <t>‫توليد انرژي برق شمس پاسارگاد</t>
  </si>
  <si>
    <t>‫توسعه نيشكر و صنايع جانبي</t>
  </si>
  <si>
    <t>‫بانك ملت</t>
  </si>
  <si>
    <t>‫بانك صادرات</t>
  </si>
  <si>
    <t>‫ايران خودرو</t>
  </si>
  <si>
    <t>‫اخشان خراسان</t>
  </si>
  <si>
    <t>‫قیمت بازار هر سهم</t>
  </si>
  <si>
    <t>‫شرکت</t>
  </si>
  <si>
    <t>‫1404/01/31</t>
  </si>
  <si>
    <t>‫1-1- سرمایه گذاری در سهام و حق تقدم سهام</t>
  </si>
  <si>
    <t>‫1- سرمایه گذاری ها</t>
  </si>
  <si>
    <t>‫تغییرات طی فروردین ماه</t>
  </si>
  <si>
    <t>‫خرید طی فروردین ماه</t>
  </si>
  <si>
    <t>‫فروش طی فروردین ماه</t>
  </si>
  <si>
    <t>‫1403/05/03</t>
  </si>
  <si>
    <t>‫درآمد حاصل از سرمایه گذاری در سهام و حق تقدم سهام</t>
  </si>
  <si>
    <t>‫گل گهر</t>
  </si>
  <si>
    <t>‫گسترش خودرو</t>
  </si>
  <si>
    <t>‫نساجي بابكان</t>
  </si>
  <si>
    <t>‫مخابرات</t>
  </si>
  <si>
    <t>‫صنايع شيميايي كيمياگران امروز</t>
  </si>
  <si>
    <t>‫سرمايه گذاري جامي</t>
  </si>
  <si>
    <t>‫درصد از کل درآمد ها</t>
  </si>
  <si>
    <t>‫جمع مبلغ</t>
  </si>
  <si>
    <t>‫درآمد سود سهام</t>
  </si>
  <si>
    <t>‫سهام</t>
  </si>
  <si>
    <t>‫2-1- درآمد حاصل از سرمایه گذاری در سهام و حق تقدم سهام:</t>
  </si>
  <si>
    <t>طی فروردین ماه</t>
  </si>
  <si>
    <t>از ابتدای سال مالی تا پایان فروردین ماه</t>
  </si>
  <si>
    <t>اختيارخ شستا-1350-1403/10/12</t>
  </si>
  <si>
    <t>اختيارخ شستا-1450-1403/10/12</t>
  </si>
  <si>
    <t>اختيارخ ذوب-600-1403/11/24</t>
  </si>
  <si>
    <t>اختيارخ ذوب-700-1403/11/24</t>
  </si>
  <si>
    <t>اختيارخ وبصادر-2200-1403/11/17</t>
  </si>
  <si>
    <t>اختيارخ وبصادر-2400-1403/11/17</t>
  </si>
  <si>
    <t>اختيارخ خودرو-4000-1403/11/03</t>
  </si>
  <si>
    <t>اختيارخ شستا-1650-1403/11/10</t>
  </si>
  <si>
    <t>اختيارخ وبملت-3750-1403/11/24</t>
  </si>
  <si>
    <t>اختيارخ خودرو-5000-1403/12/01</t>
  </si>
  <si>
    <t>اختيارخ شپنا-5500-1403/12/08</t>
  </si>
  <si>
    <t>اختيارخ شستا-1650-1403/12/08</t>
  </si>
  <si>
    <t>اختيارخ وبملت-3000-1403/11/24</t>
  </si>
  <si>
    <t>اختيارخ فملي-10000-1404/01/06</t>
  </si>
  <si>
    <t>اختيارخ ذوب-500-1403/12/22</t>
  </si>
  <si>
    <t>اختيارخ وبملت-3500-1404/01/27</t>
  </si>
  <si>
    <t>اختيارخ شستا-1500-1404/01/20</t>
  </si>
  <si>
    <t>اختيارخ خودرو-5000-1404/02/03</t>
  </si>
  <si>
    <t>اختيارخ خودرو-4000-1404/01/06</t>
  </si>
  <si>
    <t>اختيارخ شپنا-5500-1404/02/17</t>
  </si>
  <si>
    <t>اختيارخ خودرو-3250-1404/02/03</t>
  </si>
  <si>
    <t>اختيارخ خودرو-3750-1404/01/06</t>
  </si>
  <si>
    <t>اختيارف خودرو-3250-1403/11/03</t>
  </si>
  <si>
    <t>اختيارف وبملت-3000-1403/11/24</t>
  </si>
  <si>
    <t>اختيارف خودرو-3250-1403/12/01</t>
  </si>
  <si>
    <t>اختيارف خودرو-3500-1403/12/01</t>
  </si>
  <si>
    <t>اختيارف خودرو-3250-1404/01/06</t>
  </si>
  <si>
    <t>اختيارف شستا-1300-1404/01/20</t>
  </si>
  <si>
    <t>اختيارف خودرو-3500-1404/01/06</t>
  </si>
  <si>
    <t>اختيارف خودرو-3750-1404/01/06</t>
  </si>
  <si>
    <t>اختيارف وبملت-2054-1404/01/27</t>
  </si>
  <si>
    <t>اختيارف وبملت-1907-1404/03/21</t>
  </si>
  <si>
    <t>اختيارف شستا-1400-1404/02/10</t>
  </si>
  <si>
    <t>اختيارخ وبملت-2934-1404/03/21</t>
  </si>
  <si>
    <t>اختيارف فملي-9000-1404/03/07</t>
  </si>
  <si>
    <t>اختيارف وبملت-2347-1404/03/21</t>
  </si>
  <si>
    <t>اختيارف شستا-1500-1404/03/13</t>
  </si>
  <si>
    <t>‫2-2- درآمد حاصل از سرمایه گذاری در اختیار معامله سهام:</t>
  </si>
  <si>
    <t>اختیار معامله</t>
  </si>
  <si>
    <t>‫2-3- درآمد حاصل از سرمایه گذاری در سپرده بانکی و گواهی سپرده:</t>
  </si>
  <si>
    <t>‫2-4- سایر درآمدها:</t>
  </si>
  <si>
    <t>‫درآمد حاصل از سرمایه گذاری در اختیار معامله سهام</t>
  </si>
  <si>
    <t>2-1</t>
  </si>
  <si>
    <t>2-3</t>
  </si>
  <si>
    <t>2-4</t>
  </si>
  <si>
    <t>‫1403/12/08</t>
  </si>
  <si>
    <t>‫1403/12/22</t>
  </si>
  <si>
    <t>‫1403/12/20</t>
  </si>
  <si>
    <t>‫خالص درآمد سود سهام</t>
  </si>
  <si>
    <t>‫جمع درآمد سود سهام</t>
  </si>
  <si>
    <t>‫سود متعلق به هر سهم</t>
  </si>
  <si>
    <t>‫تعداد سهام متعلقه در زمان مجمع</t>
  </si>
  <si>
    <t>‫تاریخ تشکیل مجمع</t>
  </si>
  <si>
    <t>‫نام سهام</t>
  </si>
  <si>
    <t>‫اطلاعات مجمع</t>
  </si>
  <si>
    <t>‫1404/01/01</t>
  </si>
  <si>
    <t>صندوق ‫سرمایه گذاری قابل معامله شاخصی بازار آشنا</t>
  </si>
  <si>
    <t>‫گل گهر (تقدم)</t>
  </si>
  <si>
    <t>‫گروه مالي صبا تامين</t>
  </si>
  <si>
    <t>‫پخش هجرت</t>
  </si>
  <si>
    <t>‫پتروشیمی تامین</t>
  </si>
  <si>
    <t>‫پتروشيمی پردیس</t>
  </si>
  <si>
    <t>‫پتروشيمي نوري</t>
  </si>
  <si>
    <t>‫پتروشيمي جم</t>
  </si>
  <si>
    <t>‫پارس مينو</t>
  </si>
  <si>
    <t>‫نفت و گاز پارسیان</t>
  </si>
  <si>
    <t>‫نفت تهران</t>
  </si>
  <si>
    <t>‫نفت تبريز</t>
  </si>
  <si>
    <t>‫نفت بهران</t>
  </si>
  <si>
    <t>‫نفت بندر عباس</t>
  </si>
  <si>
    <t>‫مپنا</t>
  </si>
  <si>
    <t>‫كشتيراني ايران</t>
  </si>
  <si>
    <t>‫سيمان تهران</t>
  </si>
  <si>
    <t>‫سرمايه گذاري ملي ايران</t>
  </si>
  <si>
    <t>‫سرمايه گذاري صدرتامين</t>
  </si>
  <si>
    <t>‫سرمايه گذاري دارويي تامين</t>
  </si>
  <si>
    <t>‫سايپا</t>
  </si>
  <si>
    <t>‫توسعه‌معادن‌وفلزات‌ (تقدم)</t>
  </si>
  <si>
    <t>‫توسعه‌معادن‌وفلزات‌</t>
  </si>
  <si>
    <t>‫بين المللي توسعه ص. معادن غدير</t>
  </si>
  <si>
    <t>‫بانك تجارت</t>
  </si>
  <si>
    <t>‫اقتصاد نوين</t>
  </si>
  <si>
    <t>‫ارتباطات سیار</t>
  </si>
  <si>
    <t>‫آلومينيوم ايران</t>
  </si>
  <si>
    <t>‫تغییرات طی دوره</t>
  </si>
  <si>
    <t>‫سرمایه گذاری قابل معامله شاخصی بازار آشنا</t>
  </si>
  <si>
    <t>اختیارخ وتجارت-2200-1404/02/17</t>
  </si>
  <si>
    <t>اختیارخ شپنا-5500-1404/02/17</t>
  </si>
  <si>
    <t>‫23</t>
  </si>
  <si>
    <t>‫132.9967.1270160.1</t>
  </si>
  <si>
    <t>‫1401/09/22</t>
  </si>
  <si>
    <t>‫جاري</t>
  </si>
  <si>
    <t>‫132-711270160-1</t>
  </si>
  <si>
    <t>‫1400/08/09</t>
  </si>
  <si>
    <t>‫415.8100.14938708.1</t>
  </si>
  <si>
    <t>‫فولاد اميركبير كاشان</t>
  </si>
  <si>
    <t>‫فروشگاههاي زنجيره اي افق كوروش</t>
  </si>
  <si>
    <t>‫فرآورده هاي غذايي و قند چهار محال</t>
  </si>
  <si>
    <t>‫ذوب آهن اصفهان</t>
  </si>
  <si>
    <t>‫توسعه معدني و صنعتي صبانور</t>
  </si>
  <si>
    <t>‫توسعه معادن وص.معدني خاورميانه</t>
  </si>
  <si>
    <t>‫گسترش سرمايه گذاري ايران خودرو</t>
  </si>
  <si>
    <t>‫گروه مپنا</t>
  </si>
  <si>
    <t>‫پتروشيمي پرديس</t>
  </si>
  <si>
    <t>‫پالايش نفت تهران</t>
  </si>
  <si>
    <t>‫پالايش نفت تبريز</t>
  </si>
  <si>
    <t>‫پالايش نفت اصفهان</t>
  </si>
  <si>
    <t>‫ملي صنايع مس ايران</t>
  </si>
  <si>
    <t>‫معدني و صنعتي گل گهر</t>
  </si>
  <si>
    <t>‫معدني و صنعتي چادر ملو</t>
  </si>
  <si>
    <t>‫كشتيراني جمهوري اسلامي ايران</t>
  </si>
  <si>
    <t>‫فولاد مباركه اصفهان</t>
  </si>
  <si>
    <t>‫شركت گسترش نفت و گاز پارسيان</t>
  </si>
  <si>
    <t>‫شركت پالايش نفت بندر عباس</t>
  </si>
  <si>
    <t>‫شركت مخابرات ايران</t>
  </si>
  <si>
    <t>‫شركت ارتباطات سيار ايران</t>
  </si>
  <si>
    <t>‫سرمايه گذاري غدير (هلدينگ)</t>
  </si>
  <si>
    <t>‫سرمايه گذاري صندوق بازنشستگي كشوري (هلدينگ)</t>
  </si>
  <si>
    <t>‫سرمايه گذاري توسعه معادن و فلزات (هلدينگ)</t>
  </si>
  <si>
    <t>‫س. نفت و گاز و پتروشيمي تامين</t>
  </si>
  <si>
    <t>‫توسعه معادن روي ايران</t>
  </si>
  <si>
    <t>‫بانك صادرات ايران</t>
  </si>
  <si>
    <t>‫بانك اقتصاد نوين</t>
  </si>
  <si>
    <t>‫طی دوره</t>
  </si>
  <si>
    <t>اختيارخ شستا-1550-1403/11/10</t>
  </si>
  <si>
    <t>اختيارخ خودرو-3750-1403/12/01</t>
  </si>
  <si>
    <t>اختيارخ وتجارت-1800-1403/12/15</t>
  </si>
  <si>
    <t>اختيارخ وتجارت-2200-1403/12/15</t>
  </si>
  <si>
    <t>اختيارخ فولاد-6500-1403/12/01</t>
  </si>
  <si>
    <t>اختيارخ فولاد-6000-1403/12/01</t>
  </si>
  <si>
    <t>اختيارخ شپنا-5000-1403/12/08</t>
  </si>
  <si>
    <t>اختيارخ خساپا-3250-1403/12/22</t>
  </si>
  <si>
    <t>اختيارخ خساپا-3000-1403/12/22</t>
  </si>
  <si>
    <t>اختيارخ وبملت-3750-1404/01/27</t>
  </si>
  <si>
    <t>اختيارخ وتجارت-2200-1404/02/17</t>
  </si>
  <si>
    <t>اختيارف شستا-1350-1403/12/08</t>
  </si>
  <si>
    <t>اختيارف وبملت-1907-1404/01/27</t>
  </si>
  <si>
    <t>اختيارف خودرو-3250-1404/02/03</t>
  </si>
  <si>
    <t>اختيارف خودرو-3000-1404/01/06</t>
  </si>
  <si>
    <t>اختيارخ شستا-1400-1404/02/10</t>
  </si>
  <si>
    <t>اختيارخ فملي-10000-1404/03/07</t>
  </si>
  <si>
    <t>اختیارف فولاد-3960-1404/03/13</t>
  </si>
  <si>
    <t>اختیارف وتجارت-545-1404/02/17</t>
  </si>
  <si>
    <t>اختيارف شستا-1500-1404/02/10</t>
  </si>
  <si>
    <t>‫1403/10/19</t>
  </si>
  <si>
    <t>‫1404/01/27</t>
  </si>
  <si>
    <t>‫1403/10/15</t>
  </si>
  <si>
    <t>‫كوتاه مدت-1.14938708.8100.415-پاسارگاد</t>
  </si>
  <si>
    <t>‫1404/01/03</t>
  </si>
  <si>
    <t>‫كوتاه مدت-1.1270160.9967.132-گردشگري</t>
  </si>
  <si>
    <t>‫سود(زیان) حاصل از فروش اوراق بهادار</t>
  </si>
  <si>
    <t>‫ارزش دفتری</t>
  </si>
  <si>
    <t>‫سود و زیان ناشی از فروش</t>
  </si>
  <si>
    <t>‫اختيارخ خساپا-3000-1403/12/22</t>
  </si>
  <si>
    <t>‫اختيارخ خساپا-3250-1403/12/22</t>
  </si>
  <si>
    <t>‫اختيارخ خودرو-3750-1403/12/01</t>
  </si>
  <si>
    <t>‫اختيارخ خودرو-3750-1404/01/06</t>
  </si>
  <si>
    <t>‫اختيارخ خودرو-382-1404/02/03</t>
  </si>
  <si>
    <t>‫اختيارخ خودرو-4000-1403/11/03</t>
  </si>
  <si>
    <t>‫اختيارخ خودرو-4000-1404/01/06</t>
  </si>
  <si>
    <t>‫اختيارخ خودرو-5000-1403/12/01</t>
  </si>
  <si>
    <t>‫اختيارخ خودرو-588-1404/02/03</t>
  </si>
  <si>
    <t>‫اختيارخ ذوب-500-1403/12/22</t>
  </si>
  <si>
    <t>‫اختيارخ ذوب-700-1403/11/24</t>
  </si>
  <si>
    <t>‫اختيارخ شستا-1400-1404/02/10</t>
  </si>
  <si>
    <t>‫اختيارخ شستا-1500-1404/01/20</t>
  </si>
  <si>
    <t>‫اختيارخ شستا-1550-1403/11/10</t>
  </si>
  <si>
    <t>‫اختيارخ شستا-1650-1403/12/08</t>
  </si>
  <si>
    <t>‫اختيارخ شپنا-3873-1404/02/17</t>
  </si>
  <si>
    <t>‫اختيارخ شپنا-5000-1403/12/08</t>
  </si>
  <si>
    <t>‫اختيارخ شپنا-5500-1403/12/08</t>
  </si>
  <si>
    <t>‫اختيارخ فملي-10000-1404/01/06</t>
  </si>
  <si>
    <t>‫اختيارخ فملي-10000-1404/03/07</t>
  </si>
  <si>
    <t>‫اختيارخ فولاد-6000-1403/12/01</t>
  </si>
  <si>
    <t>‫اختيارخ فولاد-6500-1403/12/01</t>
  </si>
  <si>
    <t>‫اختيارخ وبصادر-606-1403/11/17</t>
  </si>
  <si>
    <t>‫اختيارخ وبصادر-661-1403/11/17</t>
  </si>
  <si>
    <t>‫اختيارخ وبملت-2054-1404/01/27</t>
  </si>
  <si>
    <t>‫اختيارخ وبملت-2200-1404/01/27</t>
  </si>
  <si>
    <t>‫اختيارخ وبملت-2934-1404/03/21</t>
  </si>
  <si>
    <t>‫اختيارخ وبملت-3000-1403/11/24</t>
  </si>
  <si>
    <t>‫اختيارخ وبملت-3750-1403/11/24</t>
  </si>
  <si>
    <t>‫اختيارخ وتجارت-1800-1403/12/15</t>
  </si>
  <si>
    <t>‫اختيارخ وتجارت-2200-1403/12/15</t>
  </si>
  <si>
    <t>‫اختيارخ وتجارت-499-1404/02/17</t>
  </si>
  <si>
    <t>‫اختيارف خودرو-3000-1404/01/06</t>
  </si>
  <si>
    <t>‫اختيارف خودرو-3250-1403/11/03</t>
  </si>
  <si>
    <t>‫اختيارف خودرو-3250-1403/12/01</t>
  </si>
  <si>
    <t>‫اختيارف خودرو-3250-1404/01/06</t>
  </si>
  <si>
    <t>‫اختيارف خودرو-3500-1403/12/01</t>
  </si>
  <si>
    <t>‫اختيارف خودرو-3500-1404/01/06</t>
  </si>
  <si>
    <t>‫اختيارف خودرو-3750-1404/01/06</t>
  </si>
  <si>
    <t>‫اختيارف خودرو-382-1404/02/03</t>
  </si>
  <si>
    <t>‫اختيارف شستا-1300-1404/01/20</t>
  </si>
  <si>
    <t>‫اختيارف شستا-1350-1403/12/08</t>
  </si>
  <si>
    <t>‫اختيارف شستا-1400-1404/02/10</t>
  </si>
  <si>
    <t>‫اختيارف شستا-1500-1404/02/10</t>
  </si>
  <si>
    <t>‫اختيارف شستا-1500-1404/03/13</t>
  </si>
  <si>
    <t>‫اختيارف فملي-9000-1404/03/07</t>
  </si>
  <si>
    <t>‫اختيارف فولاد-3960-1404/03/13</t>
  </si>
  <si>
    <t>‫اختيارف وبملت-1907-1404/01/27</t>
  </si>
  <si>
    <t>‫اختيارف وبملت-1907-1404/03/21</t>
  </si>
  <si>
    <t>‫اختيارف وبملت-2054-1404/01/27</t>
  </si>
  <si>
    <t>‫اختيارف وبملت-2347-1404/03/21</t>
  </si>
  <si>
    <t>‫اختيارف وبملت-3000-1403/11/24</t>
  </si>
  <si>
    <t>‫اختيارف وتجارت-545-1404/02/17</t>
  </si>
  <si>
    <t>‫ذوب آهن  اصفهان</t>
  </si>
  <si>
    <t>‫صنعتی صبانور</t>
  </si>
  <si>
    <t>‫فولاد اميركبير</t>
  </si>
  <si>
    <t>‫قند چهار محال</t>
  </si>
  <si>
    <t>‫درآمد ناشی از تغییر قیمت اوراق بهادار</t>
  </si>
  <si>
    <t>‫سود و زیان ناشی از تغییر قیمت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</si>
</sst>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B Zar"/>
      <charset val="178"/>
    </font>
    <font>
      <b/>
      <sz val="13"/>
      <color theme="1"/>
      <name val="B Zar"/>
      <charset val="178"/>
    </font>
    <font>
      <b/>
      <sz val="13"/>
      <color rgb="FFFFFFFF"/>
      <name val="B Zar"/>
      <charset val="178"/>
    </font>
    <font>
      <b/>
      <u/>
      <sz val="18"/>
      <name val="B Zar"/>
      <charset val="178"/>
    </font>
    <font>
      <sz val="12"/>
      <name val="B Zar"/>
      <charset val="178"/>
    </font>
    <font>
      <b/>
      <sz val="12"/>
      <name val="B Zar"/>
      <charset val="178"/>
    </font>
    <font>
      <b/>
      <u/>
      <sz val="16"/>
      <name val="B Zar"/>
      <charset val="178"/>
    </font>
    <font>
      <b/>
      <sz val="12"/>
      <color indexed="8"/>
      <name val="B Zar"/>
      <charset val="178"/>
    </font>
    <font>
      <sz val="12"/>
      <color indexed="8"/>
      <name val="B Zar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auto="1"/>
      </top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</borders>
  <cellStyleXfs count="21">
    <xf numFmtId="0" fontId="0" fillId="0" borderId="0"/>
    <xf numFmtId="0" fontId="1" fillId="2" borderId="4"/>
    <xf numFmtId="0" fontId="1" fillId="2" borderId="4"/>
    <xf numFmtId="9" fontId="1" fillId="2" borderId="4" applyFont="0" applyFill="0" applyBorder="0" applyAlignment="0" applyProtection="0"/>
    <xf numFmtId="0" fontId="1" fillId="2" borderId="4"/>
    <xf numFmtId="0" fontId="1" fillId="2" borderId="4"/>
    <xf numFmtId="0" fontId="1" fillId="2" borderId="4"/>
    <xf numFmtId="0" fontId="1" fillId="2" borderId="4"/>
    <xf numFmtId="0" fontId="1" fillId="2" borderId="4"/>
    <xf numFmtId="0" fontId="1" fillId="2" borderId="4"/>
    <xf numFmtId="0" fontId="1" fillId="2" borderId="4"/>
    <xf numFmtId="0" fontId="1" fillId="2" borderId="4"/>
    <xf numFmtId="0" fontId="1" fillId="2" borderId="4"/>
    <xf numFmtId="0" fontId="1" fillId="2" borderId="4"/>
    <xf numFmtId="0" fontId="1" fillId="2" borderId="4"/>
    <xf numFmtId="0" fontId="1" fillId="2" borderId="4"/>
    <xf numFmtId="0" fontId="1" fillId="2" borderId="4"/>
    <xf numFmtId="0" fontId="1" fillId="2" borderId="4"/>
    <xf numFmtId="0" fontId="1" fillId="2" borderId="4"/>
    <xf numFmtId="0" fontId="1" fillId="2" borderId="4"/>
    <xf numFmtId="0" fontId="1" fillId="2" borderId="4"/>
  </cellStyleXfs>
  <cellXfs count="139">
    <xf numFmtId="0" fontId="0" fillId="0" borderId="0" xfId="0"/>
    <xf numFmtId="0" fontId="2" fillId="2" borderId="4" xfId="1" applyFont="1"/>
    <xf numFmtId="0" fontId="2" fillId="2" borderId="4" xfId="10" applyFont="1"/>
    <xf numFmtId="37" fontId="7" fillId="2" borderId="1" xfId="10" applyNumberFormat="1" applyFont="1" applyBorder="1" applyAlignment="1">
      <alignment horizontal="center" vertical="center"/>
    </xf>
    <xf numFmtId="37" fontId="7" fillId="2" borderId="1" xfId="10" applyNumberFormat="1" applyFont="1" applyBorder="1" applyAlignment="1">
      <alignment horizontal="center" vertical="center" wrapText="1"/>
    </xf>
    <xf numFmtId="37" fontId="6" fillId="2" borderId="4" xfId="10" applyNumberFormat="1" applyFont="1" applyAlignment="1">
      <alignment horizontal="center" vertical="center" wrapText="1"/>
    </xf>
    <xf numFmtId="0" fontId="6" fillId="2" borderId="4" xfId="10" applyFont="1" applyAlignment="1">
      <alignment horizontal="center" vertical="center"/>
    </xf>
    <xf numFmtId="37" fontId="6" fillId="2" borderId="4" xfId="10" applyNumberFormat="1" applyFont="1" applyAlignment="1">
      <alignment horizontal="center" vertical="center"/>
    </xf>
    <xf numFmtId="37" fontId="6" fillId="2" borderId="3" xfId="10" applyNumberFormat="1" applyFont="1" applyBorder="1" applyAlignment="1">
      <alignment horizontal="center" vertical="center"/>
    </xf>
    <xf numFmtId="0" fontId="2" fillId="2" borderId="4" xfId="13" applyFont="1"/>
    <xf numFmtId="0" fontId="6" fillId="2" borderId="4" xfId="13" applyFont="1" applyAlignment="1">
      <alignment horizontal="center" vertical="center"/>
    </xf>
    <xf numFmtId="37" fontId="6" fillId="2" borderId="1" xfId="13" applyNumberFormat="1" applyFont="1" applyBorder="1" applyAlignment="1">
      <alignment horizontal="center" vertical="center"/>
    </xf>
    <xf numFmtId="37" fontId="6" fillId="2" borderId="4" xfId="13" applyNumberFormat="1" applyFont="1" applyAlignment="1">
      <alignment horizontal="right" vertical="center" wrapText="1"/>
    </xf>
    <xf numFmtId="37" fontId="6" fillId="2" borderId="4" xfId="13" applyNumberFormat="1" applyFont="1" applyAlignment="1">
      <alignment horizontal="center" vertical="center"/>
    </xf>
    <xf numFmtId="10" fontId="6" fillId="2" borderId="4" xfId="13" applyNumberFormat="1" applyFont="1" applyAlignment="1">
      <alignment horizontal="center" vertical="center"/>
    </xf>
    <xf numFmtId="37" fontId="6" fillId="2" borderId="6" xfId="13" applyNumberFormat="1" applyFont="1" applyBorder="1" applyAlignment="1">
      <alignment horizontal="center" vertical="center"/>
    </xf>
    <xf numFmtId="37" fontId="6" fillId="2" borderId="3" xfId="13" applyNumberFormat="1" applyFont="1" applyBorder="1" applyAlignment="1">
      <alignment horizontal="center" vertical="center"/>
    </xf>
    <xf numFmtId="10" fontId="6" fillId="2" borderId="5" xfId="13" applyNumberFormat="1" applyFont="1" applyBorder="1" applyAlignment="1">
      <alignment horizontal="center" vertical="center"/>
    </xf>
    <xf numFmtId="0" fontId="2" fillId="2" borderId="4" xfId="14" applyFont="1"/>
    <xf numFmtId="37" fontId="7" fillId="2" borderId="1" xfId="14" applyNumberFormat="1" applyFont="1" applyBorder="1" applyAlignment="1">
      <alignment horizontal="center" vertical="center"/>
    </xf>
    <xf numFmtId="37" fontId="7" fillId="2" borderId="1" xfId="14" applyNumberFormat="1" applyFont="1" applyBorder="1" applyAlignment="1">
      <alignment horizontal="center" vertical="center" wrapText="1"/>
    </xf>
    <xf numFmtId="37" fontId="6" fillId="2" borderId="4" xfId="14" applyNumberFormat="1" applyFont="1" applyAlignment="1">
      <alignment horizontal="right" vertical="center" wrapText="1"/>
    </xf>
    <xf numFmtId="0" fontId="6" fillId="2" borderId="4" xfId="14" applyFont="1" applyAlignment="1">
      <alignment horizontal="center" vertical="center"/>
    </xf>
    <xf numFmtId="37" fontId="6" fillId="2" borderId="4" xfId="14" applyNumberFormat="1" applyFont="1" applyAlignment="1">
      <alignment horizontal="center" vertical="center" wrapText="1"/>
    </xf>
    <xf numFmtId="37" fontId="6" fillId="2" borderId="4" xfId="14" applyNumberFormat="1" applyFont="1" applyAlignment="1">
      <alignment horizontal="center" vertical="center"/>
    </xf>
    <xf numFmtId="10" fontId="6" fillId="2" borderId="4" xfId="14" applyNumberFormat="1" applyFont="1" applyAlignment="1">
      <alignment horizontal="center" vertical="center"/>
    </xf>
    <xf numFmtId="37" fontId="6" fillId="2" borderId="6" xfId="14" applyNumberFormat="1" applyFont="1" applyBorder="1" applyAlignment="1">
      <alignment horizontal="center" vertical="center"/>
    </xf>
    <xf numFmtId="10" fontId="6" fillId="2" borderId="6" xfId="14" applyNumberFormat="1" applyFont="1" applyBorder="1" applyAlignment="1">
      <alignment horizontal="center" vertical="center"/>
    </xf>
    <xf numFmtId="37" fontId="6" fillId="2" borderId="3" xfId="14" applyNumberFormat="1" applyFont="1" applyBorder="1" applyAlignment="1">
      <alignment horizontal="center" vertical="center"/>
    </xf>
    <xf numFmtId="10" fontId="6" fillId="2" borderId="4" xfId="10" applyNumberFormat="1" applyFont="1" applyAlignment="1">
      <alignment horizontal="center" vertical="center"/>
    </xf>
    <xf numFmtId="37" fontId="6" fillId="2" borderId="6" xfId="10" applyNumberFormat="1" applyFont="1" applyBorder="1" applyAlignment="1">
      <alignment horizontal="center" vertical="center"/>
    </xf>
    <xf numFmtId="10" fontId="6" fillId="2" borderId="5" xfId="10" applyNumberFormat="1" applyFont="1" applyBorder="1" applyAlignment="1">
      <alignment horizontal="center" vertical="center"/>
    </xf>
    <xf numFmtId="37" fontId="6" fillId="2" borderId="5" xfId="10" applyNumberFormat="1" applyFont="1" applyBorder="1" applyAlignment="1">
      <alignment horizontal="center" vertical="center"/>
    </xf>
    <xf numFmtId="0" fontId="2" fillId="2" borderId="4" xfId="16" applyFont="1"/>
    <xf numFmtId="37" fontId="7" fillId="2" borderId="1" xfId="16" applyNumberFormat="1" applyFont="1" applyBorder="1" applyAlignment="1">
      <alignment horizontal="center" vertical="center" wrapText="1"/>
    </xf>
    <xf numFmtId="0" fontId="6" fillId="2" borderId="4" xfId="16" applyFont="1" applyAlignment="1">
      <alignment horizontal="center" vertical="center"/>
    </xf>
    <xf numFmtId="37" fontId="6" fillId="2" borderId="4" xfId="16" applyNumberFormat="1" applyFont="1" applyAlignment="1">
      <alignment horizontal="center" vertical="center"/>
    </xf>
    <xf numFmtId="10" fontId="6" fillId="2" borderId="4" xfId="16" applyNumberFormat="1" applyFont="1" applyAlignment="1">
      <alignment horizontal="center" vertical="center"/>
    </xf>
    <xf numFmtId="37" fontId="6" fillId="2" borderId="6" xfId="16" applyNumberFormat="1" applyFont="1" applyBorder="1" applyAlignment="1">
      <alignment horizontal="center" vertical="center"/>
    </xf>
    <xf numFmtId="37" fontId="6" fillId="2" borderId="3" xfId="16" applyNumberFormat="1" applyFont="1" applyBorder="1" applyAlignment="1">
      <alignment horizontal="center" vertical="center"/>
    </xf>
    <xf numFmtId="9" fontId="6" fillId="2" borderId="6" xfId="16" applyNumberFormat="1" applyFont="1" applyBorder="1" applyAlignment="1">
      <alignment horizontal="center" vertical="center"/>
    </xf>
    <xf numFmtId="0" fontId="2" fillId="2" borderId="4" xfId="17" applyFont="1"/>
    <xf numFmtId="37" fontId="7" fillId="2" borderId="1" xfId="17" applyNumberFormat="1" applyFont="1" applyBorder="1" applyAlignment="1">
      <alignment horizontal="center" vertical="center"/>
    </xf>
    <xf numFmtId="37" fontId="7" fillId="2" borderId="1" xfId="17" applyNumberFormat="1" applyFont="1" applyBorder="1" applyAlignment="1">
      <alignment horizontal="center" vertical="center" wrapText="1"/>
    </xf>
    <xf numFmtId="37" fontId="6" fillId="2" borderId="4" xfId="17" applyNumberFormat="1" applyFont="1" applyAlignment="1">
      <alignment horizontal="center" vertical="center" wrapText="1"/>
    </xf>
    <xf numFmtId="37" fontId="6" fillId="2" borderId="4" xfId="17" applyNumberFormat="1" applyFont="1" applyAlignment="1">
      <alignment horizontal="center" vertical="center"/>
    </xf>
    <xf numFmtId="37" fontId="6" fillId="2" borderId="6" xfId="17" applyNumberFormat="1" applyFont="1" applyBorder="1" applyAlignment="1">
      <alignment horizontal="center" vertical="center"/>
    </xf>
    <xf numFmtId="37" fontId="6" fillId="2" borderId="3" xfId="17" applyNumberFormat="1" applyFont="1" applyBorder="1" applyAlignment="1">
      <alignment horizontal="center" vertical="center"/>
    </xf>
    <xf numFmtId="0" fontId="2" fillId="2" borderId="4" xfId="15" applyFont="1"/>
    <xf numFmtId="37" fontId="7" fillId="2" borderId="4" xfId="15" applyNumberFormat="1" applyFont="1" applyAlignment="1">
      <alignment horizontal="right" vertical="center"/>
    </xf>
    <xf numFmtId="37" fontId="7" fillId="2" borderId="1" xfId="15" applyNumberFormat="1" applyFont="1" applyBorder="1" applyAlignment="1">
      <alignment horizontal="center" vertical="center"/>
    </xf>
    <xf numFmtId="37" fontId="7" fillId="2" borderId="1" xfId="15" applyNumberFormat="1" applyFont="1" applyBorder="1" applyAlignment="1">
      <alignment horizontal="center" vertical="center" wrapText="1"/>
    </xf>
    <xf numFmtId="37" fontId="6" fillId="2" borderId="4" xfId="15" applyNumberFormat="1" applyFont="1" applyAlignment="1">
      <alignment horizontal="center" vertical="center"/>
    </xf>
    <xf numFmtId="10" fontId="6" fillId="2" borderId="4" xfId="15" applyNumberFormat="1" applyFont="1" applyAlignment="1">
      <alignment horizontal="center" vertical="center"/>
    </xf>
    <xf numFmtId="37" fontId="6" fillId="2" borderId="6" xfId="15" applyNumberFormat="1" applyFont="1" applyBorder="1" applyAlignment="1">
      <alignment horizontal="center" vertical="center"/>
    </xf>
    <xf numFmtId="10" fontId="6" fillId="2" borderId="6" xfId="15" applyNumberFormat="1" applyFont="1" applyBorder="1" applyAlignment="1">
      <alignment horizontal="center" vertical="center"/>
    </xf>
    <xf numFmtId="37" fontId="6" fillId="2" borderId="3" xfId="15" applyNumberFormat="1" applyFont="1" applyBorder="1" applyAlignment="1">
      <alignment horizontal="center" vertical="center"/>
    </xf>
    <xf numFmtId="37" fontId="7" fillId="2" borderId="6" xfId="15" applyNumberFormat="1" applyFont="1" applyBorder="1" applyAlignment="1">
      <alignment horizontal="center" vertical="center"/>
    </xf>
    <xf numFmtId="49" fontId="6" fillId="2" borderId="4" xfId="15" applyNumberFormat="1" applyFont="1" applyAlignment="1">
      <alignment horizontal="center" vertical="center"/>
    </xf>
    <xf numFmtId="9" fontId="6" fillId="2" borderId="6" xfId="15" applyNumberFormat="1" applyFont="1" applyBorder="1" applyAlignment="1">
      <alignment horizontal="center" vertical="center"/>
    </xf>
    <xf numFmtId="0" fontId="2" fillId="2" borderId="4" xfId="18" applyFont="1"/>
    <xf numFmtId="37" fontId="7" fillId="2" borderId="1" xfId="18" applyNumberFormat="1" applyFont="1" applyBorder="1" applyAlignment="1">
      <alignment horizontal="center" vertical="center"/>
    </xf>
    <xf numFmtId="37" fontId="7" fillId="2" borderId="1" xfId="18" applyNumberFormat="1" applyFont="1" applyBorder="1" applyAlignment="1">
      <alignment horizontal="center" vertical="center" wrapText="1"/>
    </xf>
    <xf numFmtId="37" fontId="6" fillId="2" borderId="4" xfId="18" applyNumberFormat="1" applyFont="1" applyAlignment="1">
      <alignment horizontal="center" vertical="center" wrapText="1"/>
    </xf>
    <xf numFmtId="0" fontId="6" fillId="2" borderId="4" xfId="18" applyFont="1" applyAlignment="1">
      <alignment horizontal="center" vertical="center"/>
    </xf>
    <xf numFmtId="37" fontId="6" fillId="2" borderId="4" xfId="18" applyNumberFormat="1" applyFont="1" applyAlignment="1">
      <alignment horizontal="center" vertical="center"/>
    </xf>
    <xf numFmtId="37" fontId="6" fillId="2" borderId="6" xfId="18" applyNumberFormat="1" applyFont="1" applyBorder="1" applyAlignment="1">
      <alignment horizontal="center" vertical="center"/>
    </xf>
    <xf numFmtId="37" fontId="6" fillId="2" borderId="3" xfId="18" applyNumberFormat="1" applyFont="1" applyBorder="1" applyAlignment="1">
      <alignment horizontal="center" vertical="center"/>
    </xf>
    <xf numFmtId="0" fontId="2" fillId="2" borderId="4" xfId="19" applyFont="1"/>
    <xf numFmtId="37" fontId="7" fillId="2" borderId="1" xfId="19" applyNumberFormat="1" applyFont="1" applyBorder="1" applyAlignment="1">
      <alignment horizontal="center" vertical="center"/>
    </xf>
    <xf numFmtId="37" fontId="7" fillId="2" borderId="1" xfId="19" applyNumberFormat="1" applyFont="1" applyBorder="1" applyAlignment="1">
      <alignment horizontal="center" vertical="center" wrapText="1"/>
    </xf>
    <xf numFmtId="0" fontId="6" fillId="2" borderId="4" xfId="19" applyFont="1" applyAlignment="1">
      <alignment horizontal="center" vertical="center"/>
    </xf>
    <xf numFmtId="37" fontId="6" fillId="2" borderId="4" xfId="19" applyNumberFormat="1" applyFont="1" applyAlignment="1">
      <alignment horizontal="center" vertical="center"/>
    </xf>
    <xf numFmtId="37" fontId="6" fillId="2" borderId="6" xfId="19" applyNumberFormat="1" applyFont="1" applyBorder="1" applyAlignment="1">
      <alignment horizontal="center" vertical="center"/>
    </xf>
    <xf numFmtId="37" fontId="6" fillId="2" borderId="3" xfId="19" applyNumberFormat="1" applyFont="1" applyBorder="1" applyAlignment="1">
      <alignment horizontal="center" vertical="center"/>
    </xf>
    <xf numFmtId="37" fontId="6" fillId="2" borderId="4" xfId="16" applyNumberFormat="1" applyFont="1" applyAlignment="1">
      <alignment horizontal="right" vertical="center" wrapText="1"/>
    </xf>
    <xf numFmtId="37" fontId="6" fillId="2" borderId="4" xfId="19" applyNumberFormat="1" applyFont="1" applyAlignment="1">
      <alignment horizontal="right" vertical="center" wrapText="1"/>
    </xf>
    <xf numFmtId="37" fontId="7" fillId="2" borderId="4" xfId="10" applyNumberFormat="1" applyFont="1" applyAlignment="1">
      <alignment horizontal="center" vertical="center"/>
    </xf>
    <xf numFmtId="0" fontId="2" fillId="2" borderId="4" xfId="20" applyFont="1"/>
    <xf numFmtId="37" fontId="7" fillId="2" borderId="4" xfId="20" applyNumberFormat="1" applyFont="1" applyAlignment="1">
      <alignment horizontal="center" vertical="center"/>
    </xf>
    <xf numFmtId="37" fontId="7" fillId="2" borderId="1" xfId="20" applyNumberFormat="1" applyFont="1" applyBorder="1" applyAlignment="1">
      <alignment horizontal="center" vertical="center" wrapText="1"/>
    </xf>
    <xf numFmtId="37" fontId="6" fillId="2" borderId="4" xfId="20" applyNumberFormat="1" applyFont="1" applyAlignment="1">
      <alignment horizontal="right" vertical="center" wrapText="1"/>
    </xf>
    <xf numFmtId="37" fontId="6" fillId="2" borderId="4" xfId="20" applyNumberFormat="1" applyFont="1" applyAlignment="1">
      <alignment horizontal="center" vertical="center"/>
    </xf>
    <xf numFmtId="0" fontId="6" fillId="2" borderId="4" xfId="20" applyFont="1" applyAlignment="1">
      <alignment horizontal="center" vertical="center"/>
    </xf>
    <xf numFmtId="37" fontId="6" fillId="2" borderId="6" xfId="20" applyNumberFormat="1" applyFont="1" applyBorder="1" applyAlignment="1">
      <alignment horizontal="center" vertical="center"/>
    </xf>
    <xf numFmtId="37" fontId="6" fillId="2" borderId="4" xfId="10" applyNumberFormat="1" applyFont="1" applyAlignment="1">
      <alignment horizontal="right" vertical="center" wrapText="1"/>
    </xf>
    <xf numFmtId="0" fontId="10" fillId="2" borderId="4" xfId="10" applyFont="1" applyAlignment="1">
      <alignment horizontal="center" vertical="center"/>
    </xf>
    <xf numFmtId="37" fontId="6" fillId="2" borderId="5" xfId="20" applyNumberFormat="1" applyFont="1" applyBorder="1" applyAlignment="1">
      <alignment horizontal="center" vertical="center"/>
    </xf>
    <xf numFmtId="0" fontId="10" fillId="2" borderId="4" xfId="20" applyFont="1" applyAlignment="1">
      <alignment horizontal="center" vertical="center"/>
    </xf>
    <xf numFmtId="37" fontId="6" fillId="2" borderId="5" xfId="13" applyNumberFormat="1" applyFont="1" applyBorder="1" applyAlignment="1">
      <alignment horizontal="center" vertical="center"/>
    </xf>
    <xf numFmtId="0" fontId="3" fillId="2" borderId="4" xfId="1" applyFont="1" applyAlignment="1">
      <alignment horizontal="center" vertical="center" wrapText="1" readingOrder="2"/>
    </xf>
    <xf numFmtId="37" fontId="5" fillId="2" borderId="4" xfId="1" applyNumberFormat="1" applyFont="1" applyAlignment="1">
      <alignment horizontal="center" vertical="center"/>
    </xf>
    <xf numFmtId="0" fontId="2" fillId="2" borderId="4" xfId="1" applyFont="1"/>
    <xf numFmtId="0" fontId="4" fillId="3" borderId="4" xfId="1" applyFont="1" applyFill="1" applyAlignment="1">
      <alignment horizontal="center" vertical="center" wrapText="1" readingOrder="2"/>
    </xf>
    <xf numFmtId="0" fontId="6" fillId="2" borderId="4" xfId="13" applyFont="1" applyAlignment="1">
      <alignment horizontal="center" vertical="center"/>
    </xf>
    <xf numFmtId="0" fontId="2" fillId="2" borderId="4" xfId="13" applyFont="1"/>
    <xf numFmtId="37" fontId="6" fillId="2" borderId="1" xfId="13" applyNumberFormat="1" applyFont="1" applyBorder="1" applyAlignment="1">
      <alignment horizontal="center" vertical="center"/>
    </xf>
    <xf numFmtId="37" fontId="6" fillId="2" borderId="4" xfId="13" applyNumberFormat="1" applyFont="1" applyAlignment="1">
      <alignment horizontal="center" vertical="center" wrapText="1"/>
    </xf>
    <xf numFmtId="37" fontId="8" fillId="2" borderId="4" xfId="13" applyNumberFormat="1" applyFont="1" applyAlignment="1">
      <alignment horizontal="center" vertical="center"/>
    </xf>
    <xf numFmtId="37" fontId="7" fillId="2" borderId="4" xfId="13" applyNumberFormat="1" applyFont="1" applyAlignment="1">
      <alignment horizontal="right" vertical="center"/>
    </xf>
    <xf numFmtId="37" fontId="7" fillId="2" borderId="1" xfId="13" applyNumberFormat="1" applyFont="1" applyBorder="1" applyAlignment="1">
      <alignment horizontal="center" vertical="center"/>
    </xf>
    <xf numFmtId="0" fontId="2" fillId="2" borderId="2" xfId="13" applyFont="1" applyBorder="1"/>
    <xf numFmtId="37" fontId="8" fillId="2" borderId="4" xfId="14" applyNumberFormat="1" applyFont="1" applyAlignment="1">
      <alignment horizontal="center" vertical="center"/>
    </xf>
    <xf numFmtId="0" fontId="2" fillId="2" borderId="4" xfId="14" applyFont="1"/>
    <xf numFmtId="37" fontId="7" fillId="2" borderId="4" xfId="14" applyNumberFormat="1" applyFont="1" applyAlignment="1">
      <alignment horizontal="right" vertical="center"/>
    </xf>
    <xf numFmtId="37" fontId="7" fillId="2" borderId="1" xfId="14" applyNumberFormat="1" applyFont="1" applyBorder="1" applyAlignment="1">
      <alignment horizontal="center" vertical="center"/>
    </xf>
    <xf numFmtId="0" fontId="2" fillId="2" borderId="2" xfId="14" applyFont="1" applyBorder="1"/>
    <xf numFmtId="37" fontId="8" fillId="2" borderId="4" xfId="15" applyNumberFormat="1" applyFont="1" applyAlignment="1">
      <alignment horizontal="center" vertical="center"/>
    </xf>
    <xf numFmtId="0" fontId="2" fillId="2" borderId="4" xfId="15" applyFont="1"/>
    <xf numFmtId="37" fontId="7" fillId="2" borderId="4" xfId="15" applyNumberFormat="1" applyFont="1" applyAlignment="1">
      <alignment horizontal="right" vertical="center"/>
    </xf>
    <xf numFmtId="37" fontId="8" fillId="2" borderId="4" xfId="10" applyNumberFormat="1" applyFont="1" applyAlignment="1">
      <alignment horizontal="center" vertical="center"/>
    </xf>
    <xf numFmtId="0" fontId="2" fillId="2" borderId="4" xfId="10" applyFont="1"/>
    <xf numFmtId="37" fontId="7" fillId="2" borderId="4" xfId="10" applyNumberFormat="1" applyFont="1" applyAlignment="1">
      <alignment horizontal="right" vertical="center"/>
    </xf>
    <xf numFmtId="37" fontId="7" fillId="2" borderId="1" xfId="10" applyNumberFormat="1" applyFont="1" applyBorder="1" applyAlignment="1">
      <alignment horizontal="center" vertical="center"/>
    </xf>
    <xf numFmtId="0" fontId="2" fillId="2" borderId="2" xfId="10" applyFont="1" applyBorder="1"/>
    <xf numFmtId="0" fontId="9" fillId="2" borderId="2" xfId="10" applyFont="1" applyBorder="1" applyAlignment="1">
      <alignment horizontal="center" vertical="center"/>
    </xf>
    <xf numFmtId="37" fontId="8" fillId="2" borderId="4" xfId="16" applyNumberFormat="1" applyFont="1" applyAlignment="1">
      <alignment horizontal="center" vertical="center"/>
    </xf>
    <xf numFmtId="0" fontId="2" fillId="2" borderId="4" xfId="16" applyFont="1"/>
    <xf numFmtId="37" fontId="7" fillId="2" borderId="4" xfId="16" applyNumberFormat="1" applyFont="1" applyAlignment="1">
      <alignment horizontal="right" vertical="center"/>
    </xf>
    <xf numFmtId="37" fontId="7" fillId="2" borderId="1" xfId="16" applyNumberFormat="1" applyFont="1" applyBorder="1" applyAlignment="1">
      <alignment horizontal="center" vertical="center"/>
    </xf>
    <xf numFmtId="0" fontId="2" fillId="2" borderId="2" xfId="16" applyFont="1" applyBorder="1"/>
    <xf numFmtId="37" fontId="8" fillId="2" borderId="4" xfId="17" applyNumberFormat="1" applyFont="1" applyAlignment="1">
      <alignment horizontal="center" vertical="center"/>
    </xf>
    <xf numFmtId="0" fontId="2" fillId="2" borderId="4" xfId="17" applyFont="1"/>
    <xf numFmtId="37" fontId="7" fillId="2" borderId="4" xfId="17" applyNumberFormat="1" applyFont="1" applyAlignment="1">
      <alignment horizontal="right" vertical="center"/>
    </xf>
    <xf numFmtId="37" fontId="8" fillId="2" borderId="4" xfId="19" applyNumberFormat="1" applyFont="1" applyAlignment="1">
      <alignment horizontal="center" vertical="center"/>
    </xf>
    <xf numFmtId="0" fontId="2" fillId="2" borderId="4" xfId="19" applyFont="1"/>
    <xf numFmtId="37" fontId="7" fillId="2" borderId="4" xfId="19" applyNumberFormat="1" applyFont="1" applyAlignment="1">
      <alignment horizontal="right" vertical="center"/>
    </xf>
    <xf numFmtId="37" fontId="7" fillId="2" borderId="1" xfId="19" applyNumberFormat="1" applyFont="1" applyBorder="1" applyAlignment="1">
      <alignment horizontal="center" vertical="center"/>
    </xf>
    <xf numFmtId="0" fontId="2" fillId="2" borderId="2" xfId="19" applyFont="1" applyBorder="1"/>
    <xf numFmtId="37" fontId="8" fillId="2" borderId="4" xfId="18" applyNumberFormat="1" applyFont="1" applyAlignment="1">
      <alignment horizontal="center" vertical="center"/>
    </xf>
    <xf numFmtId="0" fontId="2" fillId="2" borderId="4" xfId="18" applyFont="1"/>
    <xf numFmtId="37" fontId="7" fillId="2" borderId="4" xfId="18" applyNumberFormat="1" applyFont="1" applyAlignment="1">
      <alignment horizontal="right" vertical="center"/>
    </xf>
    <xf numFmtId="37" fontId="7" fillId="2" borderId="1" xfId="18" applyNumberFormat="1" applyFont="1" applyBorder="1" applyAlignment="1">
      <alignment horizontal="center" vertical="center"/>
    </xf>
    <xf numFmtId="0" fontId="2" fillId="2" borderId="2" xfId="18" applyFont="1" applyBorder="1"/>
    <xf numFmtId="37" fontId="8" fillId="2" borderId="4" xfId="20" applyNumberFormat="1" applyFont="1" applyAlignment="1">
      <alignment horizontal="center" vertical="center"/>
    </xf>
    <xf numFmtId="0" fontId="2" fillId="2" borderId="4" xfId="20" applyFont="1"/>
    <xf numFmtId="37" fontId="7" fillId="2" borderId="4" xfId="20" applyNumberFormat="1" applyFont="1" applyAlignment="1">
      <alignment horizontal="right" vertical="center"/>
    </xf>
    <xf numFmtId="37" fontId="7" fillId="2" borderId="1" xfId="20" applyNumberFormat="1" applyFont="1" applyBorder="1" applyAlignment="1">
      <alignment horizontal="center" vertical="center"/>
    </xf>
    <xf numFmtId="0" fontId="2" fillId="2" borderId="2" xfId="20" applyFont="1" applyBorder="1"/>
  </cellXfs>
  <cellStyles count="21">
    <cellStyle name="Normal" xfId="0" builtinId="0"/>
    <cellStyle name="Normal 10" xfId="10" xr:uid="{0598E4E1-CB1E-49D9-9BA7-5FFE4FABC6A2}"/>
    <cellStyle name="Normal 11" xfId="11" xr:uid="{D12EA502-48F4-4D6E-805A-FCEC4C29C40B}"/>
    <cellStyle name="Normal 12" xfId="12" xr:uid="{3BB9D6A2-0596-4327-A610-9BEBA38BD29B}"/>
    <cellStyle name="Normal 13" xfId="13" xr:uid="{2B93EDBA-31C2-4F42-B335-1A609D92A80B}"/>
    <cellStyle name="Normal 14" xfId="14" xr:uid="{7481DE16-1B33-4CEC-93B5-289A25CFBBD1}"/>
    <cellStyle name="Normal 15" xfId="15" xr:uid="{30A74414-8F47-4BB2-ABBC-44C1FDF44276}"/>
    <cellStyle name="Normal 16" xfId="16" xr:uid="{594717F3-7D74-4E92-A609-0BA08F77C019}"/>
    <cellStyle name="Normal 17" xfId="17" xr:uid="{71427031-7AE7-421B-86E4-2B14FF6DF4C9}"/>
    <cellStyle name="Normal 18" xfId="18" xr:uid="{B5FB19DA-6E5D-4079-BA91-FA0EE8D86519}"/>
    <cellStyle name="Normal 19" xfId="19" xr:uid="{2937DE40-B8DD-4F94-B347-9B392139EE66}"/>
    <cellStyle name="Normal 2" xfId="1" xr:uid="{B7B525D4-047C-4549-A491-32DF78ABA85A}"/>
    <cellStyle name="Normal 20" xfId="20" xr:uid="{F2264FB4-303F-4FBE-9248-D5D75BA5380C}"/>
    <cellStyle name="Normal 3" xfId="2" xr:uid="{F49F3F5A-421A-4420-9F4F-F8BBC43A26A8}"/>
    <cellStyle name="Normal 4" xfId="4" xr:uid="{F10C78F5-1BA3-416D-A8AF-FEA89D5DF00E}"/>
    <cellStyle name="Normal 5" xfId="5" xr:uid="{73F6DADB-CD67-4AEB-9302-1FB7B8C7C6D6}"/>
    <cellStyle name="Normal 6" xfId="6" xr:uid="{C6DEC861-E37D-4244-AC82-594E6F6A2112}"/>
    <cellStyle name="Normal 7" xfId="7" xr:uid="{C78F6EC9-6BC1-44D0-9762-DB050153DE93}"/>
    <cellStyle name="Normal 8" xfId="8" xr:uid="{BA82189B-79D6-4D9F-AC43-009DC3DEBCB0}"/>
    <cellStyle name="Normal 9" xfId="9" xr:uid="{CEF8CF9E-2633-4B2C-AFA5-70885AAB91F5}"/>
    <cellStyle name="Percent 2" xfId="3" xr:uid="{80766AD4-D914-4CEF-9BD5-AB919381F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270330</xdr:colOff>
      <xdr:row>6</xdr:row>
      <xdr:rowOff>76200</xdr:rowOff>
    </xdr:from>
    <xdr:to>
      <xdr:col>6</xdr:col>
      <xdr:colOff>235378</xdr:colOff>
      <xdr:row>13</xdr:row>
      <xdr:rowOff>155575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E11B6A-6735-4716-8988-CAB17D616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6996662" y="1493520"/>
          <a:ext cx="1999588" cy="1732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900545</xdr:colOff>
      <xdr:row>3</xdr:row>
      <xdr:rowOff>46488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EC31BE-FC64-4D68-82D0-40EC52AA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6489164" y="0"/>
          <a:ext cx="900545" cy="7946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900545</xdr:colOff>
      <xdr:row>3</xdr:row>
      <xdr:rowOff>54108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2E8801-275E-429A-9C76-974D7F3B8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5744995" y="0"/>
          <a:ext cx="900545" cy="8084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900545</xdr:colOff>
      <xdr:row>3</xdr:row>
      <xdr:rowOff>61728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BFC6AB-819A-4857-A9BE-E4C2121B0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962415" y="0"/>
          <a:ext cx="900545" cy="8161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900545</xdr:colOff>
      <xdr:row>3</xdr:row>
      <xdr:rowOff>61728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029C5B-DAB6-4FC9-9CD5-4232F373C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926095" y="0"/>
          <a:ext cx="900545" cy="8161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900545</xdr:colOff>
      <xdr:row>3</xdr:row>
      <xdr:rowOff>61728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28A926-C031-4248-9CC3-94A0F4498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8846335" y="0"/>
          <a:ext cx="900545" cy="8161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900545</xdr:colOff>
      <xdr:row>3</xdr:row>
      <xdr:rowOff>55493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DFF684-6319-40A5-AB63-6B3930462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712735" y="0"/>
          <a:ext cx="900545" cy="80987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900545</xdr:colOff>
      <xdr:row>3</xdr:row>
      <xdr:rowOff>63113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144EA3-3873-4A68-87C4-58957C65D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9113035" y="0"/>
          <a:ext cx="900545" cy="81749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900545</xdr:colOff>
      <xdr:row>3</xdr:row>
      <xdr:rowOff>78353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FDFBB3-4078-47C8-9E97-7F7848BE9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484135" y="0"/>
          <a:ext cx="900545" cy="8327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900545</xdr:colOff>
      <xdr:row>3</xdr:row>
      <xdr:rowOff>70733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469011-B05D-49DC-9EF7-E380BC7FA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179335" y="0"/>
          <a:ext cx="900545" cy="82511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59531</xdr:rowOff>
    </xdr:from>
    <xdr:to>
      <xdr:col>0</xdr:col>
      <xdr:colOff>1031513</xdr:colOff>
      <xdr:row>3</xdr:row>
      <xdr:rowOff>142170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CA9D99-B9B0-486A-A411-1376206CB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7807175" y="59531"/>
          <a:ext cx="900545" cy="8327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272142</xdr:colOff>
      <xdr:row>0</xdr:row>
      <xdr:rowOff>108857</xdr:rowOff>
    </xdr:from>
    <xdr:to>
      <xdr:col>0</xdr:col>
      <xdr:colOff>1172687</xdr:colOff>
      <xdr:row>3</xdr:row>
      <xdr:rowOff>206804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310B0-0BB6-4D72-A85F-F153DD52C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3387599" y="108857"/>
          <a:ext cx="900545" cy="832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65DC-91D6-4176-A578-DE159BCE80F5}">
  <sheetPr>
    <pageSetUpPr fitToPage="1"/>
  </sheetPr>
  <dimension ref="A18:J25"/>
  <sheetViews>
    <sheetView rightToLeft="1" view="pageBreakPreview" topLeftCell="A5" zoomScaleNormal="100" zoomScaleSheetLayoutView="100" workbookViewId="0">
      <selection activeCell="A21" sqref="A21"/>
    </sheetView>
  </sheetViews>
  <sheetFormatPr defaultColWidth="8.85546875" defaultRowHeight="19.5" x14ac:dyDescent="0.55000000000000004"/>
  <cols>
    <col min="1" max="16384" width="8.85546875" style="1"/>
  </cols>
  <sheetData>
    <row r="18" spans="1:10" ht="40.15" customHeight="1" x14ac:dyDescent="0.55000000000000004">
      <c r="A18" s="91" t="s">
        <v>165</v>
      </c>
      <c r="B18" s="92"/>
      <c r="C18" s="92"/>
      <c r="D18" s="92"/>
      <c r="E18" s="92"/>
      <c r="F18" s="92"/>
      <c r="G18" s="92"/>
      <c r="H18" s="92"/>
      <c r="I18" s="92"/>
      <c r="J18" s="92"/>
    </row>
    <row r="19" spans="1:10" ht="40.15" customHeight="1" x14ac:dyDescent="0.55000000000000004">
      <c r="A19" s="91" t="s">
        <v>0</v>
      </c>
      <c r="B19" s="92"/>
      <c r="C19" s="92"/>
      <c r="D19" s="92"/>
      <c r="E19" s="92"/>
      <c r="F19" s="92"/>
      <c r="G19" s="92"/>
      <c r="H19" s="92"/>
      <c r="I19" s="92"/>
      <c r="J19" s="92"/>
    </row>
    <row r="20" spans="1:10" ht="40.15" customHeight="1" x14ac:dyDescent="0.55000000000000004">
      <c r="A20" s="91" t="s">
        <v>54</v>
      </c>
      <c r="B20" s="92"/>
      <c r="C20" s="92"/>
      <c r="D20" s="92"/>
      <c r="E20" s="92"/>
      <c r="F20" s="92"/>
      <c r="G20" s="92"/>
      <c r="H20" s="92"/>
      <c r="I20" s="92"/>
      <c r="J20" s="92"/>
    </row>
    <row r="24" spans="1:10" ht="43.5" customHeight="1" x14ac:dyDescent="0.55000000000000004">
      <c r="B24" s="93" t="s">
        <v>50</v>
      </c>
      <c r="C24" s="93"/>
      <c r="D24" s="93" t="s">
        <v>49</v>
      </c>
      <c r="E24" s="93"/>
      <c r="F24" s="93" t="s">
        <v>48</v>
      </c>
      <c r="G24" s="93"/>
      <c r="H24" s="93" t="s">
        <v>47</v>
      </c>
      <c r="I24" s="93"/>
    </row>
    <row r="25" spans="1:10" ht="39.75" customHeight="1" x14ac:dyDescent="0.55000000000000004">
      <c r="B25" s="90" t="s">
        <v>46</v>
      </c>
      <c r="C25" s="90"/>
      <c r="D25" s="90" t="s">
        <v>45</v>
      </c>
      <c r="E25" s="90"/>
      <c r="F25" s="90" t="s">
        <v>44</v>
      </c>
      <c r="G25" s="90"/>
      <c r="H25" s="90"/>
      <c r="I25" s="90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9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A9B4-C518-49D1-BA83-BBA5A6E49C32}">
  <sheetPr>
    <pageSetUpPr fitToPage="1"/>
  </sheetPr>
  <dimension ref="A1:W73"/>
  <sheetViews>
    <sheetView rightToLeft="1" view="pageBreakPreview" zoomScale="70" zoomScaleNormal="55" zoomScaleSheetLayoutView="70" workbookViewId="0">
      <selection activeCell="E64" sqref="A64:E64"/>
    </sheetView>
  </sheetViews>
  <sheetFormatPr defaultColWidth="8.85546875" defaultRowHeight="19.5" x14ac:dyDescent="0.55000000000000004"/>
  <cols>
    <col min="1" max="1" width="28" style="9" bestFit="1" customWidth="1"/>
    <col min="2" max="2" width="1.42578125" style="9" customWidth="1"/>
    <col min="3" max="3" width="12.85546875" style="9" customWidth="1"/>
    <col min="4" max="4" width="1.42578125" style="9" customWidth="1"/>
    <col min="5" max="5" width="17" style="9" customWidth="1"/>
    <col min="6" max="6" width="1.42578125" style="9" customWidth="1"/>
    <col min="7" max="7" width="18.42578125" style="9" bestFit="1" customWidth="1"/>
    <col min="8" max="8" width="1.42578125" style="9" customWidth="1"/>
    <col min="9" max="9" width="11.42578125" style="9" customWidth="1"/>
    <col min="10" max="10" width="17" style="9" customWidth="1"/>
    <col min="11" max="11" width="1.42578125" style="9" customWidth="1"/>
    <col min="12" max="12" width="11.42578125" style="9" customWidth="1"/>
    <col min="13" max="13" width="17" style="9" customWidth="1"/>
    <col min="14" max="14" width="1.42578125" style="9" customWidth="1"/>
    <col min="15" max="15" width="12.85546875" style="9" customWidth="1"/>
    <col min="16" max="16" width="1.42578125" style="9" customWidth="1"/>
    <col min="17" max="17" width="11.42578125" style="9" customWidth="1"/>
    <col min="18" max="18" width="1.42578125" style="9" customWidth="1"/>
    <col min="19" max="19" width="17" style="9" customWidth="1"/>
    <col min="20" max="20" width="1.42578125" style="9" customWidth="1"/>
    <col min="21" max="21" width="18.42578125" style="9" bestFit="1" customWidth="1"/>
    <col min="22" max="22" width="1.42578125" style="9" customWidth="1"/>
    <col min="23" max="23" width="8.42578125" style="9" customWidth="1"/>
    <col min="24" max="16384" width="8.85546875" style="9"/>
  </cols>
  <sheetData>
    <row r="1" spans="1:23" ht="19.899999999999999" customHeight="1" x14ac:dyDescent="0.55000000000000004">
      <c r="A1" s="98" t="s">
        <v>194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</row>
    <row r="2" spans="1:23" ht="19.899999999999999" customHeight="1" x14ac:dyDescent="0.55000000000000004">
      <c r="A2" s="98" t="s">
        <v>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ht="19.899999999999999" customHeight="1" x14ac:dyDescent="0.55000000000000004">
      <c r="A3" s="98" t="s">
        <v>54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5" spans="1:23" ht="21" x14ac:dyDescent="0.55000000000000004">
      <c r="A5" s="99" t="s">
        <v>90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ht="21" x14ac:dyDescent="0.55000000000000004">
      <c r="A6" s="99" t="s">
        <v>89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8" spans="1:23" ht="21" x14ac:dyDescent="0.55000000000000004">
      <c r="C8" s="100" t="s">
        <v>1</v>
      </c>
      <c r="D8" s="101"/>
      <c r="E8" s="101"/>
      <c r="F8" s="101"/>
      <c r="G8" s="101"/>
      <c r="I8" s="100" t="s">
        <v>91</v>
      </c>
      <c r="J8" s="101"/>
      <c r="K8" s="101"/>
      <c r="L8" s="101"/>
      <c r="M8" s="101"/>
      <c r="O8" s="100" t="s">
        <v>88</v>
      </c>
      <c r="P8" s="101"/>
      <c r="Q8" s="101"/>
      <c r="R8" s="101"/>
      <c r="S8" s="101"/>
      <c r="T8" s="101"/>
      <c r="U8" s="101"/>
      <c r="V8" s="101"/>
      <c r="W8" s="101"/>
    </row>
    <row r="9" spans="1:23" ht="21" x14ac:dyDescent="0.55000000000000004">
      <c r="A9" s="94" t="s">
        <v>87</v>
      </c>
      <c r="C9" s="94" t="s">
        <v>2</v>
      </c>
      <c r="E9" s="94" t="s">
        <v>3</v>
      </c>
      <c r="G9" s="94" t="s">
        <v>4</v>
      </c>
      <c r="I9" s="94" t="s">
        <v>92</v>
      </c>
      <c r="J9" s="95"/>
      <c r="L9" s="94" t="s">
        <v>93</v>
      </c>
      <c r="M9" s="95"/>
      <c r="O9" s="94" t="s">
        <v>2</v>
      </c>
      <c r="Q9" s="97" t="s">
        <v>86</v>
      </c>
      <c r="S9" s="94" t="s">
        <v>3</v>
      </c>
      <c r="U9" s="94" t="s">
        <v>4</v>
      </c>
      <c r="W9" s="97" t="s">
        <v>5</v>
      </c>
    </row>
    <row r="10" spans="1:23" ht="21" x14ac:dyDescent="0.55000000000000004">
      <c r="A10" s="96"/>
      <c r="C10" s="96"/>
      <c r="E10" s="96"/>
      <c r="G10" s="96"/>
      <c r="I10" s="11" t="s">
        <v>2</v>
      </c>
      <c r="J10" s="11" t="s">
        <v>3</v>
      </c>
      <c r="L10" s="11" t="s">
        <v>2</v>
      </c>
      <c r="M10" s="11" t="s">
        <v>6</v>
      </c>
      <c r="O10" s="96"/>
      <c r="Q10" s="96"/>
      <c r="S10" s="96"/>
      <c r="U10" s="96"/>
      <c r="W10" s="96"/>
    </row>
    <row r="11" spans="1:23" ht="21" x14ac:dyDescent="0.55000000000000004">
      <c r="A11" s="12" t="s">
        <v>192</v>
      </c>
      <c r="C11" s="13">
        <v>112236</v>
      </c>
      <c r="E11" s="13">
        <v>565484413</v>
      </c>
      <c r="G11" s="13">
        <v>624781896</v>
      </c>
      <c r="I11" s="13">
        <v>0</v>
      </c>
      <c r="J11" s="13">
        <v>0</v>
      </c>
      <c r="L11" s="13">
        <v>112236</v>
      </c>
      <c r="M11" s="13">
        <v>660483729</v>
      </c>
      <c r="O11" s="13">
        <v>0</v>
      </c>
      <c r="Q11" s="13">
        <v>0</v>
      </c>
      <c r="S11" s="13">
        <v>0</v>
      </c>
      <c r="U11" s="13">
        <v>0</v>
      </c>
      <c r="W11" s="14">
        <v>0</v>
      </c>
    </row>
    <row r="12" spans="1:23" ht="42" x14ac:dyDescent="0.55000000000000004">
      <c r="A12" s="12" t="s">
        <v>195</v>
      </c>
      <c r="C12" s="13">
        <v>0</v>
      </c>
      <c r="E12" s="13">
        <v>0</v>
      </c>
      <c r="G12" s="13">
        <v>0</v>
      </c>
      <c r="I12" s="13">
        <v>31163829</v>
      </c>
      <c r="J12" s="13">
        <v>4547775069</v>
      </c>
      <c r="L12" s="13">
        <v>0</v>
      </c>
      <c r="M12" s="13">
        <v>0</v>
      </c>
      <c r="N12" s="10"/>
      <c r="O12" s="13">
        <v>31163829</v>
      </c>
      <c r="Q12" s="13">
        <v>214</v>
      </c>
      <c r="S12" s="13">
        <v>4547775069</v>
      </c>
      <c r="U12" s="13">
        <v>6667342123</v>
      </c>
      <c r="W12" s="14">
        <v>5.1501021857470082E-3</v>
      </c>
    </row>
    <row r="13" spans="1:23" ht="21" x14ac:dyDescent="0.55000000000000004">
      <c r="A13" s="12" t="s">
        <v>196</v>
      </c>
      <c r="C13" s="13">
        <v>0</v>
      </c>
      <c r="E13" s="13">
        <v>0</v>
      </c>
      <c r="G13" s="13">
        <v>0</v>
      </c>
      <c r="I13" s="13">
        <v>1634640</v>
      </c>
      <c r="J13" s="13">
        <v>177150202</v>
      </c>
      <c r="L13" s="13">
        <v>0</v>
      </c>
      <c r="M13" s="13">
        <v>0</v>
      </c>
      <c r="N13" s="10"/>
      <c r="O13" s="13">
        <v>1634640</v>
      </c>
      <c r="Q13" s="13">
        <v>200</v>
      </c>
      <c r="S13" s="13">
        <v>177150202</v>
      </c>
      <c r="U13" s="13">
        <v>326843816</v>
      </c>
      <c r="W13" s="14">
        <v>2.5246627818494098E-4</v>
      </c>
    </row>
    <row r="14" spans="1:23" ht="21" x14ac:dyDescent="0.55000000000000004">
      <c r="A14" s="12" t="s">
        <v>85</v>
      </c>
      <c r="C14" s="13">
        <v>75000</v>
      </c>
      <c r="E14" s="13">
        <v>525487200</v>
      </c>
      <c r="G14" s="13">
        <v>534550387</v>
      </c>
      <c r="I14" s="13">
        <v>0</v>
      </c>
      <c r="J14" s="13">
        <v>0</v>
      </c>
      <c r="L14" s="13">
        <v>0</v>
      </c>
      <c r="M14" s="13">
        <v>0</v>
      </c>
      <c r="N14" s="10"/>
      <c r="O14" s="13">
        <v>75000</v>
      </c>
      <c r="Q14" s="13">
        <v>7820</v>
      </c>
      <c r="S14" s="13">
        <v>525487200</v>
      </c>
      <c r="U14" s="13">
        <v>583755862</v>
      </c>
      <c r="W14" s="14">
        <v>4.5091466514936914E-4</v>
      </c>
    </row>
    <row r="15" spans="1:23" ht="21" x14ac:dyDescent="0.55000000000000004">
      <c r="A15" s="12" t="s">
        <v>191</v>
      </c>
      <c r="C15" s="13">
        <v>1000000</v>
      </c>
      <c r="E15" s="13">
        <v>4399636215</v>
      </c>
      <c r="G15" s="13">
        <v>4205825550</v>
      </c>
      <c r="I15" s="13">
        <v>0</v>
      </c>
      <c r="J15" s="13">
        <v>0</v>
      </c>
      <c r="L15" s="13">
        <v>0</v>
      </c>
      <c r="M15" s="13">
        <v>0</v>
      </c>
      <c r="N15" s="10"/>
      <c r="O15" s="13">
        <v>1000000</v>
      </c>
      <c r="Q15" s="13">
        <v>4613</v>
      </c>
      <c r="S15" s="13">
        <v>4399636215</v>
      </c>
      <c r="U15" s="13">
        <v>4717761300</v>
      </c>
      <c r="W15" s="14">
        <v>3.6441736954140468E-3</v>
      </c>
    </row>
    <row r="16" spans="1:23" ht="21" x14ac:dyDescent="0.55000000000000004">
      <c r="A16" s="12" t="s">
        <v>190</v>
      </c>
      <c r="C16" s="13">
        <v>4242039</v>
      </c>
      <c r="E16" s="13">
        <v>11089731654</v>
      </c>
      <c r="G16" s="13">
        <v>10280555640</v>
      </c>
      <c r="I16" s="13">
        <v>0</v>
      </c>
      <c r="J16" s="13">
        <v>0</v>
      </c>
      <c r="L16" s="13">
        <v>0</v>
      </c>
      <c r="M16" s="13">
        <v>0</v>
      </c>
      <c r="N16" s="10"/>
      <c r="O16" s="13">
        <v>4242039</v>
      </c>
      <c r="Q16" s="13">
        <v>3143</v>
      </c>
      <c r="S16" s="13">
        <v>11089731654</v>
      </c>
      <c r="U16" s="13">
        <v>13253398842</v>
      </c>
      <c r="W16" s="14">
        <v>1.0237416512541106E-2</v>
      </c>
    </row>
    <row r="17" spans="1:23" ht="21" x14ac:dyDescent="0.55000000000000004">
      <c r="A17" s="12" t="s">
        <v>84</v>
      </c>
      <c r="C17" s="13">
        <v>7726948</v>
      </c>
      <c r="E17" s="13">
        <v>17704787532</v>
      </c>
      <c r="G17" s="13">
        <v>29663916411</v>
      </c>
      <c r="I17" s="13">
        <v>0</v>
      </c>
      <c r="J17" s="13">
        <v>0</v>
      </c>
      <c r="L17" s="13">
        <v>0</v>
      </c>
      <c r="M17" s="13">
        <v>0</v>
      </c>
      <c r="N17" s="10"/>
      <c r="O17" s="13">
        <v>7726948</v>
      </c>
      <c r="Q17" s="13">
        <v>3868</v>
      </c>
      <c r="S17" s="13">
        <v>17704787532</v>
      </c>
      <c r="U17" s="13">
        <v>29663916411</v>
      </c>
      <c r="W17" s="14">
        <v>2.2913508550745726E-2</v>
      </c>
    </row>
    <row r="18" spans="1:23" ht="21" x14ac:dyDescent="0.55000000000000004">
      <c r="A18" s="12" t="s">
        <v>189</v>
      </c>
      <c r="C18" s="13">
        <v>10000000</v>
      </c>
      <c r="E18" s="13">
        <v>14560081342</v>
      </c>
      <c r="G18" s="13">
        <v>18032067000</v>
      </c>
      <c r="I18" s="13">
        <v>0</v>
      </c>
      <c r="J18" s="13">
        <v>0</v>
      </c>
      <c r="L18" s="13">
        <v>0</v>
      </c>
      <c r="M18" s="13">
        <v>0</v>
      </c>
      <c r="N18" s="10"/>
      <c r="O18" s="13">
        <v>44066235</v>
      </c>
      <c r="Q18" s="13">
        <v>628</v>
      </c>
      <c r="S18" s="13">
        <v>14560081342</v>
      </c>
      <c r="U18" s="13">
        <v>27508937686</v>
      </c>
      <c r="W18" s="14">
        <v>2.1248923107683587E-2</v>
      </c>
    </row>
    <row r="19" spans="1:23" ht="21" x14ac:dyDescent="0.55000000000000004">
      <c r="A19" s="12" t="s">
        <v>83</v>
      </c>
      <c r="C19" s="13">
        <v>37560926</v>
      </c>
      <c r="E19" s="13">
        <v>23562427309</v>
      </c>
      <c r="G19" s="13">
        <v>20759615801</v>
      </c>
      <c r="I19" s="13">
        <v>2000000</v>
      </c>
      <c r="J19" s="13">
        <v>1239148839</v>
      </c>
      <c r="L19" s="13">
        <v>0</v>
      </c>
      <c r="M19" s="13">
        <v>0</v>
      </c>
      <c r="O19" s="13">
        <v>39560926</v>
      </c>
      <c r="Q19" s="13">
        <v>637</v>
      </c>
      <c r="S19" s="13">
        <v>24801576148</v>
      </c>
      <c r="U19" s="13">
        <v>25050368018</v>
      </c>
      <c r="W19" s="14">
        <v>1.9349832767426557E-2</v>
      </c>
    </row>
    <row r="20" spans="1:23" ht="21" x14ac:dyDescent="0.55000000000000004">
      <c r="A20" s="12" t="s">
        <v>82</v>
      </c>
      <c r="C20" s="13">
        <v>25392957</v>
      </c>
      <c r="E20" s="13">
        <v>22714344403</v>
      </c>
      <c r="G20" s="13">
        <v>54598162443</v>
      </c>
      <c r="I20" s="13">
        <v>0</v>
      </c>
      <c r="J20" s="13">
        <v>0</v>
      </c>
      <c r="L20" s="13">
        <v>0</v>
      </c>
      <c r="M20" s="13">
        <v>0</v>
      </c>
      <c r="N20" s="10"/>
      <c r="O20" s="13">
        <v>25392957</v>
      </c>
      <c r="Q20" s="13">
        <v>2911</v>
      </c>
      <c r="S20" s="13">
        <v>22714344403</v>
      </c>
      <c r="U20" s="13">
        <v>73479080385</v>
      </c>
      <c r="W20" s="14">
        <v>5.6757965245556458E-2</v>
      </c>
    </row>
    <row r="21" spans="1:23" ht="21" x14ac:dyDescent="0.55000000000000004">
      <c r="A21" s="12" t="s">
        <v>188</v>
      </c>
      <c r="C21" s="13">
        <v>1700000</v>
      </c>
      <c r="E21" s="13">
        <v>8016464339</v>
      </c>
      <c r="G21" s="13">
        <v>6587171730</v>
      </c>
      <c r="I21" s="13">
        <v>0</v>
      </c>
      <c r="J21" s="13">
        <v>0</v>
      </c>
      <c r="L21" s="13">
        <v>0</v>
      </c>
      <c r="M21" s="13">
        <v>0</v>
      </c>
      <c r="N21" s="10"/>
      <c r="O21" s="13">
        <v>1700000</v>
      </c>
      <c r="Q21" s="13">
        <v>3927</v>
      </c>
      <c r="S21" s="13">
        <v>8016464339</v>
      </c>
      <c r="U21" s="13">
        <v>6766299540</v>
      </c>
      <c r="W21" s="14">
        <v>5.2265405625672853E-3</v>
      </c>
    </row>
    <row r="22" spans="1:23" ht="21" x14ac:dyDescent="0.55000000000000004">
      <c r="A22" s="12" t="s">
        <v>81</v>
      </c>
      <c r="C22" s="13">
        <v>285750</v>
      </c>
      <c r="E22" s="13">
        <v>13013430474</v>
      </c>
      <c r="G22" s="13">
        <v>13620187311</v>
      </c>
      <c r="I22" s="13">
        <v>0</v>
      </c>
      <c r="J22" s="13">
        <v>0</v>
      </c>
      <c r="L22" s="13">
        <v>0</v>
      </c>
      <c r="M22" s="13">
        <v>0</v>
      </c>
      <c r="N22" s="10"/>
      <c r="O22" s="13">
        <v>285750</v>
      </c>
      <c r="Q22" s="13">
        <v>53700</v>
      </c>
      <c r="S22" s="13">
        <v>13013430474</v>
      </c>
      <c r="U22" s="13">
        <v>15253473589</v>
      </c>
      <c r="W22" s="14">
        <v>1.1782348381366114E-2</v>
      </c>
    </row>
    <row r="23" spans="1:23" ht="21" x14ac:dyDescent="0.55000000000000004">
      <c r="A23" s="12" t="s">
        <v>187</v>
      </c>
      <c r="C23" s="13">
        <v>5153333</v>
      </c>
      <c r="E23" s="13">
        <v>10662621762</v>
      </c>
      <c r="G23" s="13">
        <v>12115116131</v>
      </c>
      <c r="I23" s="13">
        <v>0</v>
      </c>
      <c r="J23" s="13">
        <v>0</v>
      </c>
      <c r="L23" s="13">
        <v>0</v>
      </c>
      <c r="M23" s="13">
        <v>0</v>
      </c>
      <c r="N23" s="10"/>
      <c r="O23" s="13">
        <v>6603333</v>
      </c>
      <c r="Q23" s="13">
        <v>2556</v>
      </c>
      <c r="S23" s="13">
        <v>13662777497</v>
      </c>
      <c r="U23" s="13">
        <v>16777694339</v>
      </c>
      <c r="W23" s="14">
        <v>1.2959712985029778E-2</v>
      </c>
    </row>
    <row r="24" spans="1:23" ht="21" x14ac:dyDescent="0.55000000000000004">
      <c r="A24" s="12" t="s">
        <v>186</v>
      </c>
      <c r="C24" s="13">
        <v>1450000</v>
      </c>
      <c r="E24" s="13">
        <v>1550155735</v>
      </c>
      <c r="G24" s="13">
        <v>1751267587</v>
      </c>
      <c r="I24" s="13">
        <v>0</v>
      </c>
      <c r="J24" s="13">
        <v>0</v>
      </c>
      <c r="L24" s="13">
        <v>0</v>
      </c>
      <c r="M24" s="13">
        <v>0</v>
      </c>
      <c r="N24" s="10"/>
      <c r="O24" s="13">
        <v>0</v>
      </c>
      <c r="Q24" s="13">
        <v>0</v>
      </c>
      <c r="S24" s="13">
        <v>0</v>
      </c>
      <c r="U24" s="13">
        <v>0</v>
      </c>
      <c r="W24" s="14">
        <v>0</v>
      </c>
    </row>
    <row r="25" spans="1:23" ht="21" x14ac:dyDescent="0.55000000000000004">
      <c r="A25" s="12" t="s">
        <v>80</v>
      </c>
      <c r="C25" s="13">
        <v>900000</v>
      </c>
      <c r="E25" s="13">
        <v>2932719040</v>
      </c>
      <c r="G25" s="13">
        <v>2980062495</v>
      </c>
      <c r="I25" s="13">
        <v>0</v>
      </c>
      <c r="J25" s="13">
        <v>0</v>
      </c>
      <c r="L25" s="13">
        <v>0</v>
      </c>
      <c r="M25" s="13">
        <v>0</v>
      </c>
      <c r="N25" s="10"/>
      <c r="O25" s="13">
        <v>900000</v>
      </c>
      <c r="Q25" s="13">
        <v>3481</v>
      </c>
      <c r="S25" s="13">
        <v>2932719040</v>
      </c>
      <c r="U25" s="13">
        <v>3117837825</v>
      </c>
      <c r="W25" s="14">
        <v>2.4083335009831772E-3</v>
      </c>
    </row>
    <row r="26" spans="1:23" ht="21" x14ac:dyDescent="0.55000000000000004">
      <c r="A26" s="12" t="s">
        <v>79</v>
      </c>
      <c r="C26" s="13">
        <v>800000</v>
      </c>
      <c r="E26" s="13">
        <v>4614185880</v>
      </c>
      <c r="G26" s="13">
        <v>5113393200</v>
      </c>
      <c r="I26" s="13">
        <v>0</v>
      </c>
      <c r="J26" s="13">
        <v>0</v>
      </c>
      <c r="L26" s="13">
        <v>0</v>
      </c>
      <c r="M26" s="13">
        <v>0</v>
      </c>
      <c r="N26" s="10"/>
      <c r="O26" s="13">
        <v>800000</v>
      </c>
      <c r="Q26" s="13">
        <v>6810</v>
      </c>
      <c r="S26" s="13">
        <v>4614185880</v>
      </c>
      <c r="U26" s="13">
        <v>5415584400</v>
      </c>
      <c r="W26" s="14">
        <v>4.1831981231807269E-3</v>
      </c>
    </row>
    <row r="27" spans="1:23" ht="21" x14ac:dyDescent="0.55000000000000004">
      <c r="A27" s="12" t="s">
        <v>185</v>
      </c>
      <c r="C27" s="13">
        <v>3400000</v>
      </c>
      <c r="E27" s="13">
        <v>9586342604</v>
      </c>
      <c r="G27" s="13">
        <v>9936523800</v>
      </c>
      <c r="I27" s="13">
        <v>0</v>
      </c>
      <c r="J27" s="13">
        <v>0</v>
      </c>
      <c r="L27" s="13">
        <v>0</v>
      </c>
      <c r="M27" s="13">
        <v>0</v>
      </c>
      <c r="N27" s="10"/>
      <c r="O27" s="13">
        <v>28192301</v>
      </c>
      <c r="Q27" s="13">
        <v>356</v>
      </c>
      <c r="S27" s="13">
        <v>9586342604</v>
      </c>
      <c r="U27" s="13">
        <v>9976742224</v>
      </c>
      <c r="W27" s="14">
        <v>7.706405489109302E-3</v>
      </c>
    </row>
    <row r="28" spans="1:23" ht="21" x14ac:dyDescent="0.55000000000000004">
      <c r="A28" s="12" t="s">
        <v>77</v>
      </c>
      <c r="C28" s="13">
        <v>26000000</v>
      </c>
      <c r="E28" s="13">
        <v>31474558083</v>
      </c>
      <c r="G28" s="13">
        <v>34115796000</v>
      </c>
      <c r="I28" s="13">
        <v>7000000</v>
      </c>
      <c r="J28" s="13">
        <v>10117380113</v>
      </c>
      <c r="L28" s="13">
        <v>0</v>
      </c>
      <c r="M28" s="13">
        <v>0</v>
      </c>
      <c r="O28" s="13">
        <v>33000000</v>
      </c>
      <c r="Q28" s="13">
        <v>1537</v>
      </c>
      <c r="S28" s="13">
        <v>41591938196</v>
      </c>
      <c r="U28" s="13">
        <v>50419210050</v>
      </c>
      <c r="W28" s="14">
        <v>3.8945666667740388E-2</v>
      </c>
    </row>
    <row r="29" spans="1:23" ht="21" x14ac:dyDescent="0.55000000000000004">
      <c r="A29" s="12" t="s">
        <v>184</v>
      </c>
      <c r="C29" s="13">
        <v>500000</v>
      </c>
      <c r="E29" s="13">
        <v>12548398732</v>
      </c>
      <c r="G29" s="13">
        <v>11401753500</v>
      </c>
      <c r="I29" s="13">
        <v>0</v>
      </c>
      <c r="J29" s="13">
        <v>0</v>
      </c>
      <c r="L29" s="13">
        <v>0</v>
      </c>
      <c r="M29" s="13">
        <v>0</v>
      </c>
      <c r="N29" s="10"/>
      <c r="O29" s="13">
        <v>500000</v>
      </c>
      <c r="Q29" s="13">
        <v>25080</v>
      </c>
      <c r="S29" s="13">
        <v>12548398732</v>
      </c>
      <c r="U29" s="13">
        <v>12684078000</v>
      </c>
      <c r="W29" s="14">
        <v>9.7976519918843742E-3</v>
      </c>
    </row>
    <row r="30" spans="1:23" ht="21" x14ac:dyDescent="0.55000000000000004">
      <c r="A30" s="12" t="s">
        <v>183</v>
      </c>
      <c r="C30" s="13">
        <v>888004</v>
      </c>
      <c r="E30" s="13">
        <v>8268927676</v>
      </c>
      <c r="G30" s="13">
        <v>11298820815</v>
      </c>
      <c r="I30" s="13">
        <v>0</v>
      </c>
      <c r="J30" s="13">
        <v>0</v>
      </c>
      <c r="L30" s="13">
        <v>0</v>
      </c>
      <c r="M30" s="13">
        <v>0</v>
      </c>
      <c r="N30" s="10"/>
      <c r="O30" s="13">
        <v>888004</v>
      </c>
      <c r="Q30" s="13">
        <v>14290</v>
      </c>
      <c r="S30" s="13">
        <v>8268927676</v>
      </c>
      <c r="U30" s="13">
        <v>12764136640</v>
      </c>
      <c r="W30" s="14">
        <v>9.8594922528527744E-3</v>
      </c>
    </row>
    <row r="31" spans="1:23" ht="21" x14ac:dyDescent="0.55000000000000004">
      <c r="A31" s="12" t="s">
        <v>76</v>
      </c>
      <c r="C31" s="13">
        <v>3900000</v>
      </c>
      <c r="E31" s="13">
        <v>27252015953</v>
      </c>
      <c r="G31" s="13">
        <v>36092961450</v>
      </c>
      <c r="I31" s="13">
        <v>0</v>
      </c>
      <c r="J31" s="13">
        <v>0</v>
      </c>
      <c r="L31" s="13">
        <v>0</v>
      </c>
      <c r="M31" s="13">
        <v>0</v>
      </c>
      <c r="N31" s="10"/>
      <c r="O31" s="13">
        <v>3900000</v>
      </c>
      <c r="Q31" s="13">
        <v>10850</v>
      </c>
      <c r="S31" s="13">
        <v>27252015953</v>
      </c>
      <c r="U31" s="13">
        <v>42063225750</v>
      </c>
      <c r="W31" s="14">
        <v>3.2491194673713739E-2</v>
      </c>
    </row>
    <row r="32" spans="1:23" ht="21" x14ac:dyDescent="0.55000000000000004">
      <c r="A32" s="12" t="s">
        <v>182</v>
      </c>
      <c r="C32" s="13">
        <v>1285714</v>
      </c>
      <c r="E32" s="13">
        <v>5010028996</v>
      </c>
      <c r="G32" s="13">
        <v>6735397289</v>
      </c>
      <c r="I32" s="13">
        <v>0</v>
      </c>
      <c r="J32" s="13">
        <v>0</v>
      </c>
      <c r="L32" s="13">
        <v>0</v>
      </c>
      <c r="M32" s="13">
        <v>0</v>
      </c>
      <c r="N32" s="10"/>
      <c r="O32" s="13">
        <v>1285714</v>
      </c>
      <c r="Q32" s="13">
        <v>4800</v>
      </c>
      <c r="S32" s="13">
        <v>5010028996</v>
      </c>
      <c r="U32" s="13">
        <v>6304689720</v>
      </c>
      <c r="W32" s="14">
        <v>4.8699760276916413E-3</v>
      </c>
    </row>
    <row r="33" spans="1:23" ht="21" x14ac:dyDescent="0.55000000000000004">
      <c r="A33" s="12" t="s">
        <v>75</v>
      </c>
      <c r="C33" s="13">
        <v>0</v>
      </c>
      <c r="E33" s="13">
        <v>0</v>
      </c>
      <c r="G33" s="13">
        <v>0</v>
      </c>
      <c r="H33" s="10"/>
      <c r="I33" s="13">
        <v>6500000</v>
      </c>
      <c r="J33" s="13">
        <v>7807238400</v>
      </c>
      <c r="L33" s="13">
        <v>0</v>
      </c>
      <c r="M33" s="13">
        <v>0</v>
      </c>
      <c r="O33" s="13">
        <v>6500000</v>
      </c>
      <c r="Q33" s="13">
        <v>1390</v>
      </c>
      <c r="S33" s="13">
        <v>7807238400</v>
      </c>
      <c r="U33" s="13">
        <v>8981241750</v>
      </c>
      <c r="W33" s="14">
        <v>6.9374440240341159E-3</v>
      </c>
    </row>
    <row r="34" spans="1:23" ht="21" x14ac:dyDescent="0.55000000000000004">
      <c r="A34" s="12" t="s">
        <v>181</v>
      </c>
      <c r="C34" s="13">
        <v>1300000</v>
      </c>
      <c r="E34" s="13">
        <v>11563220662</v>
      </c>
      <c r="G34" s="13">
        <v>10958407200</v>
      </c>
      <c r="I34" s="13">
        <v>200000</v>
      </c>
      <c r="J34" s="13">
        <v>2043295472</v>
      </c>
      <c r="L34" s="13">
        <v>0</v>
      </c>
      <c r="M34" s="13">
        <v>0</v>
      </c>
      <c r="O34" s="13">
        <v>1500000</v>
      </c>
      <c r="Q34" s="13">
        <v>10490</v>
      </c>
      <c r="S34" s="13">
        <v>13606516134</v>
      </c>
      <c r="U34" s="13">
        <v>15641376750</v>
      </c>
      <c r="W34" s="14">
        <v>1.2081979160838608E-2</v>
      </c>
    </row>
    <row r="35" spans="1:23" ht="21" x14ac:dyDescent="0.55000000000000004">
      <c r="A35" s="12" t="s">
        <v>73</v>
      </c>
      <c r="C35" s="13">
        <v>2400000</v>
      </c>
      <c r="E35" s="13">
        <v>11429569715</v>
      </c>
      <c r="G35" s="13">
        <v>9087207480</v>
      </c>
      <c r="I35" s="13">
        <v>0</v>
      </c>
      <c r="J35" s="13">
        <v>0</v>
      </c>
      <c r="L35" s="13">
        <v>0</v>
      </c>
      <c r="M35" s="13">
        <v>0</v>
      </c>
      <c r="N35" s="10"/>
      <c r="O35" s="13">
        <v>2400000</v>
      </c>
      <c r="Q35" s="13">
        <v>4175</v>
      </c>
      <c r="S35" s="13">
        <v>11429569715</v>
      </c>
      <c r="U35" s="13">
        <v>9984238200</v>
      </c>
      <c r="W35" s="14">
        <v>7.7121956588155688E-3</v>
      </c>
    </row>
    <row r="36" spans="1:23" ht="21" x14ac:dyDescent="0.55000000000000004">
      <c r="A36" s="12" t="s">
        <v>72</v>
      </c>
      <c r="C36" s="13">
        <v>249999</v>
      </c>
      <c r="E36" s="13">
        <v>1709077715</v>
      </c>
      <c r="G36" s="13">
        <v>1729640081</v>
      </c>
      <c r="I36" s="13">
        <v>0</v>
      </c>
      <c r="J36" s="13">
        <v>0</v>
      </c>
      <c r="L36" s="13">
        <v>0</v>
      </c>
      <c r="M36" s="13">
        <v>0</v>
      </c>
      <c r="N36" s="10"/>
      <c r="O36" s="13">
        <v>249999</v>
      </c>
      <c r="Q36" s="13">
        <v>7640</v>
      </c>
      <c r="S36" s="13">
        <v>1709077715</v>
      </c>
      <c r="U36" s="13">
        <v>1898627905</v>
      </c>
      <c r="W36" s="14">
        <v>1.466570567862363E-3</v>
      </c>
    </row>
    <row r="37" spans="1:23" ht="21" x14ac:dyDescent="0.55000000000000004">
      <c r="A37" s="12" t="s">
        <v>71</v>
      </c>
      <c r="C37" s="13">
        <v>1500000</v>
      </c>
      <c r="E37" s="13">
        <v>4654315200</v>
      </c>
      <c r="G37" s="13">
        <v>5431986225</v>
      </c>
      <c r="I37" s="13">
        <v>0</v>
      </c>
      <c r="J37" s="13">
        <v>0</v>
      </c>
      <c r="L37" s="13">
        <v>0</v>
      </c>
      <c r="M37" s="13">
        <v>0</v>
      </c>
      <c r="N37" s="10"/>
      <c r="O37" s="13">
        <v>1500000</v>
      </c>
      <c r="Q37" s="13">
        <v>4621</v>
      </c>
      <c r="S37" s="13">
        <v>4654315200</v>
      </c>
      <c r="U37" s="13">
        <v>6924552300</v>
      </c>
      <c r="W37" s="14">
        <v>5.3487808601462815E-3</v>
      </c>
    </row>
    <row r="38" spans="1:23" ht="21" x14ac:dyDescent="0.55000000000000004">
      <c r="A38" s="12" t="s">
        <v>70</v>
      </c>
      <c r="C38" s="13">
        <v>12666666</v>
      </c>
      <c r="E38" s="13">
        <v>59922288611</v>
      </c>
      <c r="G38" s="13">
        <v>90468485739</v>
      </c>
      <c r="I38" s="13">
        <v>600000</v>
      </c>
      <c r="J38" s="13">
        <v>4732387584</v>
      </c>
      <c r="L38" s="13">
        <v>0</v>
      </c>
      <c r="M38" s="13">
        <v>0</v>
      </c>
      <c r="O38" s="13">
        <v>13266666</v>
      </c>
      <c r="Q38" s="13">
        <v>9070</v>
      </c>
      <c r="S38" s="13">
        <v>64654676195</v>
      </c>
      <c r="U38" s="13">
        <v>119612705089</v>
      </c>
      <c r="W38" s="14">
        <v>9.2393286943672145E-2</v>
      </c>
    </row>
    <row r="39" spans="1:23" ht="21" x14ac:dyDescent="0.55000000000000004">
      <c r="A39" s="12" t="s">
        <v>69</v>
      </c>
      <c r="C39" s="13">
        <v>650000</v>
      </c>
      <c r="E39" s="13">
        <v>12030071874</v>
      </c>
      <c r="G39" s="13">
        <v>15184113750</v>
      </c>
      <c r="I39" s="13">
        <v>0</v>
      </c>
      <c r="J39" s="13">
        <v>0</v>
      </c>
      <c r="L39" s="13">
        <v>0</v>
      </c>
      <c r="M39" s="13">
        <v>0</v>
      </c>
      <c r="N39" s="10"/>
      <c r="O39" s="13">
        <v>650000</v>
      </c>
      <c r="Q39" s="13">
        <v>25820</v>
      </c>
      <c r="S39" s="13">
        <v>12030071874</v>
      </c>
      <c r="U39" s="13">
        <v>16683141150</v>
      </c>
      <c r="W39" s="14">
        <v>1.2886676597162652E-2</v>
      </c>
    </row>
    <row r="40" spans="1:23" ht="21" x14ac:dyDescent="0.55000000000000004">
      <c r="A40" s="12" t="s">
        <v>68</v>
      </c>
      <c r="C40" s="13">
        <v>3868421</v>
      </c>
      <c r="E40" s="13">
        <v>9853037681</v>
      </c>
      <c r="G40" s="13">
        <v>6925572415</v>
      </c>
      <c r="I40" s="13">
        <v>0</v>
      </c>
      <c r="J40" s="13">
        <v>0</v>
      </c>
      <c r="L40" s="13">
        <v>0</v>
      </c>
      <c r="M40" s="13">
        <v>0</v>
      </c>
      <c r="N40" s="10"/>
      <c r="O40" s="13">
        <v>3868421</v>
      </c>
      <c r="Q40" s="13">
        <v>1812</v>
      </c>
      <c r="S40" s="13">
        <v>9853037681</v>
      </c>
      <c r="U40" s="13">
        <v>6971717262</v>
      </c>
      <c r="W40" s="14">
        <v>5.3852128249991032E-3</v>
      </c>
    </row>
    <row r="41" spans="1:23" ht="21" x14ac:dyDescent="0.55000000000000004">
      <c r="A41" s="12" t="s">
        <v>67</v>
      </c>
      <c r="C41" s="13">
        <v>20766211</v>
      </c>
      <c r="E41" s="13">
        <v>69033791937</v>
      </c>
      <c r="G41" s="13">
        <v>81538475576</v>
      </c>
      <c r="I41" s="13">
        <v>0</v>
      </c>
      <c r="J41" s="13">
        <v>0</v>
      </c>
      <c r="L41" s="13">
        <v>0</v>
      </c>
      <c r="M41" s="13">
        <v>0</v>
      </c>
      <c r="N41" s="10"/>
      <c r="O41" s="13">
        <v>20766211</v>
      </c>
      <c r="Q41" s="13">
        <v>4351</v>
      </c>
      <c r="S41" s="13">
        <v>69033791937</v>
      </c>
      <c r="U41" s="13">
        <v>89816179046</v>
      </c>
      <c r="W41" s="14">
        <v>6.9377345797896034E-2</v>
      </c>
    </row>
    <row r="42" spans="1:23" ht="21" x14ac:dyDescent="0.55000000000000004">
      <c r="A42" s="12" t="s">
        <v>66</v>
      </c>
      <c r="C42" s="13">
        <v>200000</v>
      </c>
      <c r="E42" s="13">
        <v>2542357120</v>
      </c>
      <c r="G42" s="13">
        <v>2749542300</v>
      </c>
      <c r="I42" s="13">
        <v>0</v>
      </c>
      <c r="J42" s="13">
        <v>0</v>
      </c>
      <c r="L42" s="13">
        <v>0</v>
      </c>
      <c r="M42" s="13">
        <v>0</v>
      </c>
      <c r="N42" s="10"/>
      <c r="O42" s="13">
        <v>200000</v>
      </c>
      <c r="Q42" s="13">
        <v>15150</v>
      </c>
      <c r="S42" s="13">
        <v>2542357120</v>
      </c>
      <c r="U42" s="13">
        <v>3019923900</v>
      </c>
      <c r="W42" s="14">
        <v>2.3327011560614992E-3</v>
      </c>
    </row>
    <row r="43" spans="1:23" ht="21" x14ac:dyDescent="0.55000000000000004">
      <c r="A43" s="12" t="s">
        <v>180</v>
      </c>
      <c r="C43" s="13">
        <v>1341844</v>
      </c>
      <c r="E43" s="13">
        <v>11432747846</v>
      </c>
      <c r="G43" s="13">
        <v>14245625101</v>
      </c>
      <c r="I43" s="13">
        <v>300000</v>
      </c>
      <c r="J43" s="13">
        <v>3804527309</v>
      </c>
      <c r="L43" s="13">
        <v>0</v>
      </c>
      <c r="M43" s="13">
        <v>0</v>
      </c>
      <c r="O43" s="13">
        <v>1641844</v>
      </c>
      <c r="Q43" s="13">
        <v>13950</v>
      </c>
      <c r="S43" s="13">
        <v>15237275155</v>
      </c>
      <c r="U43" s="13">
        <v>22767446643</v>
      </c>
      <c r="W43" s="14">
        <v>1.7586419679215957E-2</v>
      </c>
    </row>
    <row r="44" spans="1:23" ht="21" x14ac:dyDescent="0.55000000000000004">
      <c r="A44" s="12" t="s">
        <v>99</v>
      </c>
      <c r="C44" s="13">
        <v>1250000</v>
      </c>
      <c r="E44" s="13">
        <v>8819935931</v>
      </c>
      <c r="G44" s="13">
        <v>10561781250</v>
      </c>
      <c r="I44" s="13">
        <v>0</v>
      </c>
      <c r="J44" s="13">
        <v>0</v>
      </c>
      <c r="L44" s="13">
        <v>0</v>
      </c>
      <c r="M44" s="13">
        <v>0</v>
      </c>
      <c r="N44" s="10"/>
      <c r="O44" s="13">
        <v>20010652</v>
      </c>
      <c r="Q44" s="13">
        <v>530</v>
      </c>
      <c r="S44" s="13">
        <v>8819935931</v>
      </c>
      <c r="U44" s="13">
        <v>10542541969</v>
      </c>
      <c r="W44" s="14">
        <v>8.1434501839311828E-3</v>
      </c>
    </row>
    <row r="45" spans="1:23" ht="21" x14ac:dyDescent="0.55000000000000004">
      <c r="A45" s="12" t="s">
        <v>65</v>
      </c>
      <c r="C45" s="13">
        <v>800000</v>
      </c>
      <c r="E45" s="13">
        <v>12871934080</v>
      </c>
      <c r="G45" s="13">
        <v>10680073200</v>
      </c>
      <c r="I45" s="13">
        <v>0</v>
      </c>
      <c r="J45" s="13">
        <v>0</v>
      </c>
      <c r="L45" s="13">
        <v>0</v>
      </c>
      <c r="M45" s="13">
        <v>0</v>
      </c>
      <c r="N45" s="10"/>
      <c r="O45" s="13">
        <v>800000</v>
      </c>
      <c r="Q45" s="13">
        <v>14210</v>
      </c>
      <c r="S45" s="13">
        <v>12871934080</v>
      </c>
      <c r="U45" s="13">
        <v>11300360400</v>
      </c>
      <c r="W45" s="14">
        <v>8.728817229133351E-3</v>
      </c>
    </row>
    <row r="46" spans="1:23" ht="21" x14ac:dyDescent="0.55000000000000004">
      <c r="A46" s="12" t="s">
        <v>64</v>
      </c>
      <c r="C46" s="13">
        <v>2421626</v>
      </c>
      <c r="E46" s="13">
        <v>14654234242</v>
      </c>
      <c r="G46" s="13">
        <v>13721138754</v>
      </c>
      <c r="I46" s="13">
        <v>0</v>
      </c>
      <c r="J46" s="13">
        <v>0</v>
      </c>
      <c r="L46" s="13">
        <v>0</v>
      </c>
      <c r="M46" s="13">
        <v>0</v>
      </c>
      <c r="N46" s="10"/>
      <c r="O46" s="13">
        <v>2421626</v>
      </c>
      <c r="Q46" s="13">
        <v>6000</v>
      </c>
      <c r="S46" s="13">
        <v>14654234242</v>
      </c>
      <c r="U46" s="13">
        <v>14443303952</v>
      </c>
      <c r="W46" s="14">
        <v>1.1156543324213574E-2</v>
      </c>
    </row>
    <row r="47" spans="1:23" ht="21" x14ac:dyDescent="0.55000000000000004">
      <c r="A47" s="12" t="s">
        <v>63</v>
      </c>
      <c r="C47" s="13">
        <v>350000</v>
      </c>
      <c r="E47" s="13">
        <v>14363029800</v>
      </c>
      <c r="G47" s="13">
        <v>14125450500</v>
      </c>
      <c r="I47" s="13">
        <v>0</v>
      </c>
      <c r="J47" s="13">
        <v>0</v>
      </c>
      <c r="L47" s="13">
        <v>175000</v>
      </c>
      <c r="M47" s="13">
        <v>8066371716</v>
      </c>
      <c r="O47" s="13">
        <v>175000</v>
      </c>
      <c r="Q47" s="13">
        <v>44800</v>
      </c>
      <c r="S47" s="13">
        <v>7181514900</v>
      </c>
      <c r="U47" s="13">
        <v>7819445812</v>
      </c>
      <c r="W47" s="14">
        <v>6.0400297787015916E-3</v>
      </c>
    </row>
    <row r="48" spans="1:23" ht="21" x14ac:dyDescent="0.55000000000000004">
      <c r="A48" s="12" t="s">
        <v>62</v>
      </c>
      <c r="C48" s="13">
        <v>11320000</v>
      </c>
      <c r="E48" s="13">
        <v>61919507698</v>
      </c>
      <c r="G48" s="13">
        <v>104312028420</v>
      </c>
      <c r="I48" s="13">
        <v>0</v>
      </c>
      <c r="J48" s="13">
        <v>0</v>
      </c>
      <c r="L48" s="13">
        <v>0</v>
      </c>
      <c r="M48" s="13">
        <v>0</v>
      </c>
      <c r="N48" s="10"/>
      <c r="O48" s="13">
        <v>11320000</v>
      </c>
      <c r="Q48" s="13">
        <v>9720</v>
      </c>
      <c r="S48" s="13">
        <v>61919507698</v>
      </c>
      <c r="U48" s="13">
        <v>109263192660</v>
      </c>
      <c r="W48" s="14">
        <v>8.43989399312189E-2</v>
      </c>
    </row>
    <row r="49" spans="1:23" ht="21" x14ac:dyDescent="0.55000000000000004">
      <c r="A49" s="12" t="s">
        <v>179</v>
      </c>
      <c r="C49" s="13">
        <v>0</v>
      </c>
      <c r="E49" s="13">
        <v>0</v>
      </c>
      <c r="G49" s="13">
        <v>0</v>
      </c>
      <c r="H49" s="10"/>
      <c r="I49" s="13">
        <v>1000000</v>
      </c>
      <c r="J49" s="13">
        <v>12779722483</v>
      </c>
      <c r="L49" s="13">
        <v>0</v>
      </c>
      <c r="M49" s="13">
        <v>0</v>
      </c>
      <c r="O49" s="13">
        <v>1000000</v>
      </c>
      <c r="Q49" s="13">
        <v>14640</v>
      </c>
      <c r="S49" s="13">
        <v>12779722483</v>
      </c>
      <c r="U49" s="13">
        <v>14552892000</v>
      </c>
      <c r="W49" s="14">
        <v>1.1241193194450411E-2</v>
      </c>
    </row>
    <row r="50" spans="1:23" ht="21" x14ac:dyDescent="0.55000000000000004">
      <c r="A50" s="12" t="s">
        <v>61</v>
      </c>
      <c r="C50" s="13">
        <v>14200000</v>
      </c>
      <c r="E50" s="13">
        <v>37019592698</v>
      </c>
      <c r="G50" s="13">
        <v>48515007870</v>
      </c>
      <c r="I50" s="13">
        <v>0</v>
      </c>
      <c r="J50" s="13">
        <v>0</v>
      </c>
      <c r="L50" s="13">
        <v>0</v>
      </c>
      <c r="M50" s="13">
        <v>0</v>
      </c>
      <c r="N50" s="10"/>
      <c r="O50" s="13">
        <v>14200000</v>
      </c>
      <c r="Q50" s="13">
        <v>3716</v>
      </c>
      <c r="S50" s="13">
        <v>37019592698</v>
      </c>
      <c r="U50" s="13">
        <v>52453235160</v>
      </c>
      <c r="W50" s="14">
        <v>4.051682305534178E-2</v>
      </c>
    </row>
    <row r="51" spans="1:23" ht="21" x14ac:dyDescent="0.55000000000000004">
      <c r="A51" s="12" t="s">
        <v>178</v>
      </c>
      <c r="C51" s="13">
        <v>0</v>
      </c>
      <c r="E51" s="13">
        <v>0</v>
      </c>
      <c r="G51" s="13">
        <v>0</v>
      </c>
      <c r="H51" s="10"/>
      <c r="I51" s="13">
        <v>400000</v>
      </c>
      <c r="J51" s="13">
        <v>3581320357</v>
      </c>
      <c r="L51" s="13">
        <v>0</v>
      </c>
      <c r="M51" s="13">
        <v>0</v>
      </c>
      <c r="O51" s="13">
        <v>400000</v>
      </c>
      <c r="Q51" s="13">
        <v>9600</v>
      </c>
      <c r="S51" s="13">
        <v>3581320357</v>
      </c>
      <c r="U51" s="13">
        <v>3817152000</v>
      </c>
      <c r="W51" s="14">
        <v>2.9485096903476486E-3</v>
      </c>
    </row>
    <row r="52" spans="1:23" ht="21" x14ac:dyDescent="0.55000000000000004">
      <c r="A52" s="12" t="s">
        <v>177</v>
      </c>
      <c r="C52" s="13">
        <v>400000</v>
      </c>
      <c r="E52" s="13">
        <v>6776045113</v>
      </c>
      <c r="G52" s="13">
        <v>5224726800</v>
      </c>
      <c r="I52" s="13">
        <v>0</v>
      </c>
      <c r="J52" s="13">
        <v>0</v>
      </c>
      <c r="L52" s="13">
        <v>0</v>
      </c>
      <c r="M52" s="13">
        <v>0</v>
      </c>
      <c r="N52" s="10"/>
      <c r="O52" s="13">
        <v>400000</v>
      </c>
      <c r="Q52" s="13">
        <v>14280</v>
      </c>
      <c r="S52" s="13">
        <v>6776045113</v>
      </c>
      <c r="U52" s="13">
        <v>5825133000</v>
      </c>
      <c r="W52" s="14">
        <v>4.4995486420409429E-3</v>
      </c>
    </row>
    <row r="53" spans="1:23" ht="21" x14ac:dyDescent="0.55000000000000004">
      <c r="A53" s="12" t="s">
        <v>176</v>
      </c>
      <c r="C53" s="13">
        <v>650000</v>
      </c>
      <c r="E53" s="13">
        <v>10326401749</v>
      </c>
      <c r="G53" s="13">
        <v>11520542475</v>
      </c>
      <c r="I53" s="13">
        <v>0</v>
      </c>
      <c r="J53" s="13">
        <v>0</v>
      </c>
      <c r="L53" s="13">
        <v>0</v>
      </c>
      <c r="M53" s="13">
        <v>0</v>
      </c>
      <c r="N53" s="10"/>
      <c r="O53" s="13">
        <v>650000</v>
      </c>
      <c r="Q53" s="13">
        <v>19260</v>
      </c>
      <c r="S53" s="13">
        <v>10326401749</v>
      </c>
      <c r="U53" s="13">
        <v>12534970500</v>
      </c>
      <c r="W53" s="14">
        <v>9.6824758321051689E-3</v>
      </c>
    </row>
    <row r="54" spans="1:23" ht="21" x14ac:dyDescent="0.55000000000000004">
      <c r="A54" s="12" t="s">
        <v>175</v>
      </c>
      <c r="C54" s="13">
        <v>6485981</v>
      </c>
      <c r="E54" s="13">
        <v>12347277052</v>
      </c>
      <c r="G54" s="13">
        <v>15441497644</v>
      </c>
      <c r="I54" s="13">
        <v>0</v>
      </c>
      <c r="J54" s="13">
        <v>0</v>
      </c>
      <c r="L54" s="13">
        <v>0</v>
      </c>
      <c r="M54" s="13">
        <v>0</v>
      </c>
      <c r="N54" s="10"/>
      <c r="O54" s="13">
        <v>6485981</v>
      </c>
      <c r="Q54" s="13">
        <v>2468</v>
      </c>
      <c r="S54" s="13">
        <v>12347277052</v>
      </c>
      <c r="U54" s="13">
        <v>15912157071</v>
      </c>
      <c r="W54" s="14">
        <v>1.2291139917450853E-2</v>
      </c>
    </row>
    <row r="55" spans="1:23" ht="21" x14ac:dyDescent="0.55000000000000004">
      <c r="A55" s="12" t="s">
        <v>174</v>
      </c>
      <c r="C55" s="13">
        <v>500000</v>
      </c>
      <c r="E55" s="13">
        <v>17557212522</v>
      </c>
      <c r="G55" s="13">
        <v>29269802250</v>
      </c>
      <c r="I55" s="13">
        <v>0</v>
      </c>
      <c r="J55" s="13">
        <v>0</v>
      </c>
      <c r="L55" s="13">
        <v>0</v>
      </c>
      <c r="M55" s="13">
        <v>0</v>
      </c>
      <c r="N55" s="10"/>
      <c r="O55" s="13">
        <v>500000</v>
      </c>
      <c r="Q55" s="13">
        <v>64080</v>
      </c>
      <c r="S55" s="13">
        <v>17557212522</v>
      </c>
      <c r="U55" s="13">
        <v>31854332250</v>
      </c>
      <c r="W55" s="14">
        <v>2.4605466934164166E-2</v>
      </c>
    </row>
    <row r="56" spans="1:23" ht="21" x14ac:dyDescent="0.55000000000000004">
      <c r="A56" s="12" t="s">
        <v>173</v>
      </c>
      <c r="C56" s="13">
        <v>3250000</v>
      </c>
      <c r="E56" s="13">
        <v>13719754359</v>
      </c>
      <c r="G56" s="13">
        <v>12586661100</v>
      </c>
      <c r="I56" s="13">
        <v>0</v>
      </c>
      <c r="J56" s="13">
        <v>0</v>
      </c>
      <c r="L56" s="13">
        <v>0</v>
      </c>
      <c r="M56" s="13">
        <v>0</v>
      </c>
      <c r="N56" s="10"/>
      <c r="O56" s="13">
        <v>3250000</v>
      </c>
      <c r="Q56" s="13">
        <v>4537</v>
      </c>
      <c r="S56" s="13">
        <v>13719754359</v>
      </c>
      <c r="U56" s="13">
        <v>14657515762</v>
      </c>
      <c r="W56" s="14">
        <v>1.1322008466175934E-2</v>
      </c>
    </row>
    <row r="57" spans="1:23" ht="21" x14ac:dyDescent="0.55000000000000004">
      <c r="A57" s="12" t="s">
        <v>60</v>
      </c>
      <c r="C57" s="13">
        <v>220000</v>
      </c>
      <c r="E57" s="13">
        <v>13591734748</v>
      </c>
      <c r="G57" s="13">
        <v>17418738150</v>
      </c>
      <c r="I57" s="13">
        <v>0</v>
      </c>
      <c r="J57" s="13">
        <v>0</v>
      </c>
      <c r="L57" s="13">
        <v>0</v>
      </c>
      <c r="M57" s="13">
        <v>0</v>
      </c>
      <c r="N57" s="10"/>
      <c r="O57" s="13">
        <v>220000</v>
      </c>
      <c r="Q57" s="13">
        <v>87380</v>
      </c>
      <c r="S57" s="13">
        <v>13591734748</v>
      </c>
      <c r="U57" s="13">
        <v>19109219580</v>
      </c>
      <c r="W57" s="14">
        <v>1.4760669500876839E-2</v>
      </c>
    </row>
    <row r="58" spans="1:23" ht="21" x14ac:dyDescent="0.55000000000000004">
      <c r="A58" s="12" t="s">
        <v>172</v>
      </c>
      <c r="C58" s="13">
        <v>227029</v>
      </c>
      <c r="E58" s="13">
        <v>9721636580</v>
      </c>
      <c r="G58" s="13">
        <v>14590094172</v>
      </c>
      <c r="I58" s="13">
        <v>0</v>
      </c>
      <c r="J58" s="13">
        <v>0</v>
      </c>
      <c r="L58" s="13">
        <v>0</v>
      </c>
      <c r="M58" s="13">
        <v>0</v>
      </c>
      <c r="N58" s="10"/>
      <c r="O58" s="13">
        <v>227029</v>
      </c>
      <c r="Q58" s="13">
        <v>71840</v>
      </c>
      <c r="S58" s="13">
        <v>9721636580</v>
      </c>
      <c r="U58" s="13">
        <v>16415830628</v>
      </c>
      <c r="W58" s="14">
        <v>1.268019604190866E-2</v>
      </c>
    </row>
    <row r="59" spans="1:23" ht="21" x14ac:dyDescent="0.55000000000000004">
      <c r="A59" s="12" t="s">
        <v>59</v>
      </c>
      <c r="C59" s="13">
        <v>100000</v>
      </c>
      <c r="E59" s="13">
        <v>3261023424</v>
      </c>
      <c r="G59" s="13">
        <v>3509990550</v>
      </c>
      <c r="I59" s="13">
        <v>300000</v>
      </c>
      <c r="J59" s="13">
        <v>10858066926</v>
      </c>
      <c r="L59" s="13">
        <v>0</v>
      </c>
      <c r="M59" s="13">
        <v>0</v>
      </c>
      <c r="O59" s="13">
        <v>400000</v>
      </c>
      <c r="Q59" s="13">
        <v>41090</v>
      </c>
      <c r="S59" s="13">
        <v>14119090350</v>
      </c>
      <c r="U59" s="13">
        <v>16481349000</v>
      </c>
      <c r="W59" s="14">
        <v>1.2730804860928129E-2</v>
      </c>
    </row>
    <row r="60" spans="1:23" ht="21" x14ac:dyDescent="0.55000000000000004">
      <c r="A60" s="12" t="s">
        <v>171</v>
      </c>
      <c r="C60" s="13">
        <v>924900</v>
      </c>
      <c r="E60" s="13">
        <v>24193498250</v>
      </c>
      <c r="G60" s="13">
        <v>40963726429</v>
      </c>
      <c r="I60" s="13">
        <v>0</v>
      </c>
      <c r="J60" s="13">
        <v>0</v>
      </c>
      <c r="L60" s="13">
        <v>0</v>
      </c>
      <c r="M60" s="13">
        <v>0</v>
      </c>
      <c r="N60" s="10"/>
      <c r="O60" s="13">
        <v>924900</v>
      </c>
      <c r="Q60" s="13">
        <v>56840</v>
      </c>
      <c r="S60" s="13">
        <v>24193498250</v>
      </c>
      <c r="U60" s="13">
        <v>52258516670</v>
      </c>
      <c r="W60" s="14">
        <v>4.0366415276281674E-2</v>
      </c>
    </row>
    <row r="61" spans="1:23" ht="21" x14ac:dyDescent="0.55000000000000004">
      <c r="A61" s="12" t="s">
        <v>58</v>
      </c>
      <c r="C61" s="13">
        <v>3800000</v>
      </c>
      <c r="E61" s="13">
        <v>8983290238</v>
      </c>
      <c r="G61" s="13">
        <v>13258638900</v>
      </c>
      <c r="I61" s="13">
        <v>1600000</v>
      </c>
      <c r="J61" s="13">
        <v>5943110006</v>
      </c>
      <c r="L61" s="13">
        <v>0</v>
      </c>
      <c r="M61" s="13">
        <v>0</v>
      </c>
      <c r="O61" s="13">
        <v>5400000</v>
      </c>
      <c r="Q61" s="13">
        <v>4067</v>
      </c>
      <c r="S61" s="13">
        <v>14926400244</v>
      </c>
      <c r="U61" s="13">
        <v>22126360140</v>
      </c>
      <c r="W61" s="14">
        <v>1.7091220701955793E-2</v>
      </c>
    </row>
    <row r="62" spans="1:23" ht="21" x14ac:dyDescent="0.55000000000000004">
      <c r="A62" s="12" t="s">
        <v>170</v>
      </c>
      <c r="C62" s="13">
        <v>108000</v>
      </c>
      <c r="E62" s="13">
        <v>14985484296</v>
      </c>
      <c r="G62" s="13">
        <v>27836700246</v>
      </c>
      <c r="I62" s="13">
        <v>0</v>
      </c>
      <c r="J62" s="13">
        <v>0</v>
      </c>
      <c r="L62" s="13">
        <v>0</v>
      </c>
      <c r="M62" s="13">
        <v>0</v>
      </c>
      <c r="N62" s="10"/>
      <c r="O62" s="13">
        <v>108000</v>
      </c>
      <c r="Q62" s="13">
        <v>299670</v>
      </c>
      <c r="S62" s="13">
        <v>14985484296</v>
      </c>
      <c r="U62" s="13">
        <v>32171792058</v>
      </c>
      <c r="W62" s="14">
        <v>2.4850684656744747E-2</v>
      </c>
    </row>
    <row r="63" spans="1:23" ht="21" x14ac:dyDescent="0.55000000000000004">
      <c r="A63" s="12" t="s">
        <v>169</v>
      </c>
      <c r="C63" s="13">
        <v>1118099</v>
      </c>
      <c r="E63" s="13">
        <v>13847667681</v>
      </c>
      <c r="G63" s="13">
        <v>19528111683</v>
      </c>
      <c r="I63" s="13">
        <v>300000</v>
      </c>
      <c r="J63" s="13">
        <v>5396002808</v>
      </c>
      <c r="L63" s="13">
        <v>0</v>
      </c>
      <c r="M63" s="13">
        <v>0</v>
      </c>
      <c r="O63" s="13">
        <v>1418099</v>
      </c>
      <c r="Q63" s="13">
        <v>19990</v>
      </c>
      <c r="S63" s="13">
        <v>19243670489</v>
      </c>
      <c r="U63" s="13">
        <v>28179129606</v>
      </c>
      <c r="W63" s="14">
        <v>2.1766604187848249E-2</v>
      </c>
    </row>
    <row r="64" spans="1:23" ht="21" x14ac:dyDescent="0.55000000000000004">
      <c r="A64" s="12" t="s">
        <v>168</v>
      </c>
      <c r="C64" s="13">
        <v>350000</v>
      </c>
      <c r="E64" s="13">
        <v>10947286168</v>
      </c>
      <c r="G64" s="13">
        <v>10402733250</v>
      </c>
      <c r="I64" s="13">
        <v>0</v>
      </c>
      <c r="J64" s="13">
        <v>0</v>
      </c>
      <c r="L64" s="13">
        <v>0</v>
      </c>
      <c r="M64" s="13">
        <v>0</v>
      </c>
      <c r="N64" s="10"/>
      <c r="O64" s="13">
        <v>350000</v>
      </c>
      <c r="Q64" s="13">
        <v>32700</v>
      </c>
      <c r="S64" s="13">
        <v>10947286168</v>
      </c>
      <c r="U64" s="13">
        <v>11376902250</v>
      </c>
      <c r="W64" s="14">
        <v>8.7879409911533427E-3</v>
      </c>
    </row>
    <row r="65" spans="1:23" ht="21" x14ac:dyDescent="0.55000000000000004">
      <c r="A65" s="12" t="s">
        <v>57</v>
      </c>
      <c r="C65" s="13">
        <v>3600000</v>
      </c>
      <c r="E65" s="13">
        <v>18948298801</v>
      </c>
      <c r="G65" s="13">
        <v>24226986600</v>
      </c>
      <c r="I65" s="13">
        <v>0</v>
      </c>
      <c r="J65" s="13">
        <v>0</v>
      </c>
      <c r="L65" s="13">
        <v>0</v>
      </c>
      <c r="M65" s="13">
        <v>0</v>
      </c>
      <c r="N65" s="10"/>
      <c r="O65" s="13">
        <v>3600000</v>
      </c>
      <c r="Q65" s="13">
        <v>7890</v>
      </c>
      <c r="S65" s="13">
        <v>18948298801</v>
      </c>
      <c r="U65" s="13">
        <v>28342353600</v>
      </c>
      <c r="W65" s="14">
        <v>2.1892684450831291E-2</v>
      </c>
    </row>
    <row r="66" spans="1:23" ht="21" x14ac:dyDescent="0.55000000000000004">
      <c r="A66" s="12" t="s">
        <v>56</v>
      </c>
      <c r="C66" s="13">
        <v>5600000</v>
      </c>
      <c r="E66" s="13">
        <v>20195822260</v>
      </c>
      <c r="G66" s="13">
        <v>17980376400</v>
      </c>
      <c r="I66" s="13">
        <v>0</v>
      </c>
      <c r="J66" s="13">
        <v>0</v>
      </c>
      <c r="L66" s="13">
        <v>0</v>
      </c>
      <c r="M66" s="13">
        <v>0</v>
      </c>
      <c r="N66" s="10"/>
      <c r="O66" s="13">
        <v>6202960</v>
      </c>
      <c r="Q66" s="13">
        <v>2795</v>
      </c>
      <c r="S66" s="13">
        <v>18415182848</v>
      </c>
      <c r="U66" s="13">
        <v>17234116424</v>
      </c>
      <c r="W66" s="14">
        <v>1.3312270321104207E-2</v>
      </c>
    </row>
    <row r="67" spans="1:23" ht="21" x14ac:dyDescent="0.55000000000000004">
      <c r="A67" s="12" t="s">
        <v>55</v>
      </c>
      <c r="C67" s="13">
        <v>0</v>
      </c>
      <c r="E67" s="13">
        <v>0</v>
      </c>
      <c r="G67" s="13">
        <v>0</v>
      </c>
      <c r="H67" s="10"/>
      <c r="I67" s="13">
        <v>0</v>
      </c>
      <c r="J67" s="13">
        <v>0</v>
      </c>
      <c r="L67" s="13">
        <v>0</v>
      </c>
      <c r="M67" s="13">
        <v>0</v>
      </c>
      <c r="N67" s="10"/>
      <c r="O67" s="13">
        <v>904441</v>
      </c>
      <c r="Q67" s="13">
        <v>1795</v>
      </c>
      <c r="S67" s="13">
        <v>1780639412</v>
      </c>
      <c r="U67" s="13">
        <v>1613811939</v>
      </c>
      <c r="W67" s="14">
        <v>1.2465681588106077E-3</v>
      </c>
    </row>
    <row r="68" spans="1:23" ht="21" x14ac:dyDescent="0.55000000000000004">
      <c r="A68" s="12" t="s">
        <v>167</v>
      </c>
      <c r="C68" s="13">
        <v>0</v>
      </c>
      <c r="E68" s="13">
        <v>0</v>
      </c>
      <c r="G68" s="13">
        <v>0</v>
      </c>
      <c r="H68" s="10"/>
      <c r="I68" s="13">
        <v>400000</v>
      </c>
      <c r="J68" s="13">
        <v>1641121542</v>
      </c>
      <c r="L68" s="13">
        <v>0</v>
      </c>
      <c r="M68" s="13">
        <v>0</v>
      </c>
      <c r="O68" s="13">
        <v>400000</v>
      </c>
      <c r="Q68" s="13">
        <v>4063</v>
      </c>
      <c r="S68" s="13">
        <v>1641121542</v>
      </c>
      <c r="U68" s="13">
        <v>1629844380</v>
      </c>
      <c r="W68" s="14">
        <v>1.2589522104932303E-3</v>
      </c>
    </row>
    <row r="69" spans="1:23" ht="21" x14ac:dyDescent="0.55000000000000004">
      <c r="A69" s="12" t="s">
        <v>97</v>
      </c>
      <c r="C69" s="13">
        <v>0</v>
      </c>
      <c r="E69" s="13">
        <v>0</v>
      </c>
      <c r="G69" s="13">
        <v>0</v>
      </c>
      <c r="H69" s="10"/>
      <c r="I69" s="13">
        <v>3200000</v>
      </c>
      <c r="J69" s="13">
        <v>17364899642</v>
      </c>
      <c r="L69" s="13">
        <v>0</v>
      </c>
      <c r="M69" s="13">
        <v>0</v>
      </c>
      <c r="O69" s="13">
        <v>3200000</v>
      </c>
      <c r="Q69" s="13">
        <v>5840</v>
      </c>
      <c r="S69" s="13">
        <v>17364899642</v>
      </c>
      <c r="U69" s="13">
        <v>18576806400</v>
      </c>
      <c r="W69" s="14">
        <v>1.4349413826358556E-2</v>
      </c>
    </row>
    <row r="70" spans="1:23" ht="21" x14ac:dyDescent="0.55000000000000004">
      <c r="A70" s="12" t="s">
        <v>96</v>
      </c>
      <c r="C70" s="13">
        <v>6710221</v>
      </c>
      <c r="E70" s="13">
        <v>14478267197</v>
      </c>
      <c r="G70" s="13">
        <v>15521776896</v>
      </c>
      <c r="I70" s="13">
        <v>0</v>
      </c>
      <c r="J70" s="13">
        <v>0</v>
      </c>
      <c r="L70" s="13">
        <v>0</v>
      </c>
      <c r="M70" s="13">
        <v>0</v>
      </c>
      <c r="N70" s="10"/>
      <c r="O70" s="13">
        <v>6710221</v>
      </c>
      <c r="Q70" s="13">
        <v>2191</v>
      </c>
      <c r="S70" s="13">
        <v>14478267197</v>
      </c>
      <c r="U70" s="13">
        <v>14614616750</v>
      </c>
      <c r="W70" s="14">
        <v>1.1288871679223688E-2</v>
      </c>
    </row>
    <row r="71" spans="1:23" ht="21" x14ac:dyDescent="0.55000000000000004">
      <c r="A71" s="12" t="s">
        <v>166</v>
      </c>
      <c r="C71" s="13">
        <v>1403444</v>
      </c>
      <c r="E71" s="13">
        <v>1624688341</v>
      </c>
      <c r="G71" s="13">
        <v>1851289085</v>
      </c>
      <c r="I71" s="13">
        <v>0</v>
      </c>
      <c r="J71" s="13">
        <v>0</v>
      </c>
      <c r="L71" s="13">
        <v>0</v>
      </c>
      <c r="M71" s="13">
        <v>0</v>
      </c>
      <c r="N71" s="10"/>
      <c r="O71" s="13">
        <v>1403444</v>
      </c>
      <c r="Q71" s="13">
        <v>954</v>
      </c>
      <c r="S71" s="13">
        <v>1624688341</v>
      </c>
      <c r="U71" s="13">
        <v>1330919207</v>
      </c>
      <c r="W71" s="14">
        <v>1.0280513269865356E-3</v>
      </c>
    </row>
    <row r="72" spans="1:23" ht="21.75" thickBot="1" x14ac:dyDescent="0.6">
      <c r="A72" s="15" t="s">
        <v>7</v>
      </c>
      <c r="C72" s="13"/>
      <c r="E72" s="89">
        <f>SUM(E11:E71)</f>
        <v>789375930931</v>
      </c>
      <c r="G72" s="89">
        <f>SUM(G11:G71)</f>
        <v>1011814854927</v>
      </c>
      <c r="I72" s="13"/>
      <c r="J72" s="89">
        <f>SUM(J11:J71)</f>
        <v>92033146752</v>
      </c>
      <c r="L72" s="13"/>
      <c r="M72" s="89">
        <f>SUM(M11:M71)</f>
        <v>8726855445</v>
      </c>
      <c r="O72" s="13"/>
      <c r="Q72" s="13"/>
      <c r="S72" s="89">
        <f>SUM(S11:S71)</f>
        <v>875112078370</v>
      </c>
      <c r="U72" s="89">
        <f>SUM(U11:U71)</f>
        <v>1251533327683</v>
      </c>
      <c r="W72" s="17">
        <f>SUM(W11:W71)</f>
        <v>0.96673073130605336</v>
      </c>
    </row>
    <row r="73" spans="1:23" ht="21.75" thickTop="1" x14ac:dyDescent="0.55000000000000004">
      <c r="C73" s="13"/>
      <c r="E73" s="16"/>
      <c r="G73" s="16"/>
      <c r="I73" s="13"/>
      <c r="J73" s="16"/>
      <c r="L73" s="13"/>
      <c r="M73" s="16"/>
      <c r="O73" s="13"/>
      <c r="Q73" s="13"/>
      <c r="S73" s="16"/>
      <c r="U73" s="16"/>
      <c r="W73" s="16"/>
    </row>
  </sheetData>
  <mergeCells count="19">
    <mergeCell ref="U9:U10"/>
    <mergeCell ref="W9:W10"/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</mergeCells>
  <pageMargins left="0.17" right="0.17" top="0.37" bottom="0.41" header="0.3" footer="0.3"/>
  <pageSetup paperSize="9" scale="6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4693-E682-463B-8E2F-BC8A9731AA59}">
  <sheetPr>
    <pageSetUpPr fitToPage="1"/>
  </sheetPr>
  <dimension ref="A1:S13"/>
  <sheetViews>
    <sheetView rightToLeft="1" view="pageBreakPreview" zoomScale="60" zoomScaleNormal="100" workbookViewId="0">
      <selection activeCell="G27" sqref="G27"/>
    </sheetView>
  </sheetViews>
  <sheetFormatPr defaultColWidth="8.85546875" defaultRowHeight="19.5" x14ac:dyDescent="0.55000000000000004"/>
  <cols>
    <col min="1" max="1" width="24.7109375" style="18" bestFit="1" customWidth="1"/>
    <col min="2" max="2" width="1.42578125" style="18" customWidth="1"/>
    <col min="3" max="3" width="18.5703125" style="18" bestFit="1" customWidth="1"/>
    <col min="4" max="4" width="1.42578125" style="18" customWidth="1"/>
    <col min="5" max="5" width="10.5703125" style="18" bestFit="1" customWidth="1"/>
    <col min="6" max="6" width="1.42578125" style="18" customWidth="1"/>
    <col min="7" max="7" width="12.28515625" style="18" bestFit="1" customWidth="1"/>
    <col min="8" max="8" width="1.42578125" style="18" customWidth="1"/>
    <col min="9" max="9" width="12.28515625" style="18" bestFit="1" customWidth="1"/>
    <col min="10" max="10" width="1.42578125" style="18" customWidth="1"/>
    <col min="11" max="11" width="14.5703125" style="18" bestFit="1" customWidth="1"/>
    <col min="12" max="12" width="1.42578125" style="18" customWidth="1"/>
    <col min="13" max="13" width="14.5703125" style="18" bestFit="1" customWidth="1"/>
    <col min="14" max="14" width="1.42578125" style="18" customWidth="1"/>
    <col min="15" max="15" width="15.5703125" style="18" bestFit="1" customWidth="1"/>
    <col min="16" max="16" width="1.42578125" style="18" customWidth="1"/>
    <col min="17" max="17" width="13.5703125" style="18" bestFit="1" customWidth="1"/>
    <col min="18" max="18" width="1.42578125" style="18" customWidth="1"/>
    <col min="19" max="19" width="12.5703125" style="18" bestFit="1" customWidth="1"/>
    <col min="20" max="16384" width="8.85546875" style="18"/>
  </cols>
  <sheetData>
    <row r="1" spans="1:19" ht="19.899999999999999" customHeight="1" x14ac:dyDescent="0.55000000000000004">
      <c r="A1" s="102" t="s">
        <v>194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</row>
    <row r="2" spans="1:19" ht="19.899999999999999" customHeight="1" x14ac:dyDescent="0.55000000000000004">
      <c r="A2" s="102" t="s">
        <v>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</row>
    <row r="3" spans="1:19" ht="19.899999999999999" customHeight="1" x14ac:dyDescent="0.55000000000000004">
      <c r="A3" s="102" t="s">
        <v>54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</row>
    <row r="5" spans="1:19" ht="21" x14ac:dyDescent="0.55000000000000004">
      <c r="A5" s="104" t="s">
        <v>51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</row>
    <row r="7" spans="1:19" ht="21" x14ac:dyDescent="0.55000000000000004">
      <c r="C7" s="105" t="s">
        <v>10</v>
      </c>
      <c r="D7" s="106"/>
      <c r="E7" s="106"/>
      <c r="F7" s="106"/>
      <c r="G7" s="106"/>
      <c r="H7" s="106"/>
      <c r="I7" s="106"/>
      <c r="K7" s="19" t="s">
        <v>1</v>
      </c>
      <c r="M7" s="105" t="s">
        <v>193</v>
      </c>
      <c r="N7" s="106"/>
      <c r="O7" s="106"/>
      <c r="Q7" s="105" t="s">
        <v>88</v>
      </c>
      <c r="R7" s="106"/>
      <c r="S7" s="106"/>
    </row>
    <row r="8" spans="1:19" ht="42" x14ac:dyDescent="0.55000000000000004">
      <c r="A8" s="19" t="s">
        <v>11</v>
      </c>
      <c r="C8" s="19" t="s">
        <v>12</v>
      </c>
      <c r="E8" s="19" t="s">
        <v>13</v>
      </c>
      <c r="G8" s="20" t="s">
        <v>14</v>
      </c>
      <c r="I8" s="20" t="s">
        <v>15</v>
      </c>
      <c r="K8" s="19" t="s">
        <v>16</v>
      </c>
      <c r="M8" s="19" t="s">
        <v>17</v>
      </c>
      <c r="O8" s="19" t="s">
        <v>18</v>
      </c>
      <c r="Q8" s="19" t="s">
        <v>16</v>
      </c>
      <c r="S8" s="20" t="s">
        <v>5</v>
      </c>
    </row>
    <row r="9" spans="1:19" ht="21" x14ac:dyDescent="0.55000000000000004">
      <c r="A9" s="21" t="s">
        <v>21</v>
      </c>
      <c r="C9" s="22" t="s">
        <v>203</v>
      </c>
      <c r="E9" s="23" t="s">
        <v>19</v>
      </c>
      <c r="G9" s="22" t="s">
        <v>202</v>
      </c>
      <c r="I9" s="22">
        <v>5</v>
      </c>
      <c r="K9" s="24">
        <v>8832875625</v>
      </c>
      <c r="M9" s="24">
        <v>50007853271</v>
      </c>
      <c r="O9" s="24">
        <v>57970750629</v>
      </c>
      <c r="Q9" s="24">
        <v>869978267</v>
      </c>
      <c r="S9" s="25">
        <v>6.7200345981542099E-4</v>
      </c>
    </row>
    <row r="10" spans="1:19" ht="21" x14ac:dyDescent="0.55000000000000004">
      <c r="A10" s="21" t="s">
        <v>22</v>
      </c>
      <c r="C10" s="22" t="s">
        <v>201</v>
      </c>
      <c r="E10" s="23" t="s">
        <v>200</v>
      </c>
      <c r="G10" s="22" t="s">
        <v>199</v>
      </c>
      <c r="I10" s="22" t="s">
        <v>20</v>
      </c>
      <c r="K10" s="24">
        <v>156818</v>
      </c>
      <c r="M10" s="24">
        <v>0</v>
      </c>
      <c r="N10" s="24"/>
      <c r="O10" s="24">
        <v>0</v>
      </c>
      <c r="P10" s="22"/>
      <c r="Q10" s="24">
        <v>156818</v>
      </c>
      <c r="S10" s="25">
        <v>1.2113203577456112E-7</v>
      </c>
    </row>
    <row r="11" spans="1:19" ht="21" x14ac:dyDescent="0.55000000000000004">
      <c r="A11" s="21" t="s">
        <v>22</v>
      </c>
      <c r="C11" s="22" t="s">
        <v>198</v>
      </c>
      <c r="E11" s="23" t="s">
        <v>19</v>
      </c>
      <c r="G11" s="22" t="s">
        <v>94</v>
      </c>
      <c r="I11" s="22" t="s">
        <v>197</v>
      </c>
      <c r="K11" s="24">
        <v>66771719942</v>
      </c>
      <c r="M11" s="24">
        <v>44438259729</v>
      </c>
      <c r="O11" s="24">
        <v>110432140308</v>
      </c>
      <c r="Q11" s="24">
        <v>777839363</v>
      </c>
      <c r="S11" s="25">
        <v>6.008319551695458E-4</v>
      </c>
    </row>
    <row r="12" spans="1:19" ht="21.75" thickBot="1" x14ac:dyDescent="0.6">
      <c r="A12" s="26" t="s">
        <v>7</v>
      </c>
      <c r="K12" s="26">
        <f>SUM(K9:$K$11)</f>
        <v>75604752385</v>
      </c>
      <c r="M12" s="26">
        <f>SUM(M9:$M$11)</f>
        <v>94446113000</v>
      </c>
      <c r="O12" s="26">
        <f>SUM(O9:$O$11)</f>
        <v>168402890937</v>
      </c>
      <c r="Q12" s="26">
        <f>SUM(Q9:$Q$11)</f>
        <v>1647974448</v>
      </c>
      <c r="S12" s="27">
        <f>SUM(S9:$S$11)</f>
        <v>1.2729565470207412E-3</v>
      </c>
    </row>
    <row r="13" spans="1:19" ht="21.75" thickTop="1" x14ac:dyDescent="0.55000000000000004">
      <c r="K13" s="28"/>
      <c r="M13" s="28"/>
      <c r="O13" s="28"/>
      <c r="Q13" s="28"/>
      <c r="S13" s="28"/>
    </row>
  </sheetData>
  <mergeCells count="7">
    <mergeCell ref="A1:S1"/>
    <mergeCell ref="A2:S2"/>
    <mergeCell ref="A3:S3"/>
    <mergeCell ref="A5:S5"/>
    <mergeCell ref="C7:I7"/>
    <mergeCell ref="M7:O7"/>
    <mergeCell ref="Q7:S7"/>
  </mergeCells>
  <pageMargins left="0.17" right="0.17" top="0.75" bottom="0.75" header="0.3" footer="0.3"/>
  <pageSetup paperSize="9" scale="8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AE58-9DE0-4DCD-92FA-24EC221B77B3}">
  <dimension ref="A1:I13"/>
  <sheetViews>
    <sheetView rightToLeft="1" view="pageBreakPreview" zoomScale="60" zoomScaleNormal="100" workbookViewId="0">
      <selection activeCell="C35" sqref="C35"/>
    </sheetView>
  </sheetViews>
  <sheetFormatPr defaultColWidth="8.85546875" defaultRowHeight="19.5" x14ac:dyDescent="0.55000000000000004"/>
  <cols>
    <col min="1" max="1" width="56.28515625" style="48" bestFit="1" customWidth="1"/>
    <col min="2" max="2" width="1.42578125" style="48" customWidth="1"/>
    <col min="3" max="3" width="11.42578125" style="48" customWidth="1"/>
    <col min="4" max="4" width="1.42578125" style="48" customWidth="1"/>
    <col min="5" max="5" width="21.28515625" style="48" customWidth="1"/>
    <col min="6" max="6" width="1.42578125" style="48" customWidth="1"/>
    <col min="7" max="7" width="11.42578125" style="48" customWidth="1"/>
    <col min="8" max="8" width="1.42578125" style="48" customWidth="1"/>
    <col min="9" max="9" width="11.42578125" style="48" customWidth="1"/>
    <col min="10" max="16384" width="8.85546875" style="48"/>
  </cols>
  <sheetData>
    <row r="1" spans="1:9" ht="19.899999999999999" customHeight="1" x14ac:dyDescent="0.55000000000000004">
      <c r="A1" s="107" t="s">
        <v>194</v>
      </c>
      <c r="B1" s="108"/>
      <c r="C1" s="108"/>
      <c r="D1" s="108"/>
      <c r="E1" s="108"/>
      <c r="F1" s="108"/>
      <c r="G1" s="108"/>
      <c r="H1" s="108"/>
      <c r="I1" s="108"/>
    </row>
    <row r="2" spans="1:9" ht="19.899999999999999" customHeight="1" x14ac:dyDescent="0.55000000000000004">
      <c r="A2" s="107" t="s">
        <v>23</v>
      </c>
      <c r="B2" s="108"/>
      <c r="C2" s="108"/>
      <c r="D2" s="108"/>
      <c r="E2" s="108"/>
      <c r="F2" s="108"/>
      <c r="G2" s="108"/>
      <c r="H2" s="108"/>
      <c r="I2" s="108"/>
    </row>
    <row r="3" spans="1:9" ht="19.899999999999999" customHeight="1" x14ac:dyDescent="0.55000000000000004">
      <c r="A3" s="107" t="s">
        <v>54</v>
      </c>
      <c r="B3" s="108"/>
      <c r="C3" s="108"/>
      <c r="D3" s="108"/>
      <c r="E3" s="108"/>
      <c r="F3" s="108"/>
      <c r="G3" s="108"/>
      <c r="H3" s="108"/>
      <c r="I3" s="108"/>
    </row>
    <row r="5" spans="1:9" ht="21" x14ac:dyDescent="0.55000000000000004">
      <c r="A5" s="109" t="s">
        <v>24</v>
      </c>
      <c r="B5" s="108"/>
      <c r="C5" s="108"/>
      <c r="D5" s="108"/>
      <c r="E5" s="108"/>
      <c r="F5" s="108"/>
      <c r="G5" s="108"/>
      <c r="H5" s="108"/>
      <c r="I5" s="108"/>
    </row>
    <row r="7" spans="1:9" ht="63" x14ac:dyDescent="0.55000000000000004">
      <c r="A7" s="50" t="s">
        <v>25</v>
      </c>
      <c r="C7" s="50" t="s">
        <v>26</v>
      </c>
      <c r="E7" s="50" t="s">
        <v>16</v>
      </c>
      <c r="G7" s="51" t="s">
        <v>27</v>
      </c>
      <c r="I7" s="51" t="s">
        <v>28</v>
      </c>
    </row>
    <row r="8" spans="1:9" ht="21" x14ac:dyDescent="0.55000000000000004">
      <c r="A8" s="49" t="s">
        <v>95</v>
      </c>
      <c r="C8" s="58" t="s">
        <v>151</v>
      </c>
      <c r="E8" s="52">
        <f>'4'!$S$76</f>
        <v>193506377473</v>
      </c>
      <c r="G8" s="53">
        <f>E8/$E$12</f>
        <v>0.89169677511440049</v>
      </c>
      <c r="I8" s="53">
        <v>0.14947149841641372</v>
      </c>
    </row>
    <row r="9" spans="1:9" ht="21" x14ac:dyDescent="0.55000000000000004">
      <c r="A9" s="49" t="s">
        <v>150</v>
      </c>
      <c r="C9" s="58" t="s">
        <v>29</v>
      </c>
      <c r="E9" s="52">
        <f>'5'!$O$66</f>
        <v>19104481691</v>
      </c>
      <c r="G9" s="53">
        <f t="shared" ref="G9:G11" si="0">E9/$E$12</f>
        <v>8.8035365741233843E-2</v>
      </c>
      <c r="I9" s="53">
        <v>3.8011869591504356E-2</v>
      </c>
    </row>
    <row r="10" spans="1:9" ht="21" x14ac:dyDescent="0.55000000000000004">
      <c r="A10" s="49" t="s">
        <v>30</v>
      </c>
      <c r="C10" s="58" t="s">
        <v>152</v>
      </c>
      <c r="E10" s="52">
        <f>'6'!$I$11</f>
        <v>4343227370</v>
      </c>
      <c r="G10" s="53">
        <f t="shared" si="0"/>
        <v>2.0014026875977139E-2</v>
      </c>
      <c r="I10" s="53">
        <v>3.3548698055063391E-3</v>
      </c>
    </row>
    <row r="11" spans="1:9" ht="21" x14ac:dyDescent="0.55000000000000004">
      <c r="A11" s="49" t="s">
        <v>31</v>
      </c>
      <c r="C11" s="58" t="s">
        <v>153</v>
      </c>
      <c r="E11" s="52">
        <f>'7'!E10</f>
        <v>55083930</v>
      </c>
      <c r="G11" s="53">
        <f t="shared" si="0"/>
        <v>2.5383226838857466E-4</v>
      </c>
      <c r="I11" s="53">
        <v>4.2548869258397765E-5</v>
      </c>
    </row>
    <row r="12" spans="1:9" ht="21.75" thickBot="1" x14ac:dyDescent="0.6">
      <c r="A12" s="57" t="s">
        <v>7</v>
      </c>
      <c r="E12" s="54">
        <f>SUM(E8:$E$11)</f>
        <v>217009170464</v>
      </c>
      <c r="G12" s="59">
        <f>SUM(G8:$G$11)</f>
        <v>1</v>
      </c>
      <c r="I12" s="55">
        <f>SUM(I8:$I$11)</f>
        <v>0.1908807866826828</v>
      </c>
    </row>
    <row r="13" spans="1:9" ht="21.75" thickTop="1" x14ac:dyDescent="0.55000000000000004">
      <c r="E13" s="56"/>
      <c r="G13" s="56"/>
      <c r="I13" s="56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F438-2C28-442B-8F64-961E5C421B5F}">
  <sheetPr>
    <tabColor rgb="FFFFFF00"/>
    <pageSetUpPr fitToPage="1"/>
  </sheetPr>
  <dimension ref="A1:U77"/>
  <sheetViews>
    <sheetView rightToLeft="1" view="pageBreakPreview" zoomScale="60" zoomScaleNormal="85" workbookViewId="0">
      <selection activeCell="C33" sqref="C33"/>
    </sheetView>
  </sheetViews>
  <sheetFormatPr defaultColWidth="8.85546875" defaultRowHeight="19.5" x14ac:dyDescent="0.55000000000000004"/>
  <cols>
    <col min="1" max="1" width="40.85546875" style="2" bestFit="1" customWidth="1"/>
    <col min="2" max="2" width="1.42578125" style="2" customWidth="1"/>
    <col min="3" max="3" width="15.42578125" style="2" bestFit="1" customWidth="1"/>
    <col min="4" max="4" width="1.42578125" style="2" customWidth="1"/>
    <col min="5" max="5" width="16.85546875" style="2" bestFit="1" customWidth="1"/>
    <col min="6" max="6" width="1.42578125" style="2" customWidth="1"/>
    <col min="7" max="7" width="13.5703125" style="2" bestFit="1" customWidth="1"/>
    <col min="8" max="8" width="1.42578125" style="2" customWidth="1"/>
    <col min="9" max="9" width="15.5703125" style="2" bestFit="1" customWidth="1"/>
    <col min="10" max="10" width="1.42578125" style="2" customWidth="1"/>
    <col min="11" max="11" width="12.28515625" style="2" customWidth="1"/>
    <col min="12" max="12" width="1.42578125" style="2" customWidth="1"/>
    <col min="13" max="13" width="15.42578125" style="2" bestFit="1" customWidth="1"/>
    <col min="14" max="14" width="1.42578125" style="2" customWidth="1"/>
    <col min="15" max="15" width="16.85546875" style="2" bestFit="1" customWidth="1"/>
    <col min="16" max="16" width="1.42578125" style="2" customWidth="1"/>
    <col min="17" max="17" width="14.5703125" style="2" bestFit="1" customWidth="1"/>
    <col min="18" max="18" width="1.42578125" style="2" customWidth="1"/>
    <col min="19" max="19" width="15.5703125" style="2" bestFit="1" customWidth="1"/>
    <col min="20" max="20" width="1.42578125" style="2" customWidth="1"/>
    <col min="21" max="21" width="12.28515625" style="2" bestFit="1" customWidth="1"/>
    <col min="22" max="16384" width="8.85546875" style="2"/>
  </cols>
  <sheetData>
    <row r="1" spans="1:21" ht="19.899999999999999" customHeight="1" x14ac:dyDescent="0.55000000000000004">
      <c r="A1" s="110" t="s">
        <v>194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</row>
    <row r="2" spans="1:21" ht="19.899999999999999" customHeight="1" x14ac:dyDescent="0.55000000000000004">
      <c r="A2" s="110" t="s">
        <v>23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</row>
    <row r="3" spans="1:21" ht="19.899999999999999" customHeight="1" x14ac:dyDescent="0.55000000000000004">
      <c r="A3" s="110" t="s">
        <v>54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</row>
    <row r="5" spans="1:21" ht="21" x14ac:dyDescent="0.55000000000000004">
      <c r="A5" s="112" t="s">
        <v>106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</row>
    <row r="7" spans="1:21" ht="21" x14ac:dyDescent="0.55000000000000004">
      <c r="C7" s="113" t="s">
        <v>107</v>
      </c>
      <c r="D7" s="114"/>
      <c r="E7" s="114"/>
      <c r="F7" s="114"/>
      <c r="G7" s="114"/>
      <c r="H7" s="114"/>
      <c r="I7" s="114"/>
      <c r="J7" s="114"/>
      <c r="K7" s="114"/>
      <c r="M7" s="113" t="s">
        <v>108</v>
      </c>
      <c r="N7" s="114"/>
      <c r="O7" s="114"/>
      <c r="P7" s="114"/>
      <c r="Q7" s="114"/>
      <c r="R7" s="114"/>
      <c r="S7" s="114"/>
      <c r="T7" s="114"/>
      <c r="U7" s="114"/>
    </row>
    <row r="8" spans="1:21" ht="42" x14ac:dyDescent="0.55000000000000004">
      <c r="A8" s="3" t="s">
        <v>105</v>
      </c>
      <c r="C8" s="4" t="s">
        <v>104</v>
      </c>
      <c r="E8" s="4" t="s">
        <v>36</v>
      </c>
      <c r="G8" s="4" t="s">
        <v>37</v>
      </c>
      <c r="I8" s="4" t="s">
        <v>103</v>
      </c>
      <c r="K8" s="4" t="s">
        <v>102</v>
      </c>
      <c r="M8" s="4" t="s">
        <v>104</v>
      </c>
      <c r="O8" s="4" t="s">
        <v>36</v>
      </c>
      <c r="Q8" s="4" t="s">
        <v>37</v>
      </c>
      <c r="S8" s="4" t="s">
        <v>103</v>
      </c>
      <c r="U8" s="4" t="s">
        <v>102</v>
      </c>
    </row>
    <row r="9" spans="1:21" ht="21" x14ac:dyDescent="0.55000000000000004">
      <c r="A9" s="5" t="s">
        <v>192</v>
      </c>
      <c r="C9" s="7">
        <v>0</v>
      </c>
      <c r="E9" s="7">
        <v>-71439405</v>
      </c>
      <c r="G9" s="7">
        <v>111094629</v>
      </c>
      <c r="I9" s="7">
        <v>39655224</v>
      </c>
      <c r="K9" s="29">
        <v>2.6405601219334012E-4</v>
      </c>
      <c r="M9" s="7">
        <v>0</v>
      </c>
      <c r="O9" s="7">
        <v>0</v>
      </c>
      <c r="Q9" s="7">
        <v>410312059</v>
      </c>
      <c r="S9" s="7">
        <v>410312059</v>
      </c>
      <c r="U9" s="29">
        <v>1.8907590777048166E-3</v>
      </c>
    </row>
    <row r="10" spans="1:21" ht="21" x14ac:dyDescent="0.55000000000000004">
      <c r="A10" s="5" t="s">
        <v>85</v>
      </c>
      <c r="C10" s="7">
        <v>0</v>
      </c>
      <c r="E10" s="7">
        <v>49205475</v>
      </c>
      <c r="G10" s="7">
        <v>0</v>
      </c>
      <c r="I10" s="7">
        <v>49205475</v>
      </c>
      <c r="K10" s="29">
        <v>3.276491769805434E-4</v>
      </c>
      <c r="M10" s="7">
        <v>0</v>
      </c>
      <c r="O10" s="7">
        <v>58268662</v>
      </c>
      <c r="Q10" s="7">
        <v>196012800</v>
      </c>
      <c r="S10" s="7">
        <v>254281462</v>
      </c>
      <c r="U10" s="29">
        <v>1.1717544537694234E-3</v>
      </c>
    </row>
    <row r="11" spans="1:21" ht="21" x14ac:dyDescent="0.55000000000000004">
      <c r="A11" s="5" t="s">
        <v>231</v>
      </c>
      <c r="C11" s="7">
        <v>0</v>
      </c>
      <c r="E11" s="7">
        <v>2972843202</v>
      </c>
      <c r="G11" s="7">
        <v>0</v>
      </c>
      <c r="I11" s="7">
        <v>2972843202</v>
      </c>
      <c r="K11" s="29">
        <v>1.9795553816470694E-2</v>
      </c>
      <c r="M11" s="7">
        <v>0</v>
      </c>
      <c r="O11" s="7">
        <v>2163667188</v>
      </c>
      <c r="Q11" s="7">
        <v>0</v>
      </c>
      <c r="S11" s="7">
        <v>2163667188</v>
      </c>
      <c r="U11" s="29">
        <v>9.9703951836401048E-3</v>
      </c>
    </row>
    <row r="12" spans="1:21" ht="21" x14ac:dyDescent="0.55000000000000004">
      <c r="A12" s="5" t="s">
        <v>189</v>
      </c>
      <c r="C12" s="7">
        <v>0</v>
      </c>
      <c r="E12" s="7">
        <v>9476870686</v>
      </c>
      <c r="G12" s="7">
        <v>0</v>
      </c>
      <c r="I12" s="7">
        <v>9476870686</v>
      </c>
      <c r="K12" s="29">
        <v>6.3104540310177634E-2</v>
      </c>
      <c r="M12" s="7">
        <v>0</v>
      </c>
      <c r="O12" s="7">
        <v>8323772686</v>
      </c>
      <c r="Q12" s="7">
        <v>0</v>
      </c>
      <c r="S12" s="7">
        <v>8323772686</v>
      </c>
      <c r="U12" s="29">
        <v>3.8356778509417155E-2</v>
      </c>
    </row>
    <row r="13" spans="1:21" ht="21" x14ac:dyDescent="0.55000000000000004">
      <c r="A13" s="5" t="s">
        <v>230</v>
      </c>
      <c r="C13" s="7">
        <v>0</v>
      </c>
      <c r="E13" s="7">
        <v>3051603378</v>
      </c>
      <c r="G13" s="7">
        <v>0</v>
      </c>
      <c r="I13" s="7">
        <v>3051603378</v>
      </c>
      <c r="K13" s="29">
        <v>2.0320001692347163E-2</v>
      </c>
      <c r="M13" s="7">
        <v>0</v>
      </c>
      <c r="O13" s="7">
        <v>141296309</v>
      </c>
      <c r="Q13" s="7">
        <v>0</v>
      </c>
      <c r="S13" s="7">
        <v>141296309</v>
      </c>
      <c r="U13" s="29">
        <v>6.5110754857910429E-4</v>
      </c>
    </row>
    <row r="14" spans="1:21" ht="21" x14ac:dyDescent="0.55000000000000004">
      <c r="A14" s="5" t="s">
        <v>82</v>
      </c>
      <c r="C14" s="7">
        <v>0</v>
      </c>
      <c r="E14" s="7">
        <v>18880917942</v>
      </c>
      <c r="G14" s="7">
        <v>0</v>
      </c>
      <c r="I14" s="7">
        <v>18880917942</v>
      </c>
      <c r="K14" s="29">
        <v>0.12572416431979316</v>
      </c>
      <c r="M14" s="7">
        <v>0</v>
      </c>
      <c r="O14" s="7">
        <v>25460699895</v>
      </c>
      <c r="Q14" s="7">
        <v>0</v>
      </c>
      <c r="S14" s="7">
        <v>25460699895</v>
      </c>
      <c r="U14" s="29">
        <v>0.11732545606511001</v>
      </c>
    </row>
    <row r="15" spans="1:21" ht="21" x14ac:dyDescent="0.55000000000000004">
      <c r="A15" s="5" t="s">
        <v>188</v>
      </c>
      <c r="C15" s="7">
        <v>0</v>
      </c>
      <c r="E15" s="7">
        <v>179127810</v>
      </c>
      <c r="G15" s="7">
        <v>0</v>
      </c>
      <c r="I15" s="7">
        <v>179127810</v>
      </c>
      <c r="K15" s="29">
        <v>1.1927753877150286E-3</v>
      </c>
      <c r="M15" s="7">
        <v>952000000</v>
      </c>
      <c r="O15" s="7">
        <v>-2257686360</v>
      </c>
      <c r="Q15" s="7">
        <v>0</v>
      </c>
      <c r="S15" s="7">
        <v>-1305686360</v>
      </c>
      <c r="U15" s="29">
        <v>-6.0167335657209126E-3</v>
      </c>
    </row>
    <row r="16" spans="1:21" ht="21" x14ac:dyDescent="0.55000000000000004">
      <c r="A16" s="5" t="s">
        <v>229</v>
      </c>
      <c r="C16" s="7">
        <v>0</v>
      </c>
      <c r="E16" s="7">
        <v>722165198</v>
      </c>
      <c r="G16" s="7">
        <v>0</v>
      </c>
      <c r="I16" s="7">
        <v>722165198</v>
      </c>
      <c r="K16" s="29">
        <v>4.8087500988191079E-3</v>
      </c>
      <c r="M16" s="7">
        <v>0</v>
      </c>
      <c r="O16" s="7">
        <v>-210930290</v>
      </c>
      <c r="Q16" s="7">
        <v>0</v>
      </c>
      <c r="S16" s="7">
        <v>-210930290</v>
      </c>
      <c r="U16" s="29">
        <v>-9.7198790976896329E-4</v>
      </c>
    </row>
    <row r="17" spans="1:21" ht="21" x14ac:dyDescent="0.55000000000000004">
      <c r="A17" s="5" t="s">
        <v>81</v>
      </c>
      <c r="C17" s="7">
        <v>0</v>
      </c>
      <c r="E17" s="7">
        <v>1633286278</v>
      </c>
      <c r="G17" s="7">
        <v>0</v>
      </c>
      <c r="I17" s="7">
        <v>1633286278</v>
      </c>
      <c r="K17" s="29">
        <v>1.087571870326046E-2</v>
      </c>
      <c r="M17" s="7">
        <v>1257300000</v>
      </c>
      <c r="O17" s="7">
        <v>2240043115</v>
      </c>
      <c r="Q17" s="7">
        <v>2850861976</v>
      </c>
      <c r="S17" s="7">
        <v>6348205091</v>
      </c>
      <c r="U17" s="29">
        <v>2.9253165096325338E-2</v>
      </c>
    </row>
    <row r="18" spans="1:21" ht="21" x14ac:dyDescent="0.55000000000000004">
      <c r="A18" s="5" t="s">
        <v>80</v>
      </c>
      <c r="C18" s="7">
        <v>0</v>
      </c>
      <c r="E18" s="7">
        <v>137775330</v>
      </c>
      <c r="G18" s="7">
        <v>0</v>
      </c>
      <c r="I18" s="7">
        <v>137775330</v>
      </c>
      <c r="K18" s="29">
        <v>9.1741769554552148E-4</v>
      </c>
      <c r="M18" s="7">
        <v>292500000</v>
      </c>
      <c r="O18" s="7">
        <v>185118785</v>
      </c>
      <c r="Q18" s="7">
        <v>957825935</v>
      </c>
      <c r="S18" s="7">
        <v>1435444720</v>
      </c>
      <c r="U18" s="29">
        <v>6.6146730893021323E-3</v>
      </c>
    </row>
    <row r="19" spans="1:21" ht="21" x14ac:dyDescent="0.55000000000000004">
      <c r="A19" s="5" t="s">
        <v>79</v>
      </c>
      <c r="C19" s="7">
        <v>0</v>
      </c>
      <c r="E19" s="7">
        <v>302191200</v>
      </c>
      <c r="G19" s="7">
        <v>0</v>
      </c>
      <c r="I19" s="7">
        <v>302191200</v>
      </c>
      <c r="K19" s="29">
        <v>2.012229288931014E-3</v>
      </c>
      <c r="M19" s="7">
        <v>0</v>
      </c>
      <c r="O19" s="7">
        <v>182905200</v>
      </c>
      <c r="Q19" s="7">
        <v>1007320800</v>
      </c>
      <c r="S19" s="7">
        <v>1190226000</v>
      </c>
      <c r="U19" s="29">
        <v>5.4846806586795766E-3</v>
      </c>
    </row>
    <row r="20" spans="1:21" ht="21" x14ac:dyDescent="0.55000000000000004">
      <c r="A20" s="5" t="s">
        <v>228</v>
      </c>
      <c r="C20" s="7">
        <v>0</v>
      </c>
      <c r="E20" s="7">
        <v>3255015115</v>
      </c>
      <c r="G20" s="7">
        <v>0</v>
      </c>
      <c r="I20" s="7">
        <v>3255015115</v>
      </c>
      <c r="K20" s="29">
        <v>2.1674478774749737E-2</v>
      </c>
      <c r="M20" s="7">
        <v>0</v>
      </c>
      <c r="O20" s="7">
        <v>1078393438</v>
      </c>
      <c r="Q20" s="7">
        <v>-546347714</v>
      </c>
      <c r="S20" s="7">
        <v>532045724</v>
      </c>
      <c r="U20" s="29">
        <v>2.451720002718788E-3</v>
      </c>
    </row>
    <row r="21" spans="1:21" ht="21" x14ac:dyDescent="0.55000000000000004">
      <c r="A21" s="5" t="s">
        <v>185</v>
      </c>
      <c r="C21" s="7">
        <v>0</v>
      </c>
      <c r="E21" s="7">
        <v>40218424</v>
      </c>
      <c r="G21" s="7">
        <v>0</v>
      </c>
      <c r="I21" s="7">
        <v>40218424</v>
      </c>
      <c r="K21" s="29">
        <v>2.6780624560690725E-4</v>
      </c>
      <c r="M21" s="7">
        <v>0</v>
      </c>
      <c r="O21" s="7">
        <v>266956342</v>
      </c>
      <c r="Q21" s="7">
        <v>0</v>
      </c>
      <c r="S21" s="7">
        <v>266956342</v>
      </c>
      <c r="U21" s="29">
        <v>1.230161570726274E-3</v>
      </c>
    </row>
    <row r="22" spans="1:21" ht="21" x14ac:dyDescent="0.55000000000000004">
      <c r="A22" s="5" t="s">
        <v>77</v>
      </c>
      <c r="C22" s="7">
        <v>0</v>
      </c>
      <c r="E22" s="7">
        <v>6186033937</v>
      </c>
      <c r="G22" s="7">
        <v>0</v>
      </c>
      <c r="I22" s="7">
        <v>6186033937</v>
      </c>
      <c r="K22" s="29">
        <v>4.1191532613632134E-2</v>
      </c>
      <c r="M22" s="7">
        <v>0</v>
      </c>
      <c r="O22" s="7">
        <v>3601503937</v>
      </c>
      <c r="Q22" s="7">
        <v>-760630187</v>
      </c>
      <c r="S22" s="7">
        <v>2840873750</v>
      </c>
      <c r="U22" s="29">
        <v>1.3091030871763444E-2</v>
      </c>
    </row>
    <row r="23" spans="1:21" ht="21" x14ac:dyDescent="0.55000000000000004">
      <c r="A23" s="5" t="s">
        <v>227</v>
      </c>
      <c r="C23" s="7">
        <v>0</v>
      </c>
      <c r="E23" s="7">
        <v>1461310621</v>
      </c>
      <c r="G23" s="7">
        <v>0</v>
      </c>
      <c r="I23" s="7">
        <v>1461310621</v>
      </c>
      <c r="K23" s="29">
        <v>9.7305680370645097E-3</v>
      </c>
      <c r="M23" s="7">
        <v>0</v>
      </c>
      <c r="O23" s="7">
        <v>-1424881726</v>
      </c>
      <c r="Q23" s="7">
        <v>-1102034145</v>
      </c>
      <c r="S23" s="7">
        <v>-2526915871</v>
      </c>
      <c r="U23" s="29">
        <v>-1.1644281509380702E-2</v>
      </c>
    </row>
    <row r="24" spans="1:21" ht="21" x14ac:dyDescent="0.55000000000000004">
      <c r="A24" s="5" t="s">
        <v>184</v>
      </c>
      <c r="C24" s="7">
        <v>0</v>
      </c>
      <c r="E24" s="7">
        <v>1282324500</v>
      </c>
      <c r="G24" s="7">
        <v>0</v>
      </c>
      <c r="I24" s="7">
        <v>1282324500</v>
      </c>
      <c r="K24" s="29">
        <v>8.5387361273717363E-3</v>
      </c>
      <c r="M24" s="7">
        <v>0</v>
      </c>
      <c r="O24" s="7">
        <v>-610314677</v>
      </c>
      <c r="Q24" s="7">
        <v>902449800</v>
      </c>
      <c r="S24" s="7">
        <v>292135123</v>
      </c>
      <c r="U24" s="29">
        <v>1.3461879162773112E-3</v>
      </c>
    </row>
    <row r="25" spans="1:21" ht="21" x14ac:dyDescent="0.55000000000000004">
      <c r="A25" s="5" t="s">
        <v>183</v>
      </c>
      <c r="C25" s="7">
        <v>0</v>
      </c>
      <c r="E25" s="7">
        <v>1465315825</v>
      </c>
      <c r="G25" s="7">
        <v>0</v>
      </c>
      <c r="I25" s="7">
        <v>1465315825</v>
      </c>
      <c r="K25" s="29">
        <v>9.757237869928416E-3</v>
      </c>
      <c r="M25" s="7">
        <v>0</v>
      </c>
      <c r="O25" s="7">
        <v>2709951555</v>
      </c>
      <c r="Q25" s="7">
        <v>0</v>
      </c>
      <c r="S25" s="7">
        <v>2709951555</v>
      </c>
      <c r="U25" s="29">
        <v>1.2487728279895702E-2</v>
      </c>
    </row>
    <row r="26" spans="1:21" ht="21" x14ac:dyDescent="0.55000000000000004">
      <c r="A26" s="5" t="s">
        <v>226</v>
      </c>
      <c r="C26" s="7">
        <v>0</v>
      </c>
      <c r="E26" s="7">
        <v>1499027400</v>
      </c>
      <c r="G26" s="7">
        <v>0</v>
      </c>
      <c r="I26" s="7">
        <v>1499027400</v>
      </c>
      <c r="K26" s="29">
        <v>9.981716341144635E-3</v>
      </c>
      <c r="M26" s="7">
        <v>0</v>
      </c>
      <c r="O26" s="7">
        <v>1860861600</v>
      </c>
      <c r="Q26" s="7">
        <v>236936174</v>
      </c>
      <c r="S26" s="7">
        <v>2097797774</v>
      </c>
      <c r="U26" s="29">
        <v>9.6668623243643392E-3</v>
      </c>
    </row>
    <row r="27" spans="1:21" ht="21" x14ac:dyDescent="0.55000000000000004">
      <c r="A27" s="5" t="s">
        <v>225</v>
      </c>
      <c r="C27" s="7">
        <v>0</v>
      </c>
      <c r="E27" s="7">
        <v>5970264300</v>
      </c>
      <c r="G27" s="7">
        <v>0</v>
      </c>
      <c r="I27" s="7">
        <v>5970264300</v>
      </c>
      <c r="K27" s="29">
        <v>3.9754766806972597E-2</v>
      </c>
      <c r="M27" s="7">
        <v>5006486160</v>
      </c>
      <c r="O27" s="7">
        <v>969198750</v>
      </c>
      <c r="Q27" s="7">
        <v>-416966303</v>
      </c>
      <c r="S27" s="7">
        <v>5558718607</v>
      </c>
      <c r="U27" s="29">
        <v>2.561513227811792E-2</v>
      </c>
    </row>
    <row r="28" spans="1:21" ht="21" x14ac:dyDescent="0.55000000000000004">
      <c r="A28" s="5" t="s">
        <v>182</v>
      </c>
      <c r="C28" s="7">
        <v>642857000</v>
      </c>
      <c r="E28" s="7">
        <v>-430707569</v>
      </c>
      <c r="G28" s="7">
        <v>0</v>
      </c>
      <c r="I28" s="7">
        <v>212149431</v>
      </c>
      <c r="K28" s="29">
        <v>1.4126595966005933E-3</v>
      </c>
      <c r="M28" s="7">
        <v>642857000</v>
      </c>
      <c r="O28" s="7">
        <v>-12879601</v>
      </c>
      <c r="Q28" s="7">
        <v>675113341</v>
      </c>
      <c r="S28" s="7">
        <v>1305090740</v>
      </c>
      <c r="U28" s="29">
        <v>6.013988889084775E-3</v>
      </c>
    </row>
    <row r="29" spans="1:21" ht="21" x14ac:dyDescent="0.55000000000000004">
      <c r="A29" s="5" t="s">
        <v>75</v>
      </c>
      <c r="C29" s="7">
        <v>0</v>
      </c>
      <c r="E29" s="7">
        <v>1174003350</v>
      </c>
      <c r="G29" s="7">
        <v>0</v>
      </c>
      <c r="I29" s="7">
        <v>1174003350</v>
      </c>
      <c r="K29" s="29">
        <v>7.8174477819775313E-3</v>
      </c>
      <c r="M29" s="7">
        <v>0</v>
      </c>
      <c r="O29" s="7">
        <v>1174003350</v>
      </c>
      <c r="Q29" s="7">
        <v>0</v>
      </c>
      <c r="S29" s="7">
        <v>1174003350</v>
      </c>
      <c r="U29" s="29">
        <v>5.4099250621058772E-3</v>
      </c>
    </row>
    <row r="30" spans="1:21" ht="21" x14ac:dyDescent="0.55000000000000004">
      <c r="A30" s="5" t="s">
        <v>181</v>
      </c>
      <c r="C30" s="7">
        <v>0</v>
      </c>
      <c r="E30" s="7">
        <v>2639674078</v>
      </c>
      <c r="G30" s="7">
        <v>0</v>
      </c>
      <c r="I30" s="7">
        <v>2639674078</v>
      </c>
      <c r="K30" s="29">
        <v>1.7577048878271669E-2</v>
      </c>
      <c r="M30" s="7">
        <v>0</v>
      </c>
      <c r="O30" s="7">
        <v>2034860616</v>
      </c>
      <c r="Q30" s="7">
        <v>0</v>
      </c>
      <c r="S30" s="7">
        <v>2034860616</v>
      </c>
      <c r="U30" s="29">
        <v>9.3768415945240727E-3</v>
      </c>
    </row>
    <row r="31" spans="1:21" ht="21" x14ac:dyDescent="0.55000000000000004">
      <c r="A31" s="5" t="s">
        <v>224</v>
      </c>
      <c r="C31" s="7">
        <v>0</v>
      </c>
      <c r="E31" s="7">
        <v>511935750</v>
      </c>
      <c r="G31" s="7">
        <v>0</v>
      </c>
      <c r="I31" s="7">
        <v>511935750</v>
      </c>
      <c r="K31" s="29">
        <v>3.4088752756561585E-3</v>
      </c>
      <c r="M31" s="7">
        <v>0</v>
      </c>
      <c r="O31" s="7">
        <v>176940900</v>
      </c>
      <c r="Q31" s="7">
        <v>-345437536</v>
      </c>
      <c r="S31" s="7">
        <v>-168496636</v>
      </c>
      <c r="U31" s="29">
        <v>-7.7644938064012447E-4</v>
      </c>
    </row>
    <row r="32" spans="1:21" ht="21" x14ac:dyDescent="0.55000000000000004">
      <c r="A32" s="5" t="s">
        <v>223</v>
      </c>
      <c r="C32" s="7">
        <v>0</v>
      </c>
      <c r="E32" s="7">
        <v>-19239281</v>
      </c>
      <c r="G32" s="7">
        <v>0</v>
      </c>
      <c r="I32" s="7">
        <v>-19239281</v>
      </c>
      <c r="K32" s="29">
        <v>-1.2811043050285371E-4</v>
      </c>
      <c r="M32" s="7">
        <v>0</v>
      </c>
      <c r="O32" s="7">
        <v>-1125119906</v>
      </c>
      <c r="Q32" s="7">
        <v>0</v>
      </c>
      <c r="S32" s="7">
        <v>-1125119906</v>
      </c>
      <c r="U32" s="29">
        <v>-5.1846652544420835E-3</v>
      </c>
    </row>
    <row r="33" spans="1:21" ht="21" x14ac:dyDescent="0.55000000000000004">
      <c r="A33" s="5" t="s">
        <v>222</v>
      </c>
      <c r="C33" s="7">
        <v>0</v>
      </c>
      <c r="E33" s="7">
        <v>235831643</v>
      </c>
      <c r="G33" s="7">
        <v>0</v>
      </c>
      <c r="I33" s="7">
        <v>235831643</v>
      </c>
      <c r="K33" s="29">
        <v>1.5703545943803882E-3</v>
      </c>
      <c r="M33" s="7">
        <v>0</v>
      </c>
      <c r="O33" s="7">
        <v>235831643</v>
      </c>
      <c r="Q33" s="7">
        <v>0</v>
      </c>
      <c r="S33" s="7">
        <v>235831643</v>
      </c>
      <c r="U33" s="29">
        <v>1.0867358393000378E-3</v>
      </c>
    </row>
    <row r="34" spans="1:21" ht="21" x14ac:dyDescent="0.55000000000000004">
      <c r="A34" s="5" t="s">
        <v>221</v>
      </c>
      <c r="C34" s="7">
        <v>0</v>
      </c>
      <c r="E34" s="7">
        <v>2584530000</v>
      </c>
      <c r="G34" s="7">
        <v>0</v>
      </c>
      <c r="I34" s="7">
        <v>2584530000</v>
      </c>
      <c r="K34" s="29">
        <v>1.7209855760594198E-2</v>
      </c>
      <c r="M34" s="7">
        <v>4394680000</v>
      </c>
      <c r="O34" s="7">
        <v>1848933001</v>
      </c>
      <c r="Q34" s="7">
        <v>-226878470</v>
      </c>
      <c r="S34" s="7">
        <v>6016734531</v>
      </c>
      <c r="U34" s="29">
        <v>2.7725715545270591E-2</v>
      </c>
    </row>
    <row r="35" spans="1:21" ht="21" x14ac:dyDescent="0.55000000000000004">
      <c r="A35" s="5" t="s">
        <v>73</v>
      </c>
      <c r="C35" s="7">
        <v>0</v>
      </c>
      <c r="E35" s="7">
        <v>897030720</v>
      </c>
      <c r="G35" s="7">
        <v>0</v>
      </c>
      <c r="I35" s="7">
        <v>897030720</v>
      </c>
      <c r="K35" s="29">
        <v>5.9731437839846942E-3</v>
      </c>
      <c r="M35" s="7">
        <v>0</v>
      </c>
      <c r="O35" s="7">
        <v>-1822690080</v>
      </c>
      <c r="Q35" s="7">
        <v>0</v>
      </c>
      <c r="S35" s="7">
        <v>-1822690080</v>
      </c>
      <c r="U35" s="29">
        <v>-8.3991385069248446E-3</v>
      </c>
    </row>
    <row r="36" spans="1:21" ht="21" x14ac:dyDescent="0.55000000000000004">
      <c r="A36" s="5" t="s">
        <v>72</v>
      </c>
      <c r="C36" s="7">
        <v>0</v>
      </c>
      <c r="E36" s="7">
        <v>168987824</v>
      </c>
      <c r="G36" s="7">
        <v>0</v>
      </c>
      <c r="I36" s="7">
        <v>168987824</v>
      </c>
      <c r="K36" s="29">
        <v>1.1252552983856555E-3</v>
      </c>
      <c r="M36" s="7">
        <v>0</v>
      </c>
      <c r="O36" s="7">
        <v>189550190</v>
      </c>
      <c r="Q36" s="7">
        <v>573417743</v>
      </c>
      <c r="S36" s="7">
        <v>762967933</v>
      </c>
      <c r="U36" s="29">
        <v>3.5158326782626448E-3</v>
      </c>
    </row>
    <row r="37" spans="1:21" ht="21" x14ac:dyDescent="0.55000000000000004">
      <c r="A37" s="5" t="s">
        <v>71</v>
      </c>
      <c r="C37" s="7">
        <v>0</v>
      </c>
      <c r="E37" s="7">
        <v>1492566075</v>
      </c>
      <c r="G37" s="7">
        <v>0</v>
      </c>
      <c r="I37" s="7">
        <v>1492566075</v>
      </c>
      <c r="K37" s="29">
        <v>9.9386917017431492E-3</v>
      </c>
      <c r="M37" s="7">
        <v>0</v>
      </c>
      <c r="O37" s="7">
        <v>2270237100</v>
      </c>
      <c r="Q37" s="7">
        <v>733684800</v>
      </c>
      <c r="S37" s="7">
        <v>3003921900</v>
      </c>
      <c r="U37" s="29">
        <v>1.3842373083022892E-2</v>
      </c>
    </row>
    <row r="38" spans="1:21" ht="21" x14ac:dyDescent="0.55000000000000004">
      <c r="A38" s="5" t="s">
        <v>70</v>
      </c>
      <c r="C38" s="7">
        <v>0</v>
      </c>
      <c r="E38" s="7">
        <v>24411831766</v>
      </c>
      <c r="G38" s="7">
        <v>0</v>
      </c>
      <c r="I38" s="7">
        <v>24411831766</v>
      </c>
      <c r="K38" s="29">
        <v>0.16255338631966026</v>
      </c>
      <c r="M38" s="7">
        <v>0</v>
      </c>
      <c r="O38" s="7">
        <v>28472521255</v>
      </c>
      <c r="Q38" s="7">
        <v>2984004494</v>
      </c>
      <c r="S38" s="7">
        <v>31456525749</v>
      </c>
      <c r="U38" s="29">
        <v>0.14495482233189022</v>
      </c>
    </row>
    <row r="39" spans="1:21" ht="21" x14ac:dyDescent="0.55000000000000004">
      <c r="A39" s="5" t="s">
        <v>68</v>
      </c>
      <c r="C39" s="7">
        <v>0</v>
      </c>
      <c r="E39" s="7">
        <v>46144847</v>
      </c>
      <c r="G39" s="7">
        <v>0</v>
      </c>
      <c r="I39" s="7">
        <v>46144847</v>
      </c>
      <c r="K39" s="29">
        <v>3.0726908217923102E-4</v>
      </c>
      <c r="M39" s="7">
        <v>0</v>
      </c>
      <c r="O39" s="7">
        <v>-2406829576</v>
      </c>
      <c r="Q39" s="7">
        <v>-4637875190</v>
      </c>
      <c r="S39" s="7">
        <v>-7044704766</v>
      </c>
      <c r="U39" s="29">
        <v>-3.2462705382161061E-2</v>
      </c>
    </row>
    <row r="40" spans="1:21" ht="21" x14ac:dyDescent="0.55000000000000004">
      <c r="A40" s="5" t="s">
        <v>220</v>
      </c>
      <c r="C40" s="7">
        <v>0</v>
      </c>
      <c r="E40" s="7">
        <v>8277703470</v>
      </c>
      <c r="G40" s="7">
        <v>0</v>
      </c>
      <c r="I40" s="7">
        <v>8277703470</v>
      </c>
      <c r="K40" s="29">
        <v>5.5119531499990361E-2</v>
      </c>
      <c r="M40" s="7">
        <v>0</v>
      </c>
      <c r="O40" s="7">
        <v>3097661716</v>
      </c>
      <c r="Q40" s="7">
        <v>0</v>
      </c>
      <c r="S40" s="7">
        <v>3097661716</v>
      </c>
      <c r="U40" s="29">
        <v>1.4274335547095583E-2</v>
      </c>
    </row>
    <row r="41" spans="1:21" ht="21" x14ac:dyDescent="0.55000000000000004">
      <c r="A41" s="5" t="s">
        <v>66</v>
      </c>
      <c r="C41" s="7">
        <v>0</v>
      </c>
      <c r="E41" s="7">
        <v>270381600</v>
      </c>
      <c r="G41" s="7">
        <v>0</v>
      </c>
      <c r="I41" s="7">
        <v>270381600</v>
      </c>
      <c r="K41" s="29">
        <v>1.8004156795698547E-3</v>
      </c>
      <c r="M41" s="7">
        <v>0</v>
      </c>
      <c r="O41" s="7">
        <v>-612334800</v>
      </c>
      <c r="Q41" s="7">
        <v>0</v>
      </c>
      <c r="S41" s="7">
        <v>-612334800</v>
      </c>
      <c r="U41" s="29">
        <v>-2.821700109219952E-3</v>
      </c>
    </row>
    <row r="42" spans="1:21" ht="21" x14ac:dyDescent="0.55000000000000004">
      <c r="A42" s="5" t="s">
        <v>219</v>
      </c>
      <c r="C42" s="7">
        <v>0</v>
      </c>
      <c r="E42" s="7">
        <v>4717294233</v>
      </c>
      <c r="G42" s="7">
        <v>0</v>
      </c>
      <c r="I42" s="7">
        <v>4717294233</v>
      </c>
      <c r="K42" s="29">
        <v>3.1411495834914989E-2</v>
      </c>
      <c r="M42" s="7">
        <v>0</v>
      </c>
      <c r="O42" s="7">
        <v>4103718620</v>
      </c>
      <c r="Q42" s="7">
        <v>0</v>
      </c>
      <c r="S42" s="7">
        <v>4103718620</v>
      </c>
      <c r="U42" s="29">
        <v>1.8910346559205767E-2</v>
      </c>
    </row>
    <row r="43" spans="1:21" ht="21" x14ac:dyDescent="0.55000000000000004">
      <c r="A43" s="5" t="s">
        <v>65</v>
      </c>
      <c r="C43" s="7">
        <v>0</v>
      </c>
      <c r="E43" s="7">
        <v>620287200</v>
      </c>
      <c r="G43" s="7">
        <v>0</v>
      </c>
      <c r="I43" s="7">
        <v>620287200</v>
      </c>
      <c r="K43" s="29">
        <v>4.1303653825426074E-3</v>
      </c>
      <c r="M43" s="7">
        <v>0</v>
      </c>
      <c r="O43" s="7">
        <v>-1571573680</v>
      </c>
      <c r="Q43" s="7">
        <v>1838065920</v>
      </c>
      <c r="S43" s="7">
        <v>266492240</v>
      </c>
      <c r="U43" s="29">
        <v>1.2280229422111395E-3</v>
      </c>
    </row>
    <row r="44" spans="1:21" ht="21" x14ac:dyDescent="0.55000000000000004">
      <c r="A44" s="5" t="s">
        <v>63</v>
      </c>
      <c r="C44" s="7">
        <v>0</v>
      </c>
      <c r="E44" s="7">
        <v>875510212</v>
      </c>
      <c r="G44" s="7">
        <v>933138850</v>
      </c>
      <c r="I44" s="7">
        <v>1808649062</v>
      </c>
      <c r="K44" s="29">
        <v>1.2043423554206758E-2</v>
      </c>
      <c r="M44" s="7">
        <v>0</v>
      </c>
      <c r="O44" s="7">
        <v>637930912</v>
      </c>
      <c r="Q44" s="7">
        <v>933138850</v>
      </c>
      <c r="S44" s="7">
        <v>1571069762</v>
      </c>
      <c r="U44" s="29">
        <v>7.2396468713317686E-3</v>
      </c>
    </row>
    <row r="45" spans="1:21" ht="21" x14ac:dyDescent="0.55000000000000004">
      <c r="A45" s="5" t="s">
        <v>218</v>
      </c>
      <c r="C45" s="7">
        <v>0</v>
      </c>
      <c r="E45" s="7">
        <v>867551963</v>
      </c>
      <c r="G45" s="7">
        <v>0</v>
      </c>
      <c r="I45" s="7">
        <v>867551963</v>
      </c>
      <c r="K45" s="29">
        <v>5.7768507806256284E-3</v>
      </c>
      <c r="M45" s="7">
        <v>0</v>
      </c>
      <c r="O45" s="7">
        <v>-2693095069</v>
      </c>
      <c r="Q45" s="7">
        <v>-796334853</v>
      </c>
      <c r="S45" s="7">
        <v>-3489429922</v>
      </c>
      <c r="U45" s="29">
        <v>-1.6079642692237595E-2</v>
      </c>
    </row>
    <row r="46" spans="1:21" ht="21" x14ac:dyDescent="0.55000000000000004">
      <c r="A46" s="5" t="s">
        <v>217</v>
      </c>
      <c r="C46" s="7">
        <v>0</v>
      </c>
      <c r="E46" s="7">
        <v>-1427530024</v>
      </c>
      <c r="G46" s="7">
        <v>0</v>
      </c>
      <c r="I46" s="7">
        <v>-1427530024</v>
      </c>
      <c r="K46" s="29">
        <v>-9.505629962491274E-3</v>
      </c>
      <c r="M46" s="7">
        <v>0</v>
      </c>
      <c r="O46" s="7">
        <v>-7600171271</v>
      </c>
      <c r="Q46" s="7">
        <v>0</v>
      </c>
      <c r="S46" s="7">
        <v>-7600171271</v>
      </c>
      <c r="U46" s="29">
        <v>-3.5022350690294003E-2</v>
      </c>
    </row>
    <row r="47" spans="1:21" ht="21" x14ac:dyDescent="0.55000000000000004">
      <c r="A47" s="5" t="s">
        <v>216</v>
      </c>
      <c r="C47" s="7">
        <v>0</v>
      </c>
      <c r="E47" s="7">
        <v>4951164240</v>
      </c>
      <c r="G47" s="7">
        <v>0</v>
      </c>
      <c r="I47" s="7">
        <v>4951164240</v>
      </c>
      <c r="K47" s="29">
        <v>3.2968788297064455E-2</v>
      </c>
      <c r="M47" s="7">
        <v>0</v>
      </c>
      <c r="O47" s="7">
        <v>20479815720</v>
      </c>
      <c r="Q47" s="7">
        <v>825945230</v>
      </c>
      <c r="S47" s="7">
        <v>21305760950</v>
      </c>
      <c r="U47" s="29">
        <v>9.817908111645654E-2</v>
      </c>
    </row>
    <row r="48" spans="1:21" ht="21" x14ac:dyDescent="0.55000000000000004">
      <c r="A48" s="5" t="s">
        <v>177</v>
      </c>
      <c r="C48" s="7">
        <v>0</v>
      </c>
      <c r="E48" s="7">
        <v>600406200</v>
      </c>
      <c r="G48" s="7">
        <v>0</v>
      </c>
      <c r="I48" s="7">
        <v>600406200</v>
      </c>
      <c r="K48" s="29">
        <v>3.9979818766918826E-3</v>
      </c>
      <c r="M48" s="7">
        <v>0</v>
      </c>
      <c r="O48" s="7">
        <v>-683611501</v>
      </c>
      <c r="Q48" s="7">
        <v>-624123600</v>
      </c>
      <c r="S48" s="7">
        <v>-1307735101</v>
      </c>
      <c r="U48" s="29">
        <v>-6.0261743695156069E-3</v>
      </c>
    </row>
    <row r="49" spans="1:21" ht="21" x14ac:dyDescent="0.55000000000000004">
      <c r="A49" s="5" t="s">
        <v>173</v>
      </c>
      <c r="C49" s="7">
        <v>0</v>
      </c>
      <c r="E49" s="7">
        <v>2070854662</v>
      </c>
      <c r="G49" s="7">
        <v>0</v>
      </c>
      <c r="I49" s="7">
        <v>2070854662</v>
      </c>
      <c r="K49" s="29">
        <v>1.3789396924846703E-2</v>
      </c>
      <c r="M49" s="7">
        <v>0</v>
      </c>
      <c r="O49" s="7">
        <v>937761403</v>
      </c>
      <c r="Q49" s="7">
        <v>0</v>
      </c>
      <c r="S49" s="7">
        <v>937761403</v>
      </c>
      <c r="U49" s="29">
        <v>4.3212985008648135E-3</v>
      </c>
    </row>
    <row r="50" spans="1:21" ht="21" x14ac:dyDescent="0.55000000000000004">
      <c r="A50" s="5" t="s">
        <v>215</v>
      </c>
      <c r="C50" s="7">
        <v>0</v>
      </c>
      <c r="E50" s="7">
        <v>3938227290</v>
      </c>
      <c r="G50" s="7">
        <v>0</v>
      </c>
      <c r="I50" s="7">
        <v>3938227290</v>
      </c>
      <c r="K50" s="29">
        <v>2.6223848673970037E-2</v>
      </c>
      <c r="M50" s="7">
        <v>0</v>
      </c>
      <c r="O50" s="7">
        <v>4609608660</v>
      </c>
      <c r="Q50" s="7">
        <v>0</v>
      </c>
      <c r="S50" s="7">
        <v>4609608660</v>
      </c>
      <c r="U50" s="29">
        <v>2.1241538549472017E-2</v>
      </c>
    </row>
    <row r="51" spans="1:21" ht="21" x14ac:dyDescent="0.55000000000000004">
      <c r="A51" s="5" t="s">
        <v>214</v>
      </c>
      <c r="C51" s="7">
        <v>0</v>
      </c>
      <c r="E51" s="7">
        <v>1014428025</v>
      </c>
      <c r="G51" s="7">
        <v>0</v>
      </c>
      <c r="I51" s="7">
        <v>1014428025</v>
      </c>
      <c r="K51" s="29">
        <v>6.7548683860332226E-3</v>
      </c>
      <c r="M51" s="7">
        <v>0</v>
      </c>
      <c r="O51" s="7">
        <v>1725934663</v>
      </c>
      <c r="Q51" s="7">
        <v>0</v>
      </c>
      <c r="S51" s="7">
        <v>1725934663</v>
      </c>
      <c r="U51" s="29">
        <v>7.9532798513061824E-3</v>
      </c>
    </row>
    <row r="52" spans="1:21" ht="21" x14ac:dyDescent="0.55000000000000004">
      <c r="A52" s="5" t="s">
        <v>213</v>
      </c>
      <c r="C52" s="7">
        <v>0</v>
      </c>
      <c r="E52" s="7">
        <v>470659427</v>
      </c>
      <c r="G52" s="7">
        <v>0</v>
      </c>
      <c r="I52" s="7">
        <v>470659427</v>
      </c>
      <c r="K52" s="29">
        <v>3.1340246973468734E-3</v>
      </c>
      <c r="M52" s="7">
        <v>0</v>
      </c>
      <c r="O52" s="7">
        <v>2167565607</v>
      </c>
      <c r="Q52" s="7">
        <v>0</v>
      </c>
      <c r="S52" s="7">
        <v>2167565607</v>
      </c>
      <c r="U52" s="29">
        <v>9.9883594889810471E-3</v>
      </c>
    </row>
    <row r="53" spans="1:21" ht="21" x14ac:dyDescent="0.55000000000000004">
      <c r="A53" s="5" t="s">
        <v>60</v>
      </c>
      <c r="C53" s="7">
        <v>0</v>
      </c>
      <c r="E53" s="7">
        <v>1690481430</v>
      </c>
      <c r="G53" s="7">
        <v>0</v>
      </c>
      <c r="I53" s="7">
        <v>1690481430</v>
      </c>
      <c r="K53" s="29">
        <v>1.1256569502487114E-2</v>
      </c>
      <c r="M53" s="7">
        <v>0</v>
      </c>
      <c r="O53" s="7">
        <v>4925469972</v>
      </c>
      <c r="Q53" s="7">
        <v>790107480</v>
      </c>
      <c r="S53" s="7">
        <v>5715577452</v>
      </c>
      <c r="U53" s="29">
        <v>2.6337953551820826E-2</v>
      </c>
    </row>
    <row r="54" spans="1:21" ht="21" x14ac:dyDescent="0.55000000000000004">
      <c r="A54" s="5" t="s">
        <v>172</v>
      </c>
      <c r="C54" s="7">
        <v>0</v>
      </c>
      <c r="E54" s="7">
        <v>1825736456</v>
      </c>
      <c r="G54" s="7">
        <v>0</v>
      </c>
      <c r="I54" s="7">
        <v>1825736456</v>
      </c>
      <c r="K54" s="29">
        <v>1.2157205010047644E-2</v>
      </c>
      <c r="M54" s="7">
        <v>0</v>
      </c>
      <c r="O54" s="7">
        <v>4838540125</v>
      </c>
      <c r="Q54" s="7">
        <v>772060038</v>
      </c>
      <c r="S54" s="7">
        <v>5610600163</v>
      </c>
      <c r="U54" s="29">
        <v>2.5854207686263432E-2</v>
      </c>
    </row>
    <row r="55" spans="1:21" ht="21" x14ac:dyDescent="0.55000000000000004">
      <c r="A55" s="5" t="s">
        <v>59</v>
      </c>
      <c r="C55" s="7">
        <v>0</v>
      </c>
      <c r="E55" s="7">
        <v>2113291524</v>
      </c>
      <c r="G55" s="7">
        <v>0</v>
      </c>
      <c r="I55" s="7">
        <v>2113291524</v>
      </c>
      <c r="K55" s="29">
        <v>1.4071975294589844E-2</v>
      </c>
      <c r="M55" s="7">
        <v>0</v>
      </c>
      <c r="O55" s="7">
        <v>2291226474</v>
      </c>
      <c r="Q55" s="7">
        <v>0</v>
      </c>
      <c r="S55" s="7">
        <v>2291226474</v>
      </c>
      <c r="U55" s="29">
        <v>1.0558201153900522E-2</v>
      </c>
    </row>
    <row r="56" spans="1:21" ht="21" x14ac:dyDescent="0.55000000000000004">
      <c r="A56" s="5" t="s">
        <v>171</v>
      </c>
      <c r="C56" s="7">
        <v>0</v>
      </c>
      <c r="E56" s="7">
        <v>11294790241</v>
      </c>
      <c r="G56" s="7">
        <v>0</v>
      </c>
      <c r="I56" s="7">
        <v>11294790241</v>
      </c>
      <c r="K56" s="29">
        <v>7.5209694177965428E-2</v>
      </c>
      <c r="M56" s="7">
        <v>0</v>
      </c>
      <c r="O56" s="7">
        <v>21442194928</v>
      </c>
      <c r="Q56" s="7">
        <v>0</v>
      </c>
      <c r="S56" s="7">
        <v>21442194928</v>
      </c>
      <c r="U56" s="29">
        <v>9.8807782556622786E-2</v>
      </c>
    </row>
    <row r="57" spans="1:21" ht="21" x14ac:dyDescent="0.55000000000000004">
      <c r="A57" s="5" t="s">
        <v>58</v>
      </c>
      <c r="C57" s="7">
        <v>0</v>
      </c>
      <c r="E57" s="7">
        <v>2924611234</v>
      </c>
      <c r="G57" s="7">
        <v>0</v>
      </c>
      <c r="I57" s="7">
        <v>2924611234</v>
      </c>
      <c r="K57" s="29">
        <v>1.9474387023154464E-2</v>
      </c>
      <c r="M57" s="7">
        <v>0</v>
      </c>
      <c r="O57" s="7">
        <v>5221039023</v>
      </c>
      <c r="Q57" s="7">
        <v>0</v>
      </c>
      <c r="S57" s="7">
        <v>5221039023</v>
      </c>
      <c r="U57" s="29">
        <v>2.4059070922378953E-2</v>
      </c>
    </row>
    <row r="58" spans="1:21" ht="21" x14ac:dyDescent="0.55000000000000004">
      <c r="A58" s="5" t="s">
        <v>212</v>
      </c>
      <c r="C58" s="7">
        <v>0</v>
      </c>
      <c r="E58" s="7">
        <v>4335091812</v>
      </c>
      <c r="G58" s="7">
        <v>0</v>
      </c>
      <c r="I58" s="7">
        <v>4335091812</v>
      </c>
      <c r="K58" s="29">
        <v>2.88664882177622E-2</v>
      </c>
      <c r="M58" s="7">
        <v>0</v>
      </c>
      <c r="O58" s="7">
        <v>9734095458</v>
      </c>
      <c r="Q58" s="7">
        <v>778763390</v>
      </c>
      <c r="S58" s="7">
        <v>10512858848</v>
      </c>
      <c r="U58" s="29">
        <v>4.8444306872017624E-2</v>
      </c>
    </row>
    <row r="59" spans="1:21" ht="21" x14ac:dyDescent="0.55000000000000004">
      <c r="A59" s="5" t="s">
        <v>168</v>
      </c>
      <c r="C59" s="7">
        <v>0</v>
      </c>
      <c r="E59" s="7">
        <v>974169000</v>
      </c>
      <c r="G59" s="7">
        <v>0</v>
      </c>
      <c r="I59" s="7">
        <v>974169000</v>
      </c>
      <c r="K59" s="29">
        <v>6.4867917866855054E-3</v>
      </c>
      <c r="M59" s="7">
        <v>0</v>
      </c>
      <c r="O59" s="7">
        <v>429616082</v>
      </c>
      <c r="Q59" s="7">
        <v>649133501</v>
      </c>
      <c r="S59" s="7">
        <v>1078749583</v>
      </c>
      <c r="U59" s="29">
        <v>4.9709861601399718E-3</v>
      </c>
    </row>
    <row r="60" spans="1:21" ht="21" x14ac:dyDescent="0.55000000000000004">
      <c r="A60" s="5" t="s">
        <v>57</v>
      </c>
      <c r="C60" s="7">
        <v>0</v>
      </c>
      <c r="E60" s="7">
        <v>4115367000</v>
      </c>
      <c r="G60" s="7">
        <v>0</v>
      </c>
      <c r="I60" s="7">
        <v>4115367000</v>
      </c>
      <c r="K60" s="29">
        <v>2.7403385711099994E-2</v>
      </c>
      <c r="M60" s="7">
        <v>0</v>
      </c>
      <c r="O60" s="7">
        <v>9554808600</v>
      </c>
      <c r="Q60" s="7">
        <v>0</v>
      </c>
      <c r="S60" s="7">
        <v>9554808600</v>
      </c>
      <c r="U60" s="29">
        <v>4.4029515340620419E-2</v>
      </c>
    </row>
    <row r="61" spans="1:21" ht="21" x14ac:dyDescent="0.55000000000000004">
      <c r="A61" s="5" t="s">
        <v>167</v>
      </c>
      <c r="C61" s="7">
        <v>0</v>
      </c>
      <c r="E61" s="7">
        <v>-11277162</v>
      </c>
      <c r="G61" s="7">
        <v>0</v>
      </c>
      <c r="I61" s="7">
        <v>-11277162</v>
      </c>
      <c r="K61" s="29">
        <v>-7.5092311332758367E-5</v>
      </c>
      <c r="M61" s="7">
        <v>0</v>
      </c>
      <c r="O61" s="7">
        <v>-11277162</v>
      </c>
      <c r="Q61" s="7">
        <v>0</v>
      </c>
      <c r="S61" s="7">
        <v>-11277162</v>
      </c>
      <c r="U61" s="29">
        <v>-5.1966292373210037E-5</v>
      </c>
    </row>
    <row r="62" spans="1:21" ht="21" x14ac:dyDescent="0.55000000000000004">
      <c r="A62" s="5" t="s">
        <v>211</v>
      </c>
      <c r="C62" s="7">
        <v>0</v>
      </c>
      <c r="E62" s="7">
        <v>1773169517</v>
      </c>
      <c r="G62" s="7">
        <v>0</v>
      </c>
      <c r="I62" s="7">
        <v>1773169517</v>
      </c>
      <c r="K62" s="29">
        <v>1.1807172532976008E-2</v>
      </c>
      <c r="M62" s="7">
        <v>0</v>
      </c>
      <c r="O62" s="7">
        <v>1773169517</v>
      </c>
      <c r="Q62" s="7">
        <v>0</v>
      </c>
      <c r="S62" s="7">
        <v>1773169517</v>
      </c>
      <c r="U62" s="29">
        <v>8.1709427910750618E-3</v>
      </c>
    </row>
    <row r="63" spans="1:21" ht="21" x14ac:dyDescent="0.55000000000000004">
      <c r="A63" s="5" t="s">
        <v>210</v>
      </c>
      <c r="C63" s="7">
        <v>0</v>
      </c>
      <c r="E63" s="7">
        <v>1211906758</v>
      </c>
      <c r="G63" s="7">
        <v>0</v>
      </c>
      <c r="I63" s="7">
        <v>1211906758</v>
      </c>
      <c r="K63" s="29">
        <v>8.0698388103327637E-3</v>
      </c>
      <c r="M63" s="7">
        <v>0</v>
      </c>
      <c r="O63" s="7">
        <v>1211906758</v>
      </c>
      <c r="Q63" s="7">
        <v>0</v>
      </c>
      <c r="S63" s="7">
        <v>1211906758</v>
      </c>
      <c r="U63" s="29">
        <v>5.5845877637739974E-3</v>
      </c>
    </row>
    <row r="64" spans="1:21" ht="21" x14ac:dyDescent="0.55000000000000004">
      <c r="A64" s="5" t="s">
        <v>84</v>
      </c>
      <c r="C64" s="7">
        <v>0</v>
      </c>
      <c r="E64" s="7">
        <v>0</v>
      </c>
      <c r="G64" s="7">
        <v>0</v>
      </c>
      <c r="I64" s="7">
        <v>0</v>
      </c>
      <c r="K64" s="29">
        <v>0</v>
      </c>
      <c r="L64" s="6"/>
      <c r="M64" s="7">
        <v>0</v>
      </c>
      <c r="O64" s="7">
        <v>3164560736</v>
      </c>
      <c r="Q64" s="7">
        <v>0</v>
      </c>
      <c r="S64" s="7">
        <v>3164560736</v>
      </c>
      <c r="U64" s="29">
        <v>1.458261293397725E-2</v>
      </c>
    </row>
    <row r="65" spans="1:21" ht="21" x14ac:dyDescent="0.55000000000000004">
      <c r="A65" s="5" t="s">
        <v>209</v>
      </c>
      <c r="C65" s="7">
        <v>0</v>
      </c>
      <c r="E65" s="7">
        <v>0</v>
      </c>
      <c r="G65" s="7">
        <v>0</v>
      </c>
      <c r="I65" s="7">
        <v>0</v>
      </c>
      <c r="K65" s="29">
        <v>0</v>
      </c>
      <c r="L65" s="6"/>
      <c r="M65" s="7">
        <v>0</v>
      </c>
      <c r="O65" s="7">
        <v>0</v>
      </c>
      <c r="Q65" s="7">
        <v>-136788503</v>
      </c>
      <c r="S65" s="7">
        <v>-136788503</v>
      </c>
      <c r="U65" s="29">
        <v>-6.3033512688668637E-4</v>
      </c>
    </row>
    <row r="66" spans="1:21" ht="21" x14ac:dyDescent="0.55000000000000004">
      <c r="A66" s="5" t="s">
        <v>208</v>
      </c>
      <c r="C66" s="7">
        <v>0</v>
      </c>
      <c r="E66" s="7">
        <v>0</v>
      </c>
      <c r="G66" s="7">
        <v>0</v>
      </c>
      <c r="I66" s="7">
        <v>0</v>
      </c>
      <c r="K66" s="29">
        <v>0</v>
      </c>
      <c r="L66" s="6"/>
      <c r="M66" s="7">
        <v>0</v>
      </c>
      <c r="O66" s="7">
        <v>0</v>
      </c>
      <c r="Q66" s="7">
        <v>-2314315880</v>
      </c>
      <c r="S66" s="7">
        <v>-2314315880</v>
      </c>
      <c r="U66" s="29">
        <v>-1.0664599450113679E-2</v>
      </c>
    </row>
    <row r="67" spans="1:21" ht="21" x14ac:dyDescent="0.55000000000000004">
      <c r="A67" s="5" t="s">
        <v>78</v>
      </c>
      <c r="C67" s="7">
        <v>0</v>
      </c>
      <c r="E67" s="7">
        <v>0</v>
      </c>
      <c r="G67" s="7">
        <v>0</v>
      </c>
      <c r="I67" s="7">
        <v>0</v>
      </c>
      <c r="K67" s="29">
        <v>0</v>
      </c>
      <c r="L67" s="6"/>
      <c r="M67" s="7">
        <v>0</v>
      </c>
      <c r="O67" s="7">
        <v>0</v>
      </c>
      <c r="Q67" s="7">
        <v>6310789540</v>
      </c>
      <c r="S67" s="7">
        <v>6310789540</v>
      </c>
      <c r="U67" s="29">
        <v>2.9080750488592402E-2</v>
      </c>
    </row>
    <row r="68" spans="1:21" ht="21" x14ac:dyDescent="0.55000000000000004">
      <c r="A68" s="5" t="s">
        <v>207</v>
      </c>
      <c r="C68" s="7">
        <v>0</v>
      </c>
      <c r="E68" s="7">
        <v>0</v>
      </c>
      <c r="G68" s="7">
        <v>0</v>
      </c>
      <c r="I68" s="7">
        <v>0</v>
      </c>
      <c r="K68" s="29">
        <v>0</v>
      </c>
      <c r="L68" s="6"/>
      <c r="M68" s="7">
        <v>0</v>
      </c>
      <c r="O68" s="7">
        <v>0</v>
      </c>
      <c r="Q68" s="7">
        <v>-2458047700</v>
      </c>
      <c r="S68" s="7">
        <v>-2458047700</v>
      </c>
      <c r="U68" s="29">
        <v>-1.1326930077398593E-2</v>
      </c>
    </row>
    <row r="69" spans="1:21" ht="21" x14ac:dyDescent="0.55000000000000004">
      <c r="A69" s="5" t="s">
        <v>101</v>
      </c>
      <c r="C69" s="7">
        <v>0</v>
      </c>
      <c r="E69" s="7">
        <v>0</v>
      </c>
      <c r="G69" s="7">
        <v>0</v>
      </c>
      <c r="I69" s="7">
        <v>0</v>
      </c>
      <c r="K69" s="29">
        <v>0</v>
      </c>
      <c r="L69" s="6"/>
      <c r="M69" s="7">
        <v>0</v>
      </c>
      <c r="O69" s="7">
        <v>0</v>
      </c>
      <c r="Q69" s="7">
        <v>-436957507</v>
      </c>
      <c r="S69" s="7">
        <v>-436957507</v>
      </c>
      <c r="U69" s="29">
        <v>-2.0135439717396072E-3</v>
      </c>
    </row>
    <row r="70" spans="1:21" ht="21" x14ac:dyDescent="0.55000000000000004">
      <c r="A70" s="5" t="s">
        <v>74</v>
      </c>
      <c r="C70" s="7">
        <v>0</v>
      </c>
      <c r="E70" s="7">
        <v>0</v>
      </c>
      <c r="G70" s="7">
        <v>0</v>
      </c>
      <c r="I70" s="7">
        <v>0</v>
      </c>
      <c r="K70" s="29">
        <v>0</v>
      </c>
      <c r="L70" s="6"/>
      <c r="M70" s="7">
        <v>0</v>
      </c>
      <c r="O70" s="7">
        <v>0</v>
      </c>
      <c r="Q70" s="7">
        <v>2546816440</v>
      </c>
      <c r="S70" s="7">
        <v>2546816440</v>
      </c>
      <c r="U70" s="29">
        <v>1.1735985325203091E-2</v>
      </c>
    </row>
    <row r="71" spans="1:21" ht="21" x14ac:dyDescent="0.55000000000000004">
      <c r="A71" s="5" t="s">
        <v>100</v>
      </c>
      <c r="C71" s="7">
        <v>0</v>
      </c>
      <c r="E71" s="7">
        <v>0</v>
      </c>
      <c r="G71" s="7">
        <v>0</v>
      </c>
      <c r="I71" s="7">
        <v>0</v>
      </c>
      <c r="K71" s="29">
        <v>0</v>
      </c>
      <c r="L71" s="6"/>
      <c r="M71" s="7">
        <v>0</v>
      </c>
      <c r="O71" s="7">
        <v>0</v>
      </c>
      <c r="Q71" s="7">
        <v>1447873382</v>
      </c>
      <c r="S71" s="7">
        <v>1447873382</v>
      </c>
      <c r="U71" s="29">
        <v>6.6719456090460014E-3</v>
      </c>
    </row>
    <row r="72" spans="1:21" ht="21" x14ac:dyDescent="0.55000000000000004">
      <c r="A72" s="5" t="s">
        <v>206</v>
      </c>
      <c r="C72" s="7">
        <v>0</v>
      </c>
      <c r="E72" s="7">
        <v>0</v>
      </c>
      <c r="G72" s="7">
        <v>0</v>
      </c>
      <c r="I72" s="7">
        <v>0</v>
      </c>
      <c r="K72" s="29">
        <v>0</v>
      </c>
      <c r="L72" s="6"/>
      <c r="M72" s="7">
        <v>0</v>
      </c>
      <c r="O72" s="7">
        <v>0</v>
      </c>
      <c r="Q72" s="7">
        <v>60230850</v>
      </c>
      <c r="S72" s="7">
        <v>60230850</v>
      </c>
      <c r="U72" s="29">
        <v>2.7754979142686413E-4</v>
      </c>
    </row>
    <row r="73" spans="1:21" ht="21" x14ac:dyDescent="0.55000000000000004">
      <c r="A73" s="5" t="s">
        <v>205</v>
      </c>
      <c r="C73" s="7">
        <v>0</v>
      </c>
      <c r="E73" s="7">
        <v>0</v>
      </c>
      <c r="G73" s="7">
        <v>0</v>
      </c>
      <c r="I73" s="7">
        <v>0</v>
      </c>
      <c r="K73" s="29">
        <v>0</v>
      </c>
      <c r="L73" s="6"/>
      <c r="M73" s="7">
        <v>0</v>
      </c>
      <c r="O73" s="7">
        <v>0</v>
      </c>
      <c r="Q73" s="7">
        <v>157727</v>
      </c>
      <c r="S73" s="7">
        <v>157727</v>
      </c>
      <c r="U73" s="29">
        <v>7.2682181892477016E-7</v>
      </c>
    </row>
    <row r="74" spans="1:21" ht="21" x14ac:dyDescent="0.55000000000000004">
      <c r="A74" s="5" t="s">
        <v>204</v>
      </c>
      <c r="C74" s="7">
        <v>0</v>
      </c>
      <c r="E74" s="7">
        <v>0</v>
      </c>
      <c r="G74" s="7">
        <v>0</v>
      </c>
      <c r="I74" s="7">
        <v>0</v>
      </c>
      <c r="K74" s="29">
        <v>0</v>
      </c>
      <c r="L74" s="6"/>
      <c r="M74" s="7">
        <v>0</v>
      </c>
      <c r="O74" s="7">
        <v>0</v>
      </c>
      <c r="Q74" s="7">
        <v>-364180561</v>
      </c>
      <c r="S74" s="7">
        <v>-364180561</v>
      </c>
      <c r="U74" s="29">
        <v>-1.6781805129309707E-3</v>
      </c>
    </row>
    <row r="75" spans="1:21" ht="21" x14ac:dyDescent="0.55000000000000004">
      <c r="A75" s="5" t="s">
        <v>98</v>
      </c>
      <c r="C75" s="7">
        <v>0</v>
      </c>
      <c r="E75" s="7">
        <v>0</v>
      </c>
      <c r="G75" s="7">
        <v>0</v>
      </c>
      <c r="I75" s="7">
        <v>0</v>
      </c>
      <c r="K75" s="29">
        <v>0</v>
      </c>
      <c r="L75" s="6"/>
      <c r="M75" s="7">
        <v>0</v>
      </c>
      <c r="O75" s="7">
        <v>0</v>
      </c>
      <c r="Q75" s="7">
        <v>2697705400</v>
      </c>
      <c r="S75" s="7">
        <v>2697705400</v>
      </c>
      <c r="U75" s="29">
        <v>1.2431296770693507E-2</v>
      </c>
    </row>
    <row r="76" spans="1:21" ht="21.75" thickBot="1" x14ac:dyDescent="0.6">
      <c r="A76" s="30" t="s">
        <v>7</v>
      </c>
      <c r="C76" s="32">
        <f>SUM(C9:C75)</f>
        <v>642857000</v>
      </c>
      <c r="E76" s="32">
        <f>SUM(E9:E75)</f>
        <v>151700922727</v>
      </c>
      <c r="G76" s="32">
        <f>SUM(G9:G75)</f>
        <v>1044233479</v>
      </c>
      <c r="I76" s="32">
        <f>SUM(I9:I75)</f>
        <v>153388013206</v>
      </c>
      <c r="K76" s="31">
        <f>SUM(K9:K75)</f>
        <v>1.0213793543427154</v>
      </c>
      <c r="M76" s="32">
        <f>SUM(M9:M75)</f>
        <v>12545823160</v>
      </c>
      <c r="O76" s="32">
        <f>SUM(O9:O75)</f>
        <v>164948744792</v>
      </c>
      <c r="Q76" s="32">
        <f>SUM(Q9:Q75)</f>
        <v>16011809521</v>
      </c>
      <c r="S76" s="32">
        <f>SUM(S9:S75)</f>
        <v>193506377473</v>
      </c>
      <c r="U76" s="31">
        <f>SUM(U9:U75)</f>
        <v>0.89169677511440026</v>
      </c>
    </row>
    <row r="77" spans="1:21" ht="21.75" thickTop="1" x14ac:dyDescent="0.55000000000000004">
      <c r="C77" s="8"/>
      <c r="E77" s="8"/>
      <c r="G77" s="8"/>
      <c r="I77" s="8"/>
      <c r="K77" s="8"/>
      <c r="M77" s="8"/>
      <c r="O77" s="8"/>
      <c r="Q77" s="8"/>
      <c r="S77" s="8"/>
      <c r="U77" s="8"/>
    </row>
  </sheetData>
  <mergeCells count="6">
    <mergeCell ref="A1:U1"/>
    <mergeCell ref="A2:U2"/>
    <mergeCell ref="A3:U3"/>
    <mergeCell ref="A5:U5"/>
    <mergeCell ref="C7:K7"/>
    <mergeCell ref="M7:U7"/>
  </mergeCells>
  <pageMargins left="0.17" right="0.17" top="0.32" bottom="0.32" header="0.3" footer="0.3"/>
  <pageSetup paperSize="9" scale="7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D351-64D2-4047-A309-90985B18F358}">
  <sheetPr>
    <tabColor rgb="FFFFFF00"/>
    <pageSetUpPr fitToPage="1"/>
  </sheetPr>
  <dimension ref="A1:Q67"/>
  <sheetViews>
    <sheetView rightToLeft="1" view="pageBreakPreview" topLeftCell="A22" zoomScale="55" zoomScaleNormal="85" zoomScaleSheetLayoutView="55" workbookViewId="0">
      <selection activeCell="G32" sqref="G32"/>
    </sheetView>
  </sheetViews>
  <sheetFormatPr defaultColWidth="8.85546875" defaultRowHeight="19.5" x14ac:dyDescent="0.55000000000000004"/>
  <cols>
    <col min="1" max="1" width="29.28515625" style="2" bestFit="1" customWidth="1"/>
    <col min="2" max="2" width="1.42578125" style="2" customWidth="1"/>
    <col min="3" max="3" width="16" style="2" bestFit="1" customWidth="1"/>
    <col min="4" max="4" width="1.42578125" style="2" customWidth="1"/>
    <col min="5" max="5" width="14.7109375" style="2" bestFit="1" customWidth="1"/>
    <col min="6" max="6" width="1.42578125" style="2" customWidth="1"/>
    <col min="7" max="7" width="14.7109375" style="2" bestFit="1" customWidth="1"/>
    <col min="8" max="8" width="1.42578125" style="2" customWidth="1"/>
    <col min="9" max="9" width="12.28515625" style="2" customWidth="1"/>
    <col min="10" max="10" width="1.42578125" style="2" customWidth="1"/>
    <col min="11" max="11" width="16" style="2" bestFit="1" customWidth="1"/>
    <col min="12" max="12" width="1.42578125" style="2" customWidth="1"/>
    <col min="13" max="13" width="15" style="2" bestFit="1" customWidth="1"/>
    <col min="14" max="14" width="1.42578125" style="2" customWidth="1"/>
    <col min="15" max="15" width="15" style="2" bestFit="1" customWidth="1"/>
    <col min="16" max="16" width="1.42578125" style="2" customWidth="1"/>
    <col min="17" max="17" width="12.28515625" style="2" customWidth="1"/>
    <col min="18" max="16384" width="8.85546875" style="2"/>
  </cols>
  <sheetData>
    <row r="1" spans="1:17" ht="19.899999999999999" customHeight="1" x14ac:dyDescent="0.55000000000000004">
      <c r="A1" s="110" t="s">
        <v>194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</row>
    <row r="2" spans="1:17" ht="19.899999999999999" customHeight="1" x14ac:dyDescent="0.55000000000000004">
      <c r="A2" s="110" t="s">
        <v>23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</row>
    <row r="3" spans="1:17" ht="19.899999999999999" customHeight="1" x14ac:dyDescent="0.55000000000000004">
      <c r="A3" s="110" t="s">
        <v>54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</row>
    <row r="5" spans="1:17" ht="21" x14ac:dyDescent="0.55000000000000004">
      <c r="A5" s="112" t="s">
        <v>146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</row>
    <row r="7" spans="1:17" ht="21" x14ac:dyDescent="0.55000000000000004">
      <c r="C7" s="115" t="s">
        <v>107</v>
      </c>
      <c r="D7" s="115"/>
      <c r="E7" s="115"/>
      <c r="F7" s="115"/>
      <c r="G7" s="115"/>
      <c r="H7" s="115"/>
      <c r="I7" s="115"/>
      <c r="K7" s="115" t="s">
        <v>108</v>
      </c>
      <c r="L7" s="115"/>
      <c r="M7" s="115"/>
      <c r="N7" s="115"/>
      <c r="O7" s="115"/>
      <c r="P7" s="115"/>
      <c r="Q7" s="115"/>
    </row>
    <row r="8" spans="1:17" ht="42" x14ac:dyDescent="0.55000000000000004">
      <c r="A8" s="3" t="s">
        <v>147</v>
      </c>
      <c r="C8" s="4" t="s">
        <v>36</v>
      </c>
      <c r="E8" s="4" t="s">
        <v>37</v>
      </c>
      <c r="G8" s="4" t="s">
        <v>103</v>
      </c>
      <c r="I8" s="4" t="s">
        <v>102</v>
      </c>
      <c r="K8" s="4" t="s">
        <v>36</v>
      </c>
      <c r="M8" s="4" t="s">
        <v>37</v>
      </c>
      <c r="O8" s="4" t="s">
        <v>103</v>
      </c>
      <c r="Q8" s="4" t="s">
        <v>102</v>
      </c>
    </row>
    <row r="9" spans="1:17" ht="21" x14ac:dyDescent="0.55000000000000004">
      <c r="A9" s="5" t="s">
        <v>109</v>
      </c>
      <c r="C9" s="7">
        <v>0</v>
      </c>
      <c r="E9" s="7">
        <v>0</v>
      </c>
      <c r="G9" s="7">
        <f>C9+E9</f>
        <v>0</v>
      </c>
      <c r="I9" s="29">
        <v>0</v>
      </c>
      <c r="K9" s="7">
        <v>322177018</v>
      </c>
      <c r="M9" s="7">
        <v>2539867414</v>
      </c>
      <c r="O9" s="7">
        <f>K9+M9</f>
        <v>2862044432</v>
      </c>
      <c r="Q9" s="29">
        <v>1.3188587495544522E-2</v>
      </c>
    </row>
    <row r="10" spans="1:17" ht="21" x14ac:dyDescent="0.55000000000000004">
      <c r="A10" s="5" t="s">
        <v>111</v>
      </c>
      <c r="C10" s="7">
        <v>0</v>
      </c>
      <c r="E10" s="7">
        <v>0</v>
      </c>
      <c r="G10" s="7">
        <f t="shared" ref="G10:G65" si="0">C10+E10</f>
        <v>0</v>
      </c>
      <c r="I10" s="29">
        <v>0</v>
      </c>
      <c r="K10" s="7">
        <v>26803097</v>
      </c>
      <c r="M10" s="7">
        <v>798978106</v>
      </c>
      <c r="O10" s="7">
        <f t="shared" ref="O10:O65" si="1">K10+M10</f>
        <v>825781203</v>
      </c>
      <c r="Q10" s="29">
        <v>3.8052825197863707E-3</v>
      </c>
    </row>
    <row r="11" spans="1:17" ht="21" x14ac:dyDescent="0.55000000000000004">
      <c r="A11" s="5" t="s">
        <v>110</v>
      </c>
      <c r="C11" s="7">
        <v>0</v>
      </c>
      <c r="E11" s="7">
        <v>0</v>
      </c>
      <c r="G11" s="7">
        <f t="shared" si="0"/>
        <v>0</v>
      </c>
      <c r="I11" s="29">
        <v>0</v>
      </c>
      <c r="K11" s="7">
        <v>136568824</v>
      </c>
      <c r="M11" s="7">
        <v>288880900</v>
      </c>
      <c r="O11" s="7">
        <f t="shared" si="1"/>
        <v>425449724</v>
      </c>
      <c r="Q11" s="29">
        <v>1.960514954692104E-3</v>
      </c>
    </row>
    <row r="12" spans="1:17" ht="21" x14ac:dyDescent="0.55000000000000004">
      <c r="A12" s="5" t="s">
        <v>112</v>
      </c>
      <c r="C12" s="7">
        <v>0</v>
      </c>
      <c r="E12" s="7">
        <v>0</v>
      </c>
      <c r="G12" s="7">
        <f t="shared" si="0"/>
        <v>0</v>
      </c>
      <c r="I12" s="29">
        <v>0</v>
      </c>
      <c r="K12" s="7">
        <v>25493434</v>
      </c>
      <c r="M12" s="7">
        <v>416670792</v>
      </c>
      <c r="O12" s="7">
        <f t="shared" si="1"/>
        <v>442164226</v>
      </c>
      <c r="Q12" s="29">
        <v>2.0375370545612555E-3</v>
      </c>
    </row>
    <row r="13" spans="1:17" ht="21" x14ac:dyDescent="0.55000000000000004">
      <c r="A13" s="5" t="s">
        <v>116</v>
      </c>
      <c r="C13" s="7">
        <v>0</v>
      </c>
      <c r="E13" s="7">
        <v>0</v>
      </c>
      <c r="G13" s="7">
        <f t="shared" si="0"/>
        <v>0</v>
      </c>
      <c r="I13" s="29">
        <v>0</v>
      </c>
      <c r="K13" s="7">
        <v>-1999485</v>
      </c>
      <c r="M13" s="7">
        <v>103932028</v>
      </c>
      <c r="O13" s="7">
        <f t="shared" si="1"/>
        <v>101932543</v>
      </c>
      <c r="Q13" s="29">
        <v>4.697153709313393E-4</v>
      </c>
    </row>
    <row r="14" spans="1:17" ht="21" x14ac:dyDescent="0.55000000000000004">
      <c r="A14" s="5" t="s">
        <v>233</v>
      </c>
      <c r="C14" s="7">
        <v>0</v>
      </c>
      <c r="E14" s="7">
        <v>0</v>
      </c>
      <c r="G14" s="7">
        <f t="shared" si="0"/>
        <v>0</v>
      </c>
      <c r="I14" s="29">
        <v>0</v>
      </c>
      <c r="K14" s="7">
        <v>-11996910</v>
      </c>
      <c r="M14" s="7">
        <v>818500907</v>
      </c>
      <c r="O14" s="7">
        <f t="shared" si="1"/>
        <v>806503997</v>
      </c>
      <c r="Q14" s="29">
        <v>3.7164512231237356E-3</v>
      </c>
    </row>
    <row r="15" spans="1:17" ht="21" x14ac:dyDescent="0.55000000000000004">
      <c r="A15" s="5" t="s">
        <v>115</v>
      </c>
      <c r="C15" s="7">
        <v>0</v>
      </c>
      <c r="E15" s="7">
        <v>0</v>
      </c>
      <c r="G15" s="7">
        <f t="shared" si="0"/>
        <v>0</v>
      </c>
      <c r="I15" s="29">
        <v>0</v>
      </c>
      <c r="K15" s="7">
        <v>552857603</v>
      </c>
      <c r="M15" s="7">
        <v>652987649</v>
      </c>
      <c r="O15" s="7">
        <f t="shared" si="1"/>
        <v>1205845252</v>
      </c>
      <c r="Q15" s="29">
        <v>5.5566557368138484E-3</v>
      </c>
    </row>
    <row r="16" spans="1:17" ht="21" x14ac:dyDescent="0.55000000000000004">
      <c r="A16" s="5" t="s">
        <v>113</v>
      </c>
      <c r="C16" s="7">
        <v>0</v>
      </c>
      <c r="E16" s="7">
        <v>0</v>
      </c>
      <c r="G16" s="7">
        <f t="shared" si="0"/>
        <v>0</v>
      </c>
      <c r="I16" s="29">
        <v>0</v>
      </c>
      <c r="K16" s="7">
        <v>-3551085</v>
      </c>
      <c r="M16" s="7">
        <v>1027103692</v>
      </c>
      <c r="O16" s="7">
        <f t="shared" si="1"/>
        <v>1023552607</v>
      </c>
      <c r="Q16" s="29">
        <v>4.7166329644571349E-3</v>
      </c>
    </row>
    <row r="17" spans="1:17" ht="21" x14ac:dyDescent="0.55000000000000004">
      <c r="A17" s="5" t="s">
        <v>114</v>
      </c>
      <c r="C17" s="7">
        <v>0</v>
      </c>
      <c r="E17" s="7">
        <v>0</v>
      </c>
      <c r="G17" s="7">
        <f t="shared" si="0"/>
        <v>0</v>
      </c>
      <c r="I17" s="29">
        <v>0</v>
      </c>
      <c r="K17" s="7">
        <v>-2469364</v>
      </c>
      <c r="M17" s="7">
        <v>394213597</v>
      </c>
      <c r="O17" s="7">
        <f t="shared" si="1"/>
        <v>391744233</v>
      </c>
      <c r="Q17" s="29">
        <v>1.8051966751561179E-3</v>
      </c>
    </row>
    <row r="18" spans="1:17" ht="21" x14ac:dyDescent="0.55000000000000004">
      <c r="A18" s="5" t="s">
        <v>234</v>
      </c>
      <c r="C18" s="7">
        <v>0</v>
      </c>
      <c r="E18" s="7">
        <v>0</v>
      </c>
      <c r="G18" s="7">
        <f t="shared" si="0"/>
        <v>0</v>
      </c>
      <c r="I18" s="29">
        <v>0</v>
      </c>
      <c r="K18" s="7">
        <v>18005293</v>
      </c>
      <c r="M18" s="7">
        <v>17872710</v>
      </c>
      <c r="O18" s="7">
        <f t="shared" si="1"/>
        <v>35878003</v>
      </c>
      <c r="Q18" s="29">
        <v>1.6532943249949827E-4</v>
      </c>
    </row>
    <row r="19" spans="1:17" ht="21" x14ac:dyDescent="0.55000000000000004">
      <c r="A19" s="5" t="s">
        <v>118</v>
      </c>
      <c r="C19" s="7">
        <v>0</v>
      </c>
      <c r="E19" s="7">
        <v>0</v>
      </c>
      <c r="G19" s="7">
        <f t="shared" si="0"/>
        <v>0</v>
      </c>
      <c r="I19" s="29">
        <v>0</v>
      </c>
      <c r="K19" s="7">
        <v>-3898996</v>
      </c>
      <c r="M19" s="7">
        <v>330679973</v>
      </c>
      <c r="O19" s="7">
        <f t="shared" si="1"/>
        <v>326780977</v>
      </c>
      <c r="Q19" s="29">
        <v>1.5058394827337964E-3</v>
      </c>
    </row>
    <row r="20" spans="1:17" ht="21" x14ac:dyDescent="0.55000000000000004">
      <c r="A20" s="5" t="s">
        <v>119</v>
      </c>
      <c r="C20" s="7">
        <v>0</v>
      </c>
      <c r="E20" s="7">
        <v>0</v>
      </c>
      <c r="G20" s="7">
        <f t="shared" si="0"/>
        <v>0</v>
      </c>
      <c r="I20" s="29">
        <v>0</v>
      </c>
      <c r="K20" s="7">
        <v>-79979</v>
      </c>
      <c r="M20" s="7">
        <v>2313123597</v>
      </c>
      <c r="O20" s="7">
        <f t="shared" si="1"/>
        <v>2313043618</v>
      </c>
      <c r="Q20" s="29">
        <v>1.0658736739347679E-2</v>
      </c>
    </row>
    <row r="21" spans="1:17" ht="21" x14ac:dyDescent="0.55000000000000004">
      <c r="A21" s="5" t="s">
        <v>235</v>
      </c>
      <c r="C21" s="7">
        <v>0</v>
      </c>
      <c r="E21" s="7">
        <v>0</v>
      </c>
      <c r="G21" s="7">
        <f t="shared" si="0"/>
        <v>0</v>
      </c>
      <c r="I21" s="29">
        <v>0</v>
      </c>
      <c r="K21" s="7">
        <v>180993382</v>
      </c>
      <c r="M21" s="7">
        <v>294439966</v>
      </c>
      <c r="O21" s="7">
        <f t="shared" si="1"/>
        <v>475433348</v>
      </c>
      <c r="Q21" s="29">
        <v>2.1908445020247217E-3</v>
      </c>
    </row>
    <row r="22" spans="1:17" ht="21" x14ac:dyDescent="0.55000000000000004">
      <c r="A22" s="5" t="s">
        <v>117</v>
      </c>
      <c r="C22" s="7">
        <v>0</v>
      </c>
      <c r="E22" s="7">
        <v>0</v>
      </c>
      <c r="G22" s="7">
        <f t="shared" si="0"/>
        <v>0</v>
      </c>
      <c r="I22" s="29">
        <v>0</v>
      </c>
      <c r="K22" s="7">
        <v>0</v>
      </c>
      <c r="M22" s="7">
        <v>169892337</v>
      </c>
      <c r="O22" s="7">
        <f t="shared" si="1"/>
        <v>169892337</v>
      </c>
      <c r="Q22" s="29">
        <v>7.8288091068567868E-4</v>
      </c>
    </row>
    <row r="23" spans="1:17" ht="21" x14ac:dyDescent="0.55000000000000004">
      <c r="A23" s="5" t="s">
        <v>121</v>
      </c>
      <c r="C23" s="7">
        <v>0</v>
      </c>
      <c r="E23" s="7">
        <v>0</v>
      </c>
      <c r="G23" s="7">
        <f t="shared" si="0"/>
        <v>0</v>
      </c>
      <c r="I23" s="29">
        <v>0</v>
      </c>
      <c r="K23" s="7">
        <v>1769544</v>
      </c>
      <c r="M23" s="7">
        <v>1500319978</v>
      </c>
      <c r="O23" s="7">
        <f t="shared" si="1"/>
        <v>1502089522</v>
      </c>
      <c r="Q23" s="29">
        <v>6.9217790141692841E-3</v>
      </c>
    </row>
    <row r="24" spans="1:17" ht="21" x14ac:dyDescent="0.55000000000000004">
      <c r="A24" s="5" t="s">
        <v>236</v>
      </c>
      <c r="C24" s="7">
        <v>0</v>
      </c>
      <c r="E24" s="7">
        <v>0</v>
      </c>
      <c r="G24" s="7">
        <f t="shared" si="0"/>
        <v>0</v>
      </c>
      <c r="I24" s="29">
        <v>0</v>
      </c>
      <c r="K24" s="7">
        <v>-2499356</v>
      </c>
      <c r="M24" s="7">
        <v>593579598</v>
      </c>
      <c r="O24" s="7">
        <f t="shared" si="1"/>
        <v>591080242</v>
      </c>
      <c r="Q24" s="29">
        <v>2.7237569764272025E-3</v>
      </c>
    </row>
    <row r="25" spans="1:17" ht="21" x14ac:dyDescent="0.55000000000000004">
      <c r="A25" s="5" t="s">
        <v>243</v>
      </c>
      <c r="C25" s="7">
        <v>1701932249</v>
      </c>
      <c r="E25" s="7">
        <v>-451349557</v>
      </c>
      <c r="G25" s="7">
        <f t="shared" si="0"/>
        <v>1250582692</v>
      </c>
      <c r="I25" s="29">
        <v>8.3273739310495906E-3</v>
      </c>
      <c r="K25" s="7">
        <f>2119567054-128086707</f>
        <v>1991480347</v>
      </c>
      <c r="M25" s="7">
        <v>-451349557</v>
      </c>
      <c r="O25" s="7">
        <f t="shared" si="1"/>
        <v>1540130790</v>
      </c>
      <c r="Q25" s="29">
        <v>7.0970769885298221E-3</v>
      </c>
    </row>
    <row r="26" spans="1:17" ht="21" x14ac:dyDescent="0.55000000000000004">
      <c r="A26" s="5" t="s">
        <v>120</v>
      </c>
      <c r="C26" s="7">
        <v>0</v>
      </c>
      <c r="E26" s="7">
        <v>0</v>
      </c>
      <c r="G26" s="7">
        <f t="shared" si="0"/>
        <v>0</v>
      </c>
      <c r="I26" s="29">
        <v>0</v>
      </c>
      <c r="K26" s="7">
        <v>-9760486</v>
      </c>
      <c r="M26" s="7">
        <v>853398759</v>
      </c>
      <c r="O26" s="7">
        <f t="shared" si="1"/>
        <v>843638273</v>
      </c>
      <c r="Q26" s="29">
        <v>3.8875696874752699E-3</v>
      </c>
    </row>
    <row r="27" spans="1:17" ht="21" x14ac:dyDescent="0.55000000000000004">
      <c r="A27" s="5" t="s">
        <v>123</v>
      </c>
      <c r="C27" s="7">
        <v>0</v>
      </c>
      <c r="E27" s="7">
        <v>0</v>
      </c>
      <c r="G27" s="7">
        <f t="shared" si="0"/>
        <v>0</v>
      </c>
      <c r="I27" s="29">
        <v>0</v>
      </c>
      <c r="K27" s="7">
        <v>29992</v>
      </c>
      <c r="M27" s="7">
        <v>836739081</v>
      </c>
      <c r="O27" s="7">
        <f t="shared" si="1"/>
        <v>836769073</v>
      </c>
      <c r="Q27" s="29">
        <v>3.8559157256389449E-3</v>
      </c>
    </row>
    <row r="28" spans="1:17" ht="21" x14ac:dyDescent="0.55000000000000004">
      <c r="A28" s="5" t="s">
        <v>237</v>
      </c>
      <c r="C28" s="7">
        <v>0</v>
      </c>
      <c r="E28" s="7">
        <v>0</v>
      </c>
      <c r="G28" s="7">
        <f t="shared" si="0"/>
        <v>0</v>
      </c>
      <c r="I28" s="29">
        <v>0</v>
      </c>
      <c r="K28" s="7">
        <v>6238393</v>
      </c>
      <c r="M28" s="7">
        <f>718839896-182515</f>
        <v>718657381</v>
      </c>
      <c r="O28" s="7">
        <f t="shared" si="1"/>
        <v>724895774</v>
      </c>
      <c r="Q28" s="29">
        <v>3.340392355079087E-3</v>
      </c>
    </row>
    <row r="29" spans="1:17" ht="21" x14ac:dyDescent="0.55000000000000004">
      <c r="A29" s="5" t="s">
        <v>238</v>
      </c>
      <c r="C29" s="7">
        <v>0</v>
      </c>
      <c r="E29" s="7">
        <v>0</v>
      </c>
      <c r="G29" s="7">
        <f t="shared" si="0"/>
        <v>0</v>
      </c>
      <c r="I29" s="29">
        <v>0</v>
      </c>
      <c r="K29" s="7">
        <v>1519609</v>
      </c>
      <c r="M29" s="7">
        <v>1596292</v>
      </c>
      <c r="O29" s="7">
        <f t="shared" si="1"/>
        <v>3115901</v>
      </c>
      <c r="Q29" s="29">
        <v>1.4358383995191124E-5</v>
      </c>
    </row>
    <row r="30" spans="1:17" ht="21" x14ac:dyDescent="0.55000000000000004">
      <c r="A30" s="5" t="s">
        <v>239</v>
      </c>
      <c r="C30" s="7">
        <v>0</v>
      </c>
      <c r="E30" s="7">
        <v>0</v>
      </c>
      <c r="G30" s="7">
        <f t="shared" si="0"/>
        <v>0</v>
      </c>
      <c r="I30" s="29">
        <v>0</v>
      </c>
      <c r="K30" s="7">
        <v>-22527198</v>
      </c>
      <c r="M30" s="7">
        <v>299720319</v>
      </c>
      <c r="O30" s="7">
        <f t="shared" si="1"/>
        <v>277193121</v>
      </c>
      <c r="Q30" s="29">
        <v>1.2773336739978186E-3</v>
      </c>
    </row>
    <row r="31" spans="1:17" ht="21" x14ac:dyDescent="0.55000000000000004">
      <c r="A31" s="5" t="s">
        <v>122</v>
      </c>
      <c r="C31" s="7">
        <v>0</v>
      </c>
      <c r="E31" s="7">
        <v>0</v>
      </c>
      <c r="G31" s="7">
        <f t="shared" si="0"/>
        <v>0</v>
      </c>
      <c r="I31" s="29">
        <v>0</v>
      </c>
      <c r="K31" s="7">
        <v>-15336050</v>
      </c>
      <c r="M31" s="7">
        <v>429981911</v>
      </c>
      <c r="O31" s="7">
        <f t="shared" si="1"/>
        <v>414645861</v>
      </c>
      <c r="Q31" s="29">
        <v>1.9107296715314907E-3</v>
      </c>
    </row>
    <row r="32" spans="1:17" ht="21" x14ac:dyDescent="0.55000000000000004">
      <c r="A32" s="5" t="s">
        <v>249</v>
      </c>
      <c r="C32" s="7">
        <v>-842596102</v>
      </c>
      <c r="E32" s="7">
        <v>0</v>
      </c>
      <c r="G32" s="7">
        <f t="shared" si="0"/>
        <v>-842596102</v>
      </c>
      <c r="I32" s="29">
        <v>-5.6106748150955557E-3</v>
      </c>
      <c r="K32" s="7">
        <v>-842596102</v>
      </c>
      <c r="M32" s="7">
        <v>0</v>
      </c>
      <c r="O32" s="7">
        <f t="shared" si="1"/>
        <v>-842596102</v>
      </c>
      <c r="Q32" s="29">
        <v>-3.8827672590904614E-3</v>
      </c>
    </row>
    <row r="33" spans="1:17" ht="21" x14ac:dyDescent="0.55000000000000004">
      <c r="A33" s="5" t="s">
        <v>124</v>
      </c>
      <c r="C33" s="7">
        <v>-19478929</v>
      </c>
      <c r="E33" s="7">
        <v>-1748667246</v>
      </c>
      <c r="G33" s="7">
        <f t="shared" si="0"/>
        <v>-1768146175</v>
      </c>
      <c r="I33" s="29">
        <v>-1.1773723127762628E-2</v>
      </c>
      <c r="K33" s="7">
        <v>-85859485</v>
      </c>
      <c r="M33" s="7">
        <f>2137548559-1748667246</f>
        <v>388881313</v>
      </c>
      <c r="O33" s="7">
        <f t="shared" si="1"/>
        <v>303021828</v>
      </c>
      <c r="Q33" s="29">
        <v>1.3963549436739992E-3</v>
      </c>
    </row>
    <row r="34" spans="1:17" ht="21" x14ac:dyDescent="0.55000000000000004">
      <c r="A34" s="5" t="s">
        <v>240</v>
      </c>
      <c r="C34" s="7">
        <v>0</v>
      </c>
      <c r="E34" s="7">
        <v>0</v>
      </c>
      <c r="G34" s="7">
        <f t="shared" si="0"/>
        <v>0</v>
      </c>
      <c r="I34" s="29">
        <v>0</v>
      </c>
      <c r="K34" s="7">
        <v>6998198</v>
      </c>
      <c r="M34" s="7">
        <v>153286869</v>
      </c>
      <c r="O34" s="7">
        <f t="shared" si="1"/>
        <v>160285067</v>
      </c>
      <c r="Q34" s="29">
        <v>7.3860964795766527E-4</v>
      </c>
    </row>
    <row r="35" spans="1:17" ht="21" x14ac:dyDescent="0.55000000000000004">
      <c r="A35" s="5" t="s">
        <v>130</v>
      </c>
      <c r="C35" s="7">
        <v>0</v>
      </c>
      <c r="E35" s="7">
        <v>0</v>
      </c>
      <c r="G35" s="7">
        <f t="shared" si="0"/>
        <v>0</v>
      </c>
      <c r="I35" s="29">
        <v>0</v>
      </c>
      <c r="K35" s="7">
        <v>2998</v>
      </c>
      <c r="M35" s="7">
        <f>16998970-2617102250</f>
        <v>-2600103280</v>
      </c>
      <c r="O35" s="7">
        <f t="shared" si="1"/>
        <v>-2600100282</v>
      </c>
      <c r="Q35" s="29">
        <v>-1.198152260773392E-2</v>
      </c>
    </row>
    <row r="36" spans="1:17" ht="21" x14ac:dyDescent="0.55000000000000004">
      <c r="A36" s="5" t="s">
        <v>127</v>
      </c>
      <c r="C36" s="7">
        <v>0</v>
      </c>
      <c r="E36" s="7">
        <v>0</v>
      </c>
      <c r="G36" s="7">
        <f t="shared" si="0"/>
        <v>0</v>
      </c>
      <c r="I36" s="29">
        <v>0</v>
      </c>
      <c r="K36" s="7">
        <v>36052714</v>
      </c>
      <c r="M36" s="7">
        <f>21866921-165219669</f>
        <v>-143352748</v>
      </c>
      <c r="O36" s="7">
        <f t="shared" si="1"/>
        <v>-107300034</v>
      </c>
      <c r="Q36" s="29">
        <v>-4.9444930723699615E-4</v>
      </c>
    </row>
    <row r="37" spans="1:17" ht="21" x14ac:dyDescent="0.55000000000000004">
      <c r="A37" s="5" t="s">
        <v>125</v>
      </c>
      <c r="C37" s="7">
        <v>0</v>
      </c>
      <c r="E37" s="7">
        <v>0</v>
      </c>
      <c r="G37" s="7">
        <f t="shared" si="0"/>
        <v>0</v>
      </c>
      <c r="I37" s="29">
        <v>0</v>
      </c>
      <c r="K37" s="7">
        <v>-59984550</v>
      </c>
      <c r="M37" s="7">
        <v>64568918</v>
      </c>
      <c r="O37" s="7">
        <f t="shared" si="1"/>
        <v>4584368</v>
      </c>
      <c r="Q37" s="29">
        <v>2.1125227059289223E-5</v>
      </c>
    </row>
    <row r="38" spans="1:17" ht="21" x14ac:dyDescent="0.55000000000000004">
      <c r="A38" s="5" t="s">
        <v>241</v>
      </c>
      <c r="C38" s="7">
        <v>0</v>
      </c>
      <c r="E38" s="7">
        <v>0</v>
      </c>
      <c r="G38" s="7">
        <f t="shared" si="0"/>
        <v>0</v>
      </c>
      <c r="I38" s="29">
        <v>0</v>
      </c>
      <c r="K38" s="7">
        <v>3399125</v>
      </c>
      <c r="M38" s="7">
        <v>165978980</v>
      </c>
      <c r="O38" s="7">
        <f t="shared" si="1"/>
        <v>169378105</v>
      </c>
      <c r="Q38" s="29">
        <v>7.8051127810793784E-4</v>
      </c>
    </row>
    <row r="39" spans="1:17" ht="21" x14ac:dyDescent="0.55000000000000004">
      <c r="A39" s="5" t="s">
        <v>129</v>
      </c>
      <c r="C39" s="7">
        <v>0</v>
      </c>
      <c r="E39" s="7">
        <v>0</v>
      </c>
      <c r="G39" s="7">
        <f t="shared" si="0"/>
        <v>0</v>
      </c>
      <c r="I39" s="29">
        <v>0</v>
      </c>
      <c r="K39" s="7">
        <v>-132110973</v>
      </c>
      <c r="M39" s="7">
        <v>-987077134</v>
      </c>
      <c r="O39" s="7">
        <f t="shared" si="1"/>
        <v>-1119188107</v>
      </c>
      <c r="Q39" s="29">
        <v>-5.1573309303334898E-3</v>
      </c>
    </row>
    <row r="40" spans="1:17" ht="21" x14ac:dyDescent="0.55000000000000004">
      <c r="A40" s="5" t="s">
        <v>126</v>
      </c>
      <c r="C40" s="7">
        <v>0</v>
      </c>
      <c r="E40" s="7">
        <v>0</v>
      </c>
      <c r="G40" s="7">
        <f t="shared" si="0"/>
        <v>0</v>
      </c>
      <c r="I40" s="29">
        <v>0</v>
      </c>
      <c r="K40" s="7">
        <v>0</v>
      </c>
      <c r="M40" s="7">
        <v>152611430</v>
      </c>
      <c r="O40" s="7">
        <f t="shared" si="1"/>
        <v>152611430</v>
      </c>
      <c r="Q40" s="29">
        <v>7.0324875982748832E-4</v>
      </c>
    </row>
    <row r="41" spans="1:17" ht="21" x14ac:dyDescent="0.55000000000000004">
      <c r="A41" s="5" t="s">
        <v>242</v>
      </c>
      <c r="C41" s="7">
        <v>6669180</v>
      </c>
      <c r="E41" s="7">
        <v>-1845712307</v>
      </c>
      <c r="G41" s="7">
        <f t="shared" si="0"/>
        <v>-1839043127</v>
      </c>
      <c r="I41" s="29">
        <v>-1.2245811406012745E-2</v>
      </c>
      <c r="K41" s="7">
        <v>-20820926</v>
      </c>
      <c r="M41" s="7">
        <f>9166510-1845712307</f>
        <v>-1836545797</v>
      </c>
      <c r="O41" s="7">
        <f t="shared" si="1"/>
        <v>-1857366723</v>
      </c>
      <c r="Q41" s="29">
        <v>-8.5589319521781303E-3</v>
      </c>
    </row>
    <row r="42" spans="1:17" ht="21" x14ac:dyDescent="0.55000000000000004">
      <c r="A42" s="5" t="s">
        <v>128</v>
      </c>
      <c r="C42" s="7">
        <v>231713388</v>
      </c>
      <c r="E42" s="7">
        <v>367896896</v>
      </c>
      <c r="G42" s="7">
        <f t="shared" si="0"/>
        <v>599610284</v>
      </c>
      <c r="I42" s="29">
        <v>3.9926820351123505E-3</v>
      </c>
      <c r="K42" s="7">
        <f>149693614-31749722</f>
        <v>117943892</v>
      </c>
      <c r="M42" s="7">
        <v>367896896</v>
      </c>
      <c r="O42" s="7">
        <f t="shared" si="1"/>
        <v>485840788</v>
      </c>
      <c r="Q42" s="29">
        <v>2.2388030282830692E-3</v>
      </c>
    </row>
    <row r="43" spans="1:17" ht="21" x14ac:dyDescent="0.55000000000000004">
      <c r="A43" s="5" t="s">
        <v>248</v>
      </c>
      <c r="C43" s="7">
        <v>-2207284450</v>
      </c>
      <c r="E43" s="7">
        <v>0</v>
      </c>
      <c r="G43" s="7">
        <f t="shared" si="0"/>
        <v>-2207284450</v>
      </c>
      <c r="I43" s="29">
        <v>-1.4697854931884132E-2</v>
      </c>
      <c r="K43" s="7">
        <v>-2207284450</v>
      </c>
      <c r="M43" s="7">
        <v>0</v>
      </c>
      <c r="O43" s="7">
        <f t="shared" si="1"/>
        <v>-2207284450</v>
      </c>
      <c r="Q43" s="29">
        <v>-1.0171387897020554E-2</v>
      </c>
    </row>
    <row r="44" spans="1:17" ht="21" x14ac:dyDescent="0.55000000000000004">
      <c r="A44" s="5" t="s">
        <v>142</v>
      </c>
      <c r="C44" s="7">
        <v>-1747009235</v>
      </c>
      <c r="E44" s="7">
        <v>0</v>
      </c>
      <c r="G44" s="7">
        <f t="shared" si="0"/>
        <v>-1747009235</v>
      </c>
      <c r="I44" s="29">
        <v>-1.1632976574764468E-2</v>
      </c>
      <c r="K44" s="7">
        <v>-1747009235</v>
      </c>
      <c r="M44" s="7">
        <v>0</v>
      </c>
      <c r="O44" s="7">
        <f t="shared" si="1"/>
        <v>-1747009235</v>
      </c>
      <c r="Q44" s="29">
        <v>-8.050393590577843E-3</v>
      </c>
    </row>
    <row r="45" spans="1:17" ht="21" x14ac:dyDescent="0.55000000000000004">
      <c r="A45" s="5" t="s">
        <v>131</v>
      </c>
      <c r="C45" s="7">
        <v>0</v>
      </c>
      <c r="E45" s="7">
        <v>0</v>
      </c>
      <c r="G45" s="7">
        <f t="shared" si="0"/>
        <v>0</v>
      </c>
      <c r="I45" s="29">
        <v>0</v>
      </c>
      <c r="K45" s="7">
        <v>-24993562</v>
      </c>
      <c r="M45" s="7">
        <v>2635614794</v>
      </c>
      <c r="O45" s="7">
        <f t="shared" si="1"/>
        <v>2610621232</v>
      </c>
      <c r="Q45" s="29">
        <v>1.203000419944502E-2</v>
      </c>
    </row>
    <row r="46" spans="1:17" ht="21" x14ac:dyDescent="0.55000000000000004">
      <c r="A46" s="5" t="s">
        <v>133</v>
      </c>
      <c r="C46" s="7">
        <v>0</v>
      </c>
      <c r="E46" s="7">
        <v>0</v>
      </c>
      <c r="G46" s="7">
        <f t="shared" si="0"/>
        <v>0</v>
      </c>
      <c r="I46" s="29">
        <v>0</v>
      </c>
      <c r="K46" s="7">
        <v>51986610</v>
      </c>
      <c r="M46" s="7">
        <v>220595472</v>
      </c>
      <c r="O46" s="7">
        <f t="shared" si="1"/>
        <v>272582082</v>
      </c>
      <c r="Q46" s="29">
        <v>1.2560855442983183E-3</v>
      </c>
    </row>
    <row r="47" spans="1:17" ht="21" x14ac:dyDescent="0.55000000000000004">
      <c r="A47" s="5" t="s">
        <v>132</v>
      </c>
      <c r="C47" s="7">
        <v>0</v>
      </c>
      <c r="E47" s="7">
        <v>0</v>
      </c>
      <c r="G47" s="7">
        <f t="shared" si="0"/>
        <v>0</v>
      </c>
      <c r="I47" s="29">
        <v>0</v>
      </c>
      <c r="K47" s="7">
        <v>-1887514</v>
      </c>
      <c r="M47" s="7">
        <v>250998754</v>
      </c>
      <c r="O47" s="7">
        <f t="shared" si="1"/>
        <v>249111240</v>
      </c>
      <c r="Q47" s="29">
        <v>1.1479295527804685E-3</v>
      </c>
    </row>
    <row r="48" spans="1:17" ht="21" x14ac:dyDescent="0.55000000000000004">
      <c r="A48" s="5" t="s">
        <v>134</v>
      </c>
      <c r="C48" s="7">
        <v>0</v>
      </c>
      <c r="E48" s="7">
        <v>0</v>
      </c>
      <c r="G48" s="7">
        <f t="shared" si="0"/>
        <v>0</v>
      </c>
      <c r="I48" s="29">
        <v>0</v>
      </c>
      <c r="K48" s="7">
        <v>24667646</v>
      </c>
      <c r="M48" s="7">
        <v>137838676</v>
      </c>
      <c r="O48" s="7">
        <f t="shared" si="1"/>
        <v>162506322</v>
      </c>
      <c r="Q48" s="29">
        <v>7.4884541354881796E-4</v>
      </c>
    </row>
    <row r="49" spans="1:17" ht="21" x14ac:dyDescent="0.55000000000000004">
      <c r="A49" s="5" t="s">
        <v>244</v>
      </c>
      <c r="C49" s="7">
        <v>0</v>
      </c>
      <c r="E49" s="7">
        <v>0</v>
      </c>
      <c r="G49" s="7">
        <f t="shared" si="0"/>
        <v>0</v>
      </c>
      <c r="I49" s="29">
        <v>0</v>
      </c>
      <c r="K49" s="7">
        <v>0</v>
      </c>
      <c r="M49" s="7">
        <f>228062981-10650</f>
        <v>228052331</v>
      </c>
      <c r="O49" s="7">
        <f t="shared" si="1"/>
        <v>228052331</v>
      </c>
      <c r="Q49" s="29">
        <v>1.0508879901821107E-3</v>
      </c>
    </row>
    <row r="50" spans="1:17" ht="21" x14ac:dyDescent="0.55000000000000004">
      <c r="A50" s="5" t="s">
        <v>247</v>
      </c>
      <c r="C50" s="7">
        <v>0</v>
      </c>
      <c r="E50" s="7">
        <v>0</v>
      </c>
      <c r="G50" s="7">
        <f t="shared" si="0"/>
        <v>0</v>
      </c>
      <c r="I50" s="29">
        <v>0</v>
      </c>
      <c r="K50" s="7">
        <v>0</v>
      </c>
      <c r="M50" s="7">
        <v>-1001</v>
      </c>
      <c r="O50" s="7">
        <f t="shared" si="1"/>
        <v>-1001</v>
      </c>
      <c r="Q50" s="29">
        <v>-4.6127082918187439E-9</v>
      </c>
    </row>
    <row r="51" spans="1:17" ht="21" x14ac:dyDescent="0.55000000000000004">
      <c r="A51" s="5" t="s">
        <v>135</v>
      </c>
      <c r="C51" s="7">
        <v>0</v>
      </c>
      <c r="E51" s="7">
        <v>0</v>
      </c>
      <c r="G51" s="7">
        <f t="shared" si="0"/>
        <v>0</v>
      </c>
      <c r="I51" s="29">
        <v>0</v>
      </c>
      <c r="K51" s="7">
        <v>-998</v>
      </c>
      <c r="M51" s="7">
        <f>769033515-1001</f>
        <v>769032514</v>
      </c>
      <c r="O51" s="7">
        <f t="shared" si="1"/>
        <v>769031516</v>
      </c>
      <c r="Q51" s="29">
        <v>3.5437742762468921E-3</v>
      </c>
    </row>
    <row r="52" spans="1:17" ht="21" x14ac:dyDescent="0.55000000000000004">
      <c r="A52" s="5" t="s">
        <v>136</v>
      </c>
      <c r="C52" s="7">
        <v>0</v>
      </c>
      <c r="E52" s="7">
        <v>0</v>
      </c>
      <c r="G52" s="7">
        <f t="shared" si="0"/>
        <v>0</v>
      </c>
      <c r="I52" s="29">
        <v>0</v>
      </c>
      <c r="K52" s="7">
        <v>-20994592</v>
      </c>
      <c r="M52" s="7">
        <v>97524246</v>
      </c>
      <c r="O52" s="7">
        <f t="shared" si="1"/>
        <v>76529654</v>
      </c>
      <c r="Q52" s="29">
        <v>3.5265631326255692E-4</v>
      </c>
    </row>
    <row r="53" spans="1:17" ht="21" x14ac:dyDescent="0.55000000000000004">
      <c r="A53" s="5" t="s">
        <v>137</v>
      </c>
      <c r="C53" s="7">
        <v>0</v>
      </c>
      <c r="E53" s="7">
        <v>0</v>
      </c>
      <c r="G53" s="7">
        <f t="shared" si="0"/>
        <v>0</v>
      </c>
      <c r="I53" s="29">
        <v>0</v>
      </c>
      <c r="K53" s="7">
        <v>2000</v>
      </c>
      <c r="M53" s="7">
        <v>1604128594</v>
      </c>
      <c r="O53" s="7">
        <f t="shared" si="1"/>
        <v>1604130594</v>
      </c>
      <c r="Q53" s="29">
        <v>7.3919944976063206E-3</v>
      </c>
    </row>
    <row r="54" spans="1:17" ht="21" x14ac:dyDescent="0.55000000000000004">
      <c r="A54" s="5" t="s">
        <v>245</v>
      </c>
      <c r="C54" s="7">
        <v>0</v>
      </c>
      <c r="E54" s="7">
        <v>0</v>
      </c>
      <c r="G54" s="7">
        <f t="shared" si="0"/>
        <v>0</v>
      </c>
      <c r="I54" s="29">
        <v>0</v>
      </c>
      <c r="K54" s="7">
        <v>17717036</v>
      </c>
      <c r="M54" s="7">
        <v>798792798</v>
      </c>
      <c r="O54" s="7">
        <f t="shared" si="1"/>
        <v>816509834</v>
      </c>
      <c r="Q54" s="29">
        <v>3.762559122520825E-3</v>
      </c>
    </row>
    <row r="55" spans="1:17" ht="21" x14ac:dyDescent="0.55000000000000004">
      <c r="A55" s="5" t="s">
        <v>140</v>
      </c>
      <c r="C55" s="7">
        <v>16821521</v>
      </c>
      <c r="E55" s="7">
        <v>0</v>
      </c>
      <c r="G55" s="7">
        <f t="shared" si="0"/>
        <v>16821521</v>
      </c>
      <c r="I55" s="29">
        <v>1.1201106200500914E-4</v>
      </c>
      <c r="K55" s="7">
        <v>16821521</v>
      </c>
      <c r="M55" s="7">
        <v>0</v>
      </c>
      <c r="O55" s="7">
        <f t="shared" si="1"/>
        <v>16821521</v>
      </c>
      <c r="Q55" s="29">
        <v>7.7515254143559569E-5</v>
      </c>
    </row>
    <row r="56" spans="1:17" ht="21" x14ac:dyDescent="0.55000000000000004">
      <c r="A56" s="5" t="s">
        <v>139</v>
      </c>
      <c r="C56" s="7">
        <v>42256774</v>
      </c>
      <c r="E56" s="7">
        <v>140314108</v>
      </c>
      <c r="G56" s="7">
        <f t="shared" si="0"/>
        <v>182570882</v>
      </c>
      <c r="I56" s="29">
        <v>1.2157020987585609E-3</v>
      </c>
      <c r="K56" s="7">
        <v>3478672</v>
      </c>
      <c r="M56" s="7">
        <v>140314108</v>
      </c>
      <c r="O56" s="7">
        <f t="shared" si="1"/>
        <v>143792780</v>
      </c>
      <c r="Q56" s="29">
        <v>6.6261153707259583E-4</v>
      </c>
    </row>
    <row r="57" spans="1:17" ht="21" x14ac:dyDescent="0.55000000000000004">
      <c r="A57" s="5" t="s">
        <v>144</v>
      </c>
      <c r="C57" s="7">
        <v>396995361</v>
      </c>
      <c r="E57" s="7">
        <v>0</v>
      </c>
      <c r="G57" s="7">
        <f t="shared" si="0"/>
        <v>396995361</v>
      </c>
      <c r="I57" s="29">
        <v>2.6435107738873309E-3</v>
      </c>
      <c r="K57" s="7">
        <v>396995361</v>
      </c>
      <c r="M57" s="7">
        <v>0</v>
      </c>
      <c r="O57" s="7">
        <f t="shared" si="1"/>
        <v>396995361</v>
      </c>
      <c r="Q57" s="29">
        <v>1.8293943990991763E-3</v>
      </c>
    </row>
    <row r="58" spans="1:17" ht="21" x14ac:dyDescent="0.55000000000000004">
      <c r="A58" s="5" t="s">
        <v>246</v>
      </c>
      <c r="C58" s="7">
        <v>0</v>
      </c>
      <c r="E58" s="7">
        <v>0</v>
      </c>
      <c r="G58" s="7">
        <f t="shared" si="0"/>
        <v>0</v>
      </c>
      <c r="I58" s="29">
        <v>0</v>
      </c>
      <c r="K58" s="7">
        <v>0</v>
      </c>
      <c r="M58" s="7">
        <v>2823802</v>
      </c>
      <c r="O58" s="7">
        <f t="shared" si="1"/>
        <v>2823802</v>
      </c>
      <c r="Q58" s="29">
        <v>1.3012362537317034E-5</v>
      </c>
    </row>
    <row r="59" spans="1:17" ht="21" x14ac:dyDescent="0.55000000000000004">
      <c r="A59" s="5" t="s">
        <v>138</v>
      </c>
      <c r="C59" s="7">
        <v>0</v>
      </c>
      <c r="E59" s="7">
        <v>0</v>
      </c>
      <c r="G59" s="7">
        <f t="shared" si="0"/>
        <v>0</v>
      </c>
      <c r="I59" s="29">
        <v>0</v>
      </c>
      <c r="K59" s="7">
        <v>50986</v>
      </c>
      <c r="M59" s="7">
        <v>1173724363</v>
      </c>
      <c r="O59" s="7">
        <f t="shared" si="1"/>
        <v>1173775349</v>
      </c>
      <c r="Q59" s="29">
        <v>5.4088744106540855E-3</v>
      </c>
    </row>
    <row r="60" spans="1:17" ht="21" x14ac:dyDescent="0.55000000000000004">
      <c r="A60" s="5" t="s">
        <v>143</v>
      </c>
      <c r="C60" s="7">
        <v>-8563277</v>
      </c>
      <c r="E60" s="7">
        <v>40999638</v>
      </c>
      <c r="G60" s="7">
        <f t="shared" si="0"/>
        <v>32436361</v>
      </c>
      <c r="I60" s="29">
        <v>2.1598708245157262E-4</v>
      </c>
      <c r="K60" s="7">
        <v>-8563277</v>
      </c>
      <c r="M60" s="7">
        <v>40999638</v>
      </c>
      <c r="O60" s="7">
        <f t="shared" si="1"/>
        <v>32436361</v>
      </c>
      <c r="Q60" s="29">
        <v>1.4947000133978632E-4</v>
      </c>
    </row>
    <row r="61" spans="1:17" ht="21" x14ac:dyDescent="0.55000000000000004">
      <c r="A61" s="5" t="s">
        <v>141</v>
      </c>
      <c r="C61" s="7">
        <v>186951848</v>
      </c>
      <c r="E61" s="7">
        <v>1327034090</v>
      </c>
      <c r="G61" s="7">
        <f t="shared" si="0"/>
        <v>1513985938</v>
      </c>
      <c r="I61" s="29">
        <v>1.0081322181034042E-2</v>
      </c>
      <c r="K61" s="7">
        <v>186951848</v>
      </c>
      <c r="M61" s="7">
        <v>1327034090</v>
      </c>
      <c r="O61" s="7">
        <f t="shared" si="1"/>
        <v>1513985938</v>
      </c>
      <c r="Q61" s="29">
        <v>6.9765988910185598E-3</v>
      </c>
    </row>
    <row r="62" spans="1:17" ht="21" x14ac:dyDescent="0.55000000000000004">
      <c r="A62" s="5" t="s">
        <v>252</v>
      </c>
      <c r="C62" s="7">
        <v>73026550</v>
      </c>
      <c r="E62" s="7">
        <v>0</v>
      </c>
      <c r="G62" s="7">
        <f t="shared" si="0"/>
        <v>73026550</v>
      </c>
      <c r="I62" s="29">
        <v>4.8626883502757572E-4</v>
      </c>
      <c r="K62" s="7">
        <v>73026550</v>
      </c>
      <c r="M62" s="7">
        <v>0</v>
      </c>
      <c r="O62" s="7">
        <f t="shared" si="1"/>
        <v>73026550</v>
      </c>
      <c r="Q62" s="29">
        <v>3.3651365904886722E-4</v>
      </c>
    </row>
    <row r="63" spans="1:17" ht="21" x14ac:dyDescent="0.55000000000000004">
      <c r="A63" s="5" t="s">
        <v>145</v>
      </c>
      <c r="C63" s="7">
        <v>10015450</v>
      </c>
      <c r="E63" s="7">
        <v>0</v>
      </c>
      <c r="G63" s="7">
        <f t="shared" si="0"/>
        <v>10015450</v>
      </c>
      <c r="I63" s="29">
        <v>6.6690829619870211E-5</v>
      </c>
      <c r="K63" s="7">
        <v>10015450</v>
      </c>
      <c r="M63" s="7">
        <v>0</v>
      </c>
      <c r="O63" s="7">
        <f t="shared" si="1"/>
        <v>10015450</v>
      </c>
      <c r="Q63" s="29">
        <v>4.6152197064231803E-5</v>
      </c>
    </row>
    <row r="64" spans="1:17" ht="21" x14ac:dyDescent="0.55000000000000004">
      <c r="A64" s="5" t="s">
        <v>250</v>
      </c>
      <c r="C64" s="7">
        <v>17252861</v>
      </c>
      <c r="E64" s="7">
        <v>0</v>
      </c>
      <c r="G64" s="7">
        <f t="shared" si="0"/>
        <v>17252861</v>
      </c>
      <c r="I64" s="29">
        <v>1.1488326669358877E-4</v>
      </c>
      <c r="K64" s="7">
        <v>17252861</v>
      </c>
      <c r="M64" s="7">
        <v>0</v>
      </c>
      <c r="O64" s="7">
        <f t="shared" si="1"/>
        <v>17252861</v>
      </c>
      <c r="Q64" s="29">
        <v>7.9502912080215999E-5</v>
      </c>
    </row>
    <row r="65" spans="1:17" ht="21" x14ac:dyDescent="0.55000000000000004">
      <c r="A65" s="5" t="s">
        <v>251</v>
      </c>
      <c r="C65" s="7">
        <v>204</v>
      </c>
      <c r="E65" s="7">
        <v>0</v>
      </c>
      <c r="G65" s="7">
        <f t="shared" si="0"/>
        <v>204</v>
      </c>
      <c r="I65" s="29">
        <v>1.358394205198321E-9</v>
      </c>
      <c r="K65" s="7">
        <v>204</v>
      </c>
      <c r="M65" s="7">
        <v>0</v>
      </c>
      <c r="O65" s="7">
        <f t="shared" si="1"/>
        <v>204</v>
      </c>
      <c r="Q65" s="29">
        <v>9.4005243909193186E-10</v>
      </c>
    </row>
    <row r="66" spans="1:17" ht="21.75" thickBot="1" x14ac:dyDescent="0.6">
      <c r="A66" s="30" t="s">
        <v>7</v>
      </c>
      <c r="C66" s="32">
        <f>SUM(C9:C65)</f>
        <v>-2141296607</v>
      </c>
      <c r="E66" s="32">
        <f>SUM(E9:E65)</f>
        <v>-2169484378</v>
      </c>
      <c r="G66" s="32">
        <f>SUM(G9:G65)</f>
        <v>-4310780985</v>
      </c>
      <c r="I66" s="31">
        <f>SUM(I9:I65)</f>
        <v>-2.8704607401485827E-2</v>
      </c>
      <c r="K66" s="32">
        <f>SUM(K9:K65)</f>
        <v>-998924365</v>
      </c>
      <c r="M66" s="32">
        <f>SUM(M9:M65)</f>
        <v>20103406056</v>
      </c>
      <c r="O66" s="32">
        <f>SUM(O9:O65)</f>
        <v>19104481691</v>
      </c>
      <c r="Q66" s="31">
        <f>SUM(Q9:Q65)</f>
        <v>8.8035365741233843E-2</v>
      </c>
    </row>
    <row r="67" spans="1:17" ht="21.75" thickTop="1" x14ac:dyDescent="0.55000000000000004">
      <c r="C67" s="8"/>
      <c r="E67" s="8"/>
      <c r="G67" s="8"/>
      <c r="I67" s="8"/>
      <c r="K67" s="8"/>
      <c r="M67" s="8"/>
      <c r="O67" s="8"/>
      <c r="Q67" s="8"/>
    </row>
  </sheetData>
  <mergeCells count="6">
    <mergeCell ref="A1:Q1"/>
    <mergeCell ref="A2:Q2"/>
    <mergeCell ref="A3:Q3"/>
    <mergeCell ref="A5:Q5"/>
    <mergeCell ref="C7:I7"/>
    <mergeCell ref="K7:Q7"/>
  </mergeCells>
  <pageMargins left="0.17" right="0.17" top="0.32" bottom="0.32" header="0.3" footer="0.3"/>
  <pageSetup paperSize="9" scale="92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4EC1-2B3F-4BE3-A27B-5423CB0C800C}">
  <sheetPr>
    <tabColor rgb="FFFFFF00"/>
  </sheetPr>
  <dimension ref="A1:K12"/>
  <sheetViews>
    <sheetView rightToLeft="1" view="pageBreakPreview" zoomScale="60" zoomScaleNormal="100" workbookViewId="0">
      <selection activeCell="A9" sqref="A9"/>
    </sheetView>
  </sheetViews>
  <sheetFormatPr defaultColWidth="8.85546875" defaultRowHeight="19.5" x14ac:dyDescent="0.55000000000000004"/>
  <cols>
    <col min="1" max="1" width="28.42578125" style="33" bestFit="1" customWidth="1"/>
    <col min="2" max="2" width="1.42578125" style="33" customWidth="1"/>
    <col min="3" max="3" width="18.5703125" style="33" bestFit="1" customWidth="1"/>
    <col min="4" max="4" width="1.42578125" style="33" customWidth="1"/>
    <col min="5" max="5" width="17" style="33" customWidth="1"/>
    <col min="6" max="6" width="1.42578125" style="33" customWidth="1"/>
    <col min="7" max="7" width="14.140625" style="33" customWidth="1"/>
    <col min="8" max="8" width="1.42578125" style="33" customWidth="1"/>
    <col min="9" max="9" width="17" style="33" customWidth="1"/>
    <col min="10" max="10" width="1.42578125" style="33" customWidth="1"/>
    <col min="11" max="11" width="14.140625" style="33" customWidth="1"/>
    <col min="12" max="16384" width="8.85546875" style="33"/>
  </cols>
  <sheetData>
    <row r="1" spans="1:11" ht="19.899999999999999" customHeight="1" x14ac:dyDescent="0.55000000000000004">
      <c r="A1" s="116" t="s">
        <v>194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19.899999999999999" customHeight="1" x14ac:dyDescent="0.55000000000000004">
      <c r="A2" s="116" t="s">
        <v>23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3" spans="1:11" ht="19.899999999999999" customHeight="1" x14ac:dyDescent="0.55000000000000004">
      <c r="A3" s="116" t="s">
        <v>54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</row>
    <row r="5" spans="1:11" ht="21" x14ac:dyDescent="0.55000000000000004">
      <c r="A5" s="118" t="s">
        <v>148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</row>
    <row r="7" spans="1:11" ht="21" x14ac:dyDescent="0.55000000000000004">
      <c r="A7" s="119" t="s">
        <v>38</v>
      </c>
      <c r="B7" s="120"/>
      <c r="C7" s="120"/>
      <c r="E7" s="119" t="s">
        <v>107</v>
      </c>
      <c r="F7" s="120"/>
      <c r="G7" s="120"/>
      <c r="I7" s="119" t="s">
        <v>108</v>
      </c>
      <c r="J7" s="120"/>
      <c r="K7" s="120"/>
    </row>
    <row r="8" spans="1:11" ht="42" x14ac:dyDescent="0.55000000000000004">
      <c r="A8" s="34" t="s">
        <v>39</v>
      </c>
      <c r="C8" s="34" t="s">
        <v>12</v>
      </c>
      <c r="E8" s="34" t="s">
        <v>40</v>
      </c>
      <c r="G8" s="34" t="s">
        <v>41</v>
      </c>
      <c r="I8" s="34" t="s">
        <v>40</v>
      </c>
      <c r="K8" s="34" t="s">
        <v>41</v>
      </c>
    </row>
    <row r="9" spans="1:11" ht="21" x14ac:dyDescent="0.55000000000000004">
      <c r="A9" s="75" t="s">
        <v>42</v>
      </c>
      <c r="C9" s="35" t="s">
        <v>203</v>
      </c>
      <c r="E9" s="36">
        <v>7853271</v>
      </c>
      <c r="G9" s="37">
        <f>E9/$E$11</f>
        <v>7.1736809179594862E-3</v>
      </c>
      <c r="I9" s="36">
        <v>13660474</v>
      </c>
      <c r="K9" s="37">
        <f>I9/$I$11</f>
        <v>3.1452357512657689E-3</v>
      </c>
    </row>
    <row r="10" spans="1:11" ht="21" x14ac:dyDescent="0.55000000000000004">
      <c r="A10" s="75" t="s">
        <v>43</v>
      </c>
      <c r="C10" s="35" t="s">
        <v>198</v>
      </c>
      <c r="E10" s="36">
        <v>1086880533</v>
      </c>
      <c r="G10" s="37">
        <f>E10/$E$11</f>
        <v>0.99282631908204055</v>
      </c>
      <c r="I10" s="36">
        <v>4329566896</v>
      </c>
      <c r="K10" s="37">
        <f>I10/$I$11</f>
        <v>0.9968547642487342</v>
      </c>
    </row>
    <row r="11" spans="1:11" ht="21.75" thickBot="1" x14ac:dyDescent="0.6">
      <c r="A11" s="38" t="s">
        <v>7</v>
      </c>
      <c r="E11" s="38">
        <f>SUM(E9:$E$10)</f>
        <v>1094733804</v>
      </c>
      <c r="G11" s="40">
        <f>SUM(G9:$G$10)</f>
        <v>1</v>
      </c>
      <c r="I11" s="38">
        <f>SUM(I9:$I$10)</f>
        <v>4343227370</v>
      </c>
      <c r="K11" s="40">
        <f>SUM(K9:$K$10)</f>
        <v>1</v>
      </c>
    </row>
    <row r="12" spans="1:11" ht="21.75" thickTop="1" x14ac:dyDescent="0.55000000000000004">
      <c r="E12" s="39"/>
      <c r="G12" s="39"/>
      <c r="I12" s="39"/>
      <c r="K12" s="39"/>
    </row>
  </sheetData>
  <mergeCells count="7">
    <mergeCell ref="A1:K1"/>
    <mergeCell ref="A2:K2"/>
    <mergeCell ref="A3:K3"/>
    <mergeCell ref="A5:K5"/>
    <mergeCell ref="A7:C7"/>
    <mergeCell ref="E7:G7"/>
    <mergeCell ref="I7:K7"/>
  </mergeCells>
  <pageMargins left="0.7" right="0.7" top="0.75" bottom="0.75" header="0.3" footer="0.3"/>
  <pageSetup paperSize="9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1F95-0A10-4EE5-BD32-0FC2F4F13481}">
  <sheetPr>
    <tabColor rgb="FFFFFF00"/>
  </sheetPr>
  <dimension ref="A1:E11"/>
  <sheetViews>
    <sheetView rightToLeft="1" view="pageBreakPreview" zoomScale="60" zoomScaleNormal="100" workbookViewId="0">
      <selection activeCell="C10" sqref="C10"/>
    </sheetView>
  </sheetViews>
  <sheetFormatPr defaultColWidth="8.85546875" defaultRowHeight="19.5" x14ac:dyDescent="0.55000000000000004"/>
  <cols>
    <col min="1" max="1" width="31.5703125" style="41" customWidth="1"/>
    <col min="2" max="2" width="1.42578125" style="41" customWidth="1"/>
    <col min="3" max="3" width="26" style="41" customWidth="1"/>
    <col min="4" max="4" width="1.42578125" style="41" customWidth="1"/>
    <col min="5" max="5" width="30.28515625" style="41" customWidth="1"/>
    <col min="6" max="16384" width="8.85546875" style="41"/>
  </cols>
  <sheetData>
    <row r="1" spans="1:5" ht="19.899999999999999" customHeight="1" x14ac:dyDescent="0.55000000000000004">
      <c r="A1" s="121" t="s">
        <v>194</v>
      </c>
      <c r="B1" s="122"/>
      <c r="C1" s="122"/>
      <c r="D1" s="122"/>
      <c r="E1" s="122"/>
    </row>
    <row r="2" spans="1:5" ht="19.899999999999999" customHeight="1" x14ac:dyDescent="0.55000000000000004">
      <c r="A2" s="121" t="s">
        <v>23</v>
      </c>
      <c r="B2" s="122"/>
      <c r="C2" s="122"/>
      <c r="D2" s="122"/>
      <c r="E2" s="122"/>
    </row>
    <row r="3" spans="1:5" ht="19.899999999999999" customHeight="1" x14ac:dyDescent="0.55000000000000004">
      <c r="A3" s="121" t="s">
        <v>54</v>
      </c>
      <c r="B3" s="122"/>
      <c r="C3" s="122"/>
      <c r="D3" s="122"/>
      <c r="E3" s="122"/>
    </row>
    <row r="5" spans="1:5" ht="21" x14ac:dyDescent="0.55000000000000004">
      <c r="A5" s="123" t="s">
        <v>149</v>
      </c>
      <c r="B5" s="122"/>
      <c r="C5" s="122"/>
      <c r="D5" s="122"/>
      <c r="E5" s="122"/>
    </row>
    <row r="7" spans="1:5" ht="21" x14ac:dyDescent="0.55000000000000004">
      <c r="C7" s="42" t="s">
        <v>107</v>
      </c>
      <c r="E7" s="42" t="s">
        <v>108</v>
      </c>
    </row>
    <row r="8" spans="1:5" ht="21" x14ac:dyDescent="0.55000000000000004">
      <c r="A8" s="43" t="s">
        <v>31</v>
      </c>
      <c r="C8" s="43" t="s">
        <v>16</v>
      </c>
      <c r="E8" s="43" t="s">
        <v>16</v>
      </c>
    </row>
    <row r="9" spans="1:5" ht="21" x14ac:dyDescent="0.55000000000000004">
      <c r="A9" s="44" t="s">
        <v>52</v>
      </c>
      <c r="C9" s="45">
        <v>5911465</v>
      </c>
      <c r="E9" s="45">
        <v>55083930</v>
      </c>
    </row>
    <row r="10" spans="1:5" ht="21.75" thickBot="1" x14ac:dyDescent="0.6">
      <c r="A10" s="46" t="s">
        <v>7</v>
      </c>
      <c r="C10" s="46">
        <f>SUM(C9:$C$9)</f>
        <v>5911465</v>
      </c>
      <c r="E10" s="46">
        <f>SUM(E9:$E$9)</f>
        <v>55083930</v>
      </c>
    </row>
    <row r="11" spans="1:5" ht="21.75" thickTop="1" x14ac:dyDescent="0.55000000000000004">
      <c r="C11" s="47"/>
      <c r="E11" s="47"/>
    </row>
  </sheetData>
  <mergeCells count="4">
    <mergeCell ref="A1:E1"/>
    <mergeCell ref="A2:E2"/>
    <mergeCell ref="A3:E3"/>
    <mergeCell ref="A5:E5"/>
  </mergeCells>
  <pageMargins left="0.7" right="1.91" top="0.75" bottom="0.75" header="0.3" footer="0.3"/>
  <pageSetup paperSize="9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2637-A2B6-4509-A95E-6FDCC0E45268}">
  <sheetPr>
    <tabColor rgb="FFFFFF00"/>
    <pageSetUpPr fitToPage="1"/>
  </sheetPr>
  <dimension ref="A1:S12"/>
  <sheetViews>
    <sheetView rightToLeft="1" view="pageBreakPreview" zoomScale="60" zoomScaleNormal="100" workbookViewId="0">
      <selection activeCell="G20" sqref="G20"/>
    </sheetView>
  </sheetViews>
  <sheetFormatPr defaultColWidth="8.85546875" defaultRowHeight="19.5" x14ac:dyDescent="0.55000000000000004"/>
  <cols>
    <col min="1" max="1" width="35.85546875" style="68" bestFit="1" customWidth="1"/>
    <col min="2" max="2" width="1.42578125" style="68" customWidth="1"/>
    <col min="3" max="3" width="11.42578125" style="68" customWidth="1"/>
    <col min="4" max="4" width="1.42578125" style="68" customWidth="1"/>
    <col min="5" max="5" width="11.42578125" style="68" customWidth="1"/>
    <col min="6" max="6" width="1.42578125" style="68" customWidth="1"/>
    <col min="7" max="7" width="11.42578125" style="68" customWidth="1"/>
    <col min="8" max="8" width="1.42578125" style="68" customWidth="1"/>
    <col min="9" max="9" width="18.42578125" style="68" customWidth="1"/>
    <col min="10" max="10" width="1.42578125" style="68" customWidth="1"/>
    <col min="11" max="11" width="14.140625" style="68" customWidth="1"/>
    <col min="12" max="12" width="1.42578125" style="68" customWidth="1"/>
    <col min="13" max="13" width="18.42578125" style="68" customWidth="1"/>
    <col min="14" max="14" width="1.42578125" style="68" customWidth="1"/>
    <col min="15" max="15" width="18.42578125" style="68" customWidth="1"/>
    <col min="16" max="16" width="1.42578125" style="68" customWidth="1"/>
    <col min="17" max="17" width="14.140625" style="68" customWidth="1"/>
    <col min="18" max="18" width="1.42578125" style="68" customWidth="1"/>
    <col min="19" max="19" width="18.42578125" style="68" customWidth="1"/>
    <col min="20" max="16384" width="8.85546875" style="68"/>
  </cols>
  <sheetData>
    <row r="1" spans="1:19" ht="19.899999999999999" customHeight="1" x14ac:dyDescent="0.55000000000000004">
      <c r="A1" s="124" t="s">
        <v>194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spans="1:19" ht="19.899999999999999" customHeight="1" x14ac:dyDescent="0.55000000000000004">
      <c r="A2" s="124" t="s">
        <v>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</row>
    <row r="3" spans="1:19" ht="19.899999999999999" customHeight="1" x14ac:dyDescent="0.55000000000000004">
      <c r="A3" s="124" t="s">
        <v>54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</row>
    <row r="5" spans="1:19" ht="21" x14ac:dyDescent="0.55000000000000004">
      <c r="A5" s="126" t="s">
        <v>53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</row>
    <row r="7" spans="1:19" ht="21" x14ac:dyDescent="0.55000000000000004">
      <c r="I7" s="127" t="s">
        <v>232</v>
      </c>
      <c r="J7" s="128"/>
      <c r="K7" s="128"/>
      <c r="L7" s="128"/>
      <c r="M7" s="128"/>
      <c r="O7" s="127" t="s">
        <v>88</v>
      </c>
      <c r="P7" s="128"/>
      <c r="Q7" s="128"/>
      <c r="R7" s="128"/>
      <c r="S7" s="128"/>
    </row>
    <row r="8" spans="1:19" ht="42" x14ac:dyDescent="0.55000000000000004">
      <c r="A8" s="69" t="s">
        <v>25</v>
      </c>
      <c r="C8" s="70" t="s">
        <v>33</v>
      </c>
      <c r="E8" s="70" t="s">
        <v>8</v>
      </c>
      <c r="G8" s="70" t="s">
        <v>15</v>
      </c>
      <c r="I8" s="70" t="s">
        <v>34</v>
      </c>
      <c r="K8" s="70" t="s">
        <v>32</v>
      </c>
      <c r="M8" s="70" t="s">
        <v>35</v>
      </c>
      <c r="O8" s="70" t="s">
        <v>34</v>
      </c>
      <c r="Q8" s="70" t="s">
        <v>32</v>
      </c>
      <c r="S8" s="70" t="s">
        <v>35</v>
      </c>
    </row>
    <row r="9" spans="1:19" ht="21" x14ac:dyDescent="0.55000000000000004">
      <c r="A9" s="76" t="s">
        <v>258</v>
      </c>
      <c r="C9" s="71" t="s">
        <v>257</v>
      </c>
      <c r="E9" s="71" t="s">
        <v>9</v>
      </c>
      <c r="G9" s="71" t="s">
        <v>197</v>
      </c>
      <c r="I9" s="72">
        <v>1086880533</v>
      </c>
      <c r="K9" s="72">
        <v>-21415702</v>
      </c>
      <c r="M9" s="72">
        <v>1065464831</v>
      </c>
      <c r="O9" s="72">
        <v>4329566896</v>
      </c>
      <c r="Q9" s="72">
        <v>0</v>
      </c>
      <c r="S9" s="72">
        <v>4329566896</v>
      </c>
    </row>
    <row r="10" spans="1:19" ht="21" x14ac:dyDescent="0.55000000000000004">
      <c r="A10" s="76" t="s">
        <v>256</v>
      </c>
      <c r="C10" s="71" t="s">
        <v>164</v>
      </c>
      <c r="E10" s="71" t="s">
        <v>9</v>
      </c>
      <c r="G10" s="71">
        <v>5</v>
      </c>
      <c r="I10" s="72">
        <v>7853271</v>
      </c>
      <c r="K10" s="72">
        <v>0</v>
      </c>
      <c r="M10" s="72">
        <v>7853271</v>
      </c>
      <c r="O10" s="72">
        <v>13660474</v>
      </c>
      <c r="Q10" s="72">
        <v>0</v>
      </c>
      <c r="S10" s="72">
        <v>13660474</v>
      </c>
    </row>
    <row r="11" spans="1:19" ht="21.75" thickBot="1" x14ac:dyDescent="0.6">
      <c r="A11" s="73" t="s">
        <v>7</v>
      </c>
      <c r="I11" s="73">
        <f>SUM(I9:$I$10)</f>
        <v>1094733804</v>
      </c>
      <c r="K11" s="73">
        <f>SUM(K9:$K$10)</f>
        <v>-21415702</v>
      </c>
      <c r="M11" s="73">
        <f>SUM(M9:$M$10)</f>
        <v>1073318102</v>
      </c>
      <c r="O11" s="73">
        <f>SUM(O9:$O$10)</f>
        <v>4343227370</v>
      </c>
      <c r="Q11" s="73">
        <f>SUM(Q9:$Q$10)</f>
        <v>0</v>
      </c>
      <c r="S11" s="73">
        <f>SUM(S9:$S$10)</f>
        <v>4343227370</v>
      </c>
    </row>
    <row r="12" spans="1:19" ht="21.75" thickTop="1" x14ac:dyDescent="0.55000000000000004">
      <c r="I12" s="74"/>
      <c r="K12" s="74"/>
      <c r="M12" s="74"/>
      <c r="O12" s="74"/>
      <c r="Q12" s="74"/>
      <c r="S12" s="74"/>
    </row>
  </sheetData>
  <mergeCells count="6">
    <mergeCell ref="A1:S1"/>
    <mergeCell ref="A2:S2"/>
    <mergeCell ref="A3:S3"/>
    <mergeCell ref="A5:S5"/>
    <mergeCell ref="I7:M7"/>
    <mergeCell ref="O7:S7"/>
  </mergeCells>
  <pageMargins left="0.17" right="0.17" top="0.75" bottom="0.75" header="0.3" footer="0.3"/>
  <pageSetup paperSize="9" scale="78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1480-8F17-47D8-98BA-25EDDBCA710A}">
  <sheetPr>
    <tabColor rgb="FFFFFF00"/>
    <pageSetUpPr fitToPage="1"/>
  </sheetPr>
  <dimension ref="A1:S16"/>
  <sheetViews>
    <sheetView rightToLeft="1" view="pageBreakPreview" zoomScale="60" zoomScaleNormal="100" workbookViewId="0">
      <selection activeCell="A11" sqref="A11"/>
    </sheetView>
  </sheetViews>
  <sheetFormatPr defaultColWidth="8.85546875" defaultRowHeight="19.5" x14ac:dyDescent="0.55000000000000004"/>
  <cols>
    <col min="1" max="1" width="24.85546875" style="60" customWidth="1"/>
    <col min="2" max="2" width="1.42578125" style="60" customWidth="1"/>
    <col min="3" max="3" width="11.42578125" style="60" customWidth="1"/>
    <col min="4" max="4" width="1.42578125" style="60" customWidth="1"/>
    <col min="5" max="5" width="12.85546875" style="60" customWidth="1"/>
    <col min="6" max="6" width="1.42578125" style="60" customWidth="1"/>
    <col min="7" max="7" width="11.42578125" style="60" customWidth="1"/>
    <col min="8" max="8" width="1.42578125" style="60" customWidth="1"/>
    <col min="9" max="9" width="18.42578125" style="60" customWidth="1"/>
    <col min="10" max="10" width="1.42578125" style="60" customWidth="1"/>
    <col min="11" max="11" width="14.140625" style="60" customWidth="1"/>
    <col min="12" max="12" width="1.42578125" style="60" customWidth="1"/>
    <col min="13" max="13" width="18.42578125" style="60" customWidth="1"/>
    <col min="14" max="14" width="1.42578125" style="60" customWidth="1"/>
    <col min="15" max="15" width="18.42578125" style="60" customWidth="1"/>
    <col min="16" max="16" width="1.42578125" style="60" customWidth="1"/>
    <col min="17" max="17" width="14.140625" style="60" customWidth="1"/>
    <col min="18" max="18" width="1.42578125" style="60" customWidth="1"/>
    <col min="19" max="19" width="18.42578125" style="60" customWidth="1"/>
    <col min="20" max="16384" width="8.85546875" style="60"/>
  </cols>
  <sheetData>
    <row r="1" spans="1:19" ht="19.899999999999999" customHeight="1" x14ac:dyDescent="0.55000000000000004">
      <c r="A1" s="129" t="s">
        <v>194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</row>
    <row r="2" spans="1:19" ht="19.899999999999999" customHeight="1" x14ac:dyDescent="0.55000000000000004">
      <c r="A2" s="129" t="s">
        <v>23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</row>
    <row r="3" spans="1:19" ht="19.899999999999999" customHeight="1" x14ac:dyDescent="0.55000000000000004">
      <c r="A3" s="129" t="s">
        <v>54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</row>
    <row r="5" spans="1:19" ht="21" x14ac:dyDescent="0.55000000000000004">
      <c r="A5" s="131" t="s">
        <v>104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</row>
    <row r="7" spans="1:19" ht="21" x14ac:dyDescent="0.55000000000000004">
      <c r="C7" s="132" t="s">
        <v>163</v>
      </c>
      <c r="D7" s="133"/>
      <c r="E7" s="133"/>
      <c r="F7" s="133"/>
      <c r="G7" s="133"/>
      <c r="I7" s="132" t="s">
        <v>107</v>
      </c>
      <c r="J7" s="133"/>
      <c r="K7" s="133"/>
      <c r="L7" s="133"/>
      <c r="M7" s="133"/>
      <c r="O7" s="132" t="s">
        <v>108</v>
      </c>
      <c r="P7" s="133"/>
      <c r="Q7" s="133"/>
      <c r="R7" s="133"/>
      <c r="S7" s="133"/>
    </row>
    <row r="8" spans="1:19" ht="63" x14ac:dyDescent="0.55000000000000004">
      <c r="A8" s="61" t="s">
        <v>162</v>
      </c>
      <c r="C8" s="62" t="s">
        <v>161</v>
      </c>
      <c r="E8" s="62" t="s">
        <v>160</v>
      </c>
      <c r="G8" s="62" t="s">
        <v>159</v>
      </c>
      <c r="I8" s="62" t="s">
        <v>158</v>
      </c>
      <c r="K8" s="62" t="s">
        <v>32</v>
      </c>
      <c r="M8" s="62" t="s">
        <v>157</v>
      </c>
      <c r="O8" s="62" t="s">
        <v>158</v>
      </c>
      <c r="Q8" s="62" t="s">
        <v>32</v>
      </c>
      <c r="S8" s="62" t="s">
        <v>157</v>
      </c>
    </row>
    <row r="9" spans="1:19" ht="21" x14ac:dyDescent="0.55000000000000004">
      <c r="A9" s="63" t="s">
        <v>188</v>
      </c>
      <c r="C9" s="64" t="s">
        <v>255</v>
      </c>
      <c r="E9" s="65">
        <v>1700000</v>
      </c>
      <c r="G9" s="65">
        <v>560</v>
      </c>
      <c r="I9" s="65">
        <v>0</v>
      </c>
      <c r="J9" s="65"/>
      <c r="K9" s="65">
        <v>0</v>
      </c>
      <c r="L9" s="65"/>
      <c r="M9" s="65">
        <v>0</v>
      </c>
      <c r="N9" s="64"/>
      <c r="O9" s="65">
        <v>952000000</v>
      </c>
      <c r="Q9" s="65">
        <v>0</v>
      </c>
      <c r="S9" s="65">
        <v>952000000</v>
      </c>
    </row>
    <row r="10" spans="1:19" ht="21" x14ac:dyDescent="0.55000000000000004">
      <c r="A10" s="63" t="s">
        <v>81</v>
      </c>
      <c r="C10" s="64" t="s">
        <v>156</v>
      </c>
      <c r="E10" s="65">
        <v>285750</v>
      </c>
      <c r="G10" s="65">
        <v>4400</v>
      </c>
      <c r="I10" s="65">
        <v>0</v>
      </c>
      <c r="J10" s="65"/>
      <c r="K10" s="65">
        <v>0</v>
      </c>
      <c r="L10" s="65"/>
      <c r="M10" s="65">
        <v>0</v>
      </c>
      <c r="N10" s="64"/>
      <c r="O10" s="65">
        <v>1257300000</v>
      </c>
      <c r="Q10" s="65">
        <v>-150815371</v>
      </c>
      <c r="S10" s="65">
        <v>1106484629</v>
      </c>
    </row>
    <row r="11" spans="1:19" ht="21" x14ac:dyDescent="0.55000000000000004">
      <c r="A11" s="63" t="s">
        <v>80</v>
      </c>
      <c r="C11" s="64" t="s">
        <v>155</v>
      </c>
      <c r="E11" s="65">
        <v>900000</v>
      </c>
      <c r="G11" s="65">
        <v>325</v>
      </c>
      <c r="I11" s="65">
        <v>0</v>
      </c>
      <c r="J11" s="65"/>
      <c r="K11" s="65">
        <v>0</v>
      </c>
      <c r="L11" s="65"/>
      <c r="M11" s="65">
        <v>0</v>
      </c>
      <c r="N11" s="64"/>
      <c r="O11" s="65">
        <v>292500000</v>
      </c>
      <c r="Q11" s="65">
        <v>-35395846</v>
      </c>
      <c r="S11" s="65">
        <v>257104154</v>
      </c>
    </row>
    <row r="12" spans="1:19" ht="21" x14ac:dyDescent="0.55000000000000004">
      <c r="A12" s="63" t="s">
        <v>76</v>
      </c>
      <c r="C12" s="64" t="s">
        <v>154</v>
      </c>
      <c r="E12" s="65">
        <v>4279048</v>
      </c>
      <c r="G12" s="65">
        <v>1170</v>
      </c>
      <c r="I12" s="65">
        <v>0</v>
      </c>
      <c r="J12" s="65"/>
      <c r="K12" s="65">
        <v>0</v>
      </c>
      <c r="L12" s="65"/>
      <c r="M12" s="65">
        <v>0</v>
      </c>
      <c r="N12" s="64"/>
      <c r="O12" s="65">
        <v>5006486160</v>
      </c>
      <c r="Q12" s="65">
        <v>0</v>
      </c>
      <c r="S12" s="65">
        <v>5006486160</v>
      </c>
    </row>
    <row r="13" spans="1:19" ht="21" x14ac:dyDescent="0.55000000000000004">
      <c r="A13" s="63" t="s">
        <v>182</v>
      </c>
      <c r="C13" s="64" t="s">
        <v>254</v>
      </c>
      <c r="E13" s="65">
        <v>1285714</v>
      </c>
      <c r="G13" s="65">
        <v>500</v>
      </c>
      <c r="I13" s="65">
        <v>642857000</v>
      </c>
      <c r="K13" s="65">
        <v>-89454158</v>
      </c>
      <c r="M13" s="65">
        <v>553402842</v>
      </c>
      <c r="O13" s="65">
        <v>642857000</v>
      </c>
      <c r="Q13" s="65">
        <v>-89454158</v>
      </c>
      <c r="S13" s="65">
        <v>553402842</v>
      </c>
    </row>
    <row r="14" spans="1:19" ht="21" x14ac:dyDescent="0.55000000000000004">
      <c r="A14" s="63" t="s">
        <v>174</v>
      </c>
      <c r="C14" s="64" t="s">
        <v>253</v>
      </c>
      <c r="E14" s="65">
        <v>607000</v>
      </c>
      <c r="G14" s="65">
        <v>7240</v>
      </c>
      <c r="I14" s="65">
        <v>0</v>
      </c>
      <c r="J14" s="65"/>
      <c r="K14" s="65">
        <v>0</v>
      </c>
      <c r="L14" s="65"/>
      <c r="M14" s="65">
        <v>0</v>
      </c>
      <c r="N14" s="64"/>
      <c r="O14" s="65">
        <v>4394680000</v>
      </c>
      <c r="Q14" s="65">
        <v>0</v>
      </c>
      <c r="S14" s="65">
        <v>4394680000</v>
      </c>
    </row>
    <row r="15" spans="1:19" ht="21.75" thickBot="1" x14ac:dyDescent="0.6">
      <c r="A15" s="66" t="s">
        <v>7</v>
      </c>
      <c r="I15" s="66">
        <f>SUM(I9:$I$14)</f>
        <v>642857000</v>
      </c>
      <c r="K15" s="66">
        <f>SUM(K9:$K$14)</f>
        <v>-89454158</v>
      </c>
      <c r="M15" s="66">
        <f>SUM(M9:$M$14)</f>
        <v>553402842</v>
      </c>
      <c r="O15" s="66">
        <f>SUM(O9:$O$14)</f>
        <v>12545823160</v>
      </c>
      <c r="Q15" s="66">
        <f>SUM(Q9:$Q$14)</f>
        <v>-275665375</v>
      </c>
      <c r="S15" s="66">
        <f>SUM(S9:$S$14)</f>
        <v>12270157785</v>
      </c>
    </row>
    <row r="16" spans="1:19" ht="21.75" thickTop="1" x14ac:dyDescent="0.55000000000000004">
      <c r="I16" s="67"/>
      <c r="K16" s="67"/>
      <c r="M16" s="67"/>
      <c r="O16" s="67"/>
      <c r="Q16" s="67"/>
      <c r="S16" s="67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17" right="0.17" top="0.75" bottom="0.75" header="0.3" footer="0.3"/>
  <pageSetup paperSize="9" scale="82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CFEE-EC82-466D-A503-230BB5FB5436}">
  <sheetPr>
    <tabColor rgb="FFFFFF00"/>
    <pageSetUpPr fitToPage="1"/>
  </sheetPr>
  <dimension ref="A1:Q105"/>
  <sheetViews>
    <sheetView rightToLeft="1" view="pageBreakPreview" zoomScale="80" zoomScaleNormal="100" zoomScaleSheetLayoutView="80" workbookViewId="0">
      <selection activeCell="A2" sqref="A2:Q2"/>
    </sheetView>
  </sheetViews>
  <sheetFormatPr defaultRowHeight="19.5" x14ac:dyDescent="0.55000000000000004"/>
  <cols>
    <col min="1" max="1" width="28.7109375" style="78" bestFit="1" customWidth="1"/>
    <col min="2" max="2" width="1.42578125" style="78" customWidth="1"/>
    <col min="3" max="3" width="11.85546875" style="78" bestFit="1" customWidth="1"/>
    <col min="4" max="4" width="1.42578125" style="78" customWidth="1"/>
    <col min="5" max="5" width="14.5703125" style="78" bestFit="1" customWidth="1"/>
    <col min="6" max="6" width="1.42578125" style="78" customWidth="1"/>
    <col min="7" max="7" width="14.5703125" style="78" bestFit="1" customWidth="1"/>
    <col min="8" max="8" width="1.42578125" style="78" customWidth="1"/>
    <col min="9" max="9" width="16.5703125" style="78" bestFit="1" customWidth="1"/>
    <col min="10" max="10" width="1.42578125" style="78" customWidth="1"/>
    <col min="11" max="11" width="11.85546875" style="78" bestFit="1" customWidth="1"/>
    <col min="12" max="12" width="1.42578125" style="78" customWidth="1"/>
    <col min="13" max="13" width="15.5703125" style="78" bestFit="1" customWidth="1"/>
    <col min="14" max="14" width="1.42578125" style="78" customWidth="1"/>
    <col min="15" max="15" width="15.5703125" style="78" bestFit="1" customWidth="1"/>
    <col min="16" max="16" width="1.42578125" style="78" customWidth="1"/>
    <col min="17" max="17" width="16.5703125" style="78" bestFit="1" customWidth="1"/>
    <col min="18" max="16384" width="9.140625" style="78"/>
  </cols>
  <sheetData>
    <row r="1" spans="1:17" ht="20.100000000000001" customHeight="1" x14ac:dyDescent="0.55000000000000004">
      <c r="A1" s="134" t="s">
        <v>194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</row>
    <row r="2" spans="1:17" ht="20.100000000000001" customHeight="1" x14ac:dyDescent="0.55000000000000004">
      <c r="A2" s="134" t="s">
        <v>23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</row>
    <row r="3" spans="1:17" ht="20.100000000000001" customHeight="1" x14ac:dyDescent="0.55000000000000004">
      <c r="A3" s="134" t="s">
        <v>54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</row>
    <row r="5" spans="1:17" ht="21" x14ac:dyDescent="0.55000000000000004">
      <c r="A5" s="136" t="s">
        <v>259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</row>
    <row r="7" spans="1:17" ht="21" x14ac:dyDescent="0.55000000000000004">
      <c r="C7" s="137" t="str">
        <f>'8'!I7</f>
        <v>طی فروردین ماه</v>
      </c>
      <c r="D7" s="138"/>
      <c r="E7" s="138"/>
      <c r="F7" s="138"/>
      <c r="G7" s="138"/>
      <c r="H7" s="138"/>
      <c r="I7" s="138"/>
      <c r="K7" s="137" t="str">
        <f>'8'!O7</f>
        <v>از ابتدای سال مالی تا پایان فروردین ماه</v>
      </c>
      <c r="L7" s="138"/>
      <c r="M7" s="138"/>
      <c r="N7" s="138"/>
      <c r="O7" s="138"/>
      <c r="P7" s="138"/>
      <c r="Q7" s="138"/>
    </row>
    <row r="8" spans="1:17" ht="42" x14ac:dyDescent="0.55000000000000004">
      <c r="A8" s="79" t="s">
        <v>25</v>
      </c>
      <c r="C8" s="80" t="s">
        <v>2</v>
      </c>
      <c r="E8" s="80" t="s">
        <v>4</v>
      </c>
      <c r="G8" s="80" t="s">
        <v>260</v>
      </c>
      <c r="I8" s="80" t="s">
        <v>261</v>
      </c>
      <c r="K8" s="80" t="s">
        <v>2</v>
      </c>
      <c r="M8" s="80" t="s">
        <v>4</v>
      </c>
      <c r="O8" s="80" t="s">
        <v>260</v>
      </c>
      <c r="Q8" s="80" t="s">
        <v>261</v>
      </c>
    </row>
    <row r="9" spans="1:17" ht="21" x14ac:dyDescent="0.55000000000000004">
      <c r="A9" s="81" t="s">
        <v>192</v>
      </c>
      <c r="C9" s="82">
        <v>112236</v>
      </c>
      <c r="E9" s="82">
        <v>660483729</v>
      </c>
      <c r="G9" s="82">
        <v>549389100</v>
      </c>
      <c r="I9" s="82">
        <v>111094629</v>
      </c>
      <c r="K9" s="82">
        <v>579887</v>
      </c>
      <c r="M9" s="82">
        <v>3249801158</v>
      </c>
      <c r="O9" s="82">
        <v>2839489099</v>
      </c>
      <c r="Q9" s="82">
        <v>410312059</v>
      </c>
    </row>
    <row r="10" spans="1:17" ht="21" x14ac:dyDescent="0.55000000000000004">
      <c r="A10" s="81" t="s">
        <v>262</v>
      </c>
      <c r="C10" s="88">
        <v>0</v>
      </c>
      <c r="E10" s="88">
        <v>0</v>
      </c>
      <c r="G10" s="88">
        <v>0</v>
      </c>
      <c r="I10" s="88">
        <v>0</v>
      </c>
      <c r="J10" s="83"/>
      <c r="K10" s="82">
        <v>3400000</v>
      </c>
      <c r="M10" s="82">
        <v>204947225</v>
      </c>
      <c r="O10" s="82">
        <v>38968245</v>
      </c>
      <c r="Q10" s="82">
        <v>165978980</v>
      </c>
    </row>
    <row r="11" spans="1:17" ht="21" x14ac:dyDescent="0.55000000000000004">
      <c r="A11" s="81" t="s">
        <v>263</v>
      </c>
      <c r="C11" s="88">
        <v>0</v>
      </c>
      <c r="E11" s="88">
        <v>0</v>
      </c>
      <c r="G11" s="88">
        <v>0</v>
      </c>
      <c r="I11" s="88">
        <v>0</v>
      </c>
      <c r="J11" s="83"/>
      <c r="K11" s="82">
        <v>3400000</v>
      </c>
      <c r="M11" s="82">
        <v>204247405</v>
      </c>
      <c r="O11" s="82">
        <v>50960536</v>
      </c>
      <c r="Q11" s="82">
        <v>153286869</v>
      </c>
    </row>
    <row r="12" spans="1:17" ht="21" x14ac:dyDescent="0.55000000000000004">
      <c r="A12" s="81" t="s">
        <v>264</v>
      </c>
      <c r="C12" s="88">
        <v>0</v>
      </c>
      <c r="E12" s="88">
        <v>0</v>
      </c>
      <c r="G12" s="88">
        <v>0</v>
      </c>
      <c r="I12" s="88">
        <v>0</v>
      </c>
      <c r="J12" s="83"/>
      <c r="K12" s="82">
        <v>542000</v>
      </c>
      <c r="M12" s="82">
        <v>275318095</v>
      </c>
      <c r="O12" s="82">
        <v>257445385</v>
      </c>
      <c r="Q12" s="82">
        <v>17872710</v>
      </c>
    </row>
    <row r="13" spans="1:17" ht="21" x14ac:dyDescent="0.55000000000000004">
      <c r="A13" s="81" t="s">
        <v>265</v>
      </c>
      <c r="C13" s="88">
        <v>0</v>
      </c>
      <c r="E13" s="88">
        <v>0</v>
      </c>
      <c r="G13" s="88">
        <v>0</v>
      </c>
      <c r="I13" s="88">
        <v>0</v>
      </c>
      <c r="J13" s="83"/>
      <c r="K13" s="82">
        <v>10050000</v>
      </c>
      <c r="M13" s="82">
        <v>974552024</v>
      </c>
      <c r="O13" s="82">
        <v>3574655304</v>
      </c>
      <c r="Q13" s="82">
        <v>-2600103280</v>
      </c>
    </row>
    <row r="14" spans="1:17" ht="21" x14ac:dyDescent="0.55000000000000004">
      <c r="A14" s="81" t="s">
        <v>266</v>
      </c>
      <c r="C14" s="88">
        <v>0</v>
      </c>
      <c r="E14" s="88">
        <v>0</v>
      </c>
      <c r="G14" s="88">
        <v>0</v>
      </c>
      <c r="I14" s="88">
        <v>0</v>
      </c>
      <c r="J14" s="83"/>
      <c r="K14" s="82">
        <v>3391000</v>
      </c>
      <c r="M14" s="82">
        <v>1506997858</v>
      </c>
      <c r="O14" s="82">
        <v>2494074992</v>
      </c>
      <c r="Q14" s="82">
        <v>-987077134</v>
      </c>
    </row>
    <row r="15" spans="1:17" ht="21" x14ac:dyDescent="0.55000000000000004">
      <c r="A15" s="81" t="s">
        <v>267</v>
      </c>
      <c r="C15" s="88">
        <v>0</v>
      </c>
      <c r="E15" s="88">
        <v>0</v>
      </c>
      <c r="G15" s="88">
        <v>0</v>
      </c>
      <c r="I15" s="88">
        <v>0</v>
      </c>
      <c r="J15" s="83"/>
      <c r="K15" s="82">
        <v>3531000</v>
      </c>
      <c r="M15" s="82">
        <v>798637324</v>
      </c>
      <c r="O15" s="82">
        <v>145649675</v>
      </c>
      <c r="Q15" s="82">
        <v>652987649</v>
      </c>
    </row>
    <row r="16" spans="1:17" ht="21" x14ac:dyDescent="0.55000000000000004">
      <c r="A16" s="81" t="s">
        <v>268</v>
      </c>
      <c r="C16" s="88">
        <v>0</v>
      </c>
      <c r="E16" s="88">
        <v>0</v>
      </c>
      <c r="G16" s="88">
        <v>0</v>
      </c>
      <c r="I16" s="88">
        <v>0</v>
      </c>
      <c r="J16" s="83"/>
      <c r="K16" s="82">
        <v>4309000</v>
      </c>
      <c r="M16" s="82">
        <v>469382136</v>
      </c>
      <c r="O16" s="82">
        <v>612734884</v>
      </c>
      <c r="Q16" s="82">
        <v>-143352748</v>
      </c>
    </row>
    <row r="17" spans="1:17" ht="21" x14ac:dyDescent="0.55000000000000004">
      <c r="A17" s="81" t="s">
        <v>269</v>
      </c>
      <c r="C17" s="88">
        <v>0</v>
      </c>
      <c r="E17" s="88">
        <v>0</v>
      </c>
      <c r="G17" s="88">
        <v>0</v>
      </c>
      <c r="I17" s="88">
        <v>0</v>
      </c>
      <c r="J17" s="83"/>
      <c r="K17" s="82">
        <v>7700000</v>
      </c>
      <c r="M17" s="82">
        <v>587094792</v>
      </c>
      <c r="O17" s="82">
        <v>256414819</v>
      </c>
      <c r="Q17" s="82">
        <v>330679973</v>
      </c>
    </row>
    <row r="18" spans="1:17" ht="21" x14ac:dyDescent="0.55000000000000004">
      <c r="A18" s="81" t="s">
        <v>270</v>
      </c>
      <c r="C18" s="88">
        <v>0</v>
      </c>
      <c r="E18" s="88">
        <v>0</v>
      </c>
      <c r="G18" s="88">
        <v>0</v>
      </c>
      <c r="I18" s="88">
        <v>0</v>
      </c>
      <c r="J18" s="83"/>
      <c r="K18" s="82">
        <v>4000000</v>
      </c>
      <c r="M18" s="82">
        <v>329585143</v>
      </c>
      <c r="O18" s="82">
        <v>176973713</v>
      </c>
      <c r="Q18" s="82">
        <v>152611430</v>
      </c>
    </row>
    <row r="19" spans="1:17" ht="21" x14ac:dyDescent="0.55000000000000004">
      <c r="A19" s="81" t="s">
        <v>271</v>
      </c>
      <c r="C19" s="88">
        <v>0</v>
      </c>
      <c r="E19" s="88">
        <v>0</v>
      </c>
      <c r="G19" s="88">
        <v>0</v>
      </c>
      <c r="I19" s="88">
        <v>0</v>
      </c>
      <c r="J19" s="83"/>
      <c r="K19" s="82">
        <v>14000000</v>
      </c>
      <c r="M19" s="82">
        <v>1232505640</v>
      </c>
      <c r="O19" s="82">
        <v>395766559</v>
      </c>
      <c r="Q19" s="82">
        <v>836739081</v>
      </c>
    </row>
    <row r="20" spans="1:17" ht="21" x14ac:dyDescent="0.55000000000000004">
      <c r="A20" s="81" t="s">
        <v>272</v>
      </c>
      <c r="C20" s="88">
        <v>0</v>
      </c>
      <c r="E20" s="88">
        <v>0</v>
      </c>
      <c r="G20" s="88">
        <v>0</v>
      </c>
      <c r="I20" s="88">
        <v>0</v>
      </c>
      <c r="J20" s="83"/>
      <c r="K20" s="82">
        <v>1500000</v>
      </c>
      <c r="M20" s="82">
        <v>64903292</v>
      </c>
      <c r="O20" s="82">
        <v>-351767500</v>
      </c>
      <c r="Q20" s="82">
        <v>416670792</v>
      </c>
    </row>
    <row r="21" spans="1:17" ht="21" x14ac:dyDescent="0.55000000000000004">
      <c r="A21" s="81" t="s">
        <v>273</v>
      </c>
      <c r="C21" s="82">
        <v>10000000</v>
      </c>
      <c r="E21" s="82">
        <v>531873060</v>
      </c>
      <c r="G21" s="82">
        <v>531873060</v>
      </c>
      <c r="I21" s="82">
        <v>0</v>
      </c>
      <c r="K21" s="82">
        <v>10000000</v>
      </c>
      <c r="M21" s="82">
        <v>531873060</v>
      </c>
      <c r="O21" s="82">
        <v>531873060</v>
      </c>
      <c r="Q21" s="82">
        <v>0</v>
      </c>
    </row>
    <row r="22" spans="1:17" ht="21" x14ac:dyDescent="0.55000000000000004">
      <c r="A22" s="81" t="s">
        <v>274</v>
      </c>
      <c r="C22" s="88">
        <v>0</v>
      </c>
      <c r="E22" s="88">
        <v>0</v>
      </c>
      <c r="G22" s="88">
        <v>0</v>
      </c>
      <c r="I22" s="88">
        <v>0</v>
      </c>
      <c r="J22" s="83"/>
      <c r="K22" s="82">
        <v>16214000</v>
      </c>
      <c r="M22" s="82">
        <v>903957236</v>
      </c>
      <c r="O22" s="82">
        <v>839388318</v>
      </c>
      <c r="Q22" s="82">
        <v>64568918</v>
      </c>
    </row>
    <row r="23" spans="1:17" ht="21" x14ac:dyDescent="0.55000000000000004">
      <c r="A23" s="81" t="s">
        <v>275</v>
      </c>
      <c r="C23" s="88">
        <v>0</v>
      </c>
      <c r="E23" s="88">
        <v>0</v>
      </c>
      <c r="G23" s="88">
        <v>0</v>
      </c>
      <c r="I23" s="88">
        <v>0</v>
      </c>
      <c r="J23" s="83"/>
      <c r="K23" s="82">
        <v>28000000</v>
      </c>
      <c r="M23" s="82">
        <v>2321433191</v>
      </c>
      <c r="O23" s="82">
        <v>1502932284</v>
      </c>
      <c r="Q23" s="82">
        <v>818500907</v>
      </c>
    </row>
    <row r="24" spans="1:17" ht="21" x14ac:dyDescent="0.55000000000000004">
      <c r="A24" s="81" t="s">
        <v>276</v>
      </c>
      <c r="C24" s="88">
        <v>0</v>
      </c>
      <c r="E24" s="88">
        <v>0</v>
      </c>
      <c r="G24" s="88">
        <v>0</v>
      </c>
      <c r="I24" s="88">
        <v>0</v>
      </c>
      <c r="J24" s="83"/>
      <c r="K24" s="82">
        <v>21751000</v>
      </c>
      <c r="M24" s="82">
        <v>1603768001</v>
      </c>
      <c r="O24" s="82">
        <v>750369242</v>
      </c>
      <c r="Q24" s="82">
        <v>853398759</v>
      </c>
    </row>
    <row r="25" spans="1:17" ht="21" x14ac:dyDescent="0.55000000000000004">
      <c r="A25" s="81" t="s">
        <v>277</v>
      </c>
      <c r="C25" s="88">
        <v>0</v>
      </c>
      <c r="E25" s="88">
        <v>0</v>
      </c>
      <c r="G25" s="88">
        <v>0</v>
      </c>
      <c r="I25" s="88">
        <v>0</v>
      </c>
      <c r="J25" s="83"/>
      <c r="K25" s="82">
        <v>3892000</v>
      </c>
      <c r="M25" s="82">
        <v>780958857</v>
      </c>
      <c r="O25" s="82">
        <v>413061961</v>
      </c>
      <c r="Q25" s="82">
        <v>367896896</v>
      </c>
    </row>
    <row r="26" spans="1:17" ht="21" x14ac:dyDescent="0.55000000000000004">
      <c r="A26" s="81" t="s">
        <v>278</v>
      </c>
      <c r="C26" s="88">
        <v>0</v>
      </c>
      <c r="E26" s="88">
        <v>0</v>
      </c>
      <c r="G26" s="88">
        <v>0</v>
      </c>
      <c r="I26" s="88">
        <v>0</v>
      </c>
      <c r="J26" s="83"/>
      <c r="K26" s="82">
        <v>1073000</v>
      </c>
      <c r="M26" s="82">
        <v>430469130</v>
      </c>
      <c r="O26" s="82">
        <v>130748811</v>
      </c>
      <c r="Q26" s="82">
        <v>299720319</v>
      </c>
    </row>
    <row r="27" spans="1:17" ht="21" x14ac:dyDescent="0.55000000000000004">
      <c r="A27" s="81" t="s">
        <v>279</v>
      </c>
      <c r="C27" s="88">
        <v>0</v>
      </c>
      <c r="E27" s="88">
        <v>0</v>
      </c>
      <c r="G27" s="88">
        <v>0</v>
      </c>
      <c r="I27" s="88">
        <v>0</v>
      </c>
      <c r="J27" s="83"/>
      <c r="K27" s="82">
        <v>10000000</v>
      </c>
      <c r="M27" s="82">
        <v>5498633758</v>
      </c>
      <c r="O27" s="82">
        <v>3185510161</v>
      </c>
      <c r="Q27" s="82">
        <v>2313123597</v>
      </c>
    </row>
    <row r="28" spans="1:17" ht="21" x14ac:dyDescent="0.55000000000000004">
      <c r="A28" s="81" t="s">
        <v>280</v>
      </c>
      <c r="C28" s="88">
        <v>0</v>
      </c>
      <c r="E28" s="88">
        <v>0</v>
      </c>
      <c r="G28" s="88">
        <v>0</v>
      </c>
      <c r="I28" s="88">
        <v>0</v>
      </c>
      <c r="J28" s="83"/>
      <c r="K28" s="82">
        <v>12000000</v>
      </c>
      <c r="M28" s="82">
        <v>1203342086</v>
      </c>
      <c r="O28" s="82">
        <v>773360175</v>
      </c>
      <c r="Q28" s="82">
        <v>429981911</v>
      </c>
    </row>
    <row r="29" spans="1:17" ht="21" x14ac:dyDescent="0.55000000000000004">
      <c r="A29" s="81" t="s">
        <v>281</v>
      </c>
      <c r="C29" s="82">
        <v>1446000</v>
      </c>
      <c r="E29" s="82">
        <v>438117163</v>
      </c>
      <c r="G29" s="82">
        <v>438117163</v>
      </c>
      <c r="I29" s="82">
        <v>0</v>
      </c>
      <c r="K29" s="82">
        <v>1446000</v>
      </c>
      <c r="M29" s="82">
        <v>438117163</v>
      </c>
      <c r="O29" s="82">
        <v>438117163</v>
      </c>
      <c r="Q29" s="82">
        <v>0</v>
      </c>
    </row>
    <row r="30" spans="1:17" ht="21" x14ac:dyDescent="0.55000000000000004">
      <c r="A30" s="81" t="s">
        <v>282</v>
      </c>
      <c r="C30" s="88">
        <v>0</v>
      </c>
      <c r="E30" s="88">
        <v>0</v>
      </c>
      <c r="G30" s="88">
        <v>0</v>
      </c>
      <c r="I30" s="88">
        <v>0</v>
      </c>
      <c r="J30" s="83"/>
      <c r="K30" s="82">
        <v>40000</v>
      </c>
      <c r="M30" s="82">
        <v>15995880</v>
      </c>
      <c r="O30" s="82">
        <v>14399588</v>
      </c>
      <c r="Q30" s="82">
        <v>1596292</v>
      </c>
    </row>
    <row r="31" spans="1:17" ht="21" x14ac:dyDescent="0.55000000000000004">
      <c r="A31" s="81" t="s">
        <v>283</v>
      </c>
      <c r="C31" s="88">
        <v>0</v>
      </c>
      <c r="E31" s="88">
        <v>0</v>
      </c>
      <c r="G31" s="88">
        <v>0</v>
      </c>
      <c r="I31" s="88">
        <v>0</v>
      </c>
      <c r="J31" s="83"/>
      <c r="K31" s="82">
        <v>8000000</v>
      </c>
      <c r="M31" s="82">
        <v>806472331</v>
      </c>
      <c r="O31" s="82">
        <v>87814950</v>
      </c>
      <c r="Q31" s="82">
        <v>718657381</v>
      </c>
    </row>
    <row r="32" spans="1:17" ht="21" x14ac:dyDescent="0.55000000000000004">
      <c r="A32" s="81" t="s">
        <v>284</v>
      </c>
      <c r="C32" s="88">
        <v>0</v>
      </c>
      <c r="E32" s="88">
        <v>0</v>
      </c>
      <c r="G32" s="88">
        <v>0</v>
      </c>
      <c r="I32" s="88">
        <v>0</v>
      </c>
      <c r="J32" s="83"/>
      <c r="K32" s="82">
        <v>6862000</v>
      </c>
      <c r="M32" s="82">
        <v>2072784133</v>
      </c>
      <c r="O32" s="82">
        <v>1045680441</v>
      </c>
      <c r="Q32" s="82">
        <v>1027103692</v>
      </c>
    </row>
    <row r="33" spans="1:17" ht="21" x14ac:dyDescent="0.55000000000000004">
      <c r="A33" s="81" t="s">
        <v>285</v>
      </c>
      <c r="C33" s="88">
        <v>0</v>
      </c>
      <c r="E33" s="88">
        <v>0</v>
      </c>
      <c r="G33" s="88">
        <v>0</v>
      </c>
      <c r="I33" s="88">
        <v>0</v>
      </c>
      <c r="J33" s="83"/>
      <c r="K33" s="82">
        <v>3250000</v>
      </c>
      <c r="M33" s="82">
        <v>659830052</v>
      </c>
      <c r="O33" s="82">
        <v>265616455</v>
      </c>
      <c r="Q33" s="82">
        <v>394213597</v>
      </c>
    </row>
    <row r="34" spans="1:17" ht="21" x14ac:dyDescent="0.55000000000000004">
      <c r="A34" s="81" t="s">
        <v>286</v>
      </c>
      <c r="C34" s="88">
        <v>0</v>
      </c>
      <c r="E34" s="88">
        <v>0</v>
      </c>
      <c r="G34" s="88">
        <v>0</v>
      </c>
      <c r="I34" s="88">
        <v>0</v>
      </c>
      <c r="J34" s="83"/>
      <c r="K34" s="82">
        <v>23420000</v>
      </c>
      <c r="M34" s="82">
        <v>4478272142</v>
      </c>
      <c r="O34" s="82">
        <v>4089390829</v>
      </c>
      <c r="Q34" s="82">
        <v>388881313</v>
      </c>
    </row>
    <row r="35" spans="1:17" ht="21" x14ac:dyDescent="0.55000000000000004">
      <c r="A35" s="81" t="s">
        <v>287</v>
      </c>
      <c r="C35" s="88">
        <v>0</v>
      </c>
      <c r="E35" s="88">
        <v>0</v>
      </c>
      <c r="G35" s="88">
        <v>0</v>
      </c>
      <c r="I35" s="88">
        <v>0</v>
      </c>
      <c r="J35" s="83"/>
      <c r="K35" s="82">
        <v>5207424</v>
      </c>
      <c r="M35" s="82">
        <v>401352241</v>
      </c>
      <c r="O35" s="82">
        <v>2237898038</v>
      </c>
      <c r="Q35" s="82">
        <v>-1836545797</v>
      </c>
    </row>
    <row r="36" spans="1:17" ht="21" x14ac:dyDescent="0.55000000000000004">
      <c r="A36" s="81" t="s">
        <v>288</v>
      </c>
      <c r="C36" s="82">
        <v>9128328</v>
      </c>
      <c r="E36" s="82">
        <v>1784284559</v>
      </c>
      <c r="G36" s="82">
        <v>1784284559</v>
      </c>
      <c r="I36" s="82">
        <v>0</v>
      </c>
      <c r="K36" s="82">
        <v>9128328</v>
      </c>
      <c r="M36" s="82">
        <v>1784284559</v>
      </c>
      <c r="O36" s="82">
        <v>1784284559</v>
      </c>
      <c r="Q36" s="82">
        <v>0</v>
      </c>
    </row>
    <row r="37" spans="1:17" ht="21" x14ac:dyDescent="0.55000000000000004">
      <c r="A37" s="81" t="s">
        <v>289</v>
      </c>
      <c r="C37" s="88">
        <v>0</v>
      </c>
      <c r="E37" s="88">
        <v>0</v>
      </c>
      <c r="G37" s="88">
        <v>0</v>
      </c>
      <c r="I37" s="88">
        <v>0</v>
      </c>
      <c r="J37" s="83"/>
      <c r="K37" s="82">
        <v>9900000</v>
      </c>
      <c r="M37" s="82">
        <v>3806991542</v>
      </c>
      <c r="O37" s="82">
        <v>2306671564</v>
      </c>
      <c r="Q37" s="82">
        <v>1500319978</v>
      </c>
    </row>
    <row r="38" spans="1:17" ht="21" x14ac:dyDescent="0.55000000000000004">
      <c r="A38" s="81" t="s">
        <v>290</v>
      </c>
      <c r="C38" s="88">
        <v>0</v>
      </c>
      <c r="E38" s="88">
        <v>0</v>
      </c>
      <c r="G38" s="88">
        <v>0</v>
      </c>
      <c r="I38" s="88">
        <v>0</v>
      </c>
      <c r="J38" s="83"/>
      <c r="K38" s="82">
        <v>7500000</v>
      </c>
      <c r="M38" s="82">
        <v>510332588</v>
      </c>
      <c r="O38" s="82">
        <v>340440251</v>
      </c>
      <c r="Q38" s="82">
        <v>169892337</v>
      </c>
    </row>
    <row r="39" spans="1:17" ht="21" x14ac:dyDescent="0.55000000000000004">
      <c r="A39" s="81" t="s">
        <v>291</v>
      </c>
      <c r="C39" s="88">
        <v>0</v>
      </c>
      <c r="E39" s="88">
        <v>0</v>
      </c>
      <c r="G39" s="88">
        <v>0</v>
      </c>
      <c r="I39" s="88">
        <v>0</v>
      </c>
      <c r="J39" s="83"/>
      <c r="K39" s="82">
        <v>3301000</v>
      </c>
      <c r="M39" s="82">
        <v>1086767113</v>
      </c>
      <c r="O39" s="82">
        <v>792327147</v>
      </c>
      <c r="Q39" s="82">
        <v>294439966</v>
      </c>
    </row>
    <row r="40" spans="1:17" ht="21" x14ac:dyDescent="0.55000000000000004">
      <c r="A40" s="81" t="s">
        <v>292</v>
      </c>
      <c r="C40" s="88">
        <v>0</v>
      </c>
      <c r="E40" s="88">
        <v>0</v>
      </c>
      <c r="G40" s="88">
        <v>0</v>
      </c>
      <c r="I40" s="88">
        <v>0</v>
      </c>
      <c r="J40" s="83"/>
      <c r="K40" s="82">
        <v>9000000</v>
      </c>
      <c r="M40" s="82">
        <v>730954783</v>
      </c>
      <c r="O40" s="82">
        <v>137375185</v>
      </c>
      <c r="Q40" s="82">
        <v>593579598</v>
      </c>
    </row>
    <row r="41" spans="1:17" ht="21" x14ac:dyDescent="0.55000000000000004">
      <c r="A41" s="81" t="s">
        <v>293</v>
      </c>
      <c r="C41" s="82">
        <v>4407</v>
      </c>
      <c r="E41" s="82">
        <v>176237</v>
      </c>
      <c r="G41" s="82">
        <v>451525794</v>
      </c>
      <c r="I41" s="82">
        <v>-451349557</v>
      </c>
      <c r="K41" s="82">
        <v>9151407</v>
      </c>
      <c r="M41" s="82">
        <v>883898660</v>
      </c>
      <c r="O41" s="82">
        <v>1335248217</v>
      </c>
      <c r="Q41" s="82">
        <v>-451349557</v>
      </c>
    </row>
    <row r="42" spans="1:17" ht="21" x14ac:dyDescent="0.55000000000000004">
      <c r="A42" s="81" t="s">
        <v>294</v>
      </c>
      <c r="C42" s="88">
        <v>0</v>
      </c>
      <c r="E42" s="88">
        <v>0</v>
      </c>
      <c r="G42" s="88">
        <v>0</v>
      </c>
      <c r="I42" s="88">
        <v>0</v>
      </c>
      <c r="J42" s="83"/>
      <c r="K42" s="82">
        <v>1000</v>
      </c>
      <c r="M42" s="82">
        <v>4000</v>
      </c>
      <c r="O42" s="82">
        <v>5001</v>
      </c>
      <c r="Q42" s="82">
        <v>-1001</v>
      </c>
    </row>
    <row r="43" spans="1:17" ht="21" x14ac:dyDescent="0.55000000000000004">
      <c r="A43" s="81" t="s">
        <v>295</v>
      </c>
      <c r="C43" s="88">
        <v>0</v>
      </c>
      <c r="E43" s="88">
        <v>0</v>
      </c>
      <c r="G43" s="88">
        <v>0</v>
      </c>
      <c r="I43" s="88">
        <v>0</v>
      </c>
      <c r="J43" s="83"/>
      <c r="K43" s="82">
        <v>4000000</v>
      </c>
      <c r="M43" s="82">
        <v>1143160582</v>
      </c>
      <c r="O43" s="82">
        <v>-1492454212</v>
      </c>
      <c r="Q43" s="82">
        <v>2635614794</v>
      </c>
    </row>
    <row r="44" spans="1:17" ht="21" x14ac:dyDescent="0.55000000000000004">
      <c r="A44" s="81" t="s">
        <v>296</v>
      </c>
      <c r="C44" s="88">
        <v>0</v>
      </c>
      <c r="E44" s="88">
        <v>0</v>
      </c>
      <c r="G44" s="88">
        <v>0</v>
      </c>
      <c r="I44" s="88">
        <v>0</v>
      </c>
      <c r="J44" s="83"/>
      <c r="K44" s="82">
        <v>5000000</v>
      </c>
      <c r="M44" s="82">
        <v>327538664</v>
      </c>
      <c r="O44" s="82">
        <v>106943192</v>
      </c>
      <c r="Q44" s="82">
        <v>220595472</v>
      </c>
    </row>
    <row r="45" spans="1:17" ht="21" x14ac:dyDescent="0.55000000000000004">
      <c r="A45" s="81" t="s">
        <v>297</v>
      </c>
      <c r="C45" s="88">
        <v>0</v>
      </c>
      <c r="E45" s="88">
        <v>0</v>
      </c>
      <c r="G45" s="88">
        <v>0</v>
      </c>
      <c r="I45" s="88">
        <v>0</v>
      </c>
      <c r="J45" s="83"/>
      <c r="K45" s="82">
        <v>10001000</v>
      </c>
      <c r="M45" s="82">
        <v>968841492</v>
      </c>
      <c r="O45" s="82">
        <v>199808978</v>
      </c>
      <c r="Q45" s="82">
        <v>769032514</v>
      </c>
    </row>
    <row r="46" spans="1:17" ht="21" x14ac:dyDescent="0.55000000000000004">
      <c r="A46" s="81" t="s">
        <v>298</v>
      </c>
      <c r="C46" s="88">
        <v>0</v>
      </c>
      <c r="E46" s="88">
        <v>0</v>
      </c>
      <c r="G46" s="88">
        <v>0</v>
      </c>
      <c r="I46" s="88">
        <v>0</v>
      </c>
      <c r="J46" s="83"/>
      <c r="K46" s="82">
        <v>3222000</v>
      </c>
      <c r="M46" s="82">
        <v>694463151</v>
      </c>
      <c r="O46" s="82">
        <v>556624475</v>
      </c>
      <c r="Q46" s="82">
        <v>137838676</v>
      </c>
    </row>
    <row r="47" spans="1:17" ht="21" x14ac:dyDescent="0.55000000000000004">
      <c r="A47" s="81" t="s">
        <v>299</v>
      </c>
      <c r="C47" s="88">
        <v>0</v>
      </c>
      <c r="E47" s="88">
        <v>0</v>
      </c>
      <c r="G47" s="88">
        <v>0</v>
      </c>
      <c r="I47" s="88">
        <v>0</v>
      </c>
      <c r="J47" s="83"/>
      <c r="K47" s="82">
        <v>20000000</v>
      </c>
      <c r="M47" s="82">
        <v>1819225503</v>
      </c>
      <c r="O47" s="82">
        <v>215096909</v>
      </c>
      <c r="Q47" s="82">
        <v>1604128594</v>
      </c>
    </row>
    <row r="48" spans="1:17" ht="21" x14ac:dyDescent="0.55000000000000004">
      <c r="A48" s="81" t="s">
        <v>300</v>
      </c>
      <c r="C48" s="88">
        <v>0</v>
      </c>
      <c r="E48" s="88">
        <v>0</v>
      </c>
      <c r="G48" s="88">
        <v>0</v>
      </c>
      <c r="I48" s="88">
        <v>0</v>
      </c>
      <c r="J48" s="83"/>
      <c r="K48" s="82">
        <v>14000000</v>
      </c>
      <c r="M48" s="82">
        <v>1649825097</v>
      </c>
      <c r="O48" s="82">
        <v>476100734</v>
      </c>
      <c r="Q48" s="82">
        <v>1173724363</v>
      </c>
    </row>
    <row r="49" spans="1:17" ht="21" x14ac:dyDescent="0.55000000000000004">
      <c r="A49" s="81" t="s">
        <v>301</v>
      </c>
      <c r="C49" s="88">
        <v>0</v>
      </c>
      <c r="E49" s="88">
        <v>0</v>
      </c>
      <c r="G49" s="88">
        <v>0</v>
      </c>
      <c r="I49" s="88">
        <v>0</v>
      </c>
      <c r="J49" s="83"/>
      <c r="K49" s="82">
        <v>100000</v>
      </c>
      <c r="M49" s="82">
        <v>7498069</v>
      </c>
      <c r="O49" s="82">
        <v>4674267</v>
      </c>
      <c r="Q49" s="82">
        <v>2823802</v>
      </c>
    </row>
    <row r="50" spans="1:17" ht="21" x14ac:dyDescent="0.55000000000000004">
      <c r="A50" s="81" t="s">
        <v>302</v>
      </c>
      <c r="C50" s="88">
        <v>0</v>
      </c>
      <c r="E50" s="88">
        <v>0</v>
      </c>
      <c r="G50" s="88">
        <v>0</v>
      </c>
      <c r="I50" s="88">
        <v>0</v>
      </c>
      <c r="J50" s="83"/>
      <c r="K50" s="82">
        <v>7000000</v>
      </c>
      <c r="M50" s="82">
        <v>337454107</v>
      </c>
      <c r="O50" s="82">
        <v>239929861</v>
      </c>
      <c r="Q50" s="82">
        <v>97524246</v>
      </c>
    </row>
    <row r="51" spans="1:17" ht="21" x14ac:dyDescent="0.55000000000000004">
      <c r="A51" s="81" t="s">
        <v>303</v>
      </c>
      <c r="C51" s="88">
        <v>0</v>
      </c>
      <c r="E51" s="88">
        <v>0</v>
      </c>
      <c r="G51" s="88">
        <v>0</v>
      </c>
      <c r="I51" s="88">
        <v>0</v>
      </c>
      <c r="J51" s="83"/>
      <c r="K51" s="82">
        <v>10100000</v>
      </c>
      <c r="M51" s="82">
        <v>521893605</v>
      </c>
      <c r="O51" s="82">
        <v>293841274</v>
      </c>
      <c r="Q51" s="82">
        <v>228052331</v>
      </c>
    </row>
    <row r="52" spans="1:17" ht="21" x14ac:dyDescent="0.55000000000000004">
      <c r="A52" s="81" t="s">
        <v>304</v>
      </c>
      <c r="C52" s="82">
        <v>40000000</v>
      </c>
      <c r="E52" s="82">
        <v>1606692339</v>
      </c>
      <c r="G52" s="82">
        <v>279658249</v>
      </c>
      <c r="I52" s="82">
        <v>1327034090</v>
      </c>
      <c r="K52" s="82">
        <v>40000000</v>
      </c>
      <c r="M52" s="82">
        <v>1606692339</v>
      </c>
      <c r="O52" s="82">
        <v>279658249</v>
      </c>
      <c r="Q52" s="82">
        <v>1327034090</v>
      </c>
    </row>
    <row r="53" spans="1:17" ht="21" x14ac:dyDescent="0.55000000000000004">
      <c r="A53" s="81" t="s">
        <v>305</v>
      </c>
      <c r="C53" s="82">
        <v>60000000</v>
      </c>
      <c r="E53" s="82">
        <v>1212420869</v>
      </c>
      <c r="G53" s="82">
        <v>1212420869</v>
      </c>
      <c r="I53" s="82">
        <v>0</v>
      </c>
      <c r="K53" s="82">
        <v>60000000</v>
      </c>
      <c r="M53" s="82">
        <v>1212420869</v>
      </c>
      <c r="O53" s="82">
        <v>1212420869</v>
      </c>
      <c r="Q53" s="82">
        <v>0</v>
      </c>
    </row>
    <row r="54" spans="1:17" ht="21" x14ac:dyDescent="0.55000000000000004">
      <c r="A54" s="81" t="s">
        <v>306</v>
      </c>
      <c r="C54" s="82">
        <v>1000000</v>
      </c>
      <c r="E54" s="82">
        <v>69981990</v>
      </c>
      <c r="G54" s="82">
        <v>69981990</v>
      </c>
      <c r="I54" s="82">
        <v>0</v>
      </c>
      <c r="K54" s="82">
        <v>1000000</v>
      </c>
      <c r="M54" s="82">
        <v>69981990</v>
      </c>
      <c r="O54" s="82">
        <v>69981990</v>
      </c>
      <c r="Q54" s="82">
        <v>0</v>
      </c>
    </row>
    <row r="55" spans="1:17" ht="21" x14ac:dyDescent="0.55000000000000004">
      <c r="A55" s="81" t="s">
        <v>307</v>
      </c>
      <c r="C55" s="82">
        <v>984000</v>
      </c>
      <c r="E55" s="82">
        <v>130190474</v>
      </c>
      <c r="G55" s="82">
        <v>89190836</v>
      </c>
      <c r="I55" s="82">
        <v>40999638</v>
      </c>
      <c r="K55" s="82">
        <v>984000</v>
      </c>
      <c r="M55" s="82">
        <v>130190474</v>
      </c>
      <c r="O55" s="82">
        <v>89190836</v>
      </c>
      <c r="Q55" s="82">
        <v>40999638</v>
      </c>
    </row>
    <row r="56" spans="1:17" ht="21" x14ac:dyDescent="0.55000000000000004">
      <c r="A56" s="81" t="s">
        <v>308</v>
      </c>
      <c r="C56" s="82">
        <v>287523</v>
      </c>
      <c r="E56" s="82">
        <v>22995918</v>
      </c>
      <c r="G56" s="82">
        <v>22995918</v>
      </c>
      <c r="I56" s="82">
        <v>0</v>
      </c>
      <c r="K56" s="82">
        <v>287523</v>
      </c>
      <c r="M56" s="82">
        <v>22995918</v>
      </c>
      <c r="O56" s="82">
        <v>22995918</v>
      </c>
      <c r="Q56" s="82">
        <v>0</v>
      </c>
    </row>
    <row r="57" spans="1:17" ht="21" x14ac:dyDescent="0.55000000000000004">
      <c r="A57" s="81" t="s">
        <v>309</v>
      </c>
      <c r="C57" s="88">
        <v>0</v>
      </c>
      <c r="E57" s="88">
        <v>0</v>
      </c>
      <c r="G57" s="88">
        <v>0</v>
      </c>
      <c r="I57" s="88">
        <v>0</v>
      </c>
      <c r="J57" s="83"/>
      <c r="K57" s="82">
        <v>18744000</v>
      </c>
      <c r="M57" s="82">
        <v>1095764742</v>
      </c>
      <c r="O57" s="82">
        <v>296971944</v>
      </c>
      <c r="Q57" s="82">
        <v>798792798</v>
      </c>
    </row>
    <row r="58" spans="1:17" ht="21" x14ac:dyDescent="0.55000000000000004">
      <c r="A58" s="81" t="s">
        <v>310</v>
      </c>
      <c r="C58" s="82">
        <v>1073520</v>
      </c>
      <c r="E58" s="82">
        <v>28619837</v>
      </c>
      <c r="G58" s="82">
        <v>28619837</v>
      </c>
      <c r="I58" s="82">
        <v>0</v>
      </c>
      <c r="K58" s="82">
        <v>1073520</v>
      </c>
      <c r="M58" s="82">
        <v>28619837</v>
      </c>
      <c r="O58" s="82">
        <v>28619837</v>
      </c>
      <c r="Q58" s="82">
        <v>0</v>
      </c>
    </row>
    <row r="59" spans="1:17" ht="21" x14ac:dyDescent="0.55000000000000004">
      <c r="A59" s="81" t="s">
        <v>311</v>
      </c>
      <c r="C59" s="82">
        <v>579020</v>
      </c>
      <c r="E59" s="82">
        <v>21423740</v>
      </c>
      <c r="G59" s="82">
        <v>-118890368</v>
      </c>
      <c r="I59" s="82">
        <v>140314108</v>
      </c>
      <c r="K59" s="82">
        <v>3479568</v>
      </c>
      <c r="M59" s="82">
        <v>185589459</v>
      </c>
      <c r="O59" s="82">
        <v>45275351</v>
      </c>
      <c r="Q59" s="82">
        <v>140314108</v>
      </c>
    </row>
    <row r="60" spans="1:17" ht="21" x14ac:dyDescent="0.55000000000000004">
      <c r="A60" s="81" t="s">
        <v>312</v>
      </c>
      <c r="C60" s="82">
        <v>13666080</v>
      </c>
      <c r="E60" s="82">
        <v>711051161</v>
      </c>
      <c r="G60" s="82">
        <v>711051161</v>
      </c>
      <c r="I60" s="82">
        <v>0</v>
      </c>
      <c r="K60" s="82">
        <v>13666080</v>
      </c>
      <c r="M60" s="82">
        <v>711051161</v>
      </c>
      <c r="O60" s="82">
        <v>711051161</v>
      </c>
      <c r="Q60" s="82">
        <v>0</v>
      </c>
    </row>
    <row r="61" spans="1:17" ht="21" x14ac:dyDescent="0.55000000000000004">
      <c r="A61" s="81" t="s">
        <v>313</v>
      </c>
      <c r="C61" s="88">
        <v>0</v>
      </c>
      <c r="E61" s="88">
        <v>0</v>
      </c>
      <c r="G61" s="88">
        <v>0</v>
      </c>
      <c r="I61" s="88">
        <v>0</v>
      </c>
      <c r="J61" s="83"/>
      <c r="K61" s="82">
        <v>7300000</v>
      </c>
      <c r="M61" s="82">
        <v>430610110</v>
      </c>
      <c r="O61" s="82">
        <v>179611356</v>
      </c>
      <c r="Q61" s="82">
        <v>250998754</v>
      </c>
    </row>
    <row r="62" spans="1:17" ht="21" x14ac:dyDescent="0.55000000000000004">
      <c r="A62" s="81" t="s">
        <v>314</v>
      </c>
      <c r="C62" s="82">
        <v>79326</v>
      </c>
      <c r="E62" s="82">
        <v>793060</v>
      </c>
      <c r="G62" s="82">
        <v>793060</v>
      </c>
      <c r="I62" s="82">
        <v>0</v>
      </c>
      <c r="K62" s="82">
        <v>79326</v>
      </c>
      <c r="M62" s="82">
        <v>793060</v>
      </c>
      <c r="O62" s="82">
        <v>793060</v>
      </c>
      <c r="Q62" s="82">
        <v>0</v>
      </c>
    </row>
    <row r="63" spans="1:17" ht="21" x14ac:dyDescent="0.55000000000000004">
      <c r="A63" s="81" t="s">
        <v>109</v>
      </c>
      <c r="C63" s="82"/>
      <c r="E63" s="82"/>
      <c r="G63" s="82"/>
      <c r="I63" s="82"/>
      <c r="K63" s="82"/>
      <c r="M63" s="82"/>
      <c r="O63" s="82"/>
      <c r="Q63" s="82">
        <v>2539867414</v>
      </c>
    </row>
    <row r="64" spans="1:17" ht="21" x14ac:dyDescent="0.55000000000000004">
      <c r="A64" s="81" t="s">
        <v>111</v>
      </c>
      <c r="C64" s="82"/>
      <c r="E64" s="82"/>
      <c r="G64" s="82"/>
      <c r="I64" s="82"/>
      <c r="K64" s="82"/>
      <c r="M64" s="82"/>
      <c r="O64" s="82"/>
      <c r="Q64" s="82">
        <v>798978106</v>
      </c>
    </row>
    <row r="65" spans="1:17" ht="21" x14ac:dyDescent="0.55000000000000004">
      <c r="A65" s="81" t="s">
        <v>110</v>
      </c>
      <c r="C65" s="82"/>
      <c r="E65" s="82"/>
      <c r="G65" s="82"/>
      <c r="I65" s="82"/>
      <c r="K65" s="82"/>
      <c r="M65" s="82"/>
      <c r="O65" s="82"/>
      <c r="Q65" s="82">
        <v>288880900</v>
      </c>
    </row>
    <row r="66" spans="1:17" ht="21" x14ac:dyDescent="0.55000000000000004">
      <c r="A66" s="81" t="s">
        <v>116</v>
      </c>
      <c r="C66" s="82"/>
      <c r="E66" s="82"/>
      <c r="G66" s="82"/>
      <c r="I66" s="82"/>
      <c r="K66" s="82"/>
      <c r="M66" s="82"/>
      <c r="O66" s="82"/>
      <c r="Q66" s="82">
        <v>103932028</v>
      </c>
    </row>
    <row r="67" spans="1:17" ht="21" x14ac:dyDescent="0.55000000000000004">
      <c r="A67" s="81" t="s">
        <v>85</v>
      </c>
      <c r="C67" s="88">
        <v>0</v>
      </c>
      <c r="E67" s="88">
        <v>0</v>
      </c>
      <c r="G67" s="88">
        <v>0</v>
      </c>
      <c r="I67" s="88">
        <v>0</v>
      </c>
      <c r="J67" s="83"/>
      <c r="K67" s="82">
        <v>75000</v>
      </c>
      <c r="M67" s="82">
        <v>717207107</v>
      </c>
      <c r="O67" s="82">
        <v>521194307</v>
      </c>
      <c r="Q67" s="82">
        <v>196012800</v>
      </c>
    </row>
    <row r="68" spans="1:17" ht="21" x14ac:dyDescent="0.55000000000000004">
      <c r="A68" s="81" t="s">
        <v>191</v>
      </c>
      <c r="C68" s="88">
        <v>0</v>
      </c>
      <c r="E68" s="88">
        <v>0</v>
      </c>
      <c r="G68" s="88">
        <v>0</v>
      </c>
      <c r="I68" s="88">
        <v>0</v>
      </c>
      <c r="J68" s="83"/>
      <c r="K68" s="82">
        <v>1000000</v>
      </c>
      <c r="M68" s="82">
        <v>4170420373</v>
      </c>
      <c r="O68" s="82">
        <v>4515857909</v>
      </c>
      <c r="Q68" s="82">
        <v>-345437536</v>
      </c>
    </row>
    <row r="69" spans="1:17" ht="21" x14ac:dyDescent="0.55000000000000004">
      <c r="A69" s="81" t="s">
        <v>209</v>
      </c>
      <c r="C69" s="88">
        <v>0</v>
      </c>
      <c r="E69" s="88">
        <v>0</v>
      </c>
      <c r="G69" s="88">
        <v>0</v>
      </c>
      <c r="I69" s="88">
        <v>0</v>
      </c>
      <c r="J69" s="83"/>
      <c r="K69" s="82">
        <v>491813</v>
      </c>
      <c r="M69" s="82">
        <v>2682696973</v>
      </c>
      <c r="O69" s="82">
        <v>2819485476</v>
      </c>
      <c r="Q69" s="82">
        <v>-136788503</v>
      </c>
    </row>
    <row r="70" spans="1:17" ht="21" x14ac:dyDescent="0.55000000000000004">
      <c r="A70" s="81" t="s">
        <v>81</v>
      </c>
      <c r="C70" s="88">
        <v>0</v>
      </c>
      <c r="E70" s="88">
        <v>0</v>
      </c>
      <c r="G70" s="88">
        <v>0</v>
      </c>
      <c r="I70" s="88">
        <v>0</v>
      </c>
      <c r="J70" s="83"/>
      <c r="K70" s="82">
        <v>285750</v>
      </c>
      <c r="M70" s="82">
        <v>15769900291</v>
      </c>
      <c r="O70" s="82">
        <v>12919038315</v>
      </c>
      <c r="Q70" s="82">
        <v>2850861976</v>
      </c>
    </row>
    <row r="71" spans="1:17" ht="21" x14ac:dyDescent="0.55000000000000004">
      <c r="A71" s="81" t="s">
        <v>187</v>
      </c>
      <c r="C71" s="88">
        <v>0</v>
      </c>
      <c r="E71" s="88">
        <v>0</v>
      </c>
      <c r="G71" s="88">
        <v>0</v>
      </c>
      <c r="I71" s="88">
        <v>0</v>
      </c>
      <c r="J71" s="83"/>
      <c r="K71" s="82">
        <v>2000000</v>
      </c>
      <c r="M71" s="82">
        <v>4769451925</v>
      </c>
      <c r="O71" s="82">
        <v>5871486070</v>
      </c>
      <c r="Q71" s="82">
        <v>-1102034145</v>
      </c>
    </row>
    <row r="72" spans="1:17" ht="21" x14ac:dyDescent="0.55000000000000004">
      <c r="A72" s="81" t="s">
        <v>80</v>
      </c>
      <c r="C72" s="88">
        <v>0</v>
      </c>
      <c r="E72" s="88">
        <v>0</v>
      </c>
      <c r="G72" s="88">
        <v>0</v>
      </c>
      <c r="I72" s="88">
        <v>0</v>
      </c>
      <c r="J72" s="83"/>
      <c r="K72" s="82">
        <v>900000</v>
      </c>
      <c r="M72" s="82">
        <v>3867396344</v>
      </c>
      <c r="O72" s="82">
        <v>2909570409</v>
      </c>
      <c r="Q72" s="82">
        <v>957825935</v>
      </c>
    </row>
    <row r="73" spans="1:17" ht="21" x14ac:dyDescent="0.55000000000000004">
      <c r="A73" s="81" t="s">
        <v>79</v>
      </c>
      <c r="C73" s="88">
        <v>0</v>
      </c>
      <c r="E73" s="88">
        <v>0</v>
      </c>
      <c r="G73" s="88">
        <v>0</v>
      </c>
      <c r="I73" s="88">
        <v>0</v>
      </c>
      <c r="J73" s="83"/>
      <c r="K73" s="82">
        <v>800000</v>
      </c>
      <c r="M73" s="82">
        <v>6202872074</v>
      </c>
      <c r="O73" s="82">
        <v>5195551274</v>
      </c>
      <c r="Q73" s="82">
        <v>1007320800</v>
      </c>
    </row>
    <row r="74" spans="1:17" ht="21" x14ac:dyDescent="0.55000000000000004">
      <c r="A74" s="81" t="s">
        <v>78</v>
      </c>
      <c r="C74" s="88">
        <v>0</v>
      </c>
      <c r="E74" s="88">
        <v>0</v>
      </c>
      <c r="G74" s="88">
        <v>0</v>
      </c>
      <c r="I74" s="88">
        <v>0</v>
      </c>
      <c r="J74" s="83"/>
      <c r="K74" s="82">
        <v>595000</v>
      </c>
      <c r="M74" s="82">
        <v>17461482461</v>
      </c>
      <c r="O74" s="82">
        <v>11150692921</v>
      </c>
      <c r="Q74" s="82">
        <v>6310789540</v>
      </c>
    </row>
    <row r="75" spans="1:17" ht="21" x14ac:dyDescent="0.55000000000000004">
      <c r="A75" s="81" t="s">
        <v>315</v>
      </c>
      <c r="C75" s="88">
        <v>0</v>
      </c>
      <c r="E75" s="88">
        <v>0</v>
      </c>
      <c r="G75" s="88">
        <v>0</v>
      </c>
      <c r="I75" s="88">
        <v>0</v>
      </c>
      <c r="J75" s="83"/>
      <c r="K75" s="82">
        <v>24500000</v>
      </c>
      <c r="M75" s="82">
        <v>10435935006</v>
      </c>
      <c r="O75" s="82">
        <v>12893982706</v>
      </c>
      <c r="Q75" s="82">
        <v>-2458047700</v>
      </c>
    </row>
    <row r="76" spans="1:17" ht="21" x14ac:dyDescent="0.55000000000000004">
      <c r="A76" s="81" t="s">
        <v>77</v>
      </c>
      <c r="C76" s="88">
        <v>0</v>
      </c>
      <c r="E76" s="88">
        <v>0</v>
      </c>
      <c r="G76" s="88">
        <v>0</v>
      </c>
      <c r="I76" s="88">
        <v>0</v>
      </c>
      <c r="J76" s="83"/>
      <c r="K76" s="82">
        <v>6600000</v>
      </c>
      <c r="M76" s="82">
        <v>8504700751</v>
      </c>
      <c r="O76" s="82">
        <v>9265330938</v>
      </c>
      <c r="Q76" s="82">
        <v>-760630187</v>
      </c>
    </row>
    <row r="77" spans="1:17" ht="21" x14ac:dyDescent="0.55000000000000004">
      <c r="A77" s="81" t="s">
        <v>101</v>
      </c>
      <c r="C77" s="88">
        <v>0</v>
      </c>
      <c r="E77" s="88">
        <v>0</v>
      </c>
      <c r="G77" s="88">
        <v>0</v>
      </c>
      <c r="I77" s="88">
        <v>0</v>
      </c>
      <c r="J77" s="83"/>
      <c r="K77" s="82">
        <v>24869520</v>
      </c>
      <c r="M77" s="82">
        <v>29276157072</v>
      </c>
      <c r="O77" s="82">
        <v>29713114579</v>
      </c>
      <c r="Q77" s="82">
        <v>-436957507</v>
      </c>
    </row>
    <row r="78" spans="1:17" ht="21" x14ac:dyDescent="0.55000000000000004">
      <c r="A78" s="81" t="s">
        <v>184</v>
      </c>
      <c r="C78" s="88">
        <v>0</v>
      </c>
      <c r="E78" s="88">
        <v>0</v>
      </c>
      <c r="G78" s="88">
        <v>0</v>
      </c>
      <c r="I78" s="88">
        <v>0</v>
      </c>
      <c r="J78" s="83"/>
      <c r="K78" s="82">
        <v>200000</v>
      </c>
      <c r="M78" s="82">
        <v>6057123374</v>
      </c>
      <c r="O78" s="82">
        <v>5154673574</v>
      </c>
      <c r="Q78" s="82">
        <v>902449800</v>
      </c>
    </row>
    <row r="79" spans="1:17" ht="21" x14ac:dyDescent="0.55000000000000004">
      <c r="A79" s="81" t="s">
        <v>76</v>
      </c>
      <c r="C79" s="88">
        <v>0</v>
      </c>
      <c r="E79" s="88">
        <v>0</v>
      </c>
      <c r="G79" s="88">
        <v>0</v>
      </c>
      <c r="I79" s="88">
        <v>0</v>
      </c>
      <c r="J79" s="83"/>
      <c r="K79" s="82">
        <v>379048</v>
      </c>
      <c r="M79" s="82">
        <v>3555752666</v>
      </c>
      <c r="O79" s="82">
        <v>3972718969</v>
      </c>
      <c r="Q79" s="82">
        <v>-416966303</v>
      </c>
    </row>
    <row r="80" spans="1:17" ht="21" x14ac:dyDescent="0.55000000000000004">
      <c r="A80" s="81" t="s">
        <v>182</v>
      </c>
      <c r="C80" s="88">
        <v>0</v>
      </c>
      <c r="E80" s="88">
        <v>0</v>
      </c>
      <c r="G80" s="88">
        <v>0</v>
      </c>
      <c r="I80" s="88">
        <v>0</v>
      </c>
      <c r="J80" s="83"/>
      <c r="K80" s="82">
        <v>1500000</v>
      </c>
      <c r="M80" s="82">
        <v>7997741250</v>
      </c>
      <c r="O80" s="82">
        <v>7322627909</v>
      </c>
      <c r="Q80" s="82">
        <v>675113341</v>
      </c>
    </row>
    <row r="81" spans="1:17" ht="21" x14ac:dyDescent="0.55000000000000004">
      <c r="A81" s="81" t="s">
        <v>74</v>
      </c>
      <c r="C81" s="88">
        <v>0</v>
      </c>
      <c r="E81" s="88">
        <v>0</v>
      </c>
      <c r="G81" s="88">
        <v>0</v>
      </c>
      <c r="I81" s="88">
        <v>0</v>
      </c>
      <c r="J81" s="83"/>
      <c r="K81" s="82">
        <v>1183146</v>
      </c>
      <c r="M81" s="82">
        <v>12796435204</v>
      </c>
      <c r="O81" s="82">
        <v>10249618764</v>
      </c>
      <c r="Q81" s="82">
        <v>2546816440</v>
      </c>
    </row>
    <row r="82" spans="1:17" ht="21" x14ac:dyDescent="0.55000000000000004">
      <c r="A82" s="81" t="s">
        <v>72</v>
      </c>
      <c r="C82" s="88">
        <v>0</v>
      </c>
      <c r="E82" s="88">
        <v>0</v>
      </c>
      <c r="G82" s="88">
        <v>0</v>
      </c>
      <c r="I82" s="88">
        <v>0</v>
      </c>
      <c r="J82" s="83"/>
      <c r="K82" s="82">
        <v>250001</v>
      </c>
      <c r="M82" s="82">
        <v>2268928246</v>
      </c>
      <c r="O82" s="82">
        <v>1695510503</v>
      </c>
      <c r="Q82" s="82">
        <v>573417743</v>
      </c>
    </row>
    <row r="83" spans="1:17" ht="21" x14ac:dyDescent="0.55000000000000004">
      <c r="A83" s="81" t="s">
        <v>71</v>
      </c>
      <c r="C83" s="88">
        <v>0</v>
      </c>
      <c r="E83" s="88">
        <v>0</v>
      </c>
      <c r="G83" s="88">
        <v>0</v>
      </c>
      <c r="I83" s="88">
        <v>0</v>
      </c>
      <c r="J83" s="83"/>
      <c r="K83" s="82">
        <v>1500000</v>
      </c>
      <c r="M83" s="82">
        <v>5355941527</v>
      </c>
      <c r="O83" s="82">
        <v>4622256727</v>
      </c>
      <c r="Q83" s="82">
        <v>733684800</v>
      </c>
    </row>
    <row r="84" spans="1:17" ht="21" x14ac:dyDescent="0.55000000000000004">
      <c r="A84" s="81" t="s">
        <v>100</v>
      </c>
      <c r="C84" s="88">
        <v>0</v>
      </c>
      <c r="E84" s="88">
        <v>0</v>
      </c>
      <c r="G84" s="88">
        <v>0</v>
      </c>
      <c r="I84" s="88">
        <v>0</v>
      </c>
      <c r="J84" s="83"/>
      <c r="K84" s="82">
        <v>9506493</v>
      </c>
      <c r="M84" s="82">
        <v>25599861319</v>
      </c>
      <c r="O84" s="82">
        <v>24151987937</v>
      </c>
      <c r="Q84" s="82">
        <v>1447873382</v>
      </c>
    </row>
    <row r="85" spans="1:17" ht="21" x14ac:dyDescent="0.55000000000000004">
      <c r="A85" s="81" t="s">
        <v>70</v>
      </c>
      <c r="C85" s="88">
        <v>0</v>
      </c>
      <c r="E85" s="88">
        <v>0</v>
      </c>
      <c r="G85" s="88">
        <v>0</v>
      </c>
      <c r="I85" s="88">
        <v>0</v>
      </c>
      <c r="J85" s="83"/>
      <c r="K85" s="82">
        <v>1899204</v>
      </c>
      <c r="M85" s="82">
        <v>20137787069</v>
      </c>
      <c r="O85" s="82">
        <v>17153782575</v>
      </c>
      <c r="Q85" s="82">
        <v>2984004494</v>
      </c>
    </row>
    <row r="86" spans="1:17" ht="21" x14ac:dyDescent="0.55000000000000004">
      <c r="A86" s="81" t="s">
        <v>69</v>
      </c>
      <c r="C86" s="88">
        <v>0</v>
      </c>
      <c r="E86" s="88">
        <v>0</v>
      </c>
      <c r="G86" s="88">
        <v>0</v>
      </c>
      <c r="I86" s="88">
        <v>0</v>
      </c>
      <c r="J86" s="83"/>
      <c r="K86" s="82">
        <v>442665</v>
      </c>
      <c r="M86" s="82">
        <v>10269779848</v>
      </c>
      <c r="O86" s="82">
        <v>10032843674</v>
      </c>
      <c r="Q86" s="82">
        <v>236936174</v>
      </c>
    </row>
    <row r="87" spans="1:17" ht="21" x14ac:dyDescent="0.55000000000000004">
      <c r="A87" s="81" t="s">
        <v>316</v>
      </c>
      <c r="C87" s="88">
        <v>0</v>
      </c>
      <c r="E87" s="88">
        <v>0</v>
      </c>
      <c r="G87" s="88">
        <v>0</v>
      </c>
      <c r="I87" s="88">
        <v>0</v>
      </c>
      <c r="J87" s="83"/>
      <c r="K87" s="82">
        <v>3800000</v>
      </c>
      <c r="M87" s="82">
        <v>23683463035</v>
      </c>
      <c r="O87" s="82">
        <v>25997778915</v>
      </c>
      <c r="Q87" s="82">
        <v>-2314315880</v>
      </c>
    </row>
    <row r="88" spans="1:17" ht="21" x14ac:dyDescent="0.55000000000000004">
      <c r="A88" s="81" t="s">
        <v>205</v>
      </c>
      <c r="C88" s="88">
        <v>0</v>
      </c>
      <c r="E88" s="88">
        <v>0</v>
      </c>
      <c r="G88" s="88">
        <v>0</v>
      </c>
      <c r="I88" s="88">
        <v>0</v>
      </c>
      <c r="J88" s="83"/>
      <c r="K88" s="82">
        <v>265</v>
      </c>
      <c r="M88" s="82">
        <v>5023485</v>
      </c>
      <c r="O88" s="82">
        <v>4865758</v>
      </c>
      <c r="Q88" s="82">
        <v>157727</v>
      </c>
    </row>
    <row r="89" spans="1:17" ht="21" x14ac:dyDescent="0.55000000000000004">
      <c r="A89" s="81" t="s">
        <v>317</v>
      </c>
      <c r="C89" s="88">
        <v>0</v>
      </c>
      <c r="E89" s="88">
        <v>0</v>
      </c>
      <c r="G89" s="88">
        <v>0</v>
      </c>
      <c r="I89" s="88">
        <v>0</v>
      </c>
      <c r="J89" s="83"/>
      <c r="K89" s="82">
        <v>800000</v>
      </c>
      <c r="M89" s="82">
        <v>2926501004</v>
      </c>
      <c r="O89" s="82">
        <v>3290681565</v>
      </c>
      <c r="Q89" s="82">
        <v>-364180561</v>
      </c>
    </row>
    <row r="90" spans="1:17" ht="21" x14ac:dyDescent="0.55000000000000004">
      <c r="A90" s="81" t="s">
        <v>68</v>
      </c>
      <c r="C90" s="88">
        <v>0</v>
      </c>
      <c r="E90" s="88">
        <v>0</v>
      </c>
      <c r="G90" s="88">
        <v>0</v>
      </c>
      <c r="I90" s="88">
        <v>0</v>
      </c>
      <c r="J90" s="83"/>
      <c r="K90" s="82">
        <v>5500000</v>
      </c>
      <c r="M90" s="82">
        <v>12481418704</v>
      </c>
      <c r="O90" s="82">
        <v>17119293894</v>
      </c>
      <c r="Q90" s="82">
        <v>-4637875190</v>
      </c>
    </row>
    <row r="91" spans="1:17" ht="21" x14ac:dyDescent="0.55000000000000004">
      <c r="A91" s="81" t="s">
        <v>318</v>
      </c>
      <c r="C91" s="88">
        <v>0</v>
      </c>
      <c r="E91" s="88">
        <v>0</v>
      </c>
      <c r="G91" s="88">
        <v>0</v>
      </c>
      <c r="I91" s="88">
        <v>0</v>
      </c>
      <c r="J91" s="83"/>
      <c r="K91" s="82">
        <v>100000</v>
      </c>
      <c r="M91" s="82">
        <v>596430000</v>
      </c>
      <c r="O91" s="82">
        <v>536199150</v>
      </c>
      <c r="Q91" s="82">
        <v>60230850</v>
      </c>
    </row>
    <row r="92" spans="1:17" ht="21" x14ac:dyDescent="0.55000000000000004">
      <c r="A92" s="81" t="s">
        <v>65</v>
      </c>
      <c r="C92" s="88">
        <v>0</v>
      </c>
      <c r="E92" s="88">
        <v>0</v>
      </c>
      <c r="G92" s="88">
        <v>0</v>
      </c>
      <c r="I92" s="88">
        <v>0</v>
      </c>
      <c r="J92" s="83"/>
      <c r="K92" s="82">
        <v>800000</v>
      </c>
      <c r="M92" s="82">
        <v>14622475665</v>
      </c>
      <c r="O92" s="82">
        <v>12784409745</v>
      </c>
      <c r="Q92" s="82">
        <v>1838065920</v>
      </c>
    </row>
    <row r="93" spans="1:17" ht="21" x14ac:dyDescent="0.55000000000000004">
      <c r="A93" s="81" t="s">
        <v>63</v>
      </c>
      <c r="C93" s="82">
        <v>175000</v>
      </c>
      <c r="E93" s="82">
        <v>8066371716</v>
      </c>
      <c r="G93" s="82">
        <v>7133232866</v>
      </c>
      <c r="I93" s="82">
        <v>933138850</v>
      </c>
      <c r="K93" s="82">
        <v>175000</v>
      </c>
      <c r="M93" s="82">
        <v>8066371716</v>
      </c>
      <c r="O93" s="82">
        <v>7133232866</v>
      </c>
      <c r="Q93" s="82">
        <v>933138850</v>
      </c>
    </row>
    <row r="94" spans="1:17" ht="21" x14ac:dyDescent="0.55000000000000004">
      <c r="A94" s="81" t="s">
        <v>62</v>
      </c>
      <c r="C94" s="88">
        <v>0</v>
      </c>
      <c r="E94" s="88">
        <v>0</v>
      </c>
      <c r="G94" s="88">
        <v>0</v>
      </c>
      <c r="I94" s="88">
        <v>0</v>
      </c>
      <c r="J94" s="83"/>
      <c r="K94" s="82">
        <v>1000000</v>
      </c>
      <c r="M94" s="82">
        <v>8617419289</v>
      </c>
      <c r="O94" s="82">
        <v>7791474059</v>
      </c>
      <c r="Q94" s="82">
        <v>825945230</v>
      </c>
    </row>
    <row r="95" spans="1:17" ht="21" x14ac:dyDescent="0.55000000000000004">
      <c r="A95" s="81" t="s">
        <v>98</v>
      </c>
      <c r="C95" s="88">
        <v>0</v>
      </c>
      <c r="E95" s="88">
        <v>0</v>
      </c>
      <c r="G95" s="88">
        <v>0</v>
      </c>
      <c r="I95" s="88">
        <v>0</v>
      </c>
      <c r="J95" s="83"/>
      <c r="K95" s="82">
        <v>450000</v>
      </c>
      <c r="M95" s="82">
        <v>5159086050</v>
      </c>
      <c r="O95" s="82">
        <v>2461380650</v>
      </c>
      <c r="Q95" s="82">
        <v>2697705400</v>
      </c>
    </row>
    <row r="96" spans="1:17" ht="21" x14ac:dyDescent="0.55000000000000004">
      <c r="A96" s="81" t="s">
        <v>177</v>
      </c>
      <c r="C96" s="88">
        <v>0</v>
      </c>
      <c r="E96" s="88">
        <v>0</v>
      </c>
      <c r="G96" s="88">
        <v>0</v>
      </c>
      <c r="I96" s="88">
        <v>0</v>
      </c>
      <c r="J96" s="83"/>
      <c r="K96" s="82">
        <v>200000</v>
      </c>
      <c r="M96" s="82">
        <v>2614598713</v>
      </c>
      <c r="O96" s="82">
        <v>3238722313</v>
      </c>
      <c r="Q96" s="82">
        <v>-624123600</v>
      </c>
    </row>
    <row r="97" spans="1:17" ht="21" x14ac:dyDescent="0.55000000000000004">
      <c r="A97" s="81" t="s">
        <v>174</v>
      </c>
      <c r="C97" s="88">
        <v>0</v>
      </c>
      <c r="E97" s="88">
        <v>0</v>
      </c>
      <c r="G97" s="88">
        <v>0</v>
      </c>
      <c r="I97" s="88">
        <v>0</v>
      </c>
      <c r="J97" s="83"/>
      <c r="K97" s="82">
        <v>107000</v>
      </c>
      <c r="M97" s="82">
        <v>6157421097</v>
      </c>
      <c r="O97" s="82">
        <v>6384299567</v>
      </c>
      <c r="Q97" s="82">
        <v>-226878470</v>
      </c>
    </row>
    <row r="98" spans="1:17" ht="21" x14ac:dyDescent="0.55000000000000004">
      <c r="A98" s="81" t="s">
        <v>60</v>
      </c>
      <c r="C98" s="88">
        <v>0</v>
      </c>
      <c r="E98" s="88">
        <v>0</v>
      </c>
      <c r="G98" s="88">
        <v>0</v>
      </c>
      <c r="I98" s="88">
        <v>0</v>
      </c>
      <c r="J98" s="83"/>
      <c r="K98" s="82">
        <v>80000</v>
      </c>
      <c r="M98" s="82">
        <v>5912445118</v>
      </c>
      <c r="O98" s="82">
        <v>5122337638</v>
      </c>
      <c r="Q98" s="82">
        <v>790107480</v>
      </c>
    </row>
    <row r="99" spans="1:17" ht="21" x14ac:dyDescent="0.55000000000000004">
      <c r="A99" s="81" t="s">
        <v>172</v>
      </c>
      <c r="C99" s="88">
        <v>0</v>
      </c>
      <c r="E99" s="88">
        <v>0</v>
      </c>
      <c r="G99" s="88">
        <v>0</v>
      </c>
      <c r="I99" s="88">
        <v>0</v>
      </c>
      <c r="J99" s="83"/>
      <c r="K99" s="82">
        <v>57971</v>
      </c>
      <c r="M99" s="82">
        <v>3706094373</v>
      </c>
      <c r="O99" s="82">
        <v>2934034335</v>
      </c>
      <c r="Q99" s="82">
        <v>772060038</v>
      </c>
    </row>
    <row r="100" spans="1:17" ht="21" x14ac:dyDescent="0.55000000000000004">
      <c r="A100" s="81" t="s">
        <v>170</v>
      </c>
      <c r="C100" s="88">
        <v>0</v>
      </c>
      <c r="E100" s="88">
        <v>0</v>
      </c>
      <c r="G100" s="88">
        <v>0</v>
      </c>
      <c r="I100" s="88">
        <v>0</v>
      </c>
      <c r="J100" s="83"/>
      <c r="K100" s="82">
        <v>20000</v>
      </c>
      <c r="M100" s="82">
        <v>4904535772</v>
      </c>
      <c r="O100" s="82">
        <v>4125772382</v>
      </c>
      <c r="Q100" s="82">
        <v>778763390</v>
      </c>
    </row>
    <row r="101" spans="1:17" ht="21" x14ac:dyDescent="0.55000000000000004">
      <c r="A101" s="81" t="s">
        <v>169</v>
      </c>
      <c r="C101" s="88">
        <v>0</v>
      </c>
      <c r="E101" s="88">
        <v>0</v>
      </c>
      <c r="G101" s="88">
        <v>0</v>
      </c>
      <c r="I101" s="88">
        <v>0</v>
      </c>
      <c r="J101" s="83"/>
      <c r="K101" s="82">
        <v>300000</v>
      </c>
      <c r="M101" s="82">
        <v>5245904839</v>
      </c>
      <c r="O101" s="82">
        <v>5792252553</v>
      </c>
      <c r="Q101" s="82">
        <v>-546347714</v>
      </c>
    </row>
    <row r="102" spans="1:17" ht="21" x14ac:dyDescent="0.55000000000000004">
      <c r="A102" s="81" t="s">
        <v>168</v>
      </c>
      <c r="C102" s="88">
        <v>0</v>
      </c>
      <c r="E102" s="88">
        <v>0</v>
      </c>
      <c r="G102" s="88">
        <v>0</v>
      </c>
      <c r="I102" s="88">
        <v>0</v>
      </c>
      <c r="J102" s="83"/>
      <c r="K102" s="82">
        <v>310000</v>
      </c>
      <c r="M102" s="82">
        <v>10283746872</v>
      </c>
      <c r="O102" s="82">
        <v>9634613371</v>
      </c>
      <c r="Q102" s="82">
        <v>649133501</v>
      </c>
    </row>
    <row r="103" spans="1:17" ht="21" x14ac:dyDescent="0.55000000000000004">
      <c r="A103" s="81" t="s">
        <v>56</v>
      </c>
      <c r="C103" s="88">
        <v>0</v>
      </c>
      <c r="E103" s="88">
        <v>0</v>
      </c>
      <c r="G103" s="88">
        <v>0</v>
      </c>
      <c r="I103" s="88">
        <v>0</v>
      </c>
      <c r="J103" s="83"/>
      <c r="K103" s="82">
        <v>1200000</v>
      </c>
      <c r="M103" s="82">
        <v>3796872247</v>
      </c>
      <c r="O103" s="82">
        <v>4593207100</v>
      </c>
      <c r="Q103" s="82">
        <v>-796334853</v>
      </c>
    </row>
    <row r="104" spans="1:17" ht="21.75" thickBot="1" x14ac:dyDescent="0.6">
      <c r="A104" s="84" t="s">
        <v>7</v>
      </c>
      <c r="C104" s="82"/>
      <c r="E104" s="87">
        <f>SUM(E9:$E$103)</f>
        <v>15285475852</v>
      </c>
      <c r="G104" s="87">
        <f>SUM(G9:$G$103)</f>
        <v>13184244094</v>
      </c>
      <c r="I104" s="87">
        <f>SUM(I9:$I$103)</f>
        <v>2101231758</v>
      </c>
      <c r="K104" s="82"/>
      <c r="M104" s="87">
        <f>SUM(M9:$M$103)</f>
        <v>370490453686</v>
      </c>
      <c r="O104" s="87">
        <f>SUM(O9:$O$103)</f>
        <v>338106896557</v>
      </c>
      <c r="Q104" s="87">
        <f>SUM(Q9:$Q$103)</f>
        <v>36115215577</v>
      </c>
    </row>
    <row r="105" spans="1:17" ht="20.25" thickTop="1" x14ac:dyDescent="0.55000000000000004"/>
  </sheetData>
  <mergeCells count="6">
    <mergeCell ref="A1:Q1"/>
    <mergeCell ref="A2:Q2"/>
    <mergeCell ref="A3:Q3"/>
    <mergeCell ref="A5:Q5"/>
    <mergeCell ref="C7:I7"/>
    <mergeCell ref="K7:Q7"/>
  </mergeCells>
  <pageMargins left="0.17" right="0.17" top="0.32" bottom="0.34" header="0.3" footer="0.3"/>
  <pageSetup paperSize="9" scale="91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3396-21A0-4206-9870-63C21DAFA682}">
  <sheetPr>
    <tabColor rgb="FFFFFF00"/>
    <pageSetUpPr fitToPage="1"/>
  </sheetPr>
  <dimension ref="A1:Q121"/>
  <sheetViews>
    <sheetView rightToLeft="1" tabSelected="1" view="pageBreakPreview" zoomScale="70" zoomScaleNormal="50" zoomScaleSheetLayoutView="70" workbookViewId="0">
      <selection activeCell="A3" sqref="A3:Q3"/>
    </sheetView>
  </sheetViews>
  <sheetFormatPr defaultRowHeight="19.5" x14ac:dyDescent="0.55000000000000004"/>
  <cols>
    <col min="1" max="1" width="28.28515625" style="2" bestFit="1" customWidth="1"/>
    <col min="2" max="2" width="1.42578125" style="2" customWidth="1"/>
    <col min="3" max="3" width="11.5703125" style="2" bestFit="1" customWidth="1"/>
    <col min="4" max="4" width="1.42578125" style="2" customWidth="1"/>
    <col min="5" max="5" width="18" style="2" bestFit="1" customWidth="1"/>
    <col min="6" max="6" width="1.42578125" style="2" customWidth="1"/>
    <col min="7" max="7" width="17.28515625" style="2" bestFit="1" customWidth="1"/>
    <col min="8" max="8" width="1.42578125" style="2" customWidth="1"/>
    <col min="9" max="9" width="28.42578125" style="2" bestFit="1" customWidth="1"/>
    <col min="10" max="10" width="1.42578125" style="2" customWidth="1"/>
    <col min="11" max="11" width="11.5703125" style="2" bestFit="1" customWidth="1"/>
    <col min="12" max="12" width="1.42578125" style="2" customWidth="1"/>
    <col min="13" max="13" width="18" style="2" bestFit="1" customWidth="1"/>
    <col min="14" max="14" width="1.42578125" style="2" customWidth="1"/>
    <col min="15" max="15" width="17.28515625" style="2" bestFit="1" customWidth="1"/>
    <col min="16" max="16" width="1.42578125" style="2" customWidth="1"/>
    <col min="17" max="17" width="28.42578125" style="2" bestFit="1" customWidth="1"/>
    <col min="18" max="16384" width="9.140625" style="2"/>
  </cols>
  <sheetData>
    <row r="1" spans="1:17" ht="20.100000000000001" customHeight="1" x14ac:dyDescent="0.55000000000000004">
      <c r="A1" s="110" t="s">
        <v>194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</row>
    <row r="2" spans="1:17" ht="20.100000000000001" customHeight="1" x14ac:dyDescent="0.55000000000000004">
      <c r="A2" s="110" t="s">
        <v>23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</row>
    <row r="3" spans="1:17" ht="20.100000000000001" customHeight="1" x14ac:dyDescent="0.55000000000000004">
      <c r="A3" s="110" t="s">
        <v>54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</row>
    <row r="5" spans="1:17" ht="21" x14ac:dyDescent="0.55000000000000004">
      <c r="A5" s="112" t="s">
        <v>319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</row>
    <row r="7" spans="1:17" ht="21" x14ac:dyDescent="0.55000000000000004">
      <c r="C7" s="113" t="str">
        <f>'10'!C7:I7</f>
        <v>طی فروردین ماه</v>
      </c>
      <c r="D7" s="114"/>
      <c r="E7" s="114"/>
      <c r="F7" s="114"/>
      <c r="G7" s="114"/>
      <c r="H7" s="114"/>
      <c r="I7" s="114"/>
      <c r="K7" s="113" t="str">
        <f>'10'!K7:Q7</f>
        <v>از ابتدای سال مالی تا پایان فروردین ماه</v>
      </c>
      <c r="L7" s="114"/>
      <c r="M7" s="114"/>
      <c r="N7" s="114"/>
      <c r="O7" s="114"/>
      <c r="P7" s="114"/>
      <c r="Q7" s="114"/>
    </row>
    <row r="8" spans="1:17" ht="21" x14ac:dyDescent="0.55000000000000004">
      <c r="A8" s="77" t="s">
        <v>25</v>
      </c>
      <c r="C8" s="4" t="s">
        <v>2</v>
      </c>
      <c r="E8" s="4" t="s">
        <v>4</v>
      </c>
      <c r="G8" s="4" t="s">
        <v>260</v>
      </c>
      <c r="I8" s="4" t="s">
        <v>320</v>
      </c>
      <c r="K8" s="4" t="s">
        <v>2</v>
      </c>
      <c r="M8" s="4" t="s">
        <v>4</v>
      </c>
      <c r="O8" s="4" t="s">
        <v>260</v>
      </c>
      <c r="Q8" s="4" t="s">
        <v>320</v>
      </c>
    </row>
    <row r="9" spans="1:17" ht="21" x14ac:dyDescent="0.55000000000000004">
      <c r="A9" s="85" t="s">
        <v>192</v>
      </c>
      <c r="C9" s="7">
        <v>0</v>
      </c>
      <c r="E9" s="7">
        <v>0</v>
      </c>
      <c r="G9" s="7">
        <v>71439405</v>
      </c>
      <c r="I9" s="7">
        <v>-71439405</v>
      </c>
      <c r="K9" s="86">
        <v>0</v>
      </c>
      <c r="M9" s="86">
        <v>0</v>
      </c>
      <c r="O9" s="86">
        <v>0</v>
      </c>
      <c r="Q9" s="86">
        <v>0</v>
      </c>
    </row>
    <row r="10" spans="1:17" ht="21" x14ac:dyDescent="0.55000000000000004">
      <c r="A10" s="85" t="s">
        <v>273</v>
      </c>
      <c r="C10" s="7">
        <v>-10000000</v>
      </c>
      <c r="E10" s="7">
        <v>-2739294450</v>
      </c>
      <c r="G10" s="7">
        <v>-532010000</v>
      </c>
      <c r="I10" s="7">
        <v>-2207284450</v>
      </c>
      <c r="K10" s="7">
        <v>-10000000</v>
      </c>
      <c r="M10" s="7">
        <v>-2739294450</v>
      </c>
      <c r="O10" s="7">
        <v>-532010000</v>
      </c>
      <c r="Q10" s="7">
        <v>-2207284450</v>
      </c>
    </row>
    <row r="11" spans="1:17" ht="21" x14ac:dyDescent="0.55000000000000004">
      <c r="A11" s="85" t="s">
        <v>277</v>
      </c>
      <c r="C11" s="7">
        <v>1634640</v>
      </c>
      <c r="E11" s="7">
        <v>295094094</v>
      </c>
      <c r="G11" s="7">
        <v>63380706</v>
      </c>
      <c r="I11" s="7">
        <v>231713388</v>
      </c>
      <c r="K11" s="7">
        <v>1634640</v>
      </c>
      <c r="M11" s="7">
        <v>295094094</v>
      </c>
      <c r="O11" s="7">
        <v>177150202</v>
      </c>
      <c r="Q11" s="7">
        <v>117943892</v>
      </c>
    </row>
    <row r="12" spans="1:17" ht="21" x14ac:dyDescent="0.55000000000000004">
      <c r="A12" s="85" t="s">
        <v>281</v>
      </c>
      <c r="C12" s="7">
        <v>-1446000</v>
      </c>
      <c r="E12" s="7">
        <v>-1280826102</v>
      </c>
      <c r="G12" s="7">
        <v>-438230000</v>
      </c>
      <c r="I12" s="7">
        <v>-842596102</v>
      </c>
      <c r="K12" s="7">
        <v>-1446000</v>
      </c>
      <c r="M12" s="7">
        <v>-1280826102</v>
      </c>
      <c r="O12" s="7">
        <v>-438230000</v>
      </c>
      <c r="Q12" s="7">
        <v>-842596102</v>
      </c>
    </row>
    <row r="13" spans="1:17" ht="21" x14ac:dyDescent="0.55000000000000004">
      <c r="A13" s="85" t="s">
        <v>288</v>
      </c>
      <c r="C13" s="7">
        <v>-9128328</v>
      </c>
      <c r="E13" s="7">
        <v>-3531753275</v>
      </c>
      <c r="G13" s="7">
        <v>-1784744040</v>
      </c>
      <c r="I13" s="7">
        <v>-1747009235</v>
      </c>
      <c r="K13" s="7">
        <v>-9128328</v>
      </c>
      <c r="M13" s="7">
        <v>-3531753275</v>
      </c>
      <c r="O13" s="7">
        <v>-1784744040</v>
      </c>
      <c r="Q13" s="7">
        <v>-1747009235</v>
      </c>
    </row>
    <row r="14" spans="1:17" ht="21" x14ac:dyDescent="0.55000000000000004">
      <c r="A14" s="85" t="s">
        <v>293</v>
      </c>
      <c r="C14" s="7">
        <v>31163829</v>
      </c>
      <c r="E14" s="7">
        <v>6539255416</v>
      </c>
      <c r="G14" s="7">
        <v>4837323167</v>
      </c>
      <c r="I14" s="7">
        <v>1701932249</v>
      </c>
      <c r="K14" s="7">
        <v>31163829</v>
      </c>
      <c r="M14" s="7">
        <v>6539255416</v>
      </c>
      <c r="O14" s="7">
        <v>4547775069</v>
      </c>
      <c r="Q14" s="7">
        <v>1991480347</v>
      </c>
    </row>
    <row r="15" spans="1:17" ht="21" x14ac:dyDescent="0.55000000000000004">
      <c r="A15" s="85" t="s">
        <v>305</v>
      </c>
      <c r="C15" s="7">
        <v>-60000000</v>
      </c>
      <c r="E15" s="7">
        <v>-1139706450</v>
      </c>
      <c r="G15" s="7">
        <v>-1212733000</v>
      </c>
      <c r="I15" s="7">
        <v>73026550</v>
      </c>
      <c r="K15" s="7">
        <v>-60000000</v>
      </c>
      <c r="M15" s="7">
        <v>-1139706450</v>
      </c>
      <c r="O15" s="7">
        <v>-1212733000</v>
      </c>
      <c r="Q15" s="7">
        <v>73026550</v>
      </c>
    </row>
    <row r="16" spans="1:17" ht="21" x14ac:dyDescent="0.55000000000000004">
      <c r="A16" s="85" t="s">
        <v>306</v>
      </c>
      <c r="C16" s="7">
        <v>-1000000</v>
      </c>
      <c r="E16" s="7">
        <v>-59984550</v>
      </c>
      <c r="G16" s="7">
        <v>-70000000</v>
      </c>
      <c r="I16" s="7">
        <v>10015450</v>
      </c>
      <c r="K16" s="7">
        <v>-1000000</v>
      </c>
      <c r="M16" s="7">
        <v>-59984550</v>
      </c>
      <c r="O16" s="7">
        <v>-70000000</v>
      </c>
      <c r="Q16" s="7">
        <v>10015450</v>
      </c>
    </row>
    <row r="17" spans="1:17" ht="21" x14ac:dyDescent="0.55000000000000004">
      <c r="A17" s="85" t="s">
        <v>307</v>
      </c>
      <c r="C17" s="7">
        <v>-486000</v>
      </c>
      <c r="E17" s="7">
        <v>-72881228</v>
      </c>
      <c r="G17" s="7">
        <v>-64317951</v>
      </c>
      <c r="I17" s="7">
        <v>-8563277</v>
      </c>
      <c r="K17" s="7">
        <v>-486000</v>
      </c>
      <c r="M17" s="7">
        <v>-72881228</v>
      </c>
      <c r="O17" s="7">
        <v>-64317951</v>
      </c>
      <c r="Q17" s="7">
        <v>-8563277</v>
      </c>
    </row>
    <row r="18" spans="1:17" ht="21" x14ac:dyDescent="0.55000000000000004">
      <c r="A18" s="85" t="s">
        <v>308</v>
      </c>
      <c r="C18" s="7">
        <v>-287523</v>
      </c>
      <c r="E18" s="7">
        <v>-5748979</v>
      </c>
      <c r="G18" s="7">
        <v>-23001840</v>
      </c>
      <c r="I18" s="7">
        <v>17252861</v>
      </c>
      <c r="K18" s="7">
        <v>-287523</v>
      </c>
      <c r="M18" s="7">
        <v>-5748979</v>
      </c>
      <c r="O18" s="7">
        <v>-23001840</v>
      </c>
      <c r="Q18" s="7">
        <v>17252861</v>
      </c>
    </row>
    <row r="19" spans="1:17" ht="21" x14ac:dyDescent="0.55000000000000004">
      <c r="A19" s="85" t="s">
        <v>310</v>
      </c>
      <c r="C19" s="7">
        <v>-1073520</v>
      </c>
      <c r="E19" s="7">
        <v>-11805679</v>
      </c>
      <c r="G19" s="7">
        <v>-28627200</v>
      </c>
      <c r="I19" s="7">
        <v>16821521</v>
      </c>
      <c r="K19" s="7">
        <v>-1073520</v>
      </c>
      <c r="M19" s="7">
        <v>-11805679</v>
      </c>
      <c r="O19" s="7">
        <v>-28627200</v>
      </c>
      <c r="Q19" s="7">
        <v>16821521</v>
      </c>
    </row>
    <row r="20" spans="1:17" ht="21" x14ac:dyDescent="0.55000000000000004">
      <c r="A20" s="85" t="s">
        <v>312</v>
      </c>
      <c r="C20" s="7">
        <v>-13666080</v>
      </c>
      <c r="E20" s="7">
        <v>-314238903</v>
      </c>
      <c r="G20" s="7">
        <v>-711234264</v>
      </c>
      <c r="I20" s="7">
        <v>396995361</v>
      </c>
      <c r="K20" s="7">
        <v>-13666080</v>
      </c>
      <c r="M20" s="7">
        <v>-314238903</v>
      </c>
      <c r="O20" s="7">
        <v>-711234264</v>
      </c>
      <c r="Q20" s="7">
        <v>396995361</v>
      </c>
    </row>
    <row r="21" spans="1:17" ht="21" x14ac:dyDescent="0.55000000000000004">
      <c r="A21" s="85" t="s">
        <v>314</v>
      </c>
      <c r="C21" s="7">
        <v>-79326</v>
      </c>
      <c r="E21" s="7">
        <v>-793056</v>
      </c>
      <c r="G21" s="7">
        <v>-793260</v>
      </c>
      <c r="I21" s="7">
        <v>204</v>
      </c>
      <c r="K21" s="7">
        <v>-79326</v>
      </c>
      <c r="M21" s="7">
        <v>-793056</v>
      </c>
      <c r="O21" s="7">
        <v>-793260</v>
      </c>
      <c r="Q21" s="7">
        <v>204</v>
      </c>
    </row>
    <row r="22" spans="1:17" ht="21" x14ac:dyDescent="0.55000000000000004">
      <c r="A22" s="85" t="s">
        <v>85</v>
      </c>
      <c r="C22" s="7">
        <v>75000</v>
      </c>
      <c r="E22" s="7">
        <v>583755862</v>
      </c>
      <c r="G22" s="7">
        <v>534550387</v>
      </c>
      <c r="I22" s="7">
        <v>49205475</v>
      </c>
      <c r="K22" s="7">
        <v>75000</v>
      </c>
      <c r="M22" s="7">
        <v>583755862</v>
      </c>
      <c r="O22" s="7">
        <v>525487200</v>
      </c>
      <c r="Q22" s="7">
        <v>58268662</v>
      </c>
    </row>
    <row r="23" spans="1:17" ht="21" x14ac:dyDescent="0.55000000000000004">
      <c r="A23" s="85" t="s">
        <v>191</v>
      </c>
      <c r="C23" s="7">
        <v>1000000</v>
      </c>
      <c r="E23" s="7">
        <v>4717761300</v>
      </c>
      <c r="G23" s="7">
        <v>4205825550</v>
      </c>
      <c r="I23" s="7">
        <v>511935750</v>
      </c>
      <c r="K23" s="7">
        <v>1000000</v>
      </c>
      <c r="M23" s="7">
        <v>4717761300</v>
      </c>
      <c r="O23" s="7">
        <v>4540820400</v>
      </c>
      <c r="Q23" s="7">
        <v>176940900</v>
      </c>
    </row>
    <row r="24" spans="1:17" ht="21" x14ac:dyDescent="0.55000000000000004">
      <c r="A24" s="85" t="s">
        <v>190</v>
      </c>
      <c r="C24" s="7">
        <v>4242039</v>
      </c>
      <c r="E24" s="7">
        <v>13253398842</v>
      </c>
      <c r="G24" s="7">
        <v>10280555640</v>
      </c>
      <c r="I24" s="7">
        <v>2972843202</v>
      </c>
      <c r="K24" s="7">
        <v>4242039</v>
      </c>
      <c r="M24" s="7">
        <v>13253398842</v>
      </c>
      <c r="O24" s="7">
        <v>11089731654</v>
      </c>
      <c r="Q24" s="7">
        <v>2163667188</v>
      </c>
    </row>
    <row r="25" spans="1:17" ht="21" x14ac:dyDescent="0.55000000000000004">
      <c r="A25" s="85" t="s">
        <v>84</v>
      </c>
      <c r="C25" s="7">
        <v>7726948</v>
      </c>
      <c r="E25" s="7">
        <v>29663916411</v>
      </c>
      <c r="G25" s="7">
        <v>29663916411</v>
      </c>
      <c r="I25" s="7">
        <v>0</v>
      </c>
      <c r="K25" s="7">
        <v>7726948</v>
      </c>
      <c r="M25" s="7">
        <v>29663916411</v>
      </c>
      <c r="O25" s="7">
        <v>26499355675</v>
      </c>
      <c r="Q25" s="7">
        <v>3164560736</v>
      </c>
    </row>
    <row r="26" spans="1:17" ht="21" x14ac:dyDescent="0.55000000000000004">
      <c r="A26" s="85" t="s">
        <v>189</v>
      </c>
      <c r="C26" s="7">
        <v>44066235</v>
      </c>
      <c r="E26" s="7">
        <v>27508937686</v>
      </c>
      <c r="G26" s="7">
        <v>18032067000</v>
      </c>
      <c r="I26" s="7">
        <v>9476870686</v>
      </c>
      <c r="K26" s="7">
        <v>44066235</v>
      </c>
      <c r="M26" s="7">
        <v>27508937686</v>
      </c>
      <c r="O26" s="7">
        <v>19185165000</v>
      </c>
      <c r="Q26" s="7">
        <v>8323772686</v>
      </c>
    </row>
    <row r="27" spans="1:17" ht="21" x14ac:dyDescent="0.55000000000000004">
      <c r="A27" s="85" t="s">
        <v>83</v>
      </c>
      <c r="C27" s="7">
        <v>39560926</v>
      </c>
      <c r="E27" s="7">
        <v>25050368018</v>
      </c>
      <c r="G27" s="7">
        <v>21998764640</v>
      </c>
      <c r="I27" s="7">
        <v>3051603378</v>
      </c>
      <c r="K27" s="7">
        <v>39560926</v>
      </c>
      <c r="M27" s="7">
        <v>25050368018</v>
      </c>
      <c r="O27" s="7">
        <v>24909071709</v>
      </c>
      <c r="Q27" s="7">
        <v>141296309</v>
      </c>
    </row>
    <row r="28" spans="1:17" ht="21" x14ac:dyDescent="0.55000000000000004">
      <c r="A28" s="85" t="s">
        <v>82</v>
      </c>
      <c r="C28" s="7">
        <v>25392957</v>
      </c>
      <c r="E28" s="7">
        <v>73479080385</v>
      </c>
      <c r="G28" s="7">
        <v>54598162443</v>
      </c>
      <c r="I28" s="7">
        <v>18880917942</v>
      </c>
      <c r="K28" s="7">
        <v>25392957</v>
      </c>
      <c r="M28" s="7">
        <v>73479080385</v>
      </c>
      <c r="O28" s="7">
        <v>48018380490</v>
      </c>
      <c r="Q28" s="7">
        <v>25460699895</v>
      </c>
    </row>
    <row r="29" spans="1:17" ht="21" x14ac:dyDescent="0.55000000000000004">
      <c r="A29" s="85" t="s">
        <v>188</v>
      </c>
      <c r="C29" s="7">
        <v>1700000</v>
      </c>
      <c r="E29" s="7">
        <v>6766299540</v>
      </c>
      <c r="G29" s="7">
        <v>6587171730</v>
      </c>
      <c r="I29" s="7">
        <v>179127810</v>
      </c>
      <c r="K29" s="7">
        <v>1700000</v>
      </c>
      <c r="M29" s="7">
        <v>6766299540</v>
      </c>
      <c r="O29" s="7">
        <v>9023985900</v>
      </c>
      <c r="Q29" s="7">
        <v>-2257686360</v>
      </c>
    </row>
    <row r="30" spans="1:17" ht="21" x14ac:dyDescent="0.55000000000000004">
      <c r="A30" s="85" t="s">
        <v>81</v>
      </c>
      <c r="C30" s="7">
        <v>285750</v>
      </c>
      <c r="E30" s="7">
        <v>15253473589</v>
      </c>
      <c r="G30" s="7">
        <v>13620187311</v>
      </c>
      <c r="I30" s="7">
        <v>1633286278</v>
      </c>
      <c r="K30" s="7">
        <v>285750</v>
      </c>
      <c r="M30" s="7">
        <v>15253473589</v>
      </c>
      <c r="O30" s="7">
        <v>13013430474</v>
      </c>
      <c r="Q30" s="7">
        <v>2240043115</v>
      </c>
    </row>
    <row r="31" spans="1:17" ht="21" x14ac:dyDescent="0.55000000000000004">
      <c r="A31" s="85" t="s">
        <v>187</v>
      </c>
      <c r="C31" s="7">
        <v>6603333</v>
      </c>
      <c r="E31" s="7">
        <v>16777694339</v>
      </c>
      <c r="G31" s="7">
        <v>15115271866</v>
      </c>
      <c r="I31" s="7">
        <v>1662422473</v>
      </c>
      <c r="K31" s="7">
        <v>6603333</v>
      </c>
      <c r="M31" s="7">
        <v>16777694339</v>
      </c>
      <c r="O31" s="7">
        <v>18202576065</v>
      </c>
      <c r="Q31" s="7">
        <v>-1424881726</v>
      </c>
    </row>
    <row r="32" spans="1:17" ht="21" x14ac:dyDescent="0.55000000000000004">
      <c r="A32" s="85" t="s">
        <v>186</v>
      </c>
      <c r="C32" s="7">
        <v>0</v>
      </c>
      <c r="E32" s="7">
        <v>0</v>
      </c>
      <c r="G32" s="7">
        <v>201111852</v>
      </c>
      <c r="I32" s="7">
        <v>-201111852</v>
      </c>
      <c r="K32" s="86">
        <v>0</v>
      </c>
      <c r="M32" s="86">
        <v>0</v>
      </c>
      <c r="O32" s="86">
        <v>0</v>
      </c>
      <c r="Q32" s="86">
        <v>0</v>
      </c>
    </row>
    <row r="33" spans="1:17" ht="21" x14ac:dyDescent="0.55000000000000004">
      <c r="A33" s="85" t="s">
        <v>80</v>
      </c>
      <c r="C33" s="7">
        <v>900000</v>
      </c>
      <c r="E33" s="7">
        <v>3117837825</v>
      </c>
      <c r="G33" s="7">
        <v>2980062495</v>
      </c>
      <c r="I33" s="7">
        <v>137775330</v>
      </c>
      <c r="K33" s="7">
        <v>900000</v>
      </c>
      <c r="M33" s="7">
        <v>3117837825</v>
      </c>
      <c r="O33" s="7">
        <v>2932719040</v>
      </c>
      <c r="Q33" s="7">
        <v>185118785</v>
      </c>
    </row>
    <row r="34" spans="1:17" ht="21" x14ac:dyDescent="0.55000000000000004">
      <c r="A34" s="85" t="s">
        <v>79</v>
      </c>
      <c r="C34" s="7">
        <v>800000</v>
      </c>
      <c r="E34" s="7">
        <v>5415584400</v>
      </c>
      <c r="G34" s="7">
        <v>5113393200</v>
      </c>
      <c r="I34" s="7">
        <v>302191200</v>
      </c>
      <c r="K34" s="7">
        <v>800000</v>
      </c>
      <c r="M34" s="7">
        <v>5415584400</v>
      </c>
      <c r="O34" s="7">
        <v>5232679200</v>
      </c>
      <c r="Q34" s="7">
        <v>182905200</v>
      </c>
    </row>
    <row r="35" spans="1:17" ht="21" x14ac:dyDescent="0.55000000000000004">
      <c r="A35" s="85" t="s">
        <v>185</v>
      </c>
      <c r="C35" s="7">
        <v>28192301</v>
      </c>
      <c r="E35" s="7">
        <v>9976742224</v>
      </c>
      <c r="G35" s="7">
        <v>9936523800</v>
      </c>
      <c r="I35" s="7">
        <v>40218424</v>
      </c>
      <c r="K35" s="7">
        <v>28192301</v>
      </c>
      <c r="M35" s="7">
        <v>9976742224</v>
      </c>
      <c r="O35" s="7">
        <v>9709785882</v>
      </c>
      <c r="Q35" s="7">
        <v>266956342</v>
      </c>
    </row>
    <row r="36" spans="1:17" ht="21" x14ac:dyDescent="0.55000000000000004">
      <c r="A36" s="85" t="s">
        <v>77</v>
      </c>
      <c r="C36" s="7">
        <v>33000000</v>
      </c>
      <c r="E36" s="7">
        <v>50419210050</v>
      </c>
      <c r="G36" s="7">
        <v>44233176113</v>
      </c>
      <c r="I36" s="7">
        <v>6186033937</v>
      </c>
      <c r="K36" s="7">
        <v>33000000</v>
      </c>
      <c r="M36" s="7">
        <v>50419210050</v>
      </c>
      <c r="O36" s="7">
        <v>46817706113</v>
      </c>
      <c r="Q36" s="7">
        <v>3601503937</v>
      </c>
    </row>
    <row r="37" spans="1:17" ht="21" x14ac:dyDescent="0.55000000000000004">
      <c r="A37" s="85" t="s">
        <v>184</v>
      </c>
      <c r="C37" s="7">
        <v>500000</v>
      </c>
      <c r="E37" s="7">
        <v>12684078000</v>
      </c>
      <c r="G37" s="7">
        <v>11401753500</v>
      </c>
      <c r="I37" s="7">
        <v>1282324500</v>
      </c>
      <c r="K37" s="7">
        <v>500000</v>
      </c>
      <c r="M37" s="7">
        <v>12684078000</v>
      </c>
      <c r="O37" s="7">
        <v>13294392677</v>
      </c>
      <c r="Q37" s="7">
        <v>-610314677</v>
      </c>
    </row>
    <row r="38" spans="1:17" ht="21" x14ac:dyDescent="0.55000000000000004">
      <c r="A38" s="85" t="s">
        <v>183</v>
      </c>
      <c r="C38" s="7">
        <v>888004</v>
      </c>
      <c r="E38" s="7">
        <v>12764136640</v>
      </c>
      <c r="G38" s="7">
        <v>11298820815</v>
      </c>
      <c r="I38" s="7">
        <v>1465315825</v>
      </c>
      <c r="K38" s="7">
        <v>888004</v>
      </c>
      <c r="M38" s="7">
        <v>12764136640</v>
      </c>
      <c r="O38" s="7">
        <v>10054185085</v>
      </c>
      <c r="Q38" s="7">
        <v>2709951555</v>
      </c>
    </row>
    <row r="39" spans="1:17" ht="21" x14ac:dyDescent="0.55000000000000004">
      <c r="A39" s="85" t="s">
        <v>76</v>
      </c>
      <c r="C39" s="7">
        <v>3900000</v>
      </c>
      <c r="E39" s="7">
        <v>42063225750</v>
      </c>
      <c r="G39" s="7">
        <v>36092961450</v>
      </c>
      <c r="I39" s="7">
        <v>5970264300</v>
      </c>
      <c r="K39" s="7">
        <v>3900000</v>
      </c>
      <c r="M39" s="7">
        <v>42063225750</v>
      </c>
      <c r="O39" s="7">
        <v>41094027000</v>
      </c>
      <c r="Q39" s="7">
        <v>969198750</v>
      </c>
    </row>
    <row r="40" spans="1:17" ht="21" x14ac:dyDescent="0.55000000000000004">
      <c r="A40" s="85" t="s">
        <v>182</v>
      </c>
      <c r="C40" s="7">
        <v>1285714</v>
      </c>
      <c r="E40" s="7">
        <v>6304689720</v>
      </c>
      <c r="G40" s="7">
        <v>6735397289</v>
      </c>
      <c r="I40" s="7">
        <v>-430707569</v>
      </c>
      <c r="K40" s="7">
        <v>1285714</v>
      </c>
      <c r="M40" s="7">
        <v>6304689720</v>
      </c>
      <c r="O40" s="7">
        <v>6317569321</v>
      </c>
      <c r="Q40" s="7">
        <v>-12879601</v>
      </c>
    </row>
    <row r="41" spans="1:17" ht="21" x14ac:dyDescent="0.55000000000000004">
      <c r="A41" s="85" t="s">
        <v>75</v>
      </c>
      <c r="C41" s="7">
        <v>6500000</v>
      </c>
      <c r="E41" s="7">
        <v>8981241750</v>
      </c>
      <c r="G41" s="7">
        <v>7807238400</v>
      </c>
      <c r="I41" s="7">
        <v>1174003350</v>
      </c>
      <c r="K41" s="7">
        <v>6500000</v>
      </c>
      <c r="M41" s="7">
        <v>8981241750</v>
      </c>
      <c r="O41" s="7">
        <v>7807238400</v>
      </c>
      <c r="Q41" s="7">
        <v>1174003350</v>
      </c>
    </row>
    <row r="42" spans="1:17" ht="21" x14ac:dyDescent="0.55000000000000004">
      <c r="A42" s="85" t="s">
        <v>181</v>
      </c>
      <c r="C42" s="7">
        <v>1500000</v>
      </c>
      <c r="E42" s="7">
        <v>15641376750</v>
      </c>
      <c r="G42" s="7">
        <v>13001702672</v>
      </c>
      <c r="I42" s="7">
        <v>2639674078</v>
      </c>
      <c r="K42" s="7">
        <v>1500000</v>
      </c>
      <c r="M42" s="7">
        <v>15641376750</v>
      </c>
      <c r="O42" s="7">
        <v>13606516134</v>
      </c>
      <c r="Q42" s="7">
        <v>2034860616</v>
      </c>
    </row>
    <row r="43" spans="1:17" ht="21" x14ac:dyDescent="0.55000000000000004">
      <c r="A43" s="85" t="s">
        <v>73</v>
      </c>
      <c r="C43" s="7">
        <v>2400000</v>
      </c>
      <c r="E43" s="7">
        <v>9984238200</v>
      </c>
      <c r="G43" s="7">
        <v>9087207480</v>
      </c>
      <c r="I43" s="7">
        <v>897030720</v>
      </c>
      <c r="K43" s="7">
        <v>2400000</v>
      </c>
      <c r="M43" s="7">
        <v>9984238200</v>
      </c>
      <c r="O43" s="7">
        <v>11806928280</v>
      </c>
      <c r="Q43" s="7">
        <v>-1822690080</v>
      </c>
    </row>
    <row r="44" spans="1:17" ht="21" x14ac:dyDescent="0.55000000000000004">
      <c r="A44" s="85" t="s">
        <v>72</v>
      </c>
      <c r="C44" s="7">
        <v>249999</v>
      </c>
      <c r="E44" s="7">
        <v>1898627905</v>
      </c>
      <c r="G44" s="7">
        <v>1729640081</v>
      </c>
      <c r="I44" s="7">
        <v>168987824</v>
      </c>
      <c r="K44" s="7">
        <v>249999</v>
      </c>
      <c r="M44" s="7">
        <v>1898627905</v>
      </c>
      <c r="O44" s="7">
        <v>1709077715</v>
      </c>
      <c r="Q44" s="7">
        <v>189550190</v>
      </c>
    </row>
    <row r="45" spans="1:17" ht="21" x14ac:dyDescent="0.55000000000000004">
      <c r="A45" s="85" t="s">
        <v>71</v>
      </c>
      <c r="C45" s="7">
        <v>1500000</v>
      </c>
      <c r="E45" s="7">
        <v>6924552300</v>
      </c>
      <c r="G45" s="7">
        <v>5431986225</v>
      </c>
      <c r="I45" s="7">
        <v>1492566075</v>
      </c>
      <c r="K45" s="7">
        <v>1500000</v>
      </c>
      <c r="M45" s="7">
        <v>6924552300</v>
      </c>
      <c r="O45" s="7">
        <v>4654315200</v>
      </c>
      <c r="Q45" s="7">
        <v>2270237100</v>
      </c>
    </row>
    <row r="46" spans="1:17" ht="21" x14ac:dyDescent="0.55000000000000004">
      <c r="A46" s="85" t="s">
        <v>70</v>
      </c>
      <c r="C46" s="7">
        <v>13266666</v>
      </c>
      <c r="E46" s="7">
        <v>119612705089</v>
      </c>
      <c r="G46" s="7">
        <v>95200873323</v>
      </c>
      <c r="I46" s="7">
        <v>24411831766</v>
      </c>
      <c r="K46" s="7">
        <v>13266666</v>
      </c>
      <c r="M46" s="7">
        <v>119612705089</v>
      </c>
      <c r="O46" s="7">
        <v>91140183834</v>
      </c>
      <c r="Q46" s="7">
        <v>28472521255</v>
      </c>
    </row>
    <row r="47" spans="1:17" ht="21" x14ac:dyDescent="0.55000000000000004">
      <c r="A47" s="85" t="s">
        <v>69</v>
      </c>
      <c r="C47" s="7">
        <v>650000</v>
      </c>
      <c r="E47" s="7">
        <v>16683141150</v>
      </c>
      <c r="G47" s="7">
        <v>15184113750</v>
      </c>
      <c r="I47" s="7">
        <v>1499027400</v>
      </c>
      <c r="K47" s="7">
        <v>650000</v>
      </c>
      <c r="M47" s="7">
        <v>16683141150</v>
      </c>
      <c r="O47" s="7">
        <v>14822279550</v>
      </c>
      <c r="Q47" s="7">
        <v>1860861600</v>
      </c>
    </row>
    <row r="48" spans="1:17" ht="21" x14ac:dyDescent="0.55000000000000004">
      <c r="A48" s="85" t="s">
        <v>68</v>
      </c>
      <c r="C48" s="7">
        <v>3868421</v>
      </c>
      <c r="E48" s="7">
        <v>6971717262</v>
      </c>
      <c r="G48" s="7">
        <v>6925572415</v>
      </c>
      <c r="I48" s="7">
        <v>46144847</v>
      </c>
      <c r="K48" s="7">
        <v>3868421</v>
      </c>
      <c r="M48" s="7">
        <v>6971717262</v>
      </c>
      <c r="O48" s="7">
        <v>9378546838</v>
      </c>
      <c r="Q48" s="7">
        <v>-2406829576</v>
      </c>
    </row>
    <row r="49" spans="1:17" ht="21" x14ac:dyDescent="0.55000000000000004">
      <c r="A49" s="85" t="s">
        <v>67</v>
      </c>
      <c r="C49" s="7">
        <v>20766211</v>
      </c>
      <c r="E49" s="7">
        <v>89816179046</v>
      </c>
      <c r="G49" s="7">
        <v>81538475576</v>
      </c>
      <c r="I49" s="7">
        <v>8277703470</v>
      </c>
      <c r="K49" s="7">
        <v>20766211</v>
      </c>
      <c r="M49" s="7">
        <v>89816179046</v>
      </c>
      <c r="O49" s="7">
        <v>86718517330</v>
      </c>
      <c r="Q49" s="7">
        <v>3097661716</v>
      </c>
    </row>
    <row r="50" spans="1:17" ht="21" x14ac:dyDescent="0.55000000000000004">
      <c r="A50" s="85" t="s">
        <v>66</v>
      </c>
      <c r="C50" s="7">
        <v>200000</v>
      </c>
      <c r="E50" s="7">
        <v>3019923900</v>
      </c>
      <c r="G50" s="7">
        <v>2749542300</v>
      </c>
      <c r="I50" s="7">
        <v>270381600</v>
      </c>
      <c r="K50" s="7">
        <v>200000</v>
      </c>
      <c r="M50" s="7">
        <v>3019923900</v>
      </c>
      <c r="O50" s="7">
        <v>3632258700</v>
      </c>
      <c r="Q50" s="7">
        <v>-612334800</v>
      </c>
    </row>
    <row r="51" spans="1:17" ht="21" x14ac:dyDescent="0.55000000000000004">
      <c r="A51" s="85" t="s">
        <v>180</v>
      </c>
      <c r="C51" s="7">
        <v>1641844</v>
      </c>
      <c r="E51" s="7">
        <v>22767446643</v>
      </c>
      <c r="G51" s="7">
        <v>18050152410</v>
      </c>
      <c r="I51" s="7">
        <v>4717294233</v>
      </c>
      <c r="K51" s="7">
        <v>1641844</v>
      </c>
      <c r="M51" s="7">
        <v>22767446643</v>
      </c>
      <c r="O51" s="7">
        <v>18663728023</v>
      </c>
      <c r="Q51" s="7">
        <v>4103718620</v>
      </c>
    </row>
    <row r="52" spans="1:17" ht="21" x14ac:dyDescent="0.55000000000000004">
      <c r="A52" s="85" t="s">
        <v>99</v>
      </c>
      <c r="C52" s="7">
        <v>20010652</v>
      </c>
      <c r="E52" s="7">
        <v>10542541969</v>
      </c>
      <c r="G52" s="7">
        <v>10561781250</v>
      </c>
      <c r="I52" s="7">
        <v>-19239281</v>
      </c>
      <c r="K52" s="7">
        <v>20010652</v>
      </c>
      <c r="M52" s="7">
        <v>10542541969</v>
      </c>
      <c r="O52" s="7">
        <v>11667661875</v>
      </c>
      <c r="Q52" s="7">
        <v>-1125119906</v>
      </c>
    </row>
    <row r="53" spans="1:17" ht="21" x14ac:dyDescent="0.55000000000000004">
      <c r="A53" s="85" t="s">
        <v>65</v>
      </c>
      <c r="C53" s="7">
        <v>800000</v>
      </c>
      <c r="E53" s="7">
        <v>11300360400</v>
      </c>
      <c r="G53" s="7">
        <v>10680073200</v>
      </c>
      <c r="I53" s="7">
        <v>620287200</v>
      </c>
      <c r="K53" s="7">
        <v>800000</v>
      </c>
      <c r="M53" s="7">
        <v>11300360400</v>
      </c>
      <c r="O53" s="7">
        <v>12871934080</v>
      </c>
      <c r="Q53" s="7">
        <v>-1571573680</v>
      </c>
    </row>
    <row r="54" spans="1:17" ht="21" x14ac:dyDescent="0.55000000000000004">
      <c r="A54" s="85" t="s">
        <v>64</v>
      </c>
      <c r="C54" s="7">
        <v>2421626</v>
      </c>
      <c r="E54" s="7">
        <v>14443303952</v>
      </c>
      <c r="G54" s="7">
        <v>13721138754</v>
      </c>
      <c r="I54" s="7">
        <v>722165198</v>
      </c>
      <c r="K54" s="7">
        <v>2421626</v>
      </c>
      <c r="M54" s="7">
        <v>14443303952</v>
      </c>
      <c r="O54" s="7">
        <v>14654234242</v>
      </c>
      <c r="Q54" s="7">
        <v>-210930290</v>
      </c>
    </row>
    <row r="55" spans="1:17" ht="21" x14ac:dyDescent="0.55000000000000004">
      <c r="A55" s="85" t="s">
        <v>63</v>
      </c>
      <c r="C55" s="7">
        <v>175000</v>
      </c>
      <c r="E55" s="7">
        <v>7819445812</v>
      </c>
      <c r="G55" s="7">
        <v>6943935600</v>
      </c>
      <c r="I55" s="7">
        <v>875510212</v>
      </c>
      <c r="K55" s="7">
        <v>175000</v>
      </c>
      <c r="M55" s="7">
        <v>7819445812</v>
      </c>
      <c r="O55" s="7">
        <v>7181514900</v>
      </c>
      <c r="Q55" s="7">
        <v>637930912</v>
      </c>
    </row>
    <row r="56" spans="1:17" ht="21" x14ac:dyDescent="0.55000000000000004">
      <c r="A56" s="85" t="s">
        <v>62</v>
      </c>
      <c r="C56" s="7">
        <v>11320000</v>
      </c>
      <c r="E56" s="7">
        <v>109263192660</v>
      </c>
      <c r="G56" s="7">
        <v>104312028420</v>
      </c>
      <c r="I56" s="7">
        <v>4951164240</v>
      </c>
      <c r="K56" s="7">
        <v>11320000</v>
      </c>
      <c r="M56" s="7">
        <v>109263192660</v>
      </c>
      <c r="O56" s="7">
        <v>88783376940</v>
      </c>
      <c r="Q56" s="7">
        <v>20479815720</v>
      </c>
    </row>
    <row r="57" spans="1:17" ht="21" x14ac:dyDescent="0.55000000000000004">
      <c r="A57" s="85" t="s">
        <v>179</v>
      </c>
      <c r="C57" s="7">
        <v>1000000</v>
      </c>
      <c r="E57" s="7">
        <v>14552892000</v>
      </c>
      <c r="G57" s="7">
        <v>12779722483</v>
      </c>
      <c r="I57" s="7">
        <v>1773169517</v>
      </c>
      <c r="K57" s="7">
        <v>1000000</v>
      </c>
      <c r="M57" s="7">
        <v>14552892000</v>
      </c>
      <c r="O57" s="7">
        <v>12779722483</v>
      </c>
      <c r="Q57" s="7">
        <v>1773169517</v>
      </c>
    </row>
    <row r="58" spans="1:17" ht="21" x14ac:dyDescent="0.55000000000000004">
      <c r="A58" s="85" t="s">
        <v>61</v>
      </c>
      <c r="C58" s="7">
        <v>14200000</v>
      </c>
      <c r="E58" s="7">
        <v>52453235160</v>
      </c>
      <c r="G58" s="7">
        <v>48515007870</v>
      </c>
      <c r="I58" s="7">
        <v>3938227290</v>
      </c>
      <c r="K58" s="7">
        <v>14200000</v>
      </c>
      <c r="M58" s="7">
        <v>52453235160</v>
      </c>
      <c r="O58" s="7">
        <v>47843626500</v>
      </c>
      <c r="Q58" s="7">
        <v>4609608660</v>
      </c>
    </row>
    <row r="59" spans="1:17" ht="21" x14ac:dyDescent="0.55000000000000004">
      <c r="A59" s="85" t="s">
        <v>178</v>
      </c>
      <c r="C59" s="7">
        <v>400000</v>
      </c>
      <c r="E59" s="7">
        <v>3817152000</v>
      </c>
      <c r="G59" s="7">
        <v>3581320357</v>
      </c>
      <c r="I59" s="7">
        <v>235831643</v>
      </c>
      <c r="K59" s="7">
        <v>400000</v>
      </c>
      <c r="M59" s="7">
        <v>3817152000</v>
      </c>
      <c r="O59" s="7">
        <v>3581320357</v>
      </c>
      <c r="Q59" s="7">
        <v>235831643</v>
      </c>
    </row>
    <row r="60" spans="1:17" ht="21" x14ac:dyDescent="0.55000000000000004">
      <c r="A60" s="85" t="s">
        <v>177</v>
      </c>
      <c r="C60" s="7">
        <v>400000</v>
      </c>
      <c r="E60" s="7">
        <v>5825133000</v>
      </c>
      <c r="G60" s="7">
        <v>5224726800</v>
      </c>
      <c r="I60" s="7">
        <v>600406200</v>
      </c>
      <c r="K60" s="7">
        <v>400000</v>
      </c>
      <c r="M60" s="7">
        <v>5825133000</v>
      </c>
      <c r="O60" s="7">
        <v>6508744501</v>
      </c>
      <c r="Q60" s="7">
        <v>-683611501</v>
      </c>
    </row>
    <row r="61" spans="1:17" ht="21" x14ac:dyDescent="0.55000000000000004">
      <c r="A61" s="85" t="s">
        <v>176</v>
      </c>
      <c r="C61" s="7">
        <v>650000</v>
      </c>
      <c r="E61" s="7">
        <v>12534970500</v>
      </c>
      <c r="G61" s="7">
        <v>11520542475</v>
      </c>
      <c r="I61" s="7">
        <v>1014428025</v>
      </c>
      <c r="K61" s="7">
        <v>650000</v>
      </c>
      <c r="M61" s="7">
        <v>12534970500</v>
      </c>
      <c r="O61" s="7">
        <v>10809035837</v>
      </c>
      <c r="Q61" s="7">
        <v>1725934663</v>
      </c>
    </row>
    <row r="62" spans="1:17" ht="21" x14ac:dyDescent="0.55000000000000004">
      <c r="A62" s="85" t="s">
        <v>175</v>
      </c>
      <c r="C62" s="7">
        <v>6485981</v>
      </c>
      <c r="E62" s="7">
        <v>15912157071</v>
      </c>
      <c r="G62" s="7">
        <v>15441497644</v>
      </c>
      <c r="I62" s="7">
        <v>470659427</v>
      </c>
      <c r="K62" s="7">
        <v>6485981</v>
      </c>
      <c r="M62" s="7">
        <v>15912157071</v>
      </c>
      <c r="O62" s="7">
        <v>13744591464</v>
      </c>
      <c r="Q62" s="7">
        <v>2167565607</v>
      </c>
    </row>
    <row r="63" spans="1:17" ht="21" x14ac:dyDescent="0.55000000000000004">
      <c r="A63" s="85" t="s">
        <v>174</v>
      </c>
      <c r="C63" s="7">
        <v>500000</v>
      </c>
      <c r="E63" s="7">
        <v>31854332250</v>
      </c>
      <c r="G63" s="7">
        <v>29269802250</v>
      </c>
      <c r="I63" s="7">
        <v>2584530000</v>
      </c>
      <c r="K63" s="7">
        <v>500000</v>
      </c>
      <c r="M63" s="7">
        <v>31854332250</v>
      </c>
      <c r="O63" s="7">
        <v>30005399249</v>
      </c>
      <c r="Q63" s="7">
        <v>1848933001</v>
      </c>
    </row>
    <row r="64" spans="1:17" ht="21" x14ac:dyDescent="0.55000000000000004">
      <c r="A64" s="85" t="s">
        <v>173</v>
      </c>
      <c r="C64" s="7">
        <v>3250000</v>
      </c>
      <c r="E64" s="7">
        <v>14657515762</v>
      </c>
      <c r="G64" s="7">
        <v>12586661100</v>
      </c>
      <c r="I64" s="7">
        <v>2070854662</v>
      </c>
      <c r="K64" s="7">
        <v>3250000</v>
      </c>
      <c r="M64" s="7">
        <v>14657515762</v>
      </c>
      <c r="O64" s="7">
        <v>13719754359</v>
      </c>
      <c r="Q64" s="7">
        <v>937761403</v>
      </c>
    </row>
    <row r="65" spans="1:17" ht="21" x14ac:dyDescent="0.55000000000000004">
      <c r="A65" s="85" t="s">
        <v>60</v>
      </c>
      <c r="C65" s="7">
        <v>220000</v>
      </c>
      <c r="E65" s="7">
        <v>19109219580</v>
      </c>
      <c r="G65" s="7">
        <v>17418738150</v>
      </c>
      <c r="I65" s="7">
        <v>1690481430</v>
      </c>
      <c r="K65" s="7">
        <v>220000</v>
      </c>
      <c r="M65" s="7">
        <v>19109219580</v>
      </c>
      <c r="O65" s="7">
        <v>14183749608</v>
      </c>
      <c r="Q65" s="7">
        <v>4925469972</v>
      </c>
    </row>
    <row r="66" spans="1:17" ht="21" x14ac:dyDescent="0.55000000000000004">
      <c r="A66" s="85" t="s">
        <v>172</v>
      </c>
      <c r="C66" s="7">
        <v>227029</v>
      </c>
      <c r="E66" s="7">
        <v>16415830628</v>
      </c>
      <c r="G66" s="7">
        <v>14590094172</v>
      </c>
      <c r="I66" s="7">
        <v>1825736456</v>
      </c>
      <c r="K66" s="7">
        <v>227029</v>
      </c>
      <c r="M66" s="7">
        <v>16415830628</v>
      </c>
      <c r="O66" s="7">
        <v>11577290503</v>
      </c>
      <c r="Q66" s="7">
        <v>4838540125</v>
      </c>
    </row>
    <row r="67" spans="1:17" ht="21" x14ac:dyDescent="0.55000000000000004">
      <c r="A67" s="85" t="s">
        <v>59</v>
      </c>
      <c r="C67" s="7">
        <v>400000</v>
      </c>
      <c r="E67" s="7">
        <v>16481349000</v>
      </c>
      <c r="G67" s="7">
        <v>14368057476</v>
      </c>
      <c r="I67" s="7">
        <v>2113291524</v>
      </c>
      <c r="K67" s="7">
        <v>400000</v>
      </c>
      <c r="M67" s="7">
        <v>16481349000</v>
      </c>
      <c r="O67" s="7">
        <v>14190122526</v>
      </c>
      <c r="Q67" s="7">
        <v>2291226474</v>
      </c>
    </row>
    <row r="68" spans="1:17" ht="21" x14ac:dyDescent="0.55000000000000004">
      <c r="A68" s="85" t="s">
        <v>171</v>
      </c>
      <c r="C68" s="7">
        <v>924900</v>
      </c>
      <c r="E68" s="7">
        <v>52258516670</v>
      </c>
      <c r="G68" s="7">
        <v>40963726429</v>
      </c>
      <c r="I68" s="7">
        <v>11294790241</v>
      </c>
      <c r="K68" s="7">
        <v>924900</v>
      </c>
      <c r="M68" s="7">
        <v>52258516670</v>
      </c>
      <c r="O68" s="7">
        <v>30816321742</v>
      </c>
      <c r="Q68" s="7">
        <v>21442194928</v>
      </c>
    </row>
    <row r="69" spans="1:17" ht="21" x14ac:dyDescent="0.55000000000000004">
      <c r="A69" s="85" t="s">
        <v>58</v>
      </c>
      <c r="C69" s="7">
        <v>5400000</v>
      </c>
      <c r="E69" s="7">
        <v>22126360140</v>
      </c>
      <c r="G69" s="7">
        <v>19201748906</v>
      </c>
      <c r="I69" s="7">
        <v>2924611234</v>
      </c>
      <c r="K69" s="7">
        <v>5400000</v>
      </c>
      <c r="M69" s="7">
        <v>22126360140</v>
      </c>
      <c r="O69" s="7">
        <v>16905321117</v>
      </c>
      <c r="Q69" s="7">
        <v>5221039023</v>
      </c>
    </row>
    <row r="70" spans="1:17" ht="21" x14ac:dyDescent="0.55000000000000004">
      <c r="A70" s="85" t="s">
        <v>170</v>
      </c>
      <c r="C70" s="7">
        <v>108000</v>
      </c>
      <c r="E70" s="7">
        <v>32171792058</v>
      </c>
      <c r="G70" s="7">
        <v>27836700246</v>
      </c>
      <c r="I70" s="7">
        <v>4335091812</v>
      </c>
      <c r="K70" s="7">
        <v>108000</v>
      </c>
      <c r="M70" s="7">
        <v>32171792058</v>
      </c>
      <c r="O70" s="7">
        <v>22437696600</v>
      </c>
      <c r="Q70" s="7">
        <v>9734095458</v>
      </c>
    </row>
    <row r="71" spans="1:17" ht="21" x14ac:dyDescent="0.55000000000000004">
      <c r="A71" s="85" t="s">
        <v>169</v>
      </c>
      <c r="C71" s="7">
        <v>1418099</v>
      </c>
      <c r="E71" s="7">
        <v>28179129606</v>
      </c>
      <c r="G71" s="7">
        <v>24924114491</v>
      </c>
      <c r="I71" s="7">
        <v>3255015115</v>
      </c>
      <c r="K71" s="7">
        <v>1418099</v>
      </c>
      <c r="M71" s="7">
        <v>28179129606</v>
      </c>
      <c r="O71" s="7">
        <v>27100736168</v>
      </c>
      <c r="Q71" s="7">
        <v>1078393438</v>
      </c>
    </row>
    <row r="72" spans="1:17" ht="21" x14ac:dyDescent="0.55000000000000004">
      <c r="A72" s="85" t="s">
        <v>168</v>
      </c>
      <c r="C72" s="7">
        <v>350000</v>
      </c>
      <c r="E72" s="7">
        <v>11376902250</v>
      </c>
      <c r="G72" s="7">
        <v>10402733250</v>
      </c>
      <c r="I72" s="7">
        <v>974169000</v>
      </c>
      <c r="K72" s="7">
        <v>350000</v>
      </c>
      <c r="M72" s="7">
        <v>11376902250</v>
      </c>
      <c r="O72" s="7">
        <v>10947286168</v>
      </c>
      <c r="Q72" s="7">
        <v>429616082</v>
      </c>
    </row>
    <row r="73" spans="1:17" ht="21" x14ac:dyDescent="0.55000000000000004">
      <c r="A73" s="85" t="s">
        <v>57</v>
      </c>
      <c r="C73" s="7">
        <v>3600000</v>
      </c>
      <c r="E73" s="7">
        <v>28342353600</v>
      </c>
      <c r="G73" s="7">
        <v>24226986600</v>
      </c>
      <c r="I73" s="7">
        <v>4115367000</v>
      </c>
      <c r="K73" s="7">
        <v>3600000</v>
      </c>
      <c r="M73" s="7">
        <v>28342353600</v>
      </c>
      <c r="O73" s="7">
        <v>18787545000</v>
      </c>
      <c r="Q73" s="7">
        <v>9554808600</v>
      </c>
    </row>
    <row r="74" spans="1:17" ht="21" x14ac:dyDescent="0.55000000000000004">
      <c r="A74" s="85" t="s">
        <v>56</v>
      </c>
      <c r="C74" s="7">
        <v>6202960</v>
      </c>
      <c r="E74" s="7">
        <v>17234116424</v>
      </c>
      <c r="G74" s="7">
        <v>16199736988</v>
      </c>
      <c r="I74" s="7">
        <v>1034379436</v>
      </c>
      <c r="K74" s="7">
        <v>6202960</v>
      </c>
      <c r="M74" s="7">
        <v>17234116424</v>
      </c>
      <c r="O74" s="7">
        <v>19760384020</v>
      </c>
      <c r="Q74" s="7">
        <v>-2526267596</v>
      </c>
    </row>
    <row r="75" spans="1:17" ht="21" x14ac:dyDescent="0.55000000000000004">
      <c r="A75" s="85" t="s">
        <v>55</v>
      </c>
      <c r="C75" s="7">
        <v>904441</v>
      </c>
      <c r="E75" s="7">
        <v>1613811939</v>
      </c>
      <c r="G75" s="7">
        <v>1780639412</v>
      </c>
      <c r="I75" s="7">
        <v>-166827473</v>
      </c>
      <c r="K75" s="7">
        <v>904441</v>
      </c>
      <c r="M75" s="7">
        <v>1613811939</v>
      </c>
      <c r="O75" s="7">
        <v>1780639412</v>
      </c>
      <c r="Q75" s="7">
        <v>-166827473</v>
      </c>
    </row>
    <row r="76" spans="1:17" ht="21" x14ac:dyDescent="0.55000000000000004">
      <c r="A76" s="85" t="s">
        <v>167</v>
      </c>
      <c r="C76" s="7">
        <v>400000</v>
      </c>
      <c r="E76" s="7">
        <v>1629844380</v>
      </c>
      <c r="G76" s="7">
        <v>1641121542</v>
      </c>
      <c r="I76" s="7">
        <v>-11277162</v>
      </c>
      <c r="K76" s="7">
        <v>400000</v>
      </c>
      <c r="M76" s="7">
        <v>1629844380</v>
      </c>
      <c r="O76" s="7">
        <v>1641121542</v>
      </c>
      <c r="Q76" s="7">
        <v>-11277162</v>
      </c>
    </row>
    <row r="77" spans="1:17" ht="21" x14ac:dyDescent="0.55000000000000004">
      <c r="A77" s="85" t="s">
        <v>97</v>
      </c>
      <c r="C77" s="7">
        <v>3200000</v>
      </c>
      <c r="E77" s="7">
        <v>18576806400</v>
      </c>
      <c r="G77" s="7">
        <v>17364899642</v>
      </c>
      <c r="I77" s="7">
        <v>1211906758</v>
      </c>
      <c r="K77" s="7">
        <v>3200000</v>
      </c>
      <c r="M77" s="7">
        <v>18576806400</v>
      </c>
      <c r="O77" s="7">
        <v>17364899642</v>
      </c>
      <c r="Q77" s="7">
        <v>1211906758</v>
      </c>
    </row>
    <row r="78" spans="1:17" ht="21" x14ac:dyDescent="0.55000000000000004">
      <c r="A78" s="85" t="s">
        <v>96</v>
      </c>
      <c r="C78" s="7">
        <v>6710221</v>
      </c>
      <c r="E78" s="7">
        <v>14614616750</v>
      </c>
      <c r="G78" s="7">
        <v>15521776896</v>
      </c>
      <c r="I78" s="7">
        <v>-907160146</v>
      </c>
      <c r="K78" s="7">
        <v>6710221</v>
      </c>
      <c r="M78" s="7">
        <v>14614616750</v>
      </c>
      <c r="O78" s="7">
        <v>21921018887</v>
      </c>
      <c r="Q78" s="7">
        <v>-7306402137</v>
      </c>
    </row>
    <row r="79" spans="1:17" ht="21" x14ac:dyDescent="0.55000000000000004">
      <c r="A79" s="85" t="s">
        <v>166</v>
      </c>
      <c r="C79" s="7">
        <v>1403444</v>
      </c>
      <c r="E79" s="7">
        <v>1330919207</v>
      </c>
      <c r="G79" s="7">
        <v>1851289085</v>
      </c>
      <c r="I79" s="7">
        <v>-520369878</v>
      </c>
      <c r="K79" s="7">
        <v>1403444</v>
      </c>
      <c r="M79" s="7">
        <v>1330919207</v>
      </c>
      <c r="O79" s="7">
        <v>1624688341</v>
      </c>
      <c r="Q79" s="7">
        <v>-293769134</v>
      </c>
    </row>
    <row r="80" spans="1:17" ht="21" x14ac:dyDescent="0.55000000000000004">
      <c r="A80" s="85" t="s">
        <v>115</v>
      </c>
      <c r="C80" s="7"/>
      <c r="E80" s="7"/>
      <c r="G80" s="7"/>
      <c r="I80" s="7"/>
      <c r="K80" s="7"/>
      <c r="M80" s="7"/>
      <c r="O80" s="7"/>
      <c r="Q80" s="7">
        <v>552857603</v>
      </c>
    </row>
    <row r="81" spans="1:17" ht="21" x14ac:dyDescent="0.55000000000000004">
      <c r="A81" s="85" t="s">
        <v>109</v>
      </c>
      <c r="C81" s="7"/>
      <c r="E81" s="7"/>
      <c r="G81" s="7"/>
      <c r="I81" s="7"/>
      <c r="K81" s="7"/>
      <c r="M81" s="7"/>
      <c r="O81" s="7"/>
      <c r="Q81" s="7">
        <v>322177018</v>
      </c>
    </row>
    <row r="82" spans="1:17" ht="21" x14ac:dyDescent="0.55000000000000004">
      <c r="A82" s="85" t="s">
        <v>141</v>
      </c>
      <c r="C82" s="7"/>
      <c r="E82" s="7"/>
      <c r="G82" s="7"/>
      <c r="I82" s="7"/>
      <c r="K82" s="7"/>
      <c r="M82" s="7"/>
      <c r="O82" s="7"/>
      <c r="Q82" s="7">
        <v>186951848</v>
      </c>
    </row>
    <row r="83" spans="1:17" ht="21" x14ac:dyDescent="0.55000000000000004">
      <c r="A83" s="85" t="s">
        <v>235</v>
      </c>
      <c r="C83" s="7"/>
      <c r="E83" s="7"/>
      <c r="G83" s="7"/>
      <c r="I83" s="7"/>
      <c r="K83" s="7"/>
      <c r="M83" s="7"/>
      <c r="O83" s="7"/>
      <c r="Q83" s="7">
        <v>180993382</v>
      </c>
    </row>
    <row r="84" spans="1:17" ht="21" x14ac:dyDescent="0.55000000000000004">
      <c r="A84" s="85" t="s">
        <v>110</v>
      </c>
      <c r="C84" s="7"/>
      <c r="E84" s="7"/>
      <c r="G84" s="7"/>
      <c r="I84" s="7"/>
      <c r="K84" s="7"/>
      <c r="M84" s="7"/>
      <c r="O84" s="7"/>
      <c r="Q84" s="7">
        <v>136568824</v>
      </c>
    </row>
    <row r="85" spans="1:17" ht="21" x14ac:dyDescent="0.55000000000000004">
      <c r="A85" s="85" t="s">
        <v>133</v>
      </c>
      <c r="C85" s="7"/>
      <c r="E85" s="7"/>
      <c r="G85" s="7"/>
      <c r="I85" s="7"/>
      <c r="K85" s="7"/>
      <c r="M85" s="7"/>
      <c r="O85" s="7"/>
      <c r="Q85" s="7">
        <v>51986610</v>
      </c>
    </row>
    <row r="86" spans="1:17" ht="21" x14ac:dyDescent="0.55000000000000004">
      <c r="A86" s="85" t="s">
        <v>127</v>
      </c>
      <c r="C86" s="7"/>
      <c r="E86" s="7"/>
      <c r="G86" s="7"/>
      <c r="I86" s="7"/>
      <c r="K86" s="7"/>
      <c r="M86" s="7"/>
      <c r="O86" s="7"/>
      <c r="Q86" s="7">
        <v>36052714</v>
      </c>
    </row>
    <row r="87" spans="1:17" ht="21" x14ac:dyDescent="0.55000000000000004">
      <c r="A87" s="85" t="s">
        <v>111</v>
      </c>
      <c r="C87" s="7"/>
      <c r="E87" s="7"/>
      <c r="G87" s="7"/>
      <c r="I87" s="7"/>
      <c r="K87" s="7"/>
      <c r="M87" s="7"/>
      <c r="O87" s="7"/>
      <c r="Q87" s="7">
        <v>26803097</v>
      </c>
    </row>
    <row r="88" spans="1:17" ht="21" x14ac:dyDescent="0.55000000000000004">
      <c r="A88" s="85" t="s">
        <v>112</v>
      </c>
      <c r="C88" s="7"/>
      <c r="E88" s="7"/>
      <c r="G88" s="7"/>
      <c r="I88" s="7"/>
      <c r="K88" s="7"/>
      <c r="M88" s="7"/>
      <c r="O88" s="7"/>
      <c r="Q88" s="7">
        <v>25493434</v>
      </c>
    </row>
    <row r="89" spans="1:17" ht="21" x14ac:dyDescent="0.55000000000000004">
      <c r="A89" s="85" t="s">
        <v>134</v>
      </c>
      <c r="C89" s="7"/>
      <c r="E89" s="7"/>
      <c r="G89" s="7"/>
      <c r="I89" s="7"/>
      <c r="K89" s="7"/>
      <c r="M89" s="7"/>
      <c r="O89" s="7"/>
      <c r="Q89" s="7">
        <v>24667646</v>
      </c>
    </row>
    <row r="90" spans="1:17" ht="21" x14ac:dyDescent="0.55000000000000004">
      <c r="A90" s="85" t="s">
        <v>234</v>
      </c>
      <c r="C90" s="7"/>
      <c r="E90" s="7"/>
      <c r="G90" s="7"/>
      <c r="I90" s="7"/>
      <c r="K90" s="7"/>
      <c r="M90" s="7"/>
      <c r="O90" s="7"/>
      <c r="Q90" s="7">
        <v>18005293</v>
      </c>
    </row>
    <row r="91" spans="1:17" ht="21" x14ac:dyDescent="0.55000000000000004">
      <c r="A91" s="85" t="s">
        <v>245</v>
      </c>
      <c r="C91" s="7"/>
      <c r="E91" s="7"/>
      <c r="G91" s="7"/>
      <c r="I91" s="7"/>
      <c r="K91" s="7"/>
      <c r="M91" s="7"/>
      <c r="O91" s="7"/>
      <c r="Q91" s="7">
        <v>17717036</v>
      </c>
    </row>
    <row r="92" spans="1:17" ht="21" x14ac:dyDescent="0.55000000000000004">
      <c r="A92" s="85" t="s">
        <v>240</v>
      </c>
      <c r="C92" s="7"/>
      <c r="E92" s="7"/>
      <c r="G92" s="7"/>
      <c r="I92" s="7"/>
      <c r="K92" s="7"/>
      <c r="M92" s="7"/>
      <c r="O92" s="7"/>
      <c r="Q92" s="7">
        <v>6998198</v>
      </c>
    </row>
    <row r="93" spans="1:17" ht="21" x14ac:dyDescent="0.55000000000000004">
      <c r="A93" s="85" t="s">
        <v>237</v>
      </c>
      <c r="C93" s="7"/>
      <c r="E93" s="7"/>
      <c r="G93" s="7"/>
      <c r="I93" s="7"/>
      <c r="K93" s="7"/>
      <c r="M93" s="7"/>
      <c r="O93" s="7"/>
      <c r="Q93" s="7">
        <v>6238393</v>
      </c>
    </row>
    <row r="94" spans="1:17" ht="21" x14ac:dyDescent="0.55000000000000004">
      <c r="A94" s="85" t="s">
        <v>139</v>
      </c>
      <c r="C94" s="7"/>
      <c r="E94" s="7"/>
      <c r="G94" s="7"/>
      <c r="I94" s="7"/>
      <c r="K94" s="7"/>
      <c r="M94" s="7"/>
      <c r="O94" s="7"/>
      <c r="Q94" s="7">
        <v>3478672</v>
      </c>
    </row>
    <row r="95" spans="1:17" ht="21" x14ac:dyDescent="0.55000000000000004">
      <c r="A95" s="85" t="s">
        <v>241</v>
      </c>
      <c r="C95" s="7"/>
      <c r="E95" s="7"/>
      <c r="G95" s="7"/>
      <c r="I95" s="7"/>
      <c r="K95" s="7"/>
      <c r="M95" s="7"/>
      <c r="O95" s="7"/>
      <c r="Q95" s="7">
        <v>3399125</v>
      </c>
    </row>
    <row r="96" spans="1:17" ht="21" x14ac:dyDescent="0.55000000000000004">
      <c r="A96" s="85" t="s">
        <v>121</v>
      </c>
      <c r="C96" s="7"/>
      <c r="E96" s="7"/>
      <c r="G96" s="7"/>
      <c r="I96" s="7"/>
      <c r="K96" s="7"/>
      <c r="M96" s="7"/>
      <c r="O96" s="7"/>
      <c r="Q96" s="7">
        <v>1769544</v>
      </c>
    </row>
    <row r="97" spans="1:17" ht="21" x14ac:dyDescent="0.55000000000000004">
      <c r="A97" s="85" t="s">
        <v>238</v>
      </c>
      <c r="C97" s="7"/>
      <c r="E97" s="7"/>
      <c r="G97" s="7"/>
      <c r="I97" s="7"/>
      <c r="K97" s="7"/>
      <c r="M97" s="7"/>
      <c r="O97" s="7"/>
      <c r="Q97" s="7">
        <v>1519609</v>
      </c>
    </row>
    <row r="98" spans="1:17" ht="21" x14ac:dyDescent="0.55000000000000004">
      <c r="A98" s="85" t="s">
        <v>138</v>
      </c>
      <c r="C98" s="7"/>
      <c r="E98" s="7"/>
      <c r="G98" s="7"/>
      <c r="I98" s="7"/>
      <c r="K98" s="7"/>
      <c r="M98" s="7"/>
      <c r="O98" s="7"/>
      <c r="Q98" s="7">
        <v>50986</v>
      </c>
    </row>
    <row r="99" spans="1:17" ht="21" x14ac:dyDescent="0.55000000000000004">
      <c r="A99" s="85" t="s">
        <v>123</v>
      </c>
      <c r="C99" s="7"/>
      <c r="E99" s="7"/>
      <c r="G99" s="7"/>
      <c r="I99" s="7"/>
      <c r="K99" s="7"/>
      <c r="M99" s="7"/>
      <c r="O99" s="7"/>
      <c r="Q99" s="7">
        <v>29992</v>
      </c>
    </row>
    <row r="100" spans="1:17" ht="21" x14ac:dyDescent="0.55000000000000004">
      <c r="A100" s="85" t="s">
        <v>130</v>
      </c>
      <c r="C100" s="7"/>
      <c r="E100" s="7"/>
      <c r="G100" s="7"/>
      <c r="I100" s="7"/>
      <c r="K100" s="7"/>
      <c r="M100" s="7"/>
      <c r="O100" s="7"/>
      <c r="Q100" s="7">
        <v>2998</v>
      </c>
    </row>
    <row r="101" spans="1:17" ht="21" x14ac:dyDescent="0.55000000000000004">
      <c r="A101" s="85" t="s">
        <v>137</v>
      </c>
      <c r="C101" s="7"/>
      <c r="E101" s="7"/>
      <c r="G101" s="7"/>
      <c r="I101" s="7"/>
      <c r="K101" s="7"/>
      <c r="M101" s="7"/>
      <c r="O101" s="7"/>
      <c r="Q101" s="7">
        <v>2000</v>
      </c>
    </row>
    <row r="102" spans="1:17" ht="21" x14ac:dyDescent="0.55000000000000004">
      <c r="A102" s="85" t="s">
        <v>135</v>
      </c>
      <c r="C102" s="7"/>
      <c r="E102" s="7"/>
      <c r="G102" s="7"/>
      <c r="I102" s="7"/>
      <c r="K102" s="7"/>
      <c r="M102" s="7"/>
      <c r="O102" s="7"/>
      <c r="Q102" s="7">
        <v>-998</v>
      </c>
    </row>
    <row r="103" spans="1:17" ht="21" x14ac:dyDescent="0.55000000000000004">
      <c r="A103" s="85" t="s">
        <v>119</v>
      </c>
      <c r="C103" s="7"/>
      <c r="E103" s="7"/>
      <c r="G103" s="7"/>
      <c r="I103" s="7"/>
      <c r="K103" s="7"/>
      <c r="M103" s="7"/>
      <c r="O103" s="7"/>
      <c r="Q103" s="7">
        <v>-79979</v>
      </c>
    </row>
    <row r="104" spans="1:17" ht="21" x14ac:dyDescent="0.55000000000000004">
      <c r="A104" s="85" t="s">
        <v>132</v>
      </c>
      <c r="C104" s="7"/>
      <c r="E104" s="7"/>
      <c r="G104" s="7"/>
      <c r="I104" s="7"/>
      <c r="K104" s="7"/>
      <c r="M104" s="7"/>
      <c r="O104" s="7"/>
      <c r="Q104" s="7">
        <v>-1887514</v>
      </c>
    </row>
    <row r="105" spans="1:17" ht="21" x14ac:dyDescent="0.55000000000000004">
      <c r="A105" s="85" t="s">
        <v>116</v>
      </c>
      <c r="C105" s="7"/>
      <c r="E105" s="7"/>
      <c r="G105" s="7"/>
      <c r="I105" s="7"/>
      <c r="K105" s="7"/>
      <c r="M105" s="7"/>
      <c r="O105" s="7"/>
      <c r="Q105" s="7">
        <v>-1999485</v>
      </c>
    </row>
    <row r="106" spans="1:17" ht="21" x14ac:dyDescent="0.55000000000000004">
      <c r="A106" s="85" t="s">
        <v>114</v>
      </c>
      <c r="C106" s="7"/>
      <c r="E106" s="7"/>
      <c r="G106" s="7"/>
      <c r="I106" s="7"/>
      <c r="K106" s="7"/>
      <c r="M106" s="7"/>
      <c r="O106" s="7"/>
      <c r="Q106" s="7">
        <v>-2469364</v>
      </c>
    </row>
    <row r="107" spans="1:17" ht="21" x14ac:dyDescent="0.55000000000000004">
      <c r="A107" s="85" t="s">
        <v>236</v>
      </c>
      <c r="C107" s="7"/>
      <c r="E107" s="7"/>
      <c r="G107" s="7"/>
      <c r="I107" s="7"/>
      <c r="K107" s="7"/>
      <c r="M107" s="7"/>
      <c r="O107" s="7"/>
      <c r="Q107" s="7">
        <v>-2499356</v>
      </c>
    </row>
    <row r="108" spans="1:17" ht="21" x14ac:dyDescent="0.55000000000000004">
      <c r="A108" s="85" t="s">
        <v>113</v>
      </c>
      <c r="C108" s="7"/>
      <c r="E108" s="7"/>
      <c r="G108" s="7"/>
      <c r="I108" s="7"/>
      <c r="K108" s="7"/>
      <c r="M108" s="7"/>
      <c r="O108" s="7"/>
      <c r="Q108" s="7">
        <v>-3551085</v>
      </c>
    </row>
    <row r="109" spans="1:17" ht="21" x14ac:dyDescent="0.55000000000000004">
      <c r="A109" s="85" t="s">
        <v>118</v>
      </c>
      <c r="C109" s="7"/>
      <c r="E109" s="7"/>
      <c r="G109" s="7"/>
      <c r="I109" s="7"/>
      <c r="K109" s="7"/>
      <c r="M109" s="7"/>
      <c r="O109" s="7"/>
      <c r="Q109" s="7">
        <v>-3898996</v>
      </c>
    </row>
    <row r="110" spans="1:17" ht="21" x14ac:dyDescent="0.55000000000000004">
      <c r="A110" s="85" t="s">
        <v>120</v>
      </c>
      <c r="C110" s="7"/>
      <c r="E110" s="7"/>
      <c r="G110" s="7"/>
      <c r="I110" s="7"/>
      <c r="K110" s="7"/>
      <c r="M110" s="7"/>
      <c r="O110" s="7"/>
      <c r="Q110" s="7">
        <v>-9760486</v>
      </c>
    </row>
    <row r="111" spans="1:17" ht="21" x14ac:dyDescent="0.55000000000000004">
      <c r="A111" s="85" t="s">
        <v>233</v>
      </c>
      <c r="C111" s="7"/>
      <c r="E111" s="7"/>
      <c r="G111" s="7"/>
      <c r="I111" s="7"/>
      <c r="K111" s="7"/>
      <c r="M111" s="7"/>
      <c r="O111" s="7"/>
      <c r="Q111" s="7">
        <v>-11996910</v>
      </c>
    </row>
    <row r="112" spans="1:17" ht="21" x14ac:dyDescent="0.55000000000000004">
      <c r="A112" s="85" t="s">
        <v>122</v>
      </c>
      <c r="C112" s="7"/>
      <c r="E112" s="7"/>
      <c r="G112" s="7"/>
      <c r="I112" s="7"/>
      <c r="K112" s="7"/>
      <c r="M112" s="7"/>
      <c r="O112" s="7"/>
      <c r="Q112" s="7">
        <v>-15336050</v>
      </c>
    </row>
    <row r="113" spans="1:17" ht="21" x14ac:dyDescent="0.55000000000000004">
      <c r="A113" s="85" t="s">
        <v>242</v>
      </c>
      <c r="C113" s="7"/>
      <c r="E113" s="7"/>
      <c r="G113" s="7"/>
      <c r="I113" s="7"/>
      <c r="K113" s="7"/>
      <c r="M113" s="7"/>
      <c r="O113" s="7"/>
      <c r="Q113" s="7">
        <v>-20820926</v>
      </c>
    </row>
    <row r="114" spans="1:17" ht="21" x14ac:dyDescent="0.55000000000000004">
      <c r="A114" s="85" t="s">
        <v>136</v>
      </c>
      <c r="C114" s="7"/>
      <c r="E114" s="7"/>
      <c r="G114" s="7"/>
      <c r="I114" s="7"/>
      <c r="K114" s="7"/>
      <c r="M114" s="7"/>
      <c r="O114" s="7"/>
      <c r="Q114" s="7">
        <v>-20994592</v>
      </c>
    </row>
    <row r="115" spans="1:17" ht="21" x14ac:dyDescent="0.55000000000000004">
      <c r="A115" s="85" t="s">
        <v>239</v>
      </c>
      <c r="C115" s="7"/>
      <c r="E115" s="7"/>
      <c r="G115" s="7"/>
      <c r="I115" s="7"/>
      <c r="K115" s="7"/>
      <c r="M115" s="7"/>
      <c r="O115" s="7"/>
      <c r="Q115" s="7">
        <v>-22527198</v>
      </c>
    </row>
    <row r="116" spans="1:17" ht="21" x14ac:dyDescent="0.55000000000000004">
      <c r="A116" s="85" t="s">
        <v>131</v>
      </c>
      <c r="C116" s="7"/>
      <c r="E116" s="7"/>
      <c r="G116" s="7"/>
      <c r="I116" s="7"/>
      <c r="K116" s="7"/>
      <c r="M116" s="7"/>
      <c r="O116" s="7"/>
      <c r="Q116" s="7">
        <v>-24993562</v>
      </c>
    </row>
    <row r="117" spans="1:17" ht="21" x14ac:dyDescent="0.55000000000000004">
      <c r="A117" s="85" t="s">
        <v>125</v>
      </c>
      <c r="C117" s="7"/>
      <c r="E117" s="7"/>
      <c r="G117" s="7"/>
      <c r="I117" s="7"/>
      <c r="K117" s="7"/>
      <c r="M117" s="7"/>
      <c r="O117" s="7"/>
      <c r="Q117" s="7">
        <v>-59984550</v>
      </c>
    </row>
    <row r="118" spans="1:17" ht="21" x14ac:dyDescent="0.55000000000000004">
      <c r="A118" s="85" t="s">
        <v>124</v>
      </c>
      <c r="C118" s="7"/>
      <c r="E118" s="7"/>
      <c r="G118" s="7"/>
      <c r="I118" s="7"/>
      <c r="K118" s="7"/>
      <c r="M118" s="7"/>
      <c r="O118" s="7"/>
      <c r="Q118" s="7">
        <v>-85859485</v>
      </c>
    </row>
    <row r="119" spans="1:17" ht="21" x14ac:dyDescent="0.55000000000000004">
      <c r="A119" s="85" t="s">
        <v>129</v>
      </c>
      <c r="C119" s="7"/>
      <c r="E119" s="7"/>
      <c r="G119" s="7"/>
      <c r="I119" s="7"/>
      <c r="K119" s="7"/>
      <c r="M119" s="7"/>
      <c r="O119" s="7"/>
      <c r="Q119" s="7">
        <v>-132110973</v>
      </c>
    </row>
    <row r="120" spans="1:17" ht="21.75" thickBot="1" x14ac:dyDescent="0.6">
      <c r="A120" s="30" t="s">
        <v>7</v>
      </c>
      <c r="C120" s="7"/>
      <c r="E120" s="32">
        <f>SUM(E9:E79)</f>
        <v>1242216458582</v>
      </c>
      <c r="G120" s="32">
        <f>SUM(G9:G79)</f>
        <v>1092873231335</v>
      </c>
      <c r="I120" s="32">
        <f>SUM(I9:I79)</f>
        <v>149343227247</v>
      </c>
      <c r="K120" s="7"/>
      <c r="M120" s="32">
        <f>SUM(M9:M79)</f>
        <v>1242216458582</v>
      </c>
      <c r="O120" s="32">
        <f>SUM(O9:O79)</f>
        <v>1079449630668</v>
      </c>
      <c r="Q120" s="32">
        <f>SUM(Q9:Q119)</f>
        <v>163949820427</v>
      </c>
    </row>
    <row r="121" spans="1:17" ht="20.25" thickTop="1" x14ac:dyDescent="0.55000000000000004"/>
  </sheetData>
  <mergeCells count="6">
    <mergeCell ref="A1:Q1"/>
    <mergeCell ref="A2:Q2"/>
    <mergeCell ref="A3:Q3"/>
    <mergeCell ref="A5:Q5"/>
    <mergeCell ref="C7:I7"/>
    <mergeCell ref="K7:Q7"/>
  </mergeCells>
  <pageMargins left="0.17" right="0.17" top="0.37" bottom="0.38" header="0.3" footer="0.3"/>
  <pageSetup paperSize="9" scale="7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13</vt:i4>
      </vt:variant>
    </vt:vector>
  </HeadingPairs>
  <TitlesOfParts>
    <vt:vector size="25" baseType="lpstr">
      <vt:lpstr>0</vt:lpstr>
      <vt:lpstr>1</vt:lpstr>
      <vt:lpstr>2</vt:lpstr>
      <vt:lpstr>3</vt:lpstr>
      <vt:lpstr>4</vt:lpstr>
      <vt:lpstr>5</vt:lpstr>
      <vt:lpstr>6</vt:lpstr>
      <vt:lpstr>7</vt:lpstr>
      <vt:lpstr>9</vt:lpstr>
      <vt:lpstr>8</vt:lpstr>
      <vt:lpstr>10</vt:lpstr>
      <vt:lpstr>11</vt:lpstr>
      <vt:lpstr>'0'!Print_Area</vt:lpstr>
      <vt:lpstr>'1'!Print_Area</vt:lpstr>
      <vt:lpstr>'10'!Print_Area</vt:lpstr>
      <vt:lpstr>'11'!Print_Area</vt:lpstr>
      <vt:lpstr>'2'!Print_Area</vt:lpstr>
      <vt:lpstr>'3'!Print_Area</vt:lpstr>
      <vt:lpstr>'4'!Print_Area</vt:lpstr>
      <vt:lpstr>'5'!Print_Area</vt:lpstr>
      <vt:lpstr>'1'!Print_Titles</vt:lpstr>
      <vt:lpstr>'10'!Print_Titles</vt:lpstr>
      <vt:lpstr>'11'!Print_Titles</vt:lpstr>
      <vt:lpstr>'4'!Print_Titles</vt:lpstr>
      <vt:lpstr>'5'!Print_Titles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Reza Ahmadi</cp:lastModifiedBy>
  <cp:lastPrinted>2025-04-30T15:50:22Z</cp:lastPrinted>
  <dcterms:created xsi:type="dcterms:W3CDTF">2025-03-25T07:06:12Z</dcterms:created>
  <dcterms:modified xsi:type="dcterms:W3CDTF">2025-04-30T15:50:24Z</dcterms:modified>
</cp:coreProperties>
</file>