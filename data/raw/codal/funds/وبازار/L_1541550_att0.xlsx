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98933\Desktop\"/>
    </mc:Choice>
  </mc:AlternateContent>
  <xr:revisionPtr revIDLastSave="0" documentId="13_ncr:1_{03E207B5-5DC7-4160-8D88-690929109FC9}" xr6:coauthVersionLast="47" xr6:coauthVersionMax="47" xr10:uidLastSave="{00000000-0000-0000-0000-000000000000}"/>
  <bookViews>
    <workbookView xWindow="-108" yWindow="-108" windowWidth="23256" windowHeight="12456" tabRatio="897" xr2:uid="{00000000-000D-0000-FFFF-FFFF00000000}"/>
  </bookViews>
  <sheets>
    <sheet name="سربرگ" sheetId="29" r:id="rId1"/>
    <sheet name=" سهام" sheetId="21" r:id="rId2"/>
    <sheet name="اوراق مشتقه" sheetId="9" r:id="rId3"/>
    <sheet name="تعدیل قیمت" sheetId="4" r:id="rId4"/>
    <sheet name="سپرده" sheetId="2" r:id="rId5"/>
    <sheet name="درآمدها" sheetId="11" r:id="rId6"/>
    <sheet name="درآمد سرمایه گذاری در سهام " sheetId="5" r:id="rId7"/>
    <sheet name="درآمد سپرده بانکی" sheetId="7" r:id="rId8"/>
    <sheet name="درآمد سرمایه گذاری مشتقه " sheetId="25" r:id="rId9"/>
    <sheet name="سایر درآمدها" sheetId="8" r:id="rId10"/>
    <sheet name="درآمد سود سهام" sheetId="12" r:id="rId11"/>
    <sheet name="سود  سپرده بانکی" sheetId="22" r:id="rId12"/>
    <sheet name="درآمد ناشی ازفروش" sheetId="15" r:id="rId13"/>
    <sheet name="درآمد ناشی از تغییر قیمت اوراق " sheetId="14" r:id="rId14"/>
  </sheets>
  <definedNames>
    <definedName name="_xlnm.Print_Area" localSheetId="1">' سهام'!$A$1:$N$48</definedName>
    <definedName name="_xlnm.Print_Area" localSheetId="2">'اوراق مشتقه'!$A$1:$M$20</definedName>
    <definedName name="_xlnm.Print_Area" localSheetId="3">'تعدیل قیمت'!$A$1:$J$44</definedName>
    <definedName name="_xlnm.Print_Area" localSheetId="7">'درآمد سپرده بانکی'!$A$1:$E$12</definedName>
    <definedName name="_xlnm.Print_Area" localSheetId="6">'درآمد سرمایه گذاری در سهام '!$A$1:$K$66</definedName>
    <definedName name="_xlnm.Print_Area" localSheetId="8">'درآمد سرمایه گذاری مشتقه '!$A$1:$I$49</definedName>
    <definedName name="_xlnm.Print_Area" localSheetId="10">'درآمد سود سهام'!$A$1:$J$12</definedName>
    <definedName name="_xlnm.Print_Area" localSheetId="13">'درآمد ناشی از تغییر قیمت اوراق '!$A$1:$I$82</definedName>
    <definedName name="_xlnm.Print_Area" localSheetId="12">'درآمد ناشی ازفروش'!$A$1:$I$86</definedName>
    <definedName name="_xlnm.Print_Area" localSheetId="5">درآمدها!$A$1:$E$14</definedName>
    <definedName name="_xlnm.Print_Area" localSheetId="9">'سایر درآمدها'!$A$1:$C$12</definedName>
    <definedName name="_xlnm.Print_Area" localSheetId="4">سپرده!$A$1:$F$13</definedName>
    <definedName name="_xlnm.Print_Area" localSheetId="0">سربرگ!$A$1:$J$29</definedName>
    <definedName name="_xlnm.Print_Area" localSheetId="11">'سود  سپرده بانکی'!$A$1:$G$11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80" i="14" l="1"/>
  <c r="H80" i="14"/>
  <c r="G80" i="14"/>
  <c r="E80" i="14"/>
  <c r="D80" i="14"/>
  <c r="C80" i="14"/>
  <c r="I61" i="14"/>
  <c r="H61" i="14"/>
  <c r="G61" i="14"/>
  <c r="E61" i="14"/>
  <c r="D61" i="14"/>
  <c r="C61" i="14"/>
  <c r="I52" i="14"/>
  <c r="H52" i="14"/>
  <c r="G52" i="14"/>
  <c r="E52" i="14"/>
  <c r="D52" i="14"/>
  <c r="C52" i="14"/>
  <c r="I85" i="15"/>
  <c r="H85" i="15"/>
  <c r="G85" i="15"/>
  <c r="E85" i="15"/>
  <c r="D85" i="15"/>
  <c r="C85" i="15"/>
  <c r="I55" i="15"/>
  <c r="H55" i="15"/>
  <c r="G55" i="15"/>
  <c r="E55" i="15"/>
  <c r="D55" i="15"/>
  <c r="C55" i="15"/>
  <c r="I46" i="15"/>
  <c r="H46" i="15"/>
  <c r="G46" i="15"/>
  <c r="E46" i="15"/>
  <c r="D46" i="15"/>
  <c r="C46" i="15"/>
  <c r="D12" i="11"/>
  <c r="D11" i="11"/>
  <c r="D10" i="11"/>
  <c r="D9" i="11"/>
  <c r="C12" i="11"/>
  <c r="C11" i="11"/>
  <c r="C10" i="11"/>
  <c r="C9" i="11"/>
  <c r="B11" i="8"/>
  <c r="C11" i="8"/>
  <c r="K65" i="5"/>
  <c r="J65" i="5"/>
  <c r="I65" i="5"/>
  <c r="H65" i="5"/>
  <c r="G65" i="5"/>
  <c r="F65" i="5"/>
  <c r="E65" i="5"/>
  <c r="D65" i="5"/>
  <c r="C65" i="5"/>
  <c r="B65" i="5"/>
  <c r="K47" i="5"/>
  <c r="J47" i="5"/>
  <c r="I47" i="5"/>
  <c r="H47" i="5"/>
  <c r="G47" i="5"/>
  <c r="F47" i="5"/>
  <c r="E47" i="5"/>
  <c r="D47" i="5"/>
  <c r="C47" i="5"/>
  <c r="B47" i="5"/>
  <c r="K37" i="5"/>
  <c r="J37" i="5"/>
  <c r="I37" i="5"/>
  <c r="H37" i="5"/>
  <c r="G37" i="5"/>
  <c r="F37" i="5"/>
  <c r="E37" i="5"/>
  <c r="D37" i="5"/>
  <c r="C37" i="5"/>
  <c r="B37" i="5"/>
  <c r="G46" i="21"/>
  <c r="G10" i="22" l="1"/>
  <c r="F10" i="22"/>
  <c r="E10" i="22"/>
  <c r="D10" i="22"/>
  <c r="C10" i="22"/>
  <c r="B10" i="22"/>
  <c r="J11" i="12"/>
  <c r="I11" i="12"/>
  <c r="H11" i="12"/>
  <c r="G11" i="12"/>
  <c r="F11" i="12"/>
  <c r="E11" i="12"/>
  <c r="I48" i="25"/>
  <c r="H48" i="25"/>
  <c r="G48" i="25"/>
  <c r="F48" i="25"/>
  <c r="E48" i="25"/>
  <c r="D48" i="25"/>
  <c r="C48" i="25"/>
  <c r="B48" i="25"/>
  <c r="D11" i="7"/>
  <c r="E10" i="7" s="1"/>
  <c r="B11" i="7"/>
  <c r="C10" i="7" s="1"/>
  <c r="C9" i="7"/>
  <c r="C11" i="7" s="1"/>
  <c r="C13" i="11"/>
  <c r="E12" i="11"/>
  <c r="E11" i="11"/>
  <c r="E10" i="11"/>
  <c r="E9" i="11"/>
  <c r="F12" i="2"/>
  <c r="E12" i="2"/>
  <c r="D12" i="2"/>
  <c r="C12" i="2"/>
  <c r="B12" i="2"/>
  <c r="F43" i="4"/>
  <c r="N46" i="21"/>
  <c r="M46" i="21"/>
  <c r="L46" i="21"/>
  <c r="I46" i="21"/>
  <c r="D46" i="21"/>
  <c r="C46" i="21"/>
  <c r="E13" i="11" l="1"/>
  <c r="D13" i="11"/>
  <c r="E9" i="7"/>
  <c r="E11" i="7" s="1"/>
</calcChain>
</file>

<file path=xl/sharedStrings.xml><?xml version="1.0" encoding="utf-8"?>
<sst xmlns="http://schemas.openxmlformats.org/spreadsheetml/2006/main" count="668" uniqueCount="222">
  <si>
    <t>بهای تمام شده</t>
  </si>
  <si>
    <t>شرکت</t>
  </si>
  <si>
    <t>جمع</t>
  </si>
  <si>
    <t>تعداد</t>
  </si>
  <si>
    <t>مبلغ</t>
  </si>
  <si>
    <t>دلیل تعدیل</t>
  </si>
  <si>
    <t>نام اوراق بهادار</t>
  </si>
  <si>
    <t>درآمد سود سهام</t>
  </si>
  <si>
    <t>درآمد تغییر ارزش</t>
  </si>
  <si>
    <t>درآمد فروش</t>
  </si>
  <si>
    <t>درصد از کل درآمد ها</t>
  </si>
  <si>
    <t>سود سپرده بانکی و گواهی سپرده</t>
  </si>
  <si>
    <t>درصد از کل درآمدها</t>
  </si>
  <si>
    <t>خالص ارزش فروش</t>
  </si>
  <si>
    <t>درصد به کل دارایی‌ها</t>
  </si>
  <si>
    <t>درصد به کل  دارایی‌ها</t>
  </si>
  <si>
    <t>سهام</t>
  </si>
  <si>
    <t>1- سرمایه گذاری ها</t>
  </si>
  <si>
    <t>1-1-سرمایه‌گذاری در سهام و حق تقدم سهام</t>
  </si>
  <si>
    <t>2- درآمد حاصل از سرمایه گذاری ها</t>
  </si>
  <si>
    <t>سایر درآمدها</t>
  </si>
  <si>
    <t>قیمت بازار هر سهم</t>
  </si>
  <si>
    <t>نام سهام</t>
  </si>
  <si>
    <t>تعداد اوراق تبعی</t>
  </si>
  <si>
    <t xml:space="preserve">قیمت اعمال </t>
  </si>
  <si>
    <t>تاریخ اعمال</t>
  </si>
  <si>
    <t xml:space="preserve">نرخ سود مؤثر </t>
  </si>
  <si>
    <t>(بر اساس دستورالعمل نحوه تعیین قیمت خرید و فروش اوراق بهادار در صندوق های سرمایه گذاری)</t>
  </si>
  <si>
    <t>اوراق بهاداری که ارزش آنها در تاریخ گزارش تعدیل شده</t>
  </si>
  <si>
    <t>درصد تعدیل</t>
  </si>
  <si>
    <t>خالص ارزش فروش تعدیل شده</t>
  </si>
  <si>
    <t xml:space="preserve">قیمت تعدیل شده </t>
  </si>
  <si>
    <t xml:space="preserve">قیمت پایانی  </t>
  </si>
  <si>
    <t>افزایش</t>
  </si>
  <si>
    <t>شرح</t>
  </si>
  <si>
    <t>یادداشت</t>
  </si>
  <si>
    <t>تاریخ تشکیل مجمع</t>
  </si>
  <si>
    <t>سود متعلق به هر سهم</t>
  </si>
  <si>
    <t>جمع درآمد سود سهام</t>
  </si>
  <si>
    <t>هزینه تنزیل</t>
  </si>
  <si>
    <t>خالص درآمد سود سهام</t>
  </si>
  <si>
    <t>تعداد سهام متعلقه در زمان مجمع</t>
  </si>
  <si>
    <t>اطلاعات مجمع</t>
  </si>
  <si>
    <t>خالص درآمد</t>
  </si>
  <si>
    <t>درآمد ناشی از تغییر قیمت اوراق بهادار</t>
  </si>
  <si>
    <t>ارزش دفتری</t>
  </si>
  <si>
    <t>سود و زیان ناشی از تغییر قیمت</t>
  </si>
  <si>
    <t>سود و زیان ناشی از فروش</t>
  </si>
  <si>
    <t>درآمد حاصل از سرمایه گذاری در سهام و حق تقدم سهام</t>
  </si>
  <si>
    <t>درآمد حاصل از سرمایه گذاری در سپرده بانکی و گواهی سپرده</t>
  </si>
  <si>
    <t>سود(زیان) حاصل از فروش اوراق بهادار</t>
  </si>
  <si>
    <t>مبلغ فروش</t>
  </si>
  <si>
    <t xml:space="preserve">صورت وضعیت پرتفوی </t>
  </si>
  <si>
    <t>اطلاعات آماری مرتبط با اوراق اختیار فروش تبعی خریداری شده توسط صندوق سرمایه گذاری:</t>
  </si>
  <si>
    <t>2-2</t>
  </si>
  <si>
    <t xml:space="preserve">صورت وضعیت درآمدها </t>
  </si>
  <si>
    <t xml:space="preserve">درآمد سود </t>
  </si>
  <si>
    <t>یادداشت ...</t>
  </si>
  <si>
    <t xml:space="preserve"> </t>
  </si>
  <si>
    <t>درصد از کل دارایی ها</t>
  </si>
  <si>
    <t>تعداد اوراق</t>
  </si>
  <si>
    <t>مدیر صندوق</t>
  </si>
  <si>
    <t>اطلاعات آماری مرتبط با موقعیت های اخذ شده در اوراق اختیار معامله توسط صندوق سرمایه گذاری:</t>
  </si>
  <si>
    <t>نوع موقعیت</t>
  </si>
  <si>
    <t>نوع اختیار</t>
  </si>
  <si>
    <t>استراتژی ماخوذه</t>
  </si>
  <si>
    <t>سود سپرده بانکی</t>
  </si>
  <si>
    <t xml:space="preserve">افزایش سرمایه </t>
  </si>
  <si>
    <t>‫صورت وضعیت پورتفوی</t>
  </si>
  <si>
    <t>درآمد حاصل از سرمایه گذاری در اوراق مشتقه</t>
  </si>
  <si>
    <t>اوراق مشتقه</t>
  </si>
  <si>
    <t>کاهش</t>
  </si>
  <si>
    <t>سرمایه گذاری قابل معامله شاخصی بازار آشنا</t>
  </si>
  <si>
    <t>برای ماه منتهی به 1405/01/31</t>
  </si>
  <si>
    <t>1405/01/31</t>
  </si>
  <si>
    <t>گردشگري</t>
  </si>
  <si>
    <t>پاسارگاد</t>
  </si>
  <si>
    <t>1404/12/29</t>
  </si>
  <si>
    <t>اختيارف ت اروند-50625-05/10/01</t>
  </si>
  <si>
    <t>1405/10/01</t>
  </si>
  <si>
    <t>ذغال سنگ نگين طبس</t>
  </si>
  <si>
    <t>ايران خودرو</t>
  </si>
  <si>
    <t>سرمايه گذاري دارويي تامين</t>
  </si>
  <si>
    <t>فولاد مباركه اصفهان</t>
  </si>
  <si>
    <t>ملي صنايع مس ايران</t>
  </si>
  <si>
    <t>پالايش نفت تبريز</t>
  </si>
  <si>
    <t>پتروشيمي جم</t>
  </si>
  <si>
    <t>سيمان فارس و خوزستان</t>
  </si>
  <si>
    <t>پالايش نفت اصفهان</t>
  </si>
  <si>
    <t>معدني و صنعتي چادر ملو</t>
  </si>
  <si>
    <t>بانك ملت</t>
  </si>
  <si>
    <t>پتروشيمي شيراز</t>
  </si>
  <si>
    <t>سرمايه گذاري غدير (هلدينگ)</t>
  </si>
  <si>
    <t>آلياژ گستر هامون</t>
  </si>
  <si>
    <t>س. نفت و گاز و پتروشيمي تامين</t>
  </si>
  <si>
    <t>شركت گسترش نفت و گاز پارسيان</t>
  </si>
  <si>
    <t>سرمايه گذاري توسعه معادن و فلزات (هلدينگ)</t>
  </si>
  <si>
    <t>پتروشيمي اروند</t>
  </si>
  <si>
    <t>مجتمع كاشي و سنگ پرسپوليس يزد</t>
  </si>
  <si>
    <t>كيميا كالاي رازي</t>
  </si>
  <si>
    <t>صنايع پتروشيمي خليج فارس</t>
  </si>
  <si>
    <t>بانك اقتصاد نوين</t>
  </si>
  <si>
    <t>مبين انرژي خليج فارس</t>
  </si>
  <si>
    <t>آلومينيوم ايران</t>
  </si>
  <si>
    <t>پالايش نفت تهران</t>
  </si>
  <si>
    <t>پتروشيمي پارس</t>
  </si>
  <si>
    <t>سرمايه گذاري تامين اجتماعي</t>
  </si>
  <si>
    <t>پويا زركان آق دره</t>
  </si>
  <si>
    <t>سرمايه گذاري صندوق بازنشستگي كشوري (هلدينگ)</t>
  </si>
  <si>
    <t>پتروشيمي پرديس</t>
  </si>
  <si>
    <t>شركت پالايش نفت بندر عباس</t>
  </si>
  <si>
    <t>مس شهيد باهنر</t>
  </si>
  <si>
    <t>پتروشيمي نوري</t>
  </si>
  <si>
    <t>سرمايه گذاري صدرتامين</t>
  </si>
  <si>
    <t>سيمان شاهرود</t>
  </si>
  <si>
    <t>س. و توسعه صنايع لاستيك</t>
  </si>
  <si>
    <t>پارس مينو</t>
  </si>
  <si>
    <t>بانك تجارت</t>
  </si>
  <si>
    <t>گروه مالي نماد غدير(سهامي عام)</t>
  </si>
  <si>
    <t>پست بانك ايران</t>
  </si>
  <si>
    <t>گروه مپنا</t>
  </si>
  <si>
    <t>صنايع غذايي رضوي</t>
  </si>
  <si>
    <t>ذوب آهن اصفهان</t>
  </si>
  <si>
    <t>گروه صنعتي درپاد تبريز</t>
  </si>
  <si>
    <t>اختيارف خودرو-550-1404/11/01</t>
  </si>
  <si>
    <t>اختيارخ خودرو-700-1404/11/01</t>
  </si>
  <si>
    <t>اختيارخ شستا-1810-1404/10/10</t>
  </si>
  <si>
    <t>اختيارف شستا-1610-1404/10/10</t>
  </si>
  <si>
    <t>اختيارف شستا-1710-1404/10/10</t>
  </si>
  <si>
    <t>اختيارف خودرو-600-1404/11/01</t>
  </si>
  <si>
    <t>اختيارخ ذوب-450-1404/11/21</t>
  </si>
  <si>
    <t>اختيارخ خودرو-750-1404/11/01</t>
  </si>
  <si>
    <t>اختيارخ ذوب-500-1404/11/21</t>
  </si>
  <si>
    <t>ملي مس</t>
  </si>
  <si>
    <t>اختيارخ خودرو-600-1404/11/01</t>
  </si>
  <si>
    <t>اختيارخ وبملت-1100-1404/10/17</t>
  </si>
  <si>
    <t>نفت تبريز</t>
  </si>
  <si>
    <t>اختيارخ فولاد-4000-1404/11/08</t>
  </si>
  <si>
    <t>صندوق بازنشستگي</t>
  </si>
  <si>
    <t>اختيارخ شستا-1610-1404/11/08</t>
  </si>
  <si>
    <t>اختيارخ وبملت-1600-1404/11/21</t>
  </si>
  <si>
    <t>اختيارخ خودرو-650-1404/11/01</t>
  </si>
  <si>
    <t>پتروشیمی تامین</t>
  </si>
  <si>
    <t>نفت بندر عباس</t>
  </si>
  <si>
    <t>اختيارخ شپنا-8000-1404/12/24</t>
  </si>
  <si>
    <t>اختيارخ وبملت-1900-1404/11/21</t>
  </si>
  <si>
    <t>مپنا</t>
  </si>
  <si>
    <t>اختيارف اهرم-42000-1404/11/29</t>
  </si>
  <si>
    <t>اختيارخ خودرو-700-1404/12/06</t>
  </si>
  <si>
    <t>اختيارخ فزر-120000-14041112</t>
  </si>
  <si>
    <t>اختيارخ شستا-2010-1404/11/08</t>
  </si>
  <si>
    <t>اختيارخ وبملت-1800-1404/11/21</t>
  </si>
  <si>
    <t>اختيارخ وبملت-1700-1404/11/21</t>
  </si>
  <si>
    <t>ذوب آهن  اصفهان</t>
  </si>
  <si>
    <t>نفت و گاز پارسیان</t>
  </si>
  <si>
    <t>فولاد مباركه</t>
  </si>
  <si>
    <t>اختيارخ وبملت-1500-1404/11/21</t>
  </si>
  <si>
    <t>سرمايه گذاري غدير</t>
  </si>
  <si>
    <t>نفت تهران</t>
  </si>
  <si>
    <t>اختيارخ فزر-110000-14041112</t>
  </si>
  <si>
    <t>اختيارف شستا-1210-1404/12/13</t>
  </si>
  <si>
    <t>اختيارخ وبملت-1400-1404/11/21</t>
  </si>
  <si>
    <t>اختيارف وبملت-1100-1404/11/21</t>
  </si>
  <si>
    <t>اختيارف وبملت-900-1404/12/24</t>
  </si>
  <si>
    <t>اختيارخ فزر-120750-14041210</t>
  </si>
  <si>
    <t>اختيارف شستا-1510-1404/12/13</t>
  </si>
  <si>
    <t>اختيارخ وبملت-1300-1404/11/21</t>
  </si>
  <si>
    <t>اختيارخ شستا-2010-1404/12/13</t>
  </si>
  <si>
    <t>اختيارخ وبملت-1600-1404/12/24</t>
  </si>
  <si>
    <t>اختيارخ وبملت-1400-1404/12/24</t>
  </si>
  <si>
    <t>اختيارخ شستا-1710-1404/12/13</t>
  </si>
  <si>
    <t>اختيارخ وبملت-1300-1404/10/17</t>
  </si>
  <si>
    <t>اختيارخ شپنا-8000-1404/12/19</t>
  </si>
  <si>
    <t>اختيارخ فزر-130000-14041210</t>
  </si>
  <si>
    <t>اختيارف وبملت-900-1404/12/19</t>
  </si>
  <si>
    <t>اختيارخ فزر-100000-14041210</t>
  </si>
  <si>
    <t>اختيارخ وبملت-1600-1404/12/19</t>
  </si>
  <si>
    <t>اختيارخ وبملت-1400-1404/12/19</t>
  </si>
  <si>
    <t>اختيارخ فزر-90750-14041210</t>
  </si>
  <si>
    <t>اقتصاد نوين</t>
  </si>
  <si>
    <t>توسعه‌معادن‌وفلزات‌</t>
  </si>
  <si>
    <t>سرمايه گذاري صدرتامين (تقدم)</t>
  </si>
  <si>
    <t>نفت اصفهان</t>
  </si>
  <si>
    <t>نگين طبس</t>
  </si>
  <si>
    <t>پتروشيمی پردیس</t>
  </si>
  <si>
    <t>چادرملو</t>
  </si>
  <si>
    <t>1404/12/10</t>
  </si>
  <si>
    <t>1404/10/23</t>
  </si>
  <si>
    <t>1404/11/28</t>
  </si>
  <si>
    <t>اختيار معامله خرید</t>
  </si>
  <si>
    <t>موقعیت فروش</t>
  </si>
  <si>
    <t/>
  </si>
  <si>
    <t>1405/02/13</t>
  </si>
  <si>
    <t>موقعیت خرید</t>
  </si>
  <si>
    <t>اختيار معامله فروش</t>
  </si>
  <si>
    <t>صندوق ‫سرمایه گذاری قابل معامله شاخصی بازار آشنا</t>
  </si>
  <si>
    <t>رکن صندوق</t>
  </si>
  <si>
    <t>نماینده</t>
  </si>
  <si>
    <t xml:space="preserve">امضا </t>
  </si>
  <si>
    <t>شرکت سبدگردان سهم آشنا</t>
  </si>
  <si>
    <t>‫برای ماه منتهی به 1405/01/31</t>
  </si>
  <si>
    <t>مهدی فرحی</t>
  </si>
  <si>
    <t>تغییرات طی فروردین ماه</t>
  </si>
  <si>
    <t>خرید طی فروردین ماه</t>
  </si>
  <si>
    <t>فروش طی فروردین ماه</t>
  </si>
  <si>
    <t>نام اختیار معامله</t>
  </si>
  <si>
    <t>تصمیم مدیران سرمایه گذاری صندوق</t>
  </si>
  <si>
    <t>نام بانک</t>
  </si>
  <si>
    <t>1-2- سرمایه‌گذاری در  سپرده‌ بانکی</t>
  </si>
  <si>
    <t>2-1-درآمد حاصل از سرمایه­گذاری در سهام و حق تقدم سهام:</t>
  </si>
  <si>
    <t>طی فروردین ماه</t>
  </si>
  <si>
    <t>از ابتدای سال مالی تا پایان فروردین ماه</t>
  </si>
  <si>
    <t>نقل به صفحه بعد</t>
  </si>
  <si>
    <t>نقل از صفحه قبل</t>
  </si>
  <si>
    <t>2-2-درآمد حاصل از سرمایه­گذاری در سپرده بانکی و گواهی سپرده:</t>
  </si>
  <si>
    <t>درصد سود به کل سود سپرده</t>
  </si>
  <si>
    <t>2-3-درآمد حاصل از سرمایه­گذاری در اوراق مشتقه:</t>
  </si>
  <si>
    <t>2-4-سایر درآمدها:</t>
  </si>
  <si>
    <t>تعدیل کارمزد کارگزاری</t>
  </si>
  <si>
    <t>2-1</t>
  </si>
  <si>
    <t>2-3</t>
  </si>
  <si>
    <t>2-4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</si>
</sst>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 * #,##0_-_ ;_ * #,##0\-_ ;_ * &quot;-&quot;??_-_ ;_ @_ "/>
    <numFmt numFmtId="165" formatCode="#,##0;[Red]\(#,##0\);0"/>
    <numFmt numFmtId="166" formatCode="0.00%;[Red]\(0.00%\);0%"/>
    <numFmt numFmtId="172" formatCode="0%;[Red]\(0%\);0%"/>
  </numFmts>
  <fonts count="17">
    <font>
      <sz val="11"/>
      <color theme="1"/>
      <name val="Arial"/>
      <family val="2"/>
      <charset val="178"/>
      <scheme val="minor"/>
    </font>
    <font>
      <sz val="11"/>
      <color theme="1"/>
      <name val="B Zar"/>
      <charset val="178"/>
    </font>
    <font>
      <b/>
      <sz val="11"/>
      <color theme="1"/>
      <name val="B Zar"/>
      <charset val="178"/>
    </font>
    <font>
      <b/>
      <sz val="12"/>
      <color theme="1"/>
      <name val="B Zar"/>
      <charset val="178"/>
    </font>
    <font>
      <b/>
      <sz val="10"/>
      <color rgb="FF000000"/>
      <name val="B Zar"/>
      <charset val="178"/>
    </font>
    <font>
      <sz val="11"/>
      <color theme="1"/>
      <name val="Arial"/>
      <family val="2"/>
      <charset val="178"/>
      <scheme val="minor"/>
    </font>
    <font>
      <sz val="11"/>
      <color indexed="8"/>
      <name val="Arial"/>
      <family val="2"/>
      <scheme val="minor"/>
    </font>
    <font>
      <b/>
      <u/>
      <sz val="18"/>
      <name val="B Zar"/>
      <charset val="178"/>
    </font>
    <font>
      <sz val="11"/>
      <color indexed="8"/>
      <name val="B Zar"/>
      <charset val="178"/>
    </font>
    <font>
      <b/>
      <sz val="13"/>
      <color rgb="FFFFFFFF"/>
      <name val="B Zar"/>
      <charset val="178"/>
    </font>
    <font>
      <b/>
      <sz val="13"/>
      <color theme="1"/>
      <name val="B Zar"/>
      <charset val="178"/>
    </font>
    <font>
      <sz val="10"/>
      <color theme="1"/>
      <name val="B Zar"/>
      <charset val="178"/>
    </font>
    <font>
      <b/>
      <sz val="12"/>
      <color rgb="FF0062AC"/>
      <name val="B Zar"/>
      <charset val="178"/>
    </font>
    <font>
      <b/>
      <sz val="10"/>
      <color theme="1"/>
      <name val="B Zar"/>
      <charset val="178"/>
    </font>
    <font>
      <sz val="10"/>
      <color indexed="8"/>
      <name val="B Zar"/>
      <charset val="178"/>
    </font>
    <font>
      <sz val="7"/>
      <color rgb="FF000000"/>
      <name val="Yekan"/>
    </font>
    <font>
      <b/>
      <sz val="10"/>
      <color rgb="FF0062AC"/>
      <name val="B Zar"/>
      <charset val="178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43" fontId="5" fillId="0" borderId="0" applyFont="0" applyFill="0" applyBorder="0" applyAlignment="0" applyProtection="0"/>
    <xf numFmtId="0" fontId="6" fillId="0" borderId="0"/>
  </cellStyleXfs>
  <cellXfs count="90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 wrapText="1" readingOrder="2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 wrapText="1" readingOrder="2"/>
    </xf>
    <xf numFmtId="37" fontId="7" fillId="0" borderId="0" xfId="2" applyNumberFormat="1" applyFont="1" applyAlignment="1">
      <alignment horizontal="center" vertical="center"/>
    </xf>
    <xf numFmtId="0" fontId="8" fillId="0" borderId="0" xfId="2" applyFont="1"/>
    <xf numFmtId="0" fontId="8" fillId="0" borderId="0" xfId="2" applyFont="1"/>
    <xf numFmtId="0" fontId="9" fillId="2" borderId="0" xfId="2" applyFont="1" applyFill="1" applyAlignment="1">
      <alignment horizontal="center" vertical="center" wrapText="1" readingOrder="2"/>
    </xf>
    <xf numFmtId="0" fontId="10" fillId="0" borderId="0" xfId="2" applyFont="1" applyAlignment="1">
      <alignment horizontal="center" vertical="center" wrapText="1" readingOrder="2"/>
    </xf>
    <xf numFmtId="0" fontId="12" fillId="0" borderId="0" xfId="0" applyFont="1" applyAlignment="1">
      <alignment horizontal="right" vertical="center" readingOrder="2"/>
    </xf>
    <xf numFmtId="0" fontId="13" fillId="0" borderId="0" xfId="0" applyFont="1" applyAlignment="1">
      <alignment horizontal="center" vertical="center" wrapText="1" readingOrder="2"/>
    </xf>
    <xf numFmtId="0" fontId="13" fillId="0" borderId="1" xfId="0" applyFont="1" applyBorder="1" applyAlignment="1">
      <alignment horizontal="center" vertical="center" wrapText="1" readingOrder="2"/>
    </xf>
    <xf numFmtId="0" fontId="11" fillId="0" borderId="0" xfId="0" applyFont="1" applyAlignment="1">
      <alignment horizontal="center" vertical="center" wrapText="1" readingOrder="2"/>
    </xf>
    <xf numFmtId="0" fontId="11" fillId="0" borderId="0" xfId="0" applyFont="1" applyAlignment="1">
      <alignment horizontal="center" vertical="center" readingOrder="2"/>
    </xf>
    <xf numFmtId="0" fontId="11" fillId="0" borderId="2" xfId="0" applyFont="1" applyBorder="1" applyAlignment="1">
      <alignment horizontal="center" vertical="center" wrapText="1" readingOrder="2"/>
    </xf>
    <xf numFmtId="0" fontId="11" fillId="0" borderId="2" xfId="0" applyFont="1" applyBorder="1" applyAlignment="1">
      <alignment horizontal="center" vertical="center" readingOrder="2"/>
    </xf>
    <xf numFmtId="0" fontId="11" fillId="0" borderId="1" xfId="0" applyFont="1" applyBorder="1" applyAlignment="1">
      <alignment horizontal="center" vertical="center" wrapText="1" readingOrder="2"/>
    </xf>
    <xf numFmtId="0" fontId="11" fillId="0" borderId="1" xfId="0" applyFont="1" applyBorder="1" applyAlignment="1">
      <alignment horizontal="center" vertical="center" readingOrder="2"/>
    </xf>
    <xf numFmtId="0" fontId="11" fillId="0" borderId="1" xfId="0" applyFont="1" applyBorder="1" applyAlignment="1">
      <alignment horizontal="center" vertical="center" readingOrder="2"/>
    </xf>
    <xf numFmtId="0" fontId="13" fillId="0" borderId="1" xfId="0" applyFont="1" applyBorder="1" applyAlignment="1">
      <alignment horizontal="center" vertical="center" wrapText="1" readingOrder="2"/>
    </xf>
    <xf numFmtId="0" fontId="11" fillId="0" borderId="0" xfId="0" applyFont="1" applyAlignment="1">
      <alignment vertical="center"/>
    </xf>
    <xf numFmtId="0" fontId="11" fillId="0" borderId="2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65" fontId="14" fillId="0" borderId="0" xfId="0" applyNumberFormat="1" applyFont="1" applyAlignment="1">
      <alignment vertical="center"/>
    </xf>
    <xf numFmtId="165" fontId="14" fillId="0" borderId="0" xfId="0" applyNumberFormat="1" applyFont="1" applyAlignment="1">
      <alignment horizontal="center" vertical="center"/>
    </xf>
    <xf numFmtId="166" fontId="14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3" fontId="15" fillId="0" borderId="0" xfId="0" applyNumberFormat="1" applyFont="1"/>
    <xf numFmtId="3" fontId="11" fillId="0" borderId="0" xfId="0" applyNumberFormat="1" applyFont="1" applyAlignment="1">
      <alignment vertical="center"/>
    </xf>
    <xf numFmtId="165" fontId="14" fillId="0" borderId="5" xfId="0" applyNumberFormat="1" applyFont="1" applyBorder="1" applyAlignment="1">
      <alignment horizontal="center" vertical="center"/>
    </xf>
    <xf numFmtId="166" fontId="14" fillId="0" borderId="5" xfId="0" applyNumberFormat="1" applyFont="1" applyBorder="1" applyAlignment="1">
      <alignment horizontal="center" vertical="center"/>
    </xf>
    <xf numFmtId="0" fontId="12" fillId="0" borderId="0" xfId="0" applyFont="1" applyBorder="1" applyAlignment="1">
      <alignment vertical="center" readingOrder="2"/>
    </xf>
    <xf numFmtId="0" fontId="12" fillId="0" borderId="0" xfId="0" applyFont="1" applyAlignment="1">
      <alignment vertical="center" readingOrder="2"/>
    </xf>
    <xf numFmtId="0" fontId="11" fillId="0" borderId="0" xfId="0" applyFont="1" applyAlignment="1">
      <alignment vertical="center" wrapText="1" readingOrder="2"/>
    </xf>
    <xf numFmtId="0" fontId="13" fillId="0" borderId="0" xfId="0" applyFont="1" applyAlignment="1">
      <alignment vertical="center"/>
    </xf>
    <xf numFmtId="0" fontId="13" fillId="0" borderId="0" xfId="0" applyFont="1" applyBorder="1" applyAlignment="1">
      <alignment vertical="center"/>
    </xf>
    <xf numFmtId="0" fontId="11" fillId="0" borderId="0" xfId="0" applyFont="1" applyBorder="1" applyAlignment="1">
      <alignment vertical="center"/>
    </xf>
    <xf numFmtId="0" fontId="13" fillId="0" borderId="0" xfId="0" applyFont="1" applyBorder="1" applyAlignment="1">
      <alignment horizontal="center" vertical="center" readingOrder="2"/>
    </xf>
    <xf numFmtId="0" fontId="13" fillId="0" borderId="3" xfId="0" applyFont="1" applyBorder="1" applyAlignment="1">
      <alignment horizontal="center" vertical="center"/>
    </xf>
    <xf numFmtId="0" fontId="16" fillId="0" borderId="0" xfId="0" applyFont="1" applyAlignment="1">
      <alignment horizontal="right" vertical="center" readingOrder="2"/>
    </xf>
    <xf numFmtId="0" fontId="11" fillId="0" borderId="0" xfId="0" applyFont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65" fontId="14" fillId="0" borderId="0" xfId="0" applyNumberFormat="1" applyFont="1" applyAlignment="1">
      <alignment horizontal="center" vertical="center"/>
    </xf>
    <xf numFmtId="165" fontId="1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 readingOrder="2"/>
    </xf>
    <xf numFmtId="0" fontId="13" fillId="0" borderId="2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 readingOrder="2"/>
    </xf>
    <xf numFmtId="0" fontId="13" fillId="0" borderId="2" xfId="0" applyFont="1" applyBorder="1" applyAlignment="1">
      <alignment horizontal="center" vertical="center" wrapText="1" readingOrder="2"/>
    </xf>
    <xf numFmtId="0" fontId="13" fillId="0" borderId="1" xfId="0" applyFont="1" applyBorder="1" applyAlignment="1">
      <alignment horizontal="center" vertical="center" readingOrder="2"/>
    </xf>
    <xf numFmtId="0" fontId="13" fillId="0" borderId="1" xfId="0" applyFont="1" applyBorder="1" applyAlignment="1">
      <alignment horizontal="center" vertical="center"/>
    </xf>
    <xf numFmtId="0" fontId="12" fillId="0" borderId="0" xfId="0" applyFont="1" applyAlignment="1">
      <alignment horizontal="right" vertical="center" readingOrder="2"/>
    </xf>
    <xf numFmtId="0" fontId="11" fillId="0" borderId="0" xfId="0" applyFont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 readingOrder="2"/>
    </xf>
    <xf numFmtId="0" fontId="11" fillId="0" borderId="1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 readingOrder="2"/>
    </xf>
    <xf numFmtId="0" fontId="4" fillId="0" borderId="0" xfId="0" applyFont="1" applyAlignment="1">
      <alignment vertical="center" wrapText="1" readingOrder="2"/>
    </xf>
    <xf numFmtId="0" fontId="11" fillId="0" borderId="1" xfId="0" applyFont="1" applyBorder="1" applyAlignment="1">
      <alignment vertical="center"/>
    </xf>
    <xf numFmtId="165" fontId="14" fillId="0" borderId="4" xfId="0" applyNumberFormat="1" applyFont="1" applyBorder="1" applyAlignment="1">
      <alignment horizontal="center" vertical="center"/>
    </xf>
    <xf numFmtId="166" fontId="14" fillId="0" borderId="4" xfId="0" applyNumberFormat="1" applyFont="1" applyBorder="1" applyAlignment="1">
      <alignment horizontal="center" vertical="center"/>
    </xf>
    <xf numFmtId="165" fontId="14" fillId="0" borderId="0" xfId="0" applyNumberFormat="1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 wrapText="1" readingOrder="2"/>
    </xf>
    <xf numFmtId="0" fontId="11" fillId="0" borderId="0" xfId="0" applyFont="1" applyAlignment="1">
      <alignment vertical="center" wrapText="1"/>
    </xf>
    <xf numFmtId="0" fontId="13" fillId="0" borderId="1" xfId="0" applyFont="1" applyBorder="1" applyAlignment="1">
      <alignment horizontal="center" vertical="center" wrapText="1"/>
    </xf>
    <xf numFmtId="172" fontId="14" fillId="0" borderId="5" xfId="0" applyNumberFormat="1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 wrapText="1"/>
    </xf>
    <xf numFmtId="164" fontId="4" fillId="0" borderId="2" xfId="1" applyNumberFormat="1" applyFont="1" applyBorder="1" applyAlignment="1">
      <alignment horizontal="center" vertical="center" wrapText="1" readingOrder="2"/>
    </xf>
    <xf numFmtId="164" fontId="4" fillId="0" borderId="1" xfId="1" applyNumberFormat="1" applyFont="1" applyBorder="1" applyAlignment="1">
      <alignment horizontal="center" vertical="center" wrapText="1" readingOrder="2"/>
    </xf>
    <xf numFmtId="0" fontId="1" fillId="0" borderId="0" xfId="0" applyFont="1" applyAlignment="1">
      <alignment vertical="center"/>
    </xf>
    <xf numFmtId="164" fontId="1" fillId="0" borderId="0" xfId="1" applyNumberFormat="1" applyFont="1" applyAlignment="1">
      <alignment vertical="center"/>
    </xf>
    <xf numFmtId="0" fontId="1" fillId="0" borderId="0" xfId="0" applyFont="1" applyAlignment="1">
      <alignment horizontal="center" vertical="center"/>
    </xf>
    <xf numFmtId="3" fontId="1" fillId="0" borderId="0" xfId="0" applyNumberFormat="1" applyFont="1" applyAlignment="1">
      <alignment vertical="center"/>
    </xf>
    <xf numFmtId="0" fontId="4" fillId="0" borderId="1" xfId="0" applyFont="1" applyBorder="1" applyAlignment="1">
      <alignment horizontal="right" vertical="center" wrapText="1" readingOrder="2"/>
    </xf>
    <xf numFmtId="0" fontId="2" fillId="0" borderId="0" xfId="0" applyFont="1" applyAlignment="1">
      <alignment horizontal="right" vertical="center" readingOrder="2"/>
    </xf>
    <xf numFmtId="49" fontId="1" fillId="0" borderId="0" xfId="0" applyNumberFormat="1" applyFont="1" applyAlignment="1">
      <alignment horizontal="center" vertical="center" readingOrder="2"/>
    </xf>
    <xf numFmtId="0" fontId="1" fillId="0" borderId="0" xfId="0" applyFont="1" applyAlignment="1">
      <alignment horizontal="right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readingOrder="2"/>
    </xf>
    <xf numFmtId="0" fontId="12" fillId="0" borderId="1" xfId="0" applyFont="1" applyBorder="1" applyAlignment="1">
      <alignment horizontal="center" vertical="center" readingOrder="2"/>
    </xf>
    <xf numFmtId="0" fontId="2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165" fontId="1" fillId="0" borderId="0" xfId="0" applyNumberFormat="1" applyFont="1" applyBorder="1" applyAlignment="1">
      <alignment horizontal="center" vertical="center" wrapText="1"/>
    </xf>
  </cellXfs>
  <cellStyles count="3">
    <cellStyle name="Comma" xfId="1" builtinId="3"/>
    <cellStyle name="Normal" xfId="0" builtinId="0"/>
    <cellStyle name="Normal 2" xfId="2" xr:uid="{59B30B09-417B-4FB5-ABA7-08F8D19531C5}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png"/><Relationship Id="rId1" Type="http://schemas.openxmlformats.org/officeDocument/2006/relationships/image" Target="../media/image9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270330</xdr:colOff>
      <xdr:row>6</xdr:row>
      <xdr:rowOff>76200</xdr:rowOff>
    </xdr:from>
    <xdr:to>
      <xdr:col>6</xdr:col>
      <xdr:colOff>235378</xdr:colOff>
      <xdr:row>13</xdr:row>
      <xdr:rowOff>155575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B564EF0-69DE-48B8-914F-C415A073C9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06996662" y="1493520"/>
          <a:ext cx="1999588" cy="17329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0</xdr:col>
      <xdr:colOff>1008738</xdr:colOff>
      <xdr:row>3</xdr:row>
      <xdr:rowOff>87086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6C59510-C182-4A62-903F-FB528BBB43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21991748" y="0"/>
          <a:ext cx="1008737" cy="87085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1008737</xdr:colOff>
      <xdr:row>3</xdr:row>
      <xdr:rowOff>87086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B4F569E-48DB-4F84-96DD-86AC9A2A76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21110006" y="0"/>
          <a:ext cx="1008737" cy="87085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1008737</xdr:colOff>
      <xdr:row>3</xdr:row>
      <xdr:rowOff>89775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B27886C-0A27-4C90-B879-F8DF0890C8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63489743" y="0"/>
          <a:ext cx="1008737" cy="86701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1008737</xdr:colOff>
      <xdr:row>3</xdr:row>
      <xdr:rowOff>87787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14DD73E-847E-4468-A0D5-581AD0D498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65272823" y="0"/>
          <a:ext cx="1008737" cy="865027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1008737</xdr:colOff>
      <xdr:row>3</xdr:row>
      <xdr:rowOff>97947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DF35B96-BDEB-4A01-A834-3A2F0DC018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229883" y="0"/>
          <a:ext cx="1008737" cy="875187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1008737</xdr:colOff>
      <xdr:row>3</xdr:row>
      <xdr:rowOff>97947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2992A05-3EC0-4CBF-98DA-85E51D288D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67094003" y="0"/>
          <a:ext cx="1008737" cy="875187"/>
        </a:xfrm>
        <a:prstGeom prst="rect">
          <a:avLst/>
        </a:prstGeom>
      </xdr:spPr>
    </xdr:pic>
    <xdr:clientData/>
  </xdr:twoCellAnchor>
  <xdr:oneCellAnchor>
    <xdr:from>
      <xdr:col>0</xdr:col>
      <xdr:colOff>0</xdr:colOff>
      <xdr:row>37</xdr:row>
      <xdr:rowOff>0</xdr:rowOff>
    </xdr:from>
    <xdr:ext cx="1008737" cy="887656"/>
    <xdr:pic>
      <xdr:nvPicPr>
        <xdr:cNvPr id="3" name="Picture 2">
          <a:extLst>
            <a:ext uri="{FF2B5EF4-FFF2-40B4-BE49-F238E27FC236}">
              <a16:creationId xmlns:a16="http://schemas.microsoft.com/office/drawing/2014/main" id="{3D34E085-001D-4E2F-AA55-11F0469117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56698245" y="0"/>
          <a:ext cx="1008737" cy="887656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1008737</xdr:colOff>
      <xdr:row>3</xdr:row>
      <xdr:rowOff>110416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ABE9FC3-1EA1-4584-8C8F-A401FA816E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64015523" y="0"/>
          <a:ext cx="1008737" cy="887656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1008737</xdr:colOff>
      <xdr:row>3</xdr:row>
      <xdr:rowOff>110416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F389AEB-02B8-412A-8594-65A3F9469C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2944383" y="0"/>
          <a:ext cx="1008737" cy="887656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1008737</xdr:colOff>
      <xdr:row>3</xdr:row>
      <xdr:rowOff>95176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8990222-3307-4D97-BA8D-512C13831A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89629683" y="0"/>
          <a:ext cx="1008737" cy="872416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1008737</xdr:colOff>
      <xdr:row>3</xdr:row>
      <xdr:rowOff>88645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270EF14-9C04-4C59-8EC3-5E749FA694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20304463" y="0"/>
          <a:ext cx="1008737" cy="872416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0</xdr:col>
      <xdr:colOff>952500</xdr:colOff>
      <xdr:row>3</xdr:row>
      <xdr:rowOff>101905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8DAADC3-A16C-46B2-92FF-D1273B587B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2947280" y="1"/>
          <a:ext cx="952500" cy="810564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1074517</xdr:colOff>
      <xdr:row>3</xdr:row>
      <xdr:rowOff>130629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73A88E5-1001-41B4-8020-55C3DD9AA7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65114026" y="0"/>
          <a:ext cx="1074517" cy="914400"/>
        </a:xfrm>
        <a:prstGeom prst="rect">
          <a:avLst/>
        </a:prstGeom>
      </xdr:spPr>
    </xdr:pic>
    <xdr:clientData/>
  </xdr:twoCellAnchor>
  <xdr:oneCellAnchor>
    <xdr:from>
      <xdr:col>0</xdr:col>
      <xdr:colOff>0</xdr:colOff>
      <xdr:row>47</xdr:row>
      <xdr:rowOff>0</xdr:rowOff>
    </xdr:from>
    <xdr:ext cx="1074517" cy="892629"/>
    <xdr:pic>
      <xdr:nvPicPr>
        <xdr:cNvPr id="3" name="Picture 2">
          <a:extLst>
            <a:ext uri="{FF2B5EF4-FFF2-40B4-BE49-F238E27FC236}">
              <a16:creationId xmlns:a16="http://schemas.microsoft.com/office/drawing/2014/main" id="{A7B4ADB3-D191-481F-9FDE-FB7E6CE057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35415983" y="0"/>
          <a:ext cx="1074517" cy="892629"/>
        </a:xfrm>
        <a:prstGeom prst="rect">
          <a:avLst/>
        </a:prstGeom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1074517</xdr:colOff>
      <xdr:row>3</xdr:row>
      <xdr:rowOff>124098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3B25FD4-E989-4616-8677-388800FFDE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67073454" y="0"/>
          <a:ext cx="1074517" cy="907869"/>
        </a:xfrm>
        <a:prstGeom prst="rect">
          <a:avLst/>
        </a:prstGeom>
      </xdr:spPr>
    </xdr:pic>
    <xdr:clientData/>
  </xdr:twoCellAnchor>
  <xdr:oneCellAnchor>
    <xdr:from>
      <xdr:col>0</xdr:col>
      <xdr:colOff>0</xdr:colOff>
      <xdr:row>53</xdr:row>
      <xdr:rowOff>0</xdr:rowOff>
    </xdr:from>
    <xdr:ext cx="1074517" cy="907869"/>
    <xdr:pic>
      <xdr:nvPicPr>
        <xdr:cNvPr id="3" name="Picture 2">
          <a:extLst>
            <a:ext uri="{FF2B5EF4-FFF2-40B4-BE49-F238E27FC236}">
              <a16:creationId xmlns:a16="http://schemas.microsoft.com/office/drawing/2014/main" id="{F19565D9-F5A7-4B75-ADC2-EA7F5DCE99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67073454" y="0"/>
          <a:ext cx="1074517" cy="907869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FF467-93C0-4324-B5C1-03ED5EA88394}">
  <sheetPr>
    <pageSetUpPr fitToPage="1"/>
  </sheetPr>
  <dimension ref="A18:J25"/>
  <sheetViews>
    <sheetView rightToLeft="1" tabSelected="1" view="pageBreakPreview" zoomScale="55" zoomScaleNormal="100" zoomScaleSheetLayoutView="55" workbookViewId="0">
      <selection activeCell="F25" sqref="F25:G25"/>
    </sheetView>
  </sheetViews>
  <sheetFormatPr defaultColWidth="8.8984375" defaultRowHeight="18.600000000000001"/>
  <cols>
    <col min="1" max="16384" width="8.8984375" style="10"/>
  </cols>
  <sheetData>
    <row r="18" spans="1:10" ht="40.200000000000003" customHeight="1">
      <c r="A18" s="8" t="s">
        <v>195</v>
      </c>
      <c r="B18" s="9"/>
      <c r="C18" s="9"/>
      <c r="D18" s="9"/>
      <c r="E18" s="9"/>
      <c r="F18" s="9"/>
      <c r="G18" s="9"/>
      <c r="H18" s="9"/>
      <c r="I18" s="9"/>
      <c r="J18" s="9"/>
    </row>
    <row r="19" spans="1:10" ht="40.200000000000003" customHeight="1">
      <c r="A19" s="8" t="s">
        <v>68</v>
      </c>
      <c r="B19" s="9"/>
      <c r="C19" s="9"/>
      <c r="D19" s="9"/>
      <c r="E19" s="9"/>
      <c r="F19" s="9"/>
      <c r="G19" s="9"/>
      <c r="H19" s="9"/>
      <c r="I19" s="9"/>
      <c r="J19" s="9"/>
    </row>
    <row r="20" spans="1:10" ht="40.200000000000003" customHeight="1">
      <c r="A20" s="8" t="s">
        <v>200</v>
      </c>
      <c r="B20" s="9"/>
      <c r="C20" s="9"/>
      <c r="D20" s="9"/>
      <c r="E20" s="9"/>
      <c r="F20" s="9"/>
      <c r="G20" s="9"/>
      <c r="H20" s="9"/>
      <c r="I20" s="9"/>
      <c r="J20" s="9"/>
    </row>
    <row r="24" spans="1:10" ht="43.5" customHeight="1">
      <c r="B24" s="11" t="s">
        <v>196</v>
      </c>
      <c r="C24" s="11"/>
      <c r="D24" s="11" t="s">
        <v>1</v>
      </c>
      <c r="E24" s="11"/>
      <c r="F24" s="11" t="s">
        <v>197</v>
      </c>
      <c r="G24" s="11"/>
      <c r="H24" s="11" t="s">
        <v>198</v>
      </c>
      <c r="I24" s="11"/>
    </row>
    <row r="25" spans="1:10" ht="39.75" customHeight="1">
      <c r="B25" s="12" t="s">
        <v>61</v>
      </c>
      <c r="C25" s="12"/>
      <c r="D25" s="12" t="s">
        <v>199</v>
      </c>
      <c r="E25" s="12"/>
      <c r="F25" s="12" t="s">
        <v>201</v>
      </c>
      <c r="G25" s="12"/>
      <c r="H25" s="12"/>
      <c r="I25" s="12"/>
    </row>
  </sheetData>
  <mergeCells count="11">
    <mergeCell ref="B25:C25"/>
    <mergeCell ref="D25:E25"/>
    <mergeCell ref="F25:G25"/>
    <mergeCell ref="H25:I25"/>
    <mergeCell ref="A18:J18"/>
    <mergeCell ref="A19:J19"/>
    <mergeCell ref="A20:J20"/>
    <mergeCell ref="B24:C24"/>
    <mergeCell ref="D24:E24"/>
    <mergeCell ref="F24:G24"/>
    <mergeCell ref="H24:I24"/>
  </mergeCells>
  <pageMargins left="0.7" right="0.7" top="0.75" bottom="0.75" header="0.3" footer="0.3"/>
  <pageSetup paperSize="9" scale="91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4"/>
  <sheetViews>
    <sheetView rightToLeft="1" view="pageBreakPreview" zoomScale="70" zoomScaleNormal="70" zoomScaleSheetLayoutView="70" workbookViewId="0">
      <selection activeCell="A6" sqref="A6:N6"/>
    </sheetView>
  </sheetViews>
  <sheetFormatPr defaultColWidth="9.09765625" defaultRowHeight="18"/>
  <cols>
    <col min="1" max="1" width="28.8984375" style="24" customWidth="1"/>
    <col min="2" max="2" width="12.3984375" style="24" customWidth="1"/>
    <col min="3" max="4" width="19.8984375" style="24" customWidth="1"/>
    <col min="5" max="5" width="11.8984375" style="24" customWidth="1"/>
    <col min="6" max="6" width="11.3984375" style="24" customWidth="1"/>
    <col min="7" max="7" width="20.8984375" style="24" customWidth="1"/>
    <col min="8" max="8" width="12.8984375" style="24" customWidth="1"/>
    <col min="9" max="9" width="16" style="24" customWidth="1"/>
    <col min="10" max="10" width="16.296875" style="24" customWidth="1"/>
    <col min="11" max="11" width="14" style="24" customWidth="1"/>
    <col min="12" max="12" width="21.8984375" style="24" customWidth="1"/>
    <col min="13" max="13" width="20" style="24" customWidth="1"/>
    <col min="14" max="14" width="13.3984375" style="24" customWidth="1"/>
    <col min="15" max="16384" width="9.09765625" style="24"/>
  </cols>
  <sheetData>
    <row r="1" spans="1:14" ht="20.399999999999999">
      <c r="A1" s="6" t="s">
        <v>72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</row>
    <row r="2" spans="1:14" ht="20.399999999999999">
      <c r="A2" s="6" t="s">
        <v>52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</row>
    <row r="3" spans="1:14" ht="20.399999999999999">
      <c r="A3" s="6" t="s">
        <v>73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</row>
    <row r="4" spans="1:14" ht="20.399999999999999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</row>
    <row r="5" spans="1:14" ht="20.399999999999999">
      <c r="A5" s="13" t="s">
        <v>17</v>
      </c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</row>
    <row r="6" spans="1:14" ht="20.399999999999999">
      <c r="A6" s="13" t="s">
        <v>18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</row>
    <row r="8" spans="1:14" ht="18.75" customHeight="1" thickBot="1">
      <c r="A8" s="14"/>
      <c r="B8" s="15" t="s">
        <v>77</v>
      </c>
      <c r="C8" s="15"/>
      <c r="D8" s="15"/>
      <c r="E8" s="15" t="s">
        <v>202</v>
      </c>
      <c r="F8" s="15"/>
      <c r="G8" s="15"/>
      <c r="H8" s="15"/>
      <c r="I8" s="15"/>
      <c r="J8" s="15" t="s">
        <v>74</v>
      </c>
      <c r="K8" s="15"/>
      <c r="L8" s="15"/>
      <c r="M8" s="15"/>
      <c r="N8" s="15"/>
    </row>
    <row r="9" spans="1:14" ht="17.25" customHeight="1">
      <c r="A9" s="16" t="s">
        <v>1</v>
      </c>
      <c r="B9" s="17" t="s">
        <v>3</v>
      </c>
      <c r="C9" s="17" t="s">
        <v>0</v>
      </c>
      <c r="D9" s="18" t="s">
        <v>13</v>
      </c>
      <c r="E9" s="25" t="s">
        <v>203</v>
      </c>
      <c r="F9" s="25"/>
      <c r="G9" s="25"/>
      <c r="H9" s="25" t="s">
        <v>204</v>
      </c>
      <c r="I9" s="25"/>
      <c r="J9" s="19" t="s">
        <v>3</v>
      </c>
      <c r="K9" s="18" t="s">
        <v>21</v>
      </c>
      <c r="L9" s="19" t="s">
        <v>0</v>
      </c>
      <c r="M9" s="18" t="s">
        <v>13</v>
      </c>
      <c r="N9" s="18" t="s">
        <v>15</v>
      </c>
    </row>
    <row r="10" spans="1:14" ht="20.25" customHeight="1" thickBot="1">
      <c r="A10" s="20"/>
      <c r="B10" s="21"/>
      <c r="C10" s="21"/>
      <c r="D10" s="20"/>
      <c r="E10" s="22" t="s">
        <v>67</v>
      </c>
      <c r="F10" s="26" t="s">
        <v>3</v>
      </c>
      <c r="G10" s="26" t="s">
        <v>0</v>
      </c>
      <c r="H10" s="26" t="s">
        <v>3</v>
      </c>
      <c r="I10" s="26" t="s">
        <v>51</v>
      </c>
      <c r="J10" s="21"/>
      <c r="K10" s="20"/>
      <c r="L10" s="21"/>
      <c r="M10" s="20"/>
      <c r="N10" s="20"/>
    </row>
    <row r="11" spans="1:14">
      <c r="A11" s="27" t="s">
        <v>103</v>
      </c>
      <c r="B11" s="28">
        <v>1600000</v>
      </c>
      <c r="C11" s="28">
        <v>10423704772</v>
      </c>
      <c r="D11" s="28">
        <v>8843110240</v>
      </c>
      <c r="E11" s="28">
        <v>0</v>
      </c>
      <c r="F11" s="28">
        <v>0</v>
      </c>
      <c r="G11" s="28">
        <v>0</v>
      </c>
      <c r="H11" s="28">
        <v>0</v>
      </c>
      <c r="I11" s="28">
        <v>0</v>
      </c>
      <c r="J11" s="28">
        <v>1600000</v>
      </c>
      <c r="K11" s="28">
        <v>4734</v>
      </c>
      <c r="L11" s="28">
        <v>10423704772</v>
      </c>
      <c r="M11" s="28">
        <v>7515849888</v>
      </c>
      <c r="N11" s="29">
        <v>7.8431723819977605E-3</v>
      </c>
    </row>
    <row r="12" spans="1:14">
      <c r="A12" s="27" t="s">
        <v>93</v>
      </c>
      <c r="B12" s="28">
        <v>837500</v>
      </c>
      <c r="C12" s="28">
        <v>3625046848</v>
      </c>
      <c r="D12" s="28">
        <v>3451251497</v>
      </c>
      <c r="E12" s="28">
        <v>0</v>
      </c>
      <c r="F12" s="28">
        <v>0</v>
      </c>
      <c r="G12" s="28">
        <v>0</v>
      </c>
      <c r="H12" s="28">
        <v>0</v>
      </c>
      <c r="I12" s="28">
        <v>0</v>
      </c>
      <c r="J12" s="28">
        <v>837500</v>
      </c>
      <c r="K12" s="28">
        <v>3530</v>
      </c>
      <c r="L12" s="28">
        <v>3625046848</v>
      </c>
      <c r="M12" s="28">
        <v>2933522221</v>
      </c>
      <c r="N12" s="29">
        <v>3.0612799362131076E-3</v>
      </c>
    </row>
    <row r="13" spans="1:14">
      <c r="A13" s="27" t="s">
        <v>179</v>
      </c>
      <c r="B13" s="28">
        <v>9890291</v>
      </c>
      <c r="C13" s="28">
        <v>14099676972</v>
      </c>
      <c r="D13" s="28">
        <v>19863210238</v>
      </c>
      <c r="E13" s="28">
        <v>0</v>
      </c>
      <c r="F13" s="28">
        <v>0</v>
      </c>
      <c r="G13" s="28">
        <v>0</v>
      </c>
      <c r="H13" s="28">
        <v>0</v>
      </c>
      <c r="I13" s="28">
        <v>0</v>
      </c>
      <c r="J13" s="28">
        <v>9890291</v>
      </c>
      <c r="K13" s="28">
        <v>1720</v>
      </c>
      <c r="L13" s="28">
        <v>14099676972</v>
      </c>
      <c r="M13" s="28">
        <v>16879803167</v>
      </c>
      <c r="N13" s="29">
        <v>1.7614934835826344E-2</v>
      </c>
    </row>
    <row r="14" spans="1:14">
      <c r="A14" s="27" t="s">
        <v>81</v>
      </c>
      <c r="B14" s="28">
        <v>43438000</v>
      </c>
      <c r="C14" s="28">
        <v>14441147939</v>
      </c>
      <c r="D14" s="28">
        <v>20473556523</v>
      </c>
      <c r="E14" s="28">
        <v>0</v>
      </c>
      <c r="F14" s="28">
        <v>0</v>
      </c>
      <c r="G14" s="28">
        <v>0</v>
      </c>
      <c r="H14" s="28">
        <v>0</v>
      </c>
      <c r="I14" s="28">
        <v>0</v>
      </c>
      <c r="J14" s="28">
        <v>43438000</v>
      </c>
      <c r="K14" s="28">
        <v>403</v>
      </c>
      <c r="L14" s="28">
        <v>14441147939</v>
      </c>
      <c r="M14" s="28">
        <v>17370196377</v>
      </c>
      <c r="N14" s="29">
        <v>1.8126685141953699E-2</v>
      </c>
    </row>
    <row r="15" spans="1:14">
      <c r="A15" s="27" t="s">
        <v>90</v>
      </c>
      <c r="B15" s="28">
        <v>40680000</v>
      </c>
      <c r="C15" s="28">
        <v>37157771050</v>
      </c>
      <c r="D15" s="28">
        <v>50093639608</v>
      </c>
      <c r="E15" s="28">
        <v>17164523</v>
      </c>
      <c r="F15" s="28">
        <v>0</v>
      </c>
      <c r="G15" s="28">
        <v>0</v>
      </c>
      <c r="H15" s="28">
        <v>0</v>
      </c>
      <c r="I15" s="28">
        <v>0</v>
      </c>
      <c r="J15" s="28">
        <v>57844523</v>
      </c>
      <c r="K15" s="28">
        <v>742</v>
      </c>
      <c r="L15" s="28">
        <v>37157771050</v>
      </c>
      <c r="M15" s="28">
        <v>42588859549</v>
      </c>
      <c r="N15" s="29">
        <v>4.4443645359232384E-2</v>
      </c>
    </row>
    <row r="16" spans="1:14">
      <c r="A16" s="27" t="s">
        <v>180</v>
      </c>
      <c r="B16" s="28">
        <v>5850000</v>
      </c>
      <c r="C16" s="28">
        <v>13285816292</v>
      </c>
      <c r="D16" s="28">
        <v>11893993195</v>
      </c>
      <c r="E16" s="28">
        <v>0</v>
      </c>
      <c r="F16" s="28">
        <v>0</v>
      </c>
      <c r="G16" s="28">
        <v>0</v>
      </c>
      <c r="H16" s="28">
        <v>0</v>
      </c>
      <c r="I16" s="28">
        <v>0</v>
      </c>
      <c r="J16" s="28">
        <v>5850000</v>
      </c>
      <c r="K16" s="28">
        <v>1741</v>
      </c>
      <c r="L16" s="28">
        <v>13285816292</v>
      </c>
      <c r="M16" s="28">
        <v>10106121109</v>
      </c>
      <c r="N16" s="29">
        <v>1.05462524069019E-2</v>
      </c>
    </row>
    <row r="17" spans="1:14">
      <c r="A17" s="27" t="s">
        <v>106</v>
      </c>
      <c r="B17" s="28">
        <v>20000000</v>
      </c>
      <c r="C17" s="28">
        <v>29341158640</v>
      </c>
      <c r="D17" s="28">
        <v>32526610600</v>
      </c>
      <c r="E17" s="28">
        <v>0</v>
      </c>
      <c r="F17" s="28">
        <v>0</v>
      </c>
      <c r="G17" s="28">
        <v>0</v>
      </c>
      <c r="H17" s="28">
        <v>0</v>
      </c>
      <c r="I17" s="28">
        <v>0</v>
      </c>
      <c r="J17" s="28">
        <v>20000000</v>
      </c>
      <c r="K17" s="28">
        <v>1393</v>
      </c>
      <c r="L17" s="28">
        <v>29341158640</v>
      </c>
      <c r="M17" s="28">
        <v>27644642200</v>
      </c>
      <c r="N17" s="29">
        <v>2.8848592966103932E-2</v>
      </c>
    </row>
    <row r="18" spans="1:14">
      <c r="A18" s="27" t="s">
        <v>82</v>
      </c>
      <c r="B18" s="28">
        <v>350000</v>
      </c>
      <c r="C18" s="28">
        <v>8636181592</v>
      </c>
      <c r="D18" s="28">
        <v>12155307500</v>
      </c>
      <c r="E18" s="28">
        <v>0</v>
      </c>
      <c r="F18" s="28">
        <v>0</v>
      </c>
      <c r="G18" s="28">
        <v>0</v>
      </c>
      <c r="H18" s="28">
        <v>0</v>
      </c>
      <c r="I18" s="28">
        <v>0</v>
      </c>
      <c r="J18" s="28">
        <v>350000</v>
      </c>
      <c r="K18" s="28">
        <v>29750</v>
      </c>
      <c r="L18" s="28">
        <v>8636181592</v>
      </c>
      <c r="M18" s="28">
        <v>10332011375</v>
      </c>
      <c r="N18" s="29">
        <v>1.0781980411326532E-2</v>
      </c>
    </row>
    <row r="19" spans="1:14">
      <c r="A19" s="27" t="s">
        <v>113</v>
      </c>
      <c r="B19" s="28">
        <v>2250000</v>
      </c>
      <c r="C19" s="28">
        <v>23137117508</v>
      </c>
      <c r="D19" s="28">
        <v>30564396675</v>
      </c>
      <c r="E19" s="28">
        <v>133333</v>
      </c>
      <c r="F19" s="28">
        <v>0</v>
      </c>
      <c r="G19" s="28">
        <v>0</v>
      </c>
      <c r="H19" s="28">
        <v>0</v>
      </c>
      <c r="I19" s="28">
        <v>0</v>
      </c>
      <c r="J19" s="28">
        <v>2383333</v>
      </c>
      <c r="K19" s="28">
        <v>8437</v>
      </c>
      <c r="L19" s="28">
        <v>17921506195</v>
      </c>
      <c r="M19" s="28">
        <v>19952744286</v>
      </c>
      <c r="N19" s="29">
        <v>2.0821705497189254E-2</v>
      </c>
    </row>
    <row r="20" spans="1:14">
      <c r="A20" s="27" t="s">
        <v>181</v>
      </c>
      <c r="B20" s="28">
        <v>0</v>
      </c>
      <c r="C20" s="28">
        <v>0</v>
      </c>
      <c r="D20" s="28">
        <v>0</v>
      </c>
      <c r="E20" s="28">
        <v>800000</v>
      </c>
      <c r="F20" s="28">
        <v>0</v>
      </c>
      <c r="G20" s="28">
        <v>0</v>
      </c>
      <c r="H20" s="28">
        <v>0</v>
      </c>
      <c r="I20" s="28">
        <v>0</v>
      </c>
      <c r="J20" s="28">
        <v>800000</v>
      </c>
      <c r="K20" s="28">
        <v>8927</v>
      </c>
      <c r="L20" s="28">
        <v>5215611313</v>
      </c>
      <c r="M20" s="28">
        <v>7086395432</v>
      </c>
      <c r="N20" s="29">
        <v>7.3950147712393338E-3</v>
      </c>
    </row>
    <row r="21" spans="1:14">
      <c r="A21" s="27" t="s">
        <v>157</v>
      </c>
      <c r="B21" s="28">
        <v>3299000</v>
      </c>
      <c r="C21" s="28">
        <v>28070767641</v>
      </c>
      <c r="D21" s="28">
        <v>49364360848</v>
      </c>
      <c r="E21" s="28">
        <v>0</v>
      </c>
      <c r="F21" s="28">
        <v>0</v>
      </c>
      <c r="G21" s="28">
        <v>0</v>
      </c>
      <c r="H21" s="28">
        <v>0</v>
      </c>
      <c r="I21" s="28">
        <v>0</v>
      </c>
      <c r="J21" s="28">
        <v>3299000</v>
      </c>
      <c r="K21" s="28">
        <v>11543</v>
      </c>
      <c r="L21" s="28">
        <v>28070767641</v>
      </c>
      <c r="M21" s="28">
        <v>37785995840</v>
      </c>
      <c r="N21" s="29">
        <v>3.9431612314629862E-2</v>
      </c>
    </row>
    <row r="22" spans="1:14">
      <c r="A22" s="27" t="s">
        <v>87</v>
      </c>
      <c r="B22" s="28">
        <v>1100000</v>
      </c>
      <c r="C22" s="28">
        <v>18985514881</v>
      </c>
      <c r="D22" s="28">
        <v>17136502900</v>
      </c>
      <c r="E22" s="28">
        <v>0</v>
      </c>
      <c r="F22" s="28">
        <v>0</v>
      </c>
      <c r="G22" s="28">
        <v>0</v>
      </c>
      <c r="H22" s="28">
        <v>0</v>
      </c>
      <c r="I22" s="28">
        <v>0</v>
      </c>
      <c r="J22" s="28">
        <v>1100000</v>
      </c>
      <c r="K22" s="28">
        <v>13345</v>
      </c>
      <c r="L22" s="28">
        <v>18985514881</v>
      </c>
      <c r="M22" s="28">
        <v>14566027465</v>
      </c>
      <c r="N22" s="29">
        <v>1.5200391975804833E-2</v>
      </c>
    </row>
    <row r="23" spans="1:14">
      <c r="A23" s="27" t="s">
        <v>100</v>
      </c>
      <c r="B23" s="28">
        <v>9200000</v>
      </c>
      <c r="C23" s="28">
        <v>49378139966</v>
      </c>
      <c r="D23" s="28">
        <v>95853282000</v>
      </c>
      <c r="E23" s="28">
        <v>0</v>
      </c>
      <c r="F23" s="28">
        <v>0</v>
      </c>
      <c r="G23" s="28">
        <v>0</v>
      </c>
      <c r="H23" s="28">
        <v>0</v>
      </c>
      <c r="I23" s="28">
        <v>0</v>
      </c>
      <c r="J23" s="28">
        <v>9200000</v>
      </c>
      <c r="K23" s="28">
        <v>8925</v>
      </c>
      <c r="L23" s="28">
        <v>49378139966</v>
      </c>
      <c r="M23" s="28">
        <v>81475289700</v>
      </c>
      <c r="N23" s="29">
        <v>8.5023616957889223E-2</v>
      </c>
    </row>
    <row r="24" spans="1:14">
      <c r="A24" s="27" t="s">
        <v>138</v>
      </c>
      <c r="B24" s="28">
        <v>600000</v>
      </c>
      <c r="C24" s="28">
        <v>10079181611</v>
      </c>
      <c r="D24" s="28">
        <v>10115200380</v>
      </c>
      <c r="E24" s="28">
        <v>0</v>
      </c>
      <c r="F24" s="28">
        <v>0</v>
      </c>
      <c r="G24" s="28">
        <v>0</v>
      </c>
      <c r="H24" s="28">
        <v>0</v>
      </c>
      <c r="I24" s="28">
        <v>0</v>
      </c>
      <c r="J24" s="28">
        <v>600000</v>
      </c>
      <c r="K24" s="28">
        <v>14441</v>
      </c>
      <c r="L24" s="28">
        <v>10079181611</v>
      </c>
      <c r="M24" s="28">
        <v>8597622642</v>
      </c>
      <c r="N24" s="29">
        <v>8.9720573802621727E-3</v>
      </c>
    </row>
    <row r="25" spans="1:14">
      <c r="A25" s="27" t="s">
        <v>155</v>
      </c>
      <c r="B25" s="28">
        <v>17690000</v>
      </c>
      <c r="C25" s="28">
        <v>59176089105</v>
      </c>
      <c r="D25" s="28">
        <v>59101813962</v>
      </c>
      <c r="E25" s="28">
        <v>5130100</v>
      </c>
      <c r="F25" s="28">
        <v>0</v>
      </c>
      <c r="G25" s="28">
        <v>0</v>
      </c>
      <c r="H25" s="28">
        <v>0</v>
      </c>
      <c r="I25" s="28">
        <v>0</v>
      </c>
      <c r="J25" s="28">
        <v>22820100</v>
      </c>
      <c r="K25" s="28">
        <v>2218</v>
      </c>
      <c r="L25" s="28">
        <v>59176089105</v>
      </c>
      <c r="M25" s="28">
        <v>50223727991</v>
      </c>
      <c r="N25" s="29">
        <v>5.241101966777055E-2</v>
      </c>
    </row>
    <row r="26" spans="1:14">
      <c r="A26" s="27" t="s">
        <v>99</v>
      </c>
      <c r="B26" s="28">
        <v>133750</v>
      </c>
      <c r="C26" s="28">
        <v>3835363961</v>
      </c>
      <c r="D26" s="28">
        <v>5023304858</v>
      </c>
      <c r="E26" s="28">
        <v>267500</v>
      </c>
      <c r="F26" s="28">
        <v>0</v>
      </c>
      <c r="G26" s="28">
        <v>0</v>
      </c>
      <c r="H26" s="28">
        <v>0</v>
      </c>
      <c r="I26" s="28">
        <v>0</v>
      </c>
      <c r="J26" s="28">
        <v>401250</v>
      </c>
      <c r="K26" s="28">
        <v>10724</v>
      </c>
      <c r="L26" s="28">
        <v>3835363961</v>
      </c>
      <c r="M26" s="28">
        <v>4269742771</v>
      </c>
      <c r="N26" s="29">
        <v>4.4556941768102796E-3</v>
      </c>
    </row>
    <row r="27" spans="1:14">
      <c r="A27" s="27" t="s">
        <v>102</v>
      </c>
      <c r="B27" s="28">
        <v>800000</v>
      </c>
      <c r="C27" s="28">
        <v>11513575776</v>
      </c>
      <c r="D27" s="28">
        <v>11796105760</v>
      </c>
      <c r="E27" s="28">
        <v>0</v>
      </c>
      <c r="F27" s="28">
        <v>0</v>
      </c>
      <c r="G27" s="28">
        <v>0</v>
      </c>
      <c r="H27" s="28">
        <v>0</v>
      </c>
      <c r="I27" s="28">
        <v>0</v>
      </c>
      <c r="J27" s="28">
        <v>800000</v>
      </c>
      <c r="K27" s="28">
        <v>12631</v>
      </c>
      <c r="L27" s="28">
        <v>11513575776</v>
      </c>
      <c r="M27" s="28">
        <v>10026689896</v>
      </c>
      <c r="N27" s="29">
        <v>1.0463361888151005E-2</v>
      </c>
    </row>
    <row r="28" spans="1:14">
      <c r="A28" s="27" t="s">
        <v>98</v>
      </c>
      <c r="B28" s="28">
        <v>1256499</v>
      </c>
      <c r="C28" s="28">
        <v>7948211844</v>
      </c>
      <c r="D28" s="28">
        <v>7630331928</v>
      </c>
      <c r="E28" s="28">
        <v>0</v>
      </c>
      <c r="F28" s="28">
        <v>0</v>
      </c>
      <c r="G28" s="28">
        <v>0</v>
      </c>
      <c r="H28" s="28">
        <v>0</v>
      </c>
      <c r="I28" s="28">
        <v>0</v>
      </c>
      <c r="J28" s="28">
        <v>1256499</v>
      </c>
      <c r="K28" s="28">
        <v>5202</v>
      </c>
      <c r="L28" s="28">
        <v>7948211844</v>
      </c>
      <c r="M28" s="28">
        <v>6485782139</v>
      </c>
      <c r="N28" s="29">
        <v>6.7682441914490724E-3</v>
      </c>
    </row>
    <row r="29" spans="1:14">
      <c r="A29" s="27" t="s">
        <v>111</v>
      </c>
      <c r="B29" s="28">
        <v>1200000</v>
      </c>
      <c r="C29" s="28">
        <v>10450623609</v>
      </c>
      <c r="D29" s="28">
        <v>8882801040</v>
      </c>
      <c r="E29" s="28">
        <v>0</v>
      </c>
      <c r="F29" s="28">
        <v>0</v>
      </c>
      <c r="G29" s="28">
        <v>0</v>
      </c>
      <c r="H29" s="28">
        <v>0</v>
      </c>
      <c r="I29" s="28">
        <v>0</v>
      </c>
      <c r="J29" s="28">
        <v>1200000</v>
      </c>
      <c r="K29" s="28">
        <v>6341</v>
      </c>
      <c r="L29" s="28">
        <v>10450623609</v>
      </c>
      <c r="M29" s="28">
        <v>7550380884</v>
      </c>
      <c r="N29" s="29">
        <v>7.8792072360975608E-3</v>
      </c>
    </row>
    <row r="30" spans="1:14">
      <c r="A30" s="27" t="s">
        <v>133</v>
      </c>
      <c r="B30" s="28">
        <v>10200000</v>
      </c>
      <c r="C30" s="28">
        <v>43613294290</v>
      </c>
      <c r="D30" s="28">
        <v>138659809800</v>
      </c>
      <c r="E30" s="28">
        <v>0</v>
      </c>
      <c r="F30" s="28">
        <v>0</v>
      </c>
      <c r="G30" s="28">
        <v>0</v>
      </c>
      <c r="H30" s="28">
        <v>0</v>
      </c>
      <c r="I30" s="28">
        <v>0</v>
      </c>
      <c r="J30" s="28">
        <v>10200000</v>
      </c>
      <c r="K30" s="28">
        <v>11645</v>
      </c>
      <c r="L30" s="28">
        <v>43613294290</v>
      </c>
      <c r="M30" s="28">
        <v>117860838330</v>
      </c>
      <c r="N30" s="29">
        <v>0.12299379123908323</v>
      </c>
    </row>
    <row r="31" spans="1:14">
      <c r="A31" s="27" t="s">
        <v>182</v>
      </c>
      <c r="B31" s="28">
        <v>11650000</v>
      </c>
      <c r="C31" s="28">
        <v>46975684774</v>
      </c>
      <c r="D31" s="28">
        <v>71093664825</v>
      </c>
      <c r="E31" s="28">
        <v>0</v>
      </c>
      <c r="F31" s="28">
        <v>0</v>
      </c>
      <c r="G31" s="28">
        <v>0</v>
      </c>
      <c r="H31" s="28">
        <v>0</v>
      </c>
      <c r="I31" s="28">
        <v>0</v>
      </c>
      <c r="J31" s="28">
        <v>11650000</v>
      </c>
      <c r="K31" s="28">
        <v>5227</v>
      </c>
      <c r="L31" s="28">
        <v>46975684774</v>
      </c>
      <c r="M31" s="28">
        <v>60423835128</v>
      </c>
      <c r="N31" s="29">
        <v>6.3055351284620517E-2</v>
      </c>
    </row>
    <row r="32" spans="1:14">
      <c r="A32" s="27" t="s">
        <v>143</v>
      </c>
      <c r="B32" s="28">
        <v>5175000</v>
      </c>
      <c r="C32" s="28">
        <v>20373014627</v>
      </c>
      <c r="D32" s="28">
        <v>35636880915</v>
      </c>
      <c r="E32" s="28">
        <v>0</v>
      </c>
      <c r="F32" s="28">
        <v>0</v>
      </c>
      <c r="G32" s="28">
        <v>0</v>
      </c>
      <c r="H32" s="28">
        <v>0</v>
      </c>
      <c r="I32" s="28">
        <v>0</v>
      </c>
      <c r="J32" s="28">
        <v>5175000</v>
      </c>
      <c r="K32" s="28">
        <v>5899</v>
      </c>
      <c r="L32" s="28">
        <v>20373014627</v>
      </c>
      <c r="M32" s="28">
        <v>30291348778</v>
      </c>
      <c r="N32" s="29">
        <v>3.1610566162104704E-2</v>
      </c>
    </row>
    <row r="33" spans="1:14">
      <c r="A33" s="27" t="s">
        <v>136</v>
      </c>
      <c r="B33" s="28">
        <v>200000</v>
      </c>
      <c r="C33" s="28">
        <v>3358420121</v>
      </c>
      <c r="D33" s="28">
        <v>5139958600</v>
      </c>
      <c r="E33" s="28">
        <v>0</v>
      </c>
      <c r="F33" s="28">
        <v>0</v>
      </c>
      <c r="G33" s="28">
        <v>0</v>
      </c>
      <c r="H33" s="28">
        <v>0</v>
      </c>
      <c r="I33" s="28">
        <v>0</v>
      </c>
      <c r="J33" s="28">
        <v>200000</v>
      </c>
      <c r="K33" s="28">
        <v>22015</v>
      </c>
      <c r="L33" s="28">
        <v>3358420121</v>
      </c>
      <c r="M33" s="28">
        <v>4368964810</v>
      </c>
      <c r="N33" s="29">
        <v>4.5592374310752196E-3</v>
      </c>
    </row>
    <row r="34" spans="1:14">
      <c r="A34" s="27" t="s">
        <v>158</v>
      </c>
      <c r="B34" s="28">
        <v>4700000</v>
      </c>
      <c r="C34" s="28">
        <v>9384679990</v>
      </c>
      <c r="D34" s="28">
        <v>17442122060</v>
      </c>
      <c r="E34" s="28">
        <v>984430</v>
      </c>
      <c r="F34" s="28">
        <v>0</v>
      </c>
      <c r="G34" s="28">
        <v>0</v>
      </c>
      <c r="H34" s="28">
        <v>0</v>
      </c>
      <c r="I34" s="28">
        <v>0</v>
      </c>
      <c r="J34" s="28">
        <v>5684430</v>
      </c>
      <c r="K34" s="28">
        <v>2628</v>
      </c>
      <c r="L34" s="28">
        <v>9384679990</v>
      </c>
      <c r="M34" s="28">
        <v>14823206028</v>
      </c>
      <c r="N34" s="29">
        <v>1.5468770912667851E-2</v>
      </c>
    </row>
    <row r="35" spans="1:14">
      <c r="A35" s="27" t="s">
        <v>154</v>
      </c>
      <c r="B35" s="28">
        <v>1450000</v>
      </c>
      <c r="C35" s="28">
        <v>23576293653</v>
      </c>
      <c r="D35" s="28">
        <v>38861758415</v>
      </c>
      <c r="E35" s="28">
        <v>0</v>
      </c>
      <c r="F35" s="28">
        <v>0</v>
      </c>
      <c r="G35" s="28">
        <v>0</v>
      </c>
      <c r="H35" s="28">
        <v>0</v>
      </c>
      <c r="I35" s="28">
        <v>0</v>
      </c>
      <c r="J35" s="28">
        <v>1450000</v>
      </c>
      <c r="K35" s="28">
        <v>22958</v>
      </c>
      <c r="L35" s="28">
        <v>23576293653</v>
      </c>
      <c r="M35" s="28">
        <v>33031775257</v>
      </c>
      <c r="N35" s="29">
        <v>3.4470340850966633E-2</v>
      </c>
    </row>
    <row r="36" spans="1:14">
      <c r="A36" s="27" t="s">
        <v>183</v>
      </c>
      <c r="B36" s="28">
        <v>2000000</v>
      </c>
      <c r="C36" s="28">
        <v>18890189691</v>
      </c>
      <c r="D36" s="28">
        <v>16352609600</v>
      </c>
      <c r="E36" s="28">
        <v>0</v>
      </c>
      <c r="F36" s="28">
        <v>0</v>
      </c>
      <c r="G36" s="28">
        <v>0</v>
      </c>
      <c r="H36" s="28">
        <v>0</v>
      </c>
      <c r="I36" s="28">
        <v>0</v>
      </c>
      <c r="J36" s="28">
        <v>2000000</v>
      </c>
      <c r="K36" s="28">
        <v>7004</v>
      </c>
      <c r="L36" s="28">
        <v>18890189691</v>
      </c>
      <c r="M36" s="28">
        <v>13899718160</v>
      </c>
      <c r="N36" s="29">
        <v>1.4505064259482552E-2</v>
      </c>
    </row>
    <row r="37" spans="1:14">
      <c r="A37" s="27" t="s">
        <v>97</v>
      </c>
      <c r="B37" s="28">
        <v>454</v>
      </c>
      <c r="C37" s="28">
        <v>19762080</v>
      </c>
      <c r="D37" s="28">
        <v>23740854</v>
      </c>
      <c r="E37" s="28">
        <v>0</v>
      </c>
      <c r="F37" s="28">
        <v>0</v>
      </c>
      <c r="G37" s="28">
        <v>0</v>
      </c>
      <c r="H37" s="28">
        <v>0</v>
      </c>
      <c r="I37" s="28">
        <v>0</v>
      </c>
      <c r="J37" s="28">
        <v>454</v>
      </c>
      <c r="K37" s="28">
        <v>52700</v>
      </c>
      <c r="L37" s="28">
        <v>19762080</v>
      </c>
      <c r="M37" s="28">
        <v>23740854</v>
      </c>
      <c r="N37" s="29">
        <v>2.4774791033963911E-5</v>
      </c>
    </row>
    <row r="38" spans="1:14">
      <c r="A38" s="27" t="s">
        <v>86</v>
      </c>
      <c r="B38" s="28">
        <v>200000</v>
      </c>
      <c r="C38" s="28">
        <v>8564224465</v>
      </c>
      <c r="D38" s="28">
        <v>8692285200</v>
      </c>
      <c r="E38" s="28">
        <v>0</v>
      </c>
      <c r="F38" s="28">
        <v>0</v>
      </c>
      <c r="G38" s="28">
        <v>0</v>
      </c>
      <c r="H38" s="28">
        <v>0</v>
      </c>
      <c r="I38" s="28">
        <v>0</v>
      </c>
      <c r="J38" s="28">
        <v>200000</v>
      </c>
      <c r="K38" s="28">
        <v>37230</v>
      </c>
      <c r="L38" s="28">
        <v>8564224465</v>
      </c>
      <c r="M38" s="28">
        <v>7388442420</v>
      </c>
      <c r="N38" s="29">
        <v>7.7102161961812585E-3</v>
      </c>
    </row>
    <row r="39" spans="1:14">
      <c r="A39" s="27" t="s">
        <v>91</v>
      </c>
      <c r="B39" s="28">
        <v>750000</v>
      </c>
      <c r="C39" s="28">
        <v>28756148835</v>
      </c>
      <c r="D39" s="28">
        <v>45195417825</v>
      </c>
      <c r="E39" s="28">
        <v>0</v>
      </c>
      <c r="F39" s="28">
        <v>0</v>
      </c>
      <c r="G39" s="28">
        <v>0</v>
      </c>
      <c r="H39" s="28">
        <v>0</v>
      </c>
      <c r="I39" s="28">
        <v>0</v>
      </c>
      <c r="J39" s="28">
        <v>750000</v>
      </c>
      <c r="K39" s="28">
        <v>51620</v>
      </c>
      <c r="L39" s="28">
        <v>28756148835</v>
      </c>
      <c r="M39" s="28">
        <v>38415733050</v>
      </c>
      <c r="N39" s="29">
        <v>4.0088775186027055E-2</v>
      </c>
    </row>
    <row r="40" spans="1:14">
      <c r="A40" s="27" t="s">
        <v>112</v>
      </c>
      <c r="B40" s="28">
        <v>450000</v>
      </c>
      <c r="C40" s="28">
        <v>11771082508</v>
      </c>
      <c r="D40" s="28">
        <v>20361380400</v>
      </c>
      <c r="E40" s="28">
        <v>0</v>
      </c>
      <c r="F40" s="28">
        <v>0</v>
      </c>
      <c r="G40" s="28">
        <v>0</v>
      </c>
      <c r="H40" s="28">
        <v>0</v>
      </c>
      <c r="I40" s="28">
        <v>0</v>
      </c>
      <c r="J40" s="28">
        <v>450000</v>
      </c>
      <c r="K40" s="28">
        <v>38760</v>
      </c>
      <c r="L40" s="28">
        <v>11771082508</v>
      </c>
      <c r="M40" s="28">
        <v>17307173340</v>
      </c>
      <c r="N40" s="29">
        <v>1.806091739105473E-2</v>
      </c>
    </row>
    <row r="41" spans="1:14">
      <c r="A41" s="27" t="s">
        <v>105</v>
      </c>
      <c r="B41" s="28">
        <v>3000000</v>
      </c>
      <c r="C41" s="28">
        <v>8292444580</v>
      </c>
      <c r="D41" s="28">
        <v>8156459400</v>
      </c>
      <c r="E41" s="28">
        <v>0</v>
      </c>
      <c r="F41" s="28">
        <v>0</v>
      </c>
      <c r="G41" s="28">
        <v>0</v>
      </c>
      <c r="H41" s="28">
        <v>0</v>
      </c>
      <c r="I41" s="28">
        <v>0</v>
      </c>
      <c r="J41" s="28">
        <v>3000000</v>
      </c>
      <c r="K41" s="28">
        <v>2329</v>
      </c>
      <c r="L41" s="28">
        <v>8292444580</v>
      </c>
      <c r="M41" s="28">
        <v>6932990490</v>
      </c>
      <c r="N41" s="29">
        <v>7.2349288964166604E-3</v>
      </c>
    </row>
    <row r="42" spans="1:14">
      <c r="A42" s="27" t="s">
        <v>184</v>
      </c>
      <c r="B42" s="28">
        <v>120000</v>
      </c>
      <c r="C42" s="28">
        <v>18239142954</v>
      </c>
      <c r="D42" s="28">
        <v>60407809968</v>
      </c>
      <c r="E42" s="28">
        <v>4551455</v>
      </c>
      <c r="F42" s="28">
        <v>0</v>
      </c>
      <c r="G42" s="28">
        <v>0</v>
      </c>
      <c r="H42" s="28">
        <v>0</v>
      </c>
      <c r="I42" s="28">
        <v>0</v>
      </c>
      <c r="J42" s="28">
        <v>4671455</v>
      </c>
      <c r="K42" s="28">
        <v>11077</v>
      </c>
      <c r="L42" s="28">
        <v>18239142954</v>
      </c>
      <c r="M42" s="28">
        <v>51345712720</v>
      </c>
      <c r="N42" s="29">
        <v>5.3581867911236168E-2</v>
      </c>
    </row>
    <row r="43" spans="1:14">
      <c r="A43" s="27" t="s">
        <v>142</v>
      </c>
      <c r="B43" s="28">
        <v>1200000</v>
      </c>
      <c r="C43" s="28">
        <v>20469168747</v>
      </c>
      <c r="D43" s="28">
        <v>22588034280</v>
      </c>
      <c r="E43" s="28">
        <v>0</v>
      </c>
      <c r="F43" s="28">
        <v>0</v>
      </c>
      <c r="G43" s="28">
        <v>0</v>
      </c>
      <c r="H43" s="28">
        <v>0</v>
      </c>
      <c r="I43" s="28">
        <v>0</v>
      </c>
      <c r="J43" s="28">
        <v>1200000</v>
      </c>
      <c r="K43" s="28">
        <v>16124</v>
      </c>
      <c r="L43" s="28">
        <v>20469168747</v>
      </c>
      <c r="M43" s="28">
        <v>19199233776</v>
      </c>
      <c r="N43" s="29">
        <v>2.0035378879488575E-2</v>
      </c>
    </row>
    <row r="44" spans="1:14">
      <c r="A44" s="27" t="s">
        <v>107</v>
      </c>
      <c r="B44" s="28">
        <v>350000</v>
      </c>
      <c r="C44" s="28">
        <v>16628233734</v>
      </c>
      <c r="D44" s="28">
        <v>36604840300</v>
      </c>
      <c r="E44" s="28">
        <v>0</v>
      </c>
      <c r="F44" s="28">
        <v>0</v>
      </c>
      <c r="G44" s="28">
        <v>0</v>
      </c>
      <c r="H44" s="28">
        <v>0</v>
      </c>
      <c r="I44" s="28">
        <v>0</v>
      </c>
      <c r="J44" s="28">
        <v>350000</v>
      </c>
      <c r="K44" s="28">
        <v>89590</v>
      </c>
      <c r="L44" s="28">
        <v>16628233734</v>
      </c>
      <c r="M44" s="28">
        <v>31114114255</v>
      </c>
      <c r="N44" s="29">
        <v>3.2469163867251898E-2</v>
      </c>
    </row>
    <row r="45" spans="1:14">
      <c r="A45" s="27" t="s">
        <v>185</v>
      </c>
      <c r="B45" s="28">
        <v>5802960</v>
      </c>
      <c r="C45" s="28">
        <v>17199552966</v>
      </c>
      <c r="D45" s="28">
        <v>14308886251</v>
      </c>
      <c r="E45" s="28">
        <v>0</v>
      </c>
      <c r="F45" s="28">
        <v>0</v>
      </c>
      <c r="G45" s="28">
        <v>0</v>
      </c>
      <c r="H45" s="28">
        <v>0</v>
      </c>
      <c r="I45" s="28">
        <v>0</v>
      </c>
      <c r="J45" s="28">
        <v>5802960</v>
      </c>
      <c r="K45" s="28">
        <v>2112</v>
      </c>
      <c r="L45" s="28">
        <v>17199552966</v>
      </c>
      <c r="M45" s="28">
        <v>12161113788</v>
      </c>
      <c r="N45" s="29">
        <v>1.2690741994283664E-2</v>
      </c>
    </row>
    <row r="46" spans="1:14" ht="18.600000000000001" thickBot="1">
      <c r="A46" s="27" t="s">
        <v>2</v>
      </c>
      <c r="B46" s="28"/>
      <c r="C46" s="33">
        <f t="shared" ref="B46:J46" si="0">SUM(C11:C45)</f>
        <v>649696428022</v>
      </c>
      <c r="D46" s="33">
        <f t="shared" si="0"/>
        <v>994294438445</v>
      </c>
      <c r="E46" s="28"/>
      <c r="F46" s="28"/>
      <c r="G46" s="33">
        <f t="shared" si="0"/>
        <v>0</v>
      </c>
      <c r="H46" s="28"/>
      <c r="I46" s="33">
        <f t="shared" si="0"/>
        <v>0</v>
      </c>
      <c r="J46" s="28"/>
      <c r="K46" s="30"/>
      <c r="L46" s="33">
        <f>SUM(L11:L45)</f>
        <v>649696428022</v>
      </c>
      <c r="M46" s="33">
        <f>SUM(M11:M45)</f>
        <v>841979346116</v>
      </c>
      <c r="N46" s="34">
        <f>SUM(N11:N45)</f>
        <v>0.87864835674982344</v>
      </c>
    </row>
    <row r="47" spans="1:14" ht="18.600000000000001" thickTop="1"/>
    <row r="48" spans="1:14">
      <c r="D48" s="31"/>
      <c r="M48" s="31"/>
    </row>
    <row r="49" spans="4:13">
      <c r="D49" s="31"/>
      <c r="M49" s="31"/>
    </row>
    <row r="50" spans="4:13">
      <c r="D50" s="31"/>
      <c r="M50" s="31"/>
    </row>
    <row r="51" spans="4:13">
      <c r="D51" s="31"/>
      <c r="M51" s="31"/>
    </row>
    <row r="52" spans="4:13">
      <c r="D52" s="32"/>
      <c r="M52" s="31"/>
    </row>
    <row r="53" spans="4:13">
      <c r="M53" s="31"/>
    </row>
    <row r="54" spans="4:13">
      <c r="M54" s="32"/>
    </row>
  </sheetData>
  <mergeCells count="19">
    <mergeCell ref="B8:D8"/>
    <mergeCell ref="J8:N8"/>
    <mergeCell ref="A9:A10"/>
    <mergeCell ref="B9:B10"/>
    <mergeCell ref="C9:C10"/>
    <mergeCell ref="M9:M10"/>
    <mergeCell ref="N9:N10"/>
    <mergeCell ref="H9:I9"/>
    <mergeCell ref="J9:J10"/>
    <mergeCell ref="K9:K10"/>
    <mergeCell ref="L9:L10"/>
    <mergeCell ref="E9:G9"/>
    <mergeCell ref="D9:D10"/>
    <mergeCell ref="E8:I8"/>
    <mergeCell ref="A1:N1"/>
    <mergeCell ref="A2:N2"/>
    <mergeCell ref="A3:N3"/>
    <mergeCell ref="A5:N5"/>
    <mergeCell ref="A6:N6"/>
  </mergeCells>
  <pageMargins left="0.7" right="0.7" top="0.75" bottom="0.75" header="0.3" footer="0.3"/>
  <pageSetup scale="46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37"/>
  <sheetViews>
    <sheetView rightToLeft="1" view="pageBreakPreview" zoomScale="85" zoomScaleNormal="70" zoomScaleSheetLayoutView="85" workbookViewId="0">
      <selection activeCell="A16" sqref="A16"/>
    </sheetView>
  </sheetViews>
  <sheetFormatPr defaultColWidth="9.09765625" defaultRowHeight="18"/>
  <cols>
    <col min="1" max="1" width="54.59765625" style="24" customWidth="1"/>
    <col min="2" max="2" width="16.19921875" style="24" customWidth="1"/>
    <col min="3" max="3" width="12" style="24" customWidth="1"/>
    <col min="4" max="4" width="11.59765625" style="24" customWidth="1"/>
    <col min="5" max="5" width="15" style="24" customWidth="1"/>
    <col min="6" max="6" width="12.59765625" style="24" customWidth="1"/>
    <col min="7" max="7" width="15.3984375" style="24" customWidth="1"/>
    <col min="8" max="8" width="13.69921875" style="24" customWidth="1"/>
    <col min="9" max="9" width="12.296875" style="24" customWidth="1"/>
    <col min="10" max="10" width="12.3984375" style="24" customWidth="1"/>
    <col min="11" max="11" width="11.69921875" style="24" customWidth="1"/>
    <col min="12" max="12" width="13.19921875" style="24" customWidth="1"/>
    <col min="13" max="13" width="15.8984375" style="24" customWidth="1"/>
    <col min="14" max="16384" width="9.09765625" style="24"/>
  </cols>
  <sheetData>
    <row r="1" spans="1:13" ht="20.399999999999999">
      <c r="A1" s="6" t="s">
        <v>72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</row>
    <row r="2" spans="1:13" ht="20.399999999999999">
      <c r="A2" s="6" t="s">
        <v>52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</row>
    <row r="3" spans="1:13" ht="20.399999999999999">
      <c r="A3" s="6" t="s">
        <v>73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</row>
    <row r="4" spans="1:13" ht="20.399999999999999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</row>
    <row r="5" spans="1:13" ht="20.399999999999999">
      <c r="A5" s="35" t="s">
        <v>53</v>
      </c>
      <c r="B5" s="35"/>
      <c r="C5" s="35"/>
      <c r="D5" s="35"/>
      <c r="E5" s="35"/>
      <c r="F5" s="35"/>
      <c r="G5" s="35"/>
      <c r="H5" s="35"/>
      <c r="I5" s="35"/>
    </row>
    <row r="6" spans="1:13">
      <c r="A6" s="38"/>
      <c r="B6" s="39"/>
      <c r="C6" s="39"/>
      <c r="D6" s="39"/>
      <c r="E6" s="39"/>
      <c r="F6" s="40"/>
      <c r="G6" s="40"/>
      <c r="H6" s="40"/>
      <c r="I6" s="40"/>
    </row>
    <row r="7" spans="1:13" ht="18.600000000000001" thickBot="1">
      <c r="A7" s="38"/>
      <c r="B7" s="41" t="s">
        <v>77</v>
      </c>
      <c r="C7" s="41"/>
      <c r="D7" s="41"/>
      <c r="E7" s="41"/>
      <c r="F7" s="41" t="s">
        <v>74</v>
      </c>
      <c r="G7" s="41"/>
      <c r="H7" s="41"/>
      <c r="I7" s="41"/>
    </row>
    <row r="8" spans="1:13" ht="18.600000000000001" thickBot="1">
      <c r="A8" s="42" t="s">
        <v>205</v>
      </c>
      <c r="B8" s="42" t="s">
        <v>23</v>
      </c>
      <c r="C8" s="42" t="s">
        <v>24</v>
      </c>
      <c r="D8" s="42" t="s">
        <v>25</v>
      </c>
      <c r="E8" s="42" t="s">
        <v>26</v>
      </c>
      <c r="F8" s="42" t="s">
        <v>23</v>
      </c>
      <c r="G8" s="42" t="s">
        <v>24</v>
      </c>
      <c r="H8" s="42" t="s">
        <v>25</v>
      </c>
      <c r="I8" s="42" t="s">
        <v>26</v>
      </c>
    </row>
    <row r="9" spans="1:13">
      <c r="A9" s="27" t="s">
        <v>78</v>
      </c>
      <c r="B9" s="28">
        <v>454</v>
      </c>
      <c r="C9" s="28">
        <v>50625</v>
      </c>
      <c r="D9" s="28" t="s">
        <v>79</v>
      </c>
      <c r="E9" s="29">
        <v>0.36163587513117978</v>
      </c>
      <c r="F9" s="28">
        <v>454</v>
      </c>
      <c r="G9" s="28">
        <v>50625</v>
      </c>
      <c r="H9" s="28" t="s">
        <v>79</v>
      </c>
      <c r="I9" s="29">
        <v>0.36163587513117978</v>
      </c>
    </row>
    <row r="10" spans="1:13" ht="20.399999999999999">
      <c r="A10" s="4"/>
      <c r="B10" s="4"/>
      <c r="C10" s="4"/>
      <c r="D10" s="4"/>
      <c r="E10" s="4"/>
      <c r="F10" s="4"/>
      <c r="G10" s="4"/>
      <c r="H10" s="4"/>
      <c r="I10" s="4"/>
    </row>
    <row r="12" spans="1:13" ht="20.399999999999999">
      <c r="A12" s="36" t="s">
        <v>62</v>
      </c>
      <c r="B12" s="36"/>
      <c r="C12" s="36"/>
      <c r="D12" s="36"/>
      <c r="E12" s="36"/>
      <c r="F12" s="36"/>
      <c r="G12" s="36"/>
      <c r="H12" s="36"/>
      <c r="I12" s="36"/>
    </row>
    <row r="13" spans="1:13">
      <c r="A13" s="38"/>
      <c r="B13" s="39"/>
      <c r="C13" s="39"/>
      <c r="D13" s="39"/>
      <c r="E13" s="39"/>
      <c r="F13" s="39"/>
      <c r="G13" s="39"/>
      <c r="H13" s="39"/>
      <c r="I13" s="40"/>
      <c r="J13" s="40"/>
      <c r="K13" s="40"/>
      <c r="L13" s="40"/>
      <c r="M13" s="40"/>
    </row>
    <row r="14" spans="1:13" ht="18.600000000000001" customHeight="1" thickBot="1">
      <c r="A14" s="38"/>
      <c r="B14" s="41" t="s">
        <v>77</v>
      </c>
      <c r="C14" s="41"/>
      <c r="D14" s="41"/>
      <c r="E14" s="41"/>
      <c r="F14" s="41"/>
      <c r="G14" s="41"/>
      <c r="H14" s="41" t="s">
        <v>74</v>
      </c>
      <c r="I14" s="41"/>
      <c r="J14" s="41"/>
      <c r="K14" s="41"/>
      <c r="L14" s="41"/>
      <c r="M14" s="41"/>
    </row>
    <row r="15" spans="1:13" ht="18.600000000000001" thickBot="1">
      <c r="A15" s="42" t="s">
        <v>205</v>
      </c>
      <c r="B15" s="42" t="s">
        <v>64</v>
      </c>
      <c r="C15" s="42" t="s">
        <v>63</v>
      </c>
      <c r="D15" s="42" t="s">
        <v>65</v>
      </c>
      <c r="E15" s="42" t="s">
        <v>60</v>
      </c>
      <c r="F15" s="42" t="s">
        <v>24</v>
      </c>
      <c r="G15" s="42" t="s">
        <v>25</v>
      </c>
      <c r="H15" s="42" t="s">
        <v>64</v>
      </c>
      <c r="I15" s="42" t="s">
        <v>63</v>
      </c>
      <c r="J15" s="42" t="s">
        <v>65</v>
      </c>
      <c r="K15" s="42" t="s">
        <v>60</v>
      </c>
      <c r="L15" s="42" t="s">
        <v>24</v>
      </c>
      <c r="M15" s="42" t="s">
        <v>25</v>
      </c>
    </row>
    <row r="16" spans="1:13">
      <c r="A16" s="27" t="s">
        <v>170</v>
      </c>
      <c r="B16" s="28" t="s">
        <v>189</v>
      </c>
      <c r="C16" s="28" t="s">
        <v>190</v>
      </c>
      <c r="D16" s="28" t="s">
        <v>191</v>
      </c>
      <c r="E16" s="28">
        <v>5000000</v>
      </c>
      <c r="F16" s="28">
        <v>1710</v>
      </c>
      <c r="G16" s="28" t="s">
        <v>192</v>
      </c>
      <c r="H16" s="28" t="s">
        <v>189</v>
      </c>
      <c r="I16" s="28" t="s">
        <v>190</v>
      </c>
      <c r="J16" s="28" t="s">
        <v>191</v>
      </c>
      <c r="K16" s="28">
        <v>5000000</v>
      </c>
      <c r="L16" s="28">
        <v>1710</v>
      </c>
      <c r="M16" s="28" t="s">
        <v>192</v>
      </c>
    </row>
    <row r="17" spans="1:13">
      <c r="A17" s="27" t="s">
        <v>178</v>
      </c>
      <c r="B17" s="28" t="s">
        <v>189</v>
      </c>
      <c r="C17" s="28" t="s">
        <v>193</v>
      </c>
      <c r="D17" s="28" t="s">
        <v>191</v>
      </c>
      <c r="E17" s="28">
        <v>50000</v>
      </c>
      <c r="F17" s="28">
        <v>90750</v>
      </c>
      <c r="G17" s="28" t="s">
        <v>192</v>
      </c>
      <c r="H17" s="28" t="s">
        <v>189</v>
      </c>
      <c r="I17" s="28" t="s">
        <v>193</v>
      </c>
      <c r="J17" s="28" t="s">
        <v>191</v>
      </c>
      <c r="K17" s="28">
        <v>50000</v>
      </c>
      <c r="L17" s="28">
        <v>90750</v>
      </c>
      <c r="M17" s="28" t="s">
        <v>192</v>
      </c>
    </row>
    <row r="18" spans="1:13">
      <c r="A18" s="27" t="s">
        <v>169</v>
      </c>
      <c r="B18" s="28" t="s">
        <v>189</v>
      </c>
      <c r="C18" s="28" t="s">
        <v>190</v>
      </c>
      <c r="D18" s="28" t="s">
        <v>191</v>
      </c>
      <c r="E18" s="28">
        <v>5000000</v>
      </c>
      <c r="F18" s="28">
        <v>1400</v>
      </c>
      <c r="G18" s="28" t="s">
        <v>192</v>
      </c>
      <c r="H18" s="28" t="s">
        <v>189</v>
      </c>
      <c r="I18" s="28" t="s">
        <v>190</v>
      </c>
      <c r="J18" s="28" t="s">
        <v>191</v>
      </c>
      <c r="K18" s="28">
        <v>5000000</v>
      </c>
      <c r="L18" s="28">
        <v>1400</v>
      </c>
      <c r="M18" s="28" t="s">
        <v>192</v>
      </c>
    </row>
    <row r="19" spans="1:13">
      <c r="A19" s="27" t="s">
        <v>165</v>
      </c>
      <c r="B19" s="28" t="s">
        <v>194</v>
      </c>
      <c r="C19" s="28" t="s">
        <v>190</v>
      </c>
      <c r="D19" s="28" t="s">
        <v>191</v>
      </c>
      <c r="E19" s="28">
        <v>5000000</v>
      </c>
      <c r="F19" s="28">
        <v>1510</v>
      </c>
      <c r="G19" s="28" t="s">
        <v>192</v>
      </c>
      <c r="H19" s="28" t="s">
        <v>194</v>
      </c>
      <c r="I19" s="28" t="s">
        <v>190</v>
      </c>
      <c r="J19" s="28" t="s">
        <v>191</v>
      </c>
      <c r="K19" s="28">
        <v>5000000</v>
      </c>
      <c r="L19" s="28">
        <v>1510</v>
      </c>
      <c r="M19" s="28" t="s">
        <v>192</v>
      </c>
    </row>
    <row r="22" spans="1:13">
      <c r="A22" s="37"/>
      <c r="B22" s="37"/>
      <c r="C22" s="37"/>
      <c r="D22" s="37"/>
      <c r="E22" s="37"/>
      <c r="F22" s="37"/>
      <c r="G22" s="37"/>
      <c r="H22" s="37"/>
      <c r="I22" s="37"/>
    </row>
    <row r="23" spans="1:13">
      <c r="A23" s="37"/>
      <c r="B23" s="37"/>
      <c r="C23" s="37"/>
      <c r="D23" s="37"/>
      <c r="E23" s="37"/>
      <c r="F23" s="37"/>
      <c r="G23" s="37"/>
      <c r="H23" s="37"/>
      <c r="I23" s="37"/>
    </row>
    <row r="24" spans="1:13">
      <c r="A24" s="37"/>
      <c r="B24" s="37"/>
      <c r="C24" s="37"/>
      <c r="D24" s="37"/>
      <c r="E24" s="37"/>
      <c r="F24" s="37"/>
      <c r="G24" s="37"/>
      <c r="H24" s="37"/>
      <c r="I24" s="37"/>
    </row>
    <row r="25" spans="1:13">
      <c r="A25" s="37"/>
      <c r="B25" s="37"/>
      <c r="C25" s="37"/>
      <c r="D25" s="37"/>
      <c r="E25" s="37"/>
      <c r="F25" s="37"/>
      <c r="G25" s="37"/>
      <c r="H25" s="37"/>
      <c r="I25" s="37"/>
    </row>
    <row r="26" spans="1:13">
      <c r="A26" s="37"/>
      <c r="B26" s="37"/>
      <c r="C26" s="37"/>
      <c r="D26" s="37"/>
      <c r="E26" s="37"/>
      <c r="F26" s="37"/>
      <c r="G26" s="37"/>
      <c r="H26" s="37"/>
      <c r="I26" s="37"/>
    </row>
    <row r="27" spans="1:13">
      <c r="A27" s="37"/>
      <c r="B27" s="37"/>
      <c r="C27" s="37"/>
      <c r="D27" s="37"/>
      <c r="E27" s="37"/>
      <c r="F27" s="37"/>
      <c r="G27" s="37"/>
      <c r="H27" s="37"/>
      <c r="I27" s="37"/>
    </row>
    <row r="28" spans="1:13">
      <c r="A28" s="37"/>
      <c r="B28" s="37"/>
      <c r="C28" s="37"/>
      <c r="D28" s="37"/>
      <c r="E28" s="37"/>
      <c r="F28" s="37"/>
      <c r="G28" s="37"/>
      <c r="H28" s="37"/>
      <c r="I28" s="37"/>
    </row>
    <row r="29" spans="1:13">
      <c r="A29" s="37"/>
      <c r="B29" s="37"/>
      <c r="C29" s="37"/>
      <c r="D29" s="37"/>
      <c r="E29" s="37"/>
      <c r="F29" s="37"/>
      <c r="G29" s="37"/>
      <c r="H29" s="37"/>
      <c r="I29" s="37"/>
    </row>
    <row r="30" spans="1:13">
      <c r="A30" s="37"/>
      <c r="B30" s="37"/>
      <c r="C30" s="37"/>
      <c r="D30" s="37"/>
      <c r="E30" s="37"/>
      <c r="F30" s="37"/>
      <c r="G30" s="37"/>
      <c r="H30" s="37"/>
      <c r="I30" s="37"/>
    </row>
    <row r="31" spans="1:13">
      <c r="A31" s="37"/>
      <c r="B31" s="37"/>
      <c r="C31" s="37"/>
      <c r="D31" s="37"/>
      <c r="E31" s="37"/>
      <c r="F31" s="37"/>
      <c r="G31" s="37"/>
      <c r="H31" s="37"/>
      <c r="I31" s="37"/>
    </row>
    <row r="32" spans="1:13">
      <c r="A32" s="37"/>
      <c r="B32" s="37"/>
      <c r="C32" s="37"/>
      <c r="D32" s="37"/>
      <c r="E32" s="37"/>
      <c r="F32" s="37"/>
      <c r="G32" s="37"/>
      <c r="H32" s="37"/>
      <c r="I32" s="37"/>
    </row>
    <row r="33" spans="1:9">
      <c r="A33" s="37"/>
      <c r="B33" s="37"/>
      <c r="C33" s="37"/>
      <c r="D33" s="37"/>
      <c r="E33" s="37"/>
      <c r="F33" s="37"/>
      <c r="G33" s="37"/>
      <c r="H33" s="37"/>
      <c r="I33" s="37"/>
    </row>
    <row r="34" spans="1:9">
      <c r="A34" s="37"/>
      <c r="B34" s="37"/>
      <c r="C34" s="37"/>
      <c r="D34" s="37"/>
      <c r="E34" s="37"/>
      <c r="F34" s="37"/>
      <c r="G34" s="37"/>
      <c r="H34" s="37"/>
      <c r="I34" s="37"/>
    </row>
    <row r="35" spans="1:9">
      <c r="A35" s="37"/>
      <c r="B35" s="37"/>
      <c r="C35" s="37"/>
      <c r="D35" s="37"/>
      <c r="E35" s="37"/>
      <c r="F35" s="37"/>
      <c r="G35" s="37"/>
      <c r="H35" s="37"/>
      <c r="I35" s="37"/>
    </row>
    <row r="36" spans="1:9">
      <c r="A36" s="37"/>
      <c r="B36" s="37"/>
      <c r="C36" s="37"/>
      <c r="D36" s="37"/>
      <c r="E36" s="37"/>
      <c r="F36" s="37"/>
      <c r="G36" s="37"/>
      <c r="H36" s="37"/>
      <c r="I36" s="37"/>
    </row>
    <row r="37" spans="1:9">
      <c r="A37" s="37"/>
      <c r="B37" s="37"/>
      <c r="C37" s="37"/>
      <c r="D37" s="37"/>
      <c r="E37" s="37"/>
      <c r="F37" s="37"/>
      <c r="G37" s="37"/>
      <c r="H37" s="37"/>
      <c r="I37" s="37"/>
    </row>
  </sheetData>
  <mergeCells count="7">
    <mergeCell ref="B14:G14"/>
    <mergeCell ref="H14:M14"/>
    <mergeCell ref="A1:M1"/>
    <mergeCell ref="A2:M2"/>
    <mergeCell ref="A3:M3"/>
    <mergeCell ref="B7:E7"/>
    <mergeCell ref="F7:I7"/>
  </mergeCells>
  <pageMargins left="0.7" right="0.7" top="0.75" bottom="0.75" header="0.3" footer="0.3"/>
  <pageSetup scale="49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44"/>
  <sheetViews>
    <sheetView rightToLeft="1" view="pageBreakPreview" zoomScale="115" zoomScaleNormal="100" zoomScaleSheetLayoutView="115" workbookViewId="0">
      <selection activeCell="A5" sqref="A5:G5"/>
    </sheetView>
  </sheetViews>
  <sheetFormatPr defaultColWidth="9.09765625" defaultRowHeight="18"/>
  <cols>
    <col min="1" max="1" width="31.69921875" style="24" customWidth="1"/>
    <col min="2" max="2" width="12" style="24" customWidth="1"/>
    <col min="3" max="3" width="12.09765625" style="24" customWidth="1"/>
    <col min="4" max="4" width="13.59765625" style="24" customWidth="1"/>
    <col min="5" max="5" width="10.09765625" style="24" customWidth="1"/>
    <col min="6" max="6" width="19.296875" style="24" customWidth="1"/>
    <col min="7" max="7" width="10.8984375" style="24" customWidth="1"/>
    <col min="8" max="9" width="9.09765625" style="24"/>
    <col min="10" max="10" width="3.8984375" style="24" customWidth="1"/>
    <col min="11" max="16384" width="9.09765625" style="24"/>
  </cols>
  <sheetData>
    <row r="1" spans="1:10" ht="20.399999999999999">
      <c r="A1" s="6" t="s">
        <v>72</v>
      </c>
      <c r="B1" s="6"/>
      <c r="C1" s="6"/>
      <c r="D1" s="6"/>
      <c r="E1" s="6"/>
      <c r="F1" s="6"/>
      <c r="G1" s="6"/>
      <c r="H1" s="6"/>
      <c r="I1" s="6"/>
      <c r="J1" s="6"/>
    </row>
    <row r="2" spans="1:10" ht="20.399999999999999">
      <c r="A2" s="6" t="s">
        <v>52</v>
      </c>
      <c r="B2" s="6"/>
      <c r="C2" s="6"/>
      <c r="D2" s="6"/>
      <c r="E2" s="6"/>
      <c r="F2" s="6"/>
      <c r="G2" s="6"/>
      <c r="H2" s="6"/>
      <c r="I2" s="6"/>
      <c r="J2" s="6"/>
    </row>
    <row r="3" spans="1:10" ht="20.399999999999999">
      <c r="A3" s="6" t="s">
        <v>73</v>
      </c>
      <c r="B3" s="6"/>
      <c r="C3" s="6"/>
      <c r="D3" s="6"/>
      <c r="E3" s="6"/>
      <c r="F3" s="6"/>
      <c r="G3" s="6"/>
      <c r="H3" s="6"/>
      <c r="I3" s="6"/>
      <c r="J3" s="6"/>
    </row>
    <row r="4" spans="1:10" ht="20.399999999999999">
      <c r="A4" s="4"/>
      <c r="B4" s="4"/>
      <c r="C4" s="4"/>
      <c r="D4" s="4"/>
      <c r="E4" s="4"/>
      <c r="F4" s="4"/>
      <c r="G4" s="4"/>
      <c r="H4" s="4"/>
      <c r="I4" s="4"/>
      <c r="J4" s="4"/>
    </row>
    <row r="5" spans="1:10" ht="25.5" customHeight="1">
      <c r="A5" s="43" t="s">
        <v>28</v>
      </c>
      <c r="B5" s="43"/>
      <c r="C5" s="43"/>
      <c r="D5" s="43"/>
      <c r="E5" s="43"/>
      <c r="F5" s="43"/>
      <c r="G5" s="43"/>
    </row>
    <row r="6" spans="1:10">
      <c r="A6" s="43" t="s">
        <v>27</v>
      </c>
      <c r="B6" s="43"/>
      <c r="C6" s="43"/>
      <c r="D6" s="43"/>
      <c r="E6" s="43"/>
      <c r="F6" s="43"/>
      <c r="G6" s="43"/>
    </row>
    <row r="7" spans="1:10" ht="19.5" customHeight="1" thickBot="1">
      <c r="B7" s="15" t="s">
        <v>74</v>
      </c>
      <c r="C7" s="15"/>
      <c r="D7" s="15"/>
      <c r="E7" s="15"/>
      <c r="F7" s="15"/>
      <c r="G7" s="15"/>
      <c r="H7" s="15"/>
      <c r="I7" s="15"/>
      <c r="J7" s="15"/>
    </row>
    <row r="8" spans="1:10" ht="31.5" customHeight="1">
      <c r="A8" s="17" t="s">
        <v>6</v>
      </c>
      <c r="B8" s="44" t="s">
        <v>3</v>
      </c>
      <c r="C8" s="16" t="s">
        <v>32</v>
      </c>
      <c r="D8" s="16" t="s">
        <v>31</v>
      </c>
      <c r="E8" s="16" t="s">
        <v>29</v>
      </c>
      <c r="F8" s="16" t="s">
        <v>30</v>
      </c>
      <c r="G8" s="16" t="s">
        <v>5</v>
      </c>
      <c r="H8" s="16"/>
      <c r="I8" s="16"/>
      <c r="J8" s="16"/>
    </row>
    <row r="9" spans="1:10" ht="18" customHeight="1" thickBot="1">
      <c r="A9" s="21"/>
      <c r="B9" s="45"/>
      <c r="C9" s="20"/>
      <c r="D9" s="20"/>
      <c r="E9" s="20"/>
      <c r="F9" s="20"/>
      <c r="G9" s="20"/>
      <c r="H9" s="20"/>
      <c r="I9" s="20"/>
      <c r="J9" s="20"/>
    </row>
    <row r="10" spans="1:10" ht="18.600000000000001">
      <c r="A10" s="27" t="s">
        <v>81</v>
      </c>
      <c r="B10" s="28">
        <v>43438000</v>
      </c>
      <c r="C10" s="28">
        <v>475</v>
      </c>
      <c r="D10" s="28">
        <v>403</v>
      </c>
      <c r="E10" s="29">
        <v>-0.15157894736842106</v>
      </c>
      <c r="F10" s="28">
        <v>17370196377</v>
      </c>
      <c r="G10" s="47" t="s">
        <v>206</v>
      </c>
      <c r="H10" s="46"/>
      <c r="I10" s="46"/>
      <c r="J10" s="46"/>
    </row>
    <row r="11" spans="1:10" ht="18.600000000000001">
      <c r="A11" s="27" t="s">
        <v>90</v>
      </c>
      <c r="B11" s="28">
        <v>57844523</v>
      </c>
      <c r="C11" s="28">
        <v>873</v>
      </c>
      <c r="D11" s="28">
        <v>742</v>
      </c>
      <c r="E11" s="29">
        <v>-0.15005727376861397</v>
      </c>
      <c r="F11" s="28">
        <v>42588859549</v>
      </c>
      <c r="G11" s="47" t="s">
        <v>206</v>
      </c>
      <c r="H11" s="46"/>
      <c r="I11" s="46"/>
      <c r="J11" s="46"/>
    </row>
    <row r="12" spans="1:10" ht="18.600000000000001">
      <c r="A12" s="27" t="s">
        <v>106</v>
      </c>
      <c r="B12" s="28">
        <v>20000000</v>
      </c>
      <c r="C12" s="28">
        <v>1639</v>
      </c>
      <c r="D12" s="28">
        <v>1393</v>
      </c>
      <c r="E12" s="29">
        <v>-0.15009151921903599</v>
      </c>
      <c r="F12" s="28">
        <v>27644642200</v>
      </c>
      <c r="G12" s="47" t="s">
        <v>206</v>
      </c>
      <c r="H12" s="46"/>
      <c r="I12" s="46"/>
      <c r="J12" s="46"/>
    </row>
    <row r="13" spans="1:10" ht="18.600000000000001">
      <c r="A13" s="27" t="s">
        <v>179</v>
      </c>
      <c r="B13" s="28">
        <v>9890291</v>
      </c>
      <c r="C13" s="28">
        <v>2024</v>
      </c>
      <c r="D13" s="28">
        <v>1720</v>
      </c>
      <c r="E13" s="29">
        <v>-0.15019762845849802</v>
      </c>
      <c r="F13" s="28">
        <v>16879803167</v>
      </c>
      <c r="G13" s="47" t="s">
        <v>206</v>
      </c>
      <c r="H13" s="46"/>
      <c r="I13" s="46"/>
      <c r="J13" s="46"/>
    </row>
    <row r="14" spans="1:10" ht="18.600000000000001">
      <c r="A14" s="27" t="s">
        <v>180</v>
      </c>
      <c r="B14" s="28">
        <v>5850000</v>
      </c>
      <c r="C14" s="28">
        <v>2049</v>
      </c>
      <c r="D14" s="28">
        <v>1741</v>
      </c>
      <c r="E14" s="29">
        <v>-0.15031722791605662</v>
      </c>
      <c r="F14" s="28">
        <v>10106121110</v>
      </c>
      <c r="G14" s="47" t="s">
        <v>206</v>
      </c>
      <c r="H14" s="46"/>
      <c r="I14" s="46"/>
      <c r="J14" s="46"/>
    </row>
    <row r="15" spans="1:10" ht="18.600000000000001">
      <c r="A15" s="27" t="s">
        <v>185</v>
      </c>
      <c r="B15" s="28">
        <v>5802960</v>
      </c>
      <c r="C15" s="28">
        <v>2485</v>
      </c>
      <c r="D15" s="28">
        <v>2112</v>
      </c>
      <c r="E15" s="29">
        <v>-0.15010060362173039</v>
      </c>
      <c r="F15" s="28">
        <v>12161113788</v>
      </c>
      <c r="G15" s="47" t="s">
        <v>206</v>
      </c>
      <c r="H15" s="46"/>
      <c r="I15" s="46"/>
      <c r="J15" s="46"/>
    </row>
    <row r="16" spans="1:10" ht="18.600000000000001">
      <c r="A16" s="27" t="s">
        <v>155</v>
      </c>
      <c r="B16" s="28">
        <v>22820100</v>
      </c>
      <c r="C16" s="28">
        <v>2610</v>
      </c>
      <c r="D16" s="28">
        <v>2218</v>
      </c>
      <c r="E16" s="29">
        <v>-0.15019157088122606</v>
      </c>
      <c r="F16" s="28">
        <v>50223727991</v>
      </c>
      <c r="G16" s="47" t="s">
        <v>206</v>
      </c>
      <c r="H16" s="46"/>
      <c r="I16" s="46"/>
      <c r="J16" s="46"/>
    </row>
    <row r="17" spans="1:10" ht="18.600000000000001">
      <c r="A17" s="27" t="s">
        <v>105</v>
      </c>
      <c r="B17" s="28">
        <v>3000000</v>
      </c>
      <c r="C17" s="28">
        <v>2740</v>
      </c>
      <c r="D17" s="28">
        <v>2329</v>
      </c>
      <c r="E17" s="29">
        <v>-0.15</v>
      </c>
      <c r="F17" s="28">
        <v>6932990490</v>
      </c>
      <c r="G17" s="47" t="s">
        <v>206</v>
      </c>
      <c r="H17" s="46"/>
      <c r="I17" s="46"/>
      <c r="J17" s="46"/>
    </row>
    <row r="18" spans="1:10" ht="18.600000000000001">
      <c r="A18" s="27" t="s">
        <v>158</v>
      </c>
      <c r="B18" s="28">
        <v>5684430</v>
      </c>
      <c r="C18" s="28">
        <v>3092</v>
      </c>
      <c r="D18" s="28">
        <v>2628</v>
      </c>
      <c r="E18" s="29">
        <v>-0.1500646830530401</v>
      </c>
      <c r="F18" s="28">
        <v>14823206028</v>
      </c>
      <c r="G18" s="47" t="s">
        <v>206</v>
      </c>
      <c r="H18" s="46"/>
      <c r="I18" s="46"/>
      <c r="J18" s="46"/>
    </row>
    <row r="19" spans="1:10" ht="18.600000000000001">
      <c r="A19" s="27" t="s">
        <v>93</v>
      </c>
      <c r="B19" s="28">
        <v>837500</v>
      </c>
      <c r="C19" s="28">
        <v>4153</v>
      </c>
      <c r="D19" s="28">
        <v>3530</v>
      </c>
      <c r="E19" s="29">
        <v>-0.15001203948952566</v>
      </c>
      <c r="F19" s="28">
        <v>2933522221</v>
      </c>
      <c r="G19" s="47" t="s">
        <v>206</v>
      </c>
      <c r="H19" s="46"/>
      <c r="I19" s="46"/>
      <c r="J19" s="46"/>
    </row>
    <row r="20" spans="1:10" ht="18.600000000000001">
      <c r="A20" s="27" t="s">
        <v>103</v>
      </c>
      <c r="B20" s="28">
        <v>1600000</v>
      </c>
      <c r="C20" s="28">
        <v>5570</v>
      </c>
      <c r="D20" s="28">
        <v>4734</v>
      </c>
      <c r="E20" s="29">
        <v>-0.15008976660682227</v>
      </c>
      <c r="F20" s="28">
        <v>7515849888</v>
      </c>
      <c r="G20" s="47" t="s">
        <v>206</v>
      </c>
      <c r="H20" s="46"/>
      <c r="I20" s="46"/>
      <c r="J20" s="46"/>
    </row>
    <row r="21" spans="1:10" ht="18.600000000000001">
      <c r="A21" s="27" t="s">
        <v>98</v>
      </c>
      <c r="B21" s="28">
        <v>1256499</v>
      </c>
      <c r="C21" s="28">
        <v>6120</v>
      </c>
      <c r="D21" s="28">
        <v>5202</v>
      </c>
      <c r="E21" s="29">
        <v>-0.15</v>
      </c>
      <c r="F21" s="28">
        <v>6485782139</v>
      </c>
      <c r="G21" s="47" t="s">
        <v>206</v>
      </c>
      <c r="H21" s="46"/>
      <c r="I21" s="46"/>
      <c r="J21" s="46"/>
    </row>
    <row r="22" spans="1:10" ht="18.600000000000001">
      <c r="A22" s="27" t="s">
        <v>182</v>
      </c>
      <c r="B22" s="28">
        <v>11650000</v>
      </c>
      <c r="C22" s="28">
        <v>6150</v>
      </c>
      <c r="D22" s="28">
        <v>5227</v>
      </c>
      <c r="E22" s="29">
        <v>-0.15008130081300813</v>
      </c>
      <c r="F22" s="28">
        <v>60423835129</v>
      </c>
      <c r="G22" s="47" t="s">
        <v>206</v>
      </c>
      <c r="H22" s="46"/>
      <c r="I22" s="46"/>
      <c r="J22" s="46"/>
    </row>
    <row r="23" spans="1:10" ht="18.600000000000001">
      <c r="A23" s="27" t="s">
        <v>143</v>
      </c>
      <c r="B23" s="28">
        <v>5175000</v>
      </c>
      <c r="C23" s="28">
        <v>6940</v>
      </c>
      <c r="D23" s="28">
        <v>5899</v>
      </c>
      <c r="E23" s="29">
        <v>-0.15</v>
      </c>
      <c r="F23" s="28">
        <v>30291348778</v>
      </c>
      <c r="G23" s="47" t="s">
        <v>206</v>
      </c>
      <c r="H23" s="46"/>
      <c r="I23" s="46"/>
      <c r="J23" s="46"/>
    </row>
    <row r="24" spans="1:10" ht="18.600000000000001">
      <c r="A24" s="27" t="s">
        <v>111</v>
      </c>
      <c r="B24" s="28">
        <v>1200000</v>
      </c>
      <c r="C24" s="28">
        <v>7460</v>
      </c>
      <c r="D24" s="28">
        <v>6341</v>
      </c>
      <c r="E24" s="29">
        <v>-0.15</v>
      </c>
      <c r="F24" s="28">
        <v>7550380884</v>
      </c>
      <c r="G24" s="47" t="s">
        <v>206</v>
      </c>
      <c r="H24" s="46"/>
      <c r="I24" s="46"/>
      <c r="J24" s="46"/>
    </row>
    <row r="25" spans="1:10" ht="18.600000000000001">
      <c r="A25" s="27" t="s">
        <v>183</v>
      </c>
      <c r="B25" s="28">
        <v>2000000</v>
      </c>
      <c r="C25" s="28">
        <v>8240</v>
      </c>
      <c r="D25" s="28">
        <v>7004</v>
      </c>
      <c r="E25" s="29">
        <v>-0.15</v>
      </c>
      <c r="F25" s="28">
        <v>13899718160</v>
      </c>
      <c r="G25" s="47" t="s">
        <v>206</v>
      </c>
      <c r="H25" s="46"/>
      <c r="I25" s="46"/>
      <c r="J25" s="46"/>
    </row>
    <row r="26" spans="1:10" ht="18.600000000000001">
      <c r="A26" s="27" t="s">
        <v>113</v>
      </c>
      <c r="B26" s="28">
        <v>2383333</v>
      </c>
      <c r="C26" s="28">
        <v>9927</v>
      </c>
      <c r="D26" s="28">
        <v>8437</v>
      </c>
      <c r="E26" s="29">
        <v>-0.15009569859977839</v>
      </c>
      <c r="F26" s="28">
        <v>19952744286</v>
      </c>
      <c r="G26" s="47" t="s">
        <v>206</v>
      </c>
      <c r="H26" s="46"/>
      <c r="I26" s="46"/>
      <c r="J26" s="46"/>
    </row>
    <row r="27" spans="1:10" ht="18.600000000000001">
      <c r="A27" s="27" t="s">
        <v>100</v>
      </c>
      <c r="B27" s="28">
        <v>9200000</v>
      </c>
      <c r="C27" s="28">
        <v>10500</v>
      </c>
      <c r="D27" s="28">
        <v>8925</v>
      </c>
      <c r="E27" s="29">
        <v>-0.15</v>
      </c>
      <c r="F27" s="28">
        <v>81475289700</v>
      </c>
      <c r="G27" s="47" t="s">
        <v>206</v>
      </c>
      <c r="H27" s="46"/>
      <c r="I27" s="46"/>
      <c r="J27" s="46"/>
    </row>
    <row r="28" spans="1:10" ht="18.600000000000001">
      <c r="A28" s="27" t="s">
        <v>99</v>
      </c>
      <c r="B28" s="28">
        <v>401250</v>
      </c>
      <c r="C28" s="28">
        <v>12617</v>
      </c>
      <c r="D28" s="28">
        <v>10724</v>
      </c>
      <c r="E28" s="29">
        <v>-0.15003566616469843</v>
      </c>
      <c r="F28" s="28">
        <v>4269742771</v>
      </c>
      <c r="G28" s="47" t="s">
        <v>206</v>
      </c>
      <c r="H28" s="46"/>
      <c r="I28" s="46"/>
      <c r="J28" s="46"/>
    </row>
    <row r="29" spans="1:10" ht="18.600000000000001">
      <c r="A29" s="27" t="s">
        <v>184</v>
      </c>
      <c r="B29" s="28">
        <v>4671455</v>
      </c>
      <c r="C29" s="28">
        <v>13032</v>
      </c>
      <c r="D29" s="28">
        <v>11077</v>
      </c>
      <c r="E29" s="29">
        <v>-0.15001534683855125</v>
      </c>
      <c r="F29" s="28">
        <v>51345712720</v>
      </c>
      <c r="G29" s="47" t="s">
        <v>206</v>
      </c>
      <c r="H29" s="46"/>
      <c r="I29" s="46"/>
      <c r="J29" s="46"/>
    </row>
    <row r="30" spans="1:10" ht="18.600000000000001">
      <c r="A30" s="27" t="s">
        <v>157</v>
      </c>
      <c r="B30" s="28">
        <v>3299000</v>
      </c>
      <c r="C30" s="28">
        <v>13580</v>
      </c>
      <c r="D30" s="28">
        <v>11543</v>
      </c>
      <c r="E30" s="29">
        <v>-0.15</v>
      </c>
      <c r="F30" s="28">
        <v>37785995840</v>
      </c>
      <c r="G30" s="47" t="s">
        <v>206</v>
      </c>
      <c r="H30" s="46"/>
      <c r="I30" s="46"/>
      <c r="J30" s="46"/>
    </row>
    <row r="31" spans="1:10" ht="18.600000000000001">
      <c r="A31" s="27" t="s">
        <v>133</v>
      </c>
      <c r="B31" s="28">
        <v>10200000</v>
      </c>
      <c r="C31" s="28">
        <v>13700</v>
      </c>
      <c r="D31" s="28">
        <v>11645</v>
      </c>
      <c r="E31" s="29">
        <v>-0.15</v>
      </c>
      <c r="F31" s="28">
        <v>117860838330</v>
      </c>
      <c r="G31" s="47" t="s">
        <v>206</v>
      </c>
      <c r="H31" s="46"/>
      <c r="I31" s="46"/>
      <c r="J31" s="46"/>
    </row>
    <row r="32" spans="1:10" ht="18.600000000000001">
      <c r="A32" s="27" t="s">
        <v>102</v>
      </c>
      <c r="B32" s="28">
        <v>800000</v>
      </c>
      <c r="C32" s="28">
        <v>14860</v>
      </c>
      <c r="D32" s="28">
        <v>12631</v>
      </c>
      <c r="E32" s="29">
        <v>-0.15</v>
      </c>
      <c r="F32" s="28">
        <v>10026689896</v>
      </c>
      <c r="G32" s="47" t="s">
        <v>206</v>
      </c>
      <c r="H32" s="46"/>
      <c r="I32" s="46"/>
      <c r="J32" s="46"/>
    </row>
    <row r="33" spans="1:10" ht="18.600000000000001">
      <c r="A33" s="27" t="s">
        <v>87</v>
      </c>
      <c r="B33" s="28">
        <v>1100000</v>
      </c>
      <c r="C33" s="28">
        <v>15700</v>
      </c>
      <c r="D33" s="28">
        <v>13345</v>
      </c>
      <c r="E33" s="29">
        <v>-0.15</v>
      </c>
      <c r="F33" s="28">
        <v>14566027465</v>
      </c>
      <c r="G33" s="47" t="s">
        <v>206</v>
      </c>
      <c r="H33" s="46"/>
      <c r="I33" s="46"/>
      <c r="J33" s="46"/>
    </row>
    <row r="34" spans="1:10" ht="18.600000000000001">
      <c r="A34" s="27" t="s">
        <v>138</v>
      </c>
      <c r="B34" s="28">
        <v>600000</v>
      </c>
      <c r="C34" s="28">
        <v>16990</v>
      </c>
      <c r="D34" s="28">
        <v>14441</v>
      </c>
      <c r="E34" s="29">
        <v>-0.15002942907592701</v>
      </c>
      <c r="F34" s="28">
        <v>8597622642</v>
      </c>
      <c r="G34" s="47" t="s">
        <v>206</v>
      </c>
      <c r="H34" s="46"/>
      <c r="I34" s="46"/>
      <c r="J34" s="46"/>
    </row>
    <row r="35" spans="1:10" ht="18.600000000000001">
      <c r="A35" s="27" t="s">
        <v>142</v>
      </c>
      <c r="B35" s="28">
        <v>1200000</v>
      </c>
      <c r="C35" s="28">
        <v>18970</v>
      </c>
      <c r="D35" s="28">
        <v>16124</v>
      </c>
      <c r="E35" s="29">
        <v>-0.15002635740643119</v>
      </c>
      <c r="F35" s="28">
        <v>19199233776</v>
      </c>
      <c r="G35" s="47" t="s">
        <v>206</v>
      </c>
      <c r="H35" s="46"/>
      <c r="I35" s="46"/>
      <c r="J35" s="46"/>
    </row>
    <row r="36" spans="1:10" ht="18.600000000000001">
      <c r="A36" s="27" t="s">
        <v>136</v>
      </c>
      <c r="B36" s="28">
        <v>200000</v>
      </c>
      <c r="C36" s="28">
        <v>25900</v>
      </c>
      <c r="D36" s="28">
        <v>22015</v>
      </c>
      <c r="E36" s="29">
        <v>-0.15</v>
      </c>
      <c r="F36" s="28">
        <v>4368964810</v>
      </c>
      <c r="G36" s="47" t="s">
        <v>206</v>
      </c>
      <c r="H36" s="46"/>
      <c r="I36" s="46"/>
      <c r="J36" s="46"/>
    </row>
    <row r="37" spans="1:10" ht="18.600000000000001">
      <c r="A37" s="27" t="s">
        <v>154</v>
      </c>
      <c r="B37" s="28">
        <v>1450000</v>
      </c>
      <c r="C37" s="28">
        <v>27010</v>
      </c>
      <c r="D37" s="28">
        <v>22958</v>
      </c>
      <c r="E37" s="29">
        <v>-0.15001851166234728</v>
      </c>
      <c r="F37" s="28">
        <v>33031775257</v>
      </c>
      <c r="G37" s="47" t="s">
        <v>206</v>
      </c>
      <c r="H37" s="46"/>
      <c r="I37" s="46"/>
      <c r="J37" s="46"/>
    </row>
    <row r="38" spans="1:10" ht="18.600000000000001">
      <c r="A38" s="27" t="s">
        <v>82</v>
      </c>
      <c r="B38" s="28">
        <v>350000</v>
      </c>
      <c r="C38" s="28">
        <v>35000</v>
      </c>
      <c r="D38" s="28">
        <v>29750</v>
      </c>
      <c r="E38" s="29">
        <v>-0.15</v>
      </c>
      <c r="F38" s="28">
        <v>10332011375</v>
      </c>
      <c r="G38" s="47" t="s">
        <v>206</v>
      </c>
      <c r="H38" s="46"/>
      <c r="I38" s="46"/>
      <c r="J38" s="46"/>
    </row>
    <row r="39" spans="1:10" ht="18.600000000000001">
      <c r="A39" s="27" t="s">
        <v>86</v>
      </c>
      <c r="B39" s="28">
        <v>200000</v>
      </c>
      <c r="C39" s="28">
        <v>43800</v>
      </c>
      <c r="D39" s="28">
        <v>37230</v>
      </c>
      <c r="E39" s="29">
        <v>-0.15</v>
      </c>
      <c r="F39" s="28">
        <v>7388442420</v>
      </c>
      <c r="G39" s="47" t="s">
        <v>206</v>
      </c>
      <c r="H39" s="46"/>
      <c r="I39" s="46"/>
      <c r="J39" s="46"/>
    </row>
    <row r="40" spans="1:10" ht="18.600000000000001">
      <c r="A40" s="27" t="s">
        <v>112</v>
      </c>
      <c r="B40" s="28">
        <v>450000</v>
      </c>
      <c r="C40" s="28">
        <v>45600</v>
      </c>
      <c r="D40" s="28">
        <v>38760</v>
      </c>
      <c r="E40" s="29">
        <v>-0.15</v>
      </c>
      <c r="F40" s="28">
        <v>17307173340</v>
      </c>
      <c r="G40" s="47" t="s">
        <v>206</v>
      </c>
      <c r="H40" s="46"/>
      <c r="I40" s="46"/>
      <c r="J40" s="46"/>
    </row>
    <row r="41" spans="1:10" ht="18.600000000000001">
      <c r="A41" s="27" t="s">
        <v>91</v>
      </c>
      <c r="B41" s="28">
        <v>750000</v>
      </c>
      <c r="C41" s="28">
        <v>60730</v>
      </c>
      <c r="D41" s="28">
        <v>51620</v>
      </c>
      <c r="E41" s="29">
        <v>-0.15000823316318129</v>
      </c>
      <c r="F41" s="28">
        <v>38415733050</v>
      </c>
      <c r="G41" s="47" t="s">
        <v>206</v>
      </c>
      <c r="H41" s="46"/>
      <c r="I41" s="46"/>
      <c r="J41" s="46"/>
    </row>
    <row r="42" spans="1:10" ht="18.600000000000001">
      <c r="A42" s="27" t="s">
        <v>107</v>
      </c>
      <c r="B42" s="28">
        <v>350000</v>
      </c>
      <c r="C42" s="28">
        <v>105400</v>
      </c>
      <c r="D42" s="28">
        <v>89590</v>
      </c>
      <c r="E42" s="29">
        <v>-0.15</v>
      </c>
      <c r="F42" s="28">
        <v>31114114255</v>
      </c>
      <c r="G42" s="47" t="s">
        <v>206</v>
      </c>
      <c r="H42" s="46"/>
      <c r="I42" s="46"/>
      <c r="J42" s="46"/>
    </row>
    <row r="43" spans="1:10" ht="18.600000000000001" thickBot="1">
      <c r="A43" s="27" t="s">
        <v>2</v>
      </c>
      <c r="F43" s="33">
        <f>SUM(F10:F42)</f>
        <v>834869209832</v>
      </c>
    </row>
    <row r="44" spans="1:10" ht="18.600000000000001" thickTop="1"/>
  </sheetData>
  <mergeCells count="46">
    <mergeCell ref="G41:J41"/>
    <mergeCell ref="G42:J42"/>
    <mergeCell ref="G10:J10"/>
    <mergeCell ref="G36:J36"/>
    <mergeCell ref="G37:J37"/>
    <mergeCell ref="G38:J38"/>
    <mergeCell ref="G39:J39"/>
    <mergeCell ref="G40:J40"/>
    <mergeCell ref="G31:J31"/>
    <mergeCell ref="G32:J32"/>
    <mergeCell ref="G33:J33"/>
    <mergeCell ref="G34:J34"/>
    <mergeCell ref="G35:J35"/>
    <mergeCell ref="G26:J26"/>
    <mergeCell ref="G27:J27"/>
    <mergeCell ref="G28:J28"/>
    <mergeCell ref="G29:J29"/>
    <mergeCell ref="G30:J30"/>
    <mergeCell ref="G21:J21"/>
    <mergeCell ref="G22:J22"/>
    <mergeCell ref="G23:J23"/>
    <mergeCell ref="G24:J24"/>
    <mergeCell ref="G25:J25"/>
    <mergeCell ref="G16:J16"/>
    <mergeCell ref="G17:J17"/>
    <mergeCell ref="G18:J18"/>
    <mergeCell ref="G19:J19"/>
    <mergeCell ref="G20:J20"/>
    <mergeCell ref="G11:J11"/>
    <mergeCell ref="G12:J12"/>
    <mergeCell ref="G13:J13"/>
    <mergeCell ref="G14:J14"/>
    <mergeCell ref="G15:J15"/>
    <mergeCell ref="A1:J1"/>
    <mergeCell ref="A2:J2"/>
    <mergeCell ref="A3:J3"/>
    <mergeCell ref="G8:J9"/>
    <mergeCell ref="A5:G5"/>
    <mergeCell ref="D8:D9"/>
    <mergeCell ref="A8:A9"/>
    <mergeCell ref="A6:G6"/>
    <mergeCell ref="C8:C9"/>
    <mergeCell ref="F8:F9"/>
    <mergeCell ref="E8:E9"/>
    <mergeCell ref="B8:B9"/>
    <mergeCell ref="B7:J7"/>
  </mergeCells>
  <pageMargins left="0.7" right="0.7" top="0.75" bottom="0.75" header="0.3" footer="0.3"/>
  <pageSetup scale="87" orientation="landscape" horizontalDpi="4294967295" verticalDpi="4294967295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6"/>
  <sheetViews>
    <sheetView rightToLeft="1" view="pageBreakPreview" zoomScale="90" zoomScaleNormal="100" zoomScaleSheetLayoutView="90" workbookViewId="0">
      <selection activeCell="A5" sqref="A5:F5"/>
    </sheetView>
  </sheetViews>
  <sheetFormatPr defaultColWidth="9.09765625" defaultRowHeight="18"/>
  <cols>
    <col min="1" max="1" width="29.59765625" style="24" customWidth="1"/>
    <col min="2" max="2" width="21.296875" style="24" customWidth="1"/>
    <col min="3" max="3" width="22" style="24" customWidth="1"/>
    <col min="4" max="4" width="22.09765625" style="24" customWidth="1"/>
    <col min="5" max="5" width="17.3984375" style="24" customWidth="1"/>
    <col min="6" max="6" width="11.59765625" style="24" customWidth="1"/>
    <col min="7" max="16384" width="9.09765625" style="24"/>
  </cols>
  <sheetData>
    <row r="1" spans="1:6" ht="20.399999999999999">
      <c r="A1" s="6" t="s">
        <v>72</v>
      </c>
      <c r="B1" s="6"/>
      <c r="C1" s="6"/>
      <c r="D1" s="6"/>
      <c r="E1" s="6"/>
      <c r="F1" s="6"/>
    </row>
    <row r="2" spans="1:6" ht="20.399999999999999">
      <c r="A2" s="6" t="s">
        <v>52</v>
      </c>
      <c r="B2" s="6"/>
      <c r="C2" s="6"/>
      <c r="D2" s="6"/>
      <c r="E2" s="6"/>
      <c r="F2" s="6"/>
    </row>
    <row r="3" spans="1:6" ht="20.399999999999999">
      <c r="A3" s="6" t="s">
        <v>73</v>
      </c>
      <c r="B3" s="6"/>
      <c r="C3" s="6"/>
      <c r="D3" s="6"/>
      <c r="E3" s="6"/>
      <c r="F3" s="6"/>
    </row>
    <row r="4" spans="1:6" ht="20.399999999999999">
      <c r="A4" s="4"/>
      <c r="B4" s="4"/>
      <c r="C4" s="4"/>
      <c r="D4" s="4"/>
      <c r="E4" s="4"/>
      <c r="F4" s="4"/>
    </row>
    <row r="5" spans="1:6" ht="20.399999999999999">
      <c r="A5" s="13" t="s">
        <v>208</v>
      </c>
      <c r="B5" s="13"/>
      <c r="C5" s="13"/>
      <c r="D5" s="13"/>
      <c r="E5" s="13"/>
      <c r="F5" s="13"/>
    </row>
    <row r="6" spans="1:6">
      <c r="B6" s="40"/>
      <c r="C6" s="40"/>
      <c r="D6" s="40"/>
      <c r="E6" s="40"/>
      <c r="F6" s="40"/>
    </row>
    <row r="7" spans="1:6" ht="18.75" customHeight="1" thickBot="1">
      <c r="A7" s="14"/>
      <c r="B7" s="23" t="s">
        <v>77</v>
      </c>
      <c r="C7" s="15" t="s">
        <v>202</v>
      </c>
      <c r="D7" s="15"/>
      <c r="E7" s="15" t="s">
        <v>74</v>
      </c>
      <c r="F7" s="15"/>
    </row>
    <row r="8" spans="1:6">
      <c r="A8" s="48" t="s">
        <v>207</v>
      </c>
      <c r="B8" s="48" t="s">
        <v>4</v>
      </c>
      <c r="C8" s="49" t="s">
        <v>33</v>
      </c>
      <c r="D8" s="49" t="s">
        <v>71</v>
      </c>
      <c r="E8" s="50" t="s">
        <v>4</v>
      </c>
      <c r="F8" s="51" t="s">
        <v>14</v>
      </c>
    </row>
    <row r="9" spans="1:6" ht="18.600000000000001" thickBot="1">
      <c r="A9" s="52"/>
      <c r="B9" s="52"/>
      <c r="C9" s="53"/>
      <c r="D9" s="53"/>
      <c r="E9" s="52"/>
      <c r="F9" s="15"/>
    </row>
    <row r="10" spans="1:6">
      <c r="A10" s="27" t="s">
        <v>76</v>
      </c>
      <c r="B10" s="28">
        <v>10287449602</v>
      </c>
      <c r="C10" s="28">
        <v>21209525</v>
      </c>
      <c r="D10" s="28">
        <v>630000</v>
      </c>
      <c r="E10" s="28">
        <v>10308029127</v>
      </c>
      <c r="F10" s="29">
        <v>1.075695371335161E-2</v>
      </c>
    </row>
    <row r="11" spans="1:6">
      <c r="A11" s="27" t="s">
        <v>75</v>
      </c>
      <c r="B11" s="28">
        <v>85926593260</v>
      </c>
      <c r="C11" s="28">
        <v>5033825155</v>
      </c>
      <c r="D11" s="28">
        <v>630000</v>
      </c>
      <c r="E11" s="28">
        <v>90959788415</v>
      </c>
      <c r="F11" s="29">
        <v>9.4921174717438411E-2</v>
      </c>
    </row>
    <row r="12" spans="1:6" ht="18.600000000000001" thickBot="1">
      <c r="A12" s="27" t="s">
        <v>2</v>
      </c>
      <c r="B12" s="33">
        <f>SUM(B10:B11)</f>
        <v>96214042862</v>
      </c>
      <c r="C12" s="33">
        <f>SUM(C10:C11)</f>
        <v>5055034680</v>
      </c>
      <c r="D12" s="33">
        <f>SUM(D10:D11)</f>
        <v>1260000</v>
      </c>
      <c r="E12" s="33">
        <f>SUM(E10:E11)</f>
        <v>101267817542</v>
      </c>
      <c r="F12" s="34">
        <f>SUM(F10:F11)</f>
        <v>0.10567812843079002</v>
      </c>
    </row>
    <row r="13" spans="1:6" ht="18.600000000000001" thickTop="1">
      <c r="C13" s="24" t="s">
        <v>58</v>
      </c>
    </row>
    <row r="14" spans="1:6">
      <c r="B14" s="31"/>
      <c r="E14" s="31"/>
    </row>
    <row r="15" spans="1:6">
      <c r="B15" s="31"/>
      <c r="E15" s="31"/>
    </row>
    <row r="16" spans="1:6">
      <c r="B16" s="32"/>
      <c r="E16" s="32"/>
    </row>
  </sheetData>
  <mergeCells count="12">
    <mergeCell ref="A1:F1"/>
    <mergeCell ref="A2:F2"/>
    <mergeCell ref="A3:F3"/>
    <mergeCell ref="F8:F9"/>
    <mergeCell ref="A5:F5"/>
    <mergeCell ref="E7:F7"/>
    <mergeCell ref="E8:E9"/>
    <mergeCell ref="A8:A9"/>
    <mergeCell ref="B8:B9"/>
    <mergeCell ref="C7:D7"/>
    <mergeCell ref="C8:C9"/>
    <mergeCell ref="D8:D9"/>
  </mergeCells>
  <pageMargins left="0.7" right="0.7" top="0.75" bottom="0.75" header="0.3" footer="0.3"/>
  <pageSetup scale="81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S14"/>
  <sheetViews>
    <sheetView rightToLeft="1" view="pageBreakPreview" zoomScaleNormal="100" zoomScaleSheetLayoutView="100" workbookViewId="0">
      <selection activeCell="C13" sqref="C13:E13"/>
    </sheetView>
  </sheetViews>
  <sheetFormatPr defaultRowHeight="18.600000000000001"/>
  <cols>
    <col min="1" max="1" width="60.09765625" style="78" customWidth="1"/>
    <col min="2" max="2" width="8.796875" style="71"/>
    <col min="3" max="3" width="24.59765625" style="71" customWidth="1"/>
    <col min="4" max="4" width="13.09765625" style="71" customWidth="1"/>
    <col min="5" max="5" width="13.296875" style="71" customWidth="1"/>
    <col min="6" max="16384" width="8.796875" style="71"/>
  </cols>
  <sheetData>
    <row r="1" spans="1:19" ht="20.399999999999999">
      <c r="A1" s="6" t="s">
        <v>72</v>
      </c>
      <c r="B1" s="6"/>
      <c r="C1" s="6"/>
      <c r="D1" s="6"/>
      <c r="E1" s="6"/>
    </row>
    <row r="2" spans="1:19" ht="20.399999999999999">
      <c r="A2" s="6" t="s">
        <v>55</v>
      </c>
      <c r="B2" s="6"/>
      <c r="C2" s="6"/>
      <c r="D2" s="6"/>
      <c r="E2" s="6"/>
    </row>
    <row r="3" spans="1:19" ht="20.399999999999999">
      <c r="A3" s="6" t="s">
        <v>73</v>
      </c>
      <c r="B3" s="6"/>
      <c r="C3" s="6"/>
      <c r="D3" s="6"/>
      <c r="E3" s="6"/>
    </row>
    <row r="4" spans="1:19" ht="20.399999999999999">
      <c r="A4" s="4"/>
      <c r="B4" s="4"/>
      <c r="C4" s="4"/>
      <c r="D4" s="4"/>
      <c r="E4" s="4"/>
    </row>
    <row r="5" spans="1:19" ht="20.399999999999999">
      <c r="A5" s="13" t="s">
        <v>19</v>
      </c>
      <c r="B5" s="13"/>
      <c r="C5" s="13"/>
      <c r="D5" s="13"/>
      <c r="E5" s="13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</row>
    <row r="6" spans="1:19" ht="20.399999999999999">
      <c r="A6" s="54"/>
      <c r="B6" s="54"/>
      <c r="C6" s="54"/>
      <c r="D6" s="54"/>
      <c r="E6" s="54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</row>
    <row r="7" spans="1:19" ht="21" thickBot="1">
      <c r="A7" s="54"/>
      <c r="B7" s="54"/>
      <c r="C7" s="80" t="s">
        <v>211</v>
      </c>
      <c r="D7" s="81"/>
      <c r="E7" s="81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</row>
    <row r="8" spans="1:19" ht="40.200000000000003" customHeight="1" thickBot="1">
      <c r="A8" s="79" t="s">
        <v>34</v>
      </c>
      <c r="B8" s="79" t="s">
        <v>35</v>
      </c>
      <c r="C8" s="79" t="s">
        <v>4</v>
      </c>
      <c r="D8" s="82" t="s">
        <v>12</v>
      </c>
      <c r="E8" s="82" t="s">
        <v>59</v>
      </c>
    </row>
    <row r="9" spans="1:19" ht="20.399999999999999">
      <c r="A9" s="76" t="s">
        <v>48</v>
      </c>
      <c r="B9" s="77" t="s">
        <v>219</v>
      </c>
      <c r="C9" s="28">
        <f>'درآمد سرمایه گذاری در سهام '!$J$65</f>
        <v>-149967053755</v>
      </c>
      <c r="D9" s="29">
        <f>C9/$C$13</f>
        <v>1.1574189673224653</v>
      </c>
      <c r="E9" s="29">
        <f t="shared" ref="E9:E12" si="0">C9/958266568927</f>
        <v>-0.15649826323683882</v>
      </c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</row>
    <row r="10" spans="1:19" ht="20.399999999999999">
      <c r="A10" s="76" t="s">
        <v>49</v>
      </c>
      <c r="B10" s="77" t="s">
        <v>54</v>
      </c>
      <c r="C10" s="28">
        <f>'درآمد سپرده بانکی'!$D$11</f>
        <v>5619134246</v>
      </c>
      <c r="D10" s="29">
        <f>C10/$C$13</f>
        <v>-4.3367475678202302E-2</v>
      </c>
      <c r="E10" s="29">
        <f t="shared" si="0"/>
        <v>5.8638529488636067E-3</v>
      </c>
      <c r="F10" s="36"/>
      <c r="G10" s="36"/>
      <c r="H10" s="36"/>
      <c r="I10" s="36"/>
      <c r="J10" s="36"/>
      <c r="K10" s="36"/>
      <c r="L10" s="36"/>
      <c r="M10" s="36"/>
      <c r="N10" s="36"/>
      <c r="O10" s="36"/>
    </row>
    <row r="11" spans="1:19" ht="20.399999999999999">
      <c r="A11" s="76" t="s">
        <v>69</v>
      </c>
      <c r="B11" s="77" t="s">
        <v>220</v>
      </c>
      <c r="C11" s="28">
        <f>'درآمد سرمایه گذاری مشتقه '!$H$48</f>
        <v>14276725188</v>
      </c>
      <c r="D11" s="29">
        <f>C11/$C$13</f>
        <v>-0.11018521808688039</v>
      </c>
      <c r="E11" s="29">
        <f t="shared" si="0"/>
        <v>1.4898490306289282E-2</v>
      </c>
      <c r="F11" s="36"/>
      <c r="G11" s="36"/>
      <c r="H11" s="36"/>
      <c r="I11" s="36"/>
      <c r="J11" s="36"/>
      <c r="K11" s="36"/>
      <c r="L11" s="36"/>
      <c r="M11" s="36"/>
      <c r="N11" s="36"/>
      <c r="O11" s="36"/>
    </row>
    <row r="12" spans="1:19" ht="20.399999999999999">
      <c r="A12" s="76" t="s">
        <v>20</v>
      </c>
      <c r="B12" s="77" t="s">
        <v>221</v>
      </c>
      <c r="C12" s="28">
        <f>'سایر درآمدها'!$C$11</f>
        <v>500953994</v>
      </c>
      <c r="D12" s="29">
        <f>C12/$C$13</f>
        <v>-3.8662735573826872E-3</v>
      </c>
      <c r="E12" s="29">
        <f t="shared" si="0"/>
        <v>5.2277102243161136E-4</v>
      </c>
      <c r="F12" s="36"/>
      <c r="G12" s="36"/>
    </row>
    <row r="13" spans="1:19" ht="19.2" thickBot="1">
      <c r="A13" s="27" t="s">
        <v>2</v>
      </c>
      <c r="C13" s="33">
        <f>SUM(C9:C12)</f>
        <v>-129570240327</v>
      </c>
      <c r="D13" s="67">
        <f>SUM(D9:D12)</f>
        <v>1</v>
      </c>
      <c r="E13" s="34">
        <f>SUM(E9:E12)</f>
        <v>-0.13521314895925432</v>
      </c>
    </row>
    <row r="14" spans="1:19" ht="19.2" thickTop="1"/>
  </sheetData>
  <mergeCells count="5">
    <mergeCell ref="A5:E5"/>
    <mergeCell ref="A3:E3"/>
    <mergeCell ref="A2:E2"/>
    <mergeCell ref="A1:E1"/>
    <mergeCell ref="C7:E7"/>
  </mergeCells>
  <pageMargins left="0.7" right="0.7" top="0.75" bottom="0.75" header="0.3" footer="0.3"/>
  <pageSetup scale="84" orientation="landscape" horizontalDpi="4294967295" verticalDpi="4294967295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66"/>
  <sheetViews>
    <sheetView rightToLeft="1" view="pageBreakPreview" topLeftCell="A40" zoomScale="55" zoomScaleNormal="100" zoomScaleSheetLayoutView="55" workbookViewId="0">
      <selection activeCell="A5" sqref="A5:F5"/>
    </sheetView>
  </sheetViews>
  <sheetFormatPr defaultColWidth="9.09765625" defaultRowHeight="18"/>
  <cols>
    <col min="1" max="1" width="32.19921875" style="24" customWidth="1"/>
    <col min="2" max="2" width="19.8984375" style="24" customWidth="1"/>
    <col min="3" max="3" width="18.296875" style="24" customWidth="1"/>
    <col min="4" max="4" width="19" style="24" customWidth="1"/>
    <col min="5" max="5" width="17.3984375" style="24" customWidth="1"/>
    <col min="6" max="6" width="10.8984375" style="24" customWidth="1"/>
    <col min="7" max="7" width="19" style="24" customWidth="1"/>
    <col min="8" max="8" width="17.59765625" style="24" customWidth="1"/>
    <col min="9" max="9" width="18.09765625" style="24" customWidth="1"/>
    <col min="10" max="10" width="22.59765625" style="24" customWidth="1"/>
    <col min="11" max="11" width="10.59765625" style="24" customWidth="1"/>
    <col min="12" max="16384" width="9.09765625" style="24"/>
  </cols>
  <sheetData>
    <row r="1" spans="1:11" ht="20.399999999999999">
      <c r="A1" s="6" t="s">
        <v>72</v>
      </c>
      <c r="B1" s="6"/>
      <c r="C1" s="6"/>
      <c r="D1" s="6"/>
      <c r="E1" s="6"/>
      <c r="F1" s="6"/>
      <c r="G1" s="6"/>
      <c r="H1" s="6"/>
      <c r="I1" s="6"/>
      <c r="J1" s="6"/>
      <c r="K1" s="6"/>
    </row>
    <row r="2" spans="1:11" ht="20.399999999999999">
      <c r="A2" s="6" t="s">
        <v>55</v>
      </c>
      <c r="B2" s="6"/>
      <c r="C2" s="6"/>
      <c r="D2" s="6"/>
      <c r="E2" s="6"/>
      <c r="F2" s="6"/>
      <c r="G2" s="6"/>
      <c r="H2" s="6"/>
      <c r="I2" s="6"/>
      <c r="J2" s="6"/>
      <c r="K2" s="6"/>
    </row>
    <row r="3" spans="1:11" ht="20.399999999999999">
      <c r="A3" s="6" t="s">
        <v>73</v>
      </c>
      <c r="B3" s="6"/>
      <c r="C3" s="6"/>
      <c r="D3" s="6"/>
      <c r="E3" s="6"/>
      <c r="F3" s="6"/>
      <c r="G3" s="6"/>
      <c r="H3" s="6"/>
      <c r="I3" s="6"/>
      <c r="J3" s="6"/>
      <c r="K3" s="6"/>
    </row>
    <row r="5" spans="1:11" ht="20.399999999999999">
      <c r="A5" s="13" t="s">
        <v>209</v>
      </c>
      <c r="B5" s="13"/>
      <c r="C5" s="13"/>
      <c r="D5" s="13"/>
      <c r="E5" s="13"/>
      <c r="F5" s="13"/>
      <c r="G5" s="13"/>
      <c r="H5" s="13"/>
      <c r="I5" s="13"/>
      <c r="J5" s="13"/>
      <c r="K5" s="13"/>
    </row>
    <row r="7" spans="1:11" ht="19.5" customHeight="1" thickBot="1">
      <c r="A7" s="60"/>
      <c r="B7" s="7" t="s">
        <v>210</v>
      </c>
      <c r="C7" s="7"/>
      <c r="D7" s="7"/>
      <c r="E7" s="7"/>
      <c r="F7" s="7"/>
      <c r="G7" s="7" t="s">
        <v>211</v>
      </c>
      <c r="H7" s="7"/>
      <c r="I7" s="7"/>
      <c r="J7" s="7"/>
      <c r="K7" s="7"/>
    </row>
    <row r="8" spans="1:11" ht="19.5" customHeight="1" thickBot="1">
      <c r="A8" s="55" t="s">
        <v>16</v>
      </c>
      <c r="B8" s="56" t="s">
        <v>7</v>
      </c>
      <c r="C8" s="56" t="s">
        <v>8</v>
      </c>
      <c r="D8" s="56" t="s">
        <v>9</v>
      </c>
      <c r="E8" s="56" t="s">
        <v>2</v>
      </c>
      <c r="F8" s="56"/>
      <c r="G8" s="56" t="s">
        <v>7</v>
      </c>
      <c r="H8" s="56" t="s">
        <v>8</v>
      </c>
      <c r="I8" s="56" t="s">
        <v>9</v>
      </c>
      <c r="J8" s="56" t="s">
        <v>2</v>
      </c>
      <c r="K8" s="56"/>
    </row>
    <row r="9" spans="1:11" ht="36.6" customHeight="1" thickBot="1">
      <c r="A9" s="57"/>
      <c r="B9" s="7"/>
      <c r="C9" s="7" t="s">
        <v>57</v>
      </c>
      <c r="D9" s="7" t="s">
        <v>57</v>
      </c>
      <c r="E9" s="58" t="s">
        <v>4</v>
      </c>
      <c r="F9" s="58" t="s">
        <v>10</v>
      </c>
      <c r="G9" s="7"/>
      <c r="H9" s="7" t="s">
        <v>57</v>
      </c>
      <c r="I9" s="7" t="s">
        <v>57</v>
      </c>
      <c r="J9" s="58" t="s">
        <v>4</v>
      </c>
      <c r="K9" s="58" t="s">
        <v>10</v>
      </c>
    </row>
    <row r="10" spans="1:11">
      <c r="A10" s="27" t="s">
        <v>80</v>
      </c>
      <c r="B10" s="28">
        <v>0</v>
      </c>
      <c r="C10" s="28">
        <v>-2452891440</v>
      </c>
      <c r="D10" s="28">
        <v>0</v>
      </c>
      <c r="E10" s="28">
        <v>-2452891440</v>
      </c>
      <c r="F10" s="29">
        <v>1.686114213706344E-2</v>
      </c>
      <c r="G10" s="28">
        <v>0</v>
      </c>
      <c r="H10" s="28">
        <v>-4990471531</v>
      </c>
      <c r="I10" s="28">
        <v>0</v>
      </c>
      <c r="J10" s="28">
        <v>-4990471531</v>
      </c>
      <c r="K10" s="29">
        <v>3.8515568994897352E-2</v>
      </c>
    </row>
    <row r="11" spans="1:11">
      <c r="A11" s="27" t="s">
        <v>81</v>
      </c>
      <c r="B11" s="28">
        <v>0</v>
      </c>
      <c r="C11" s="28">
        <v>-3103360146</v>
      </c>
      <c r="D11" s="28">
        <v>0</v>
      </c>
      <c r="E11" s="28">
        <v>-3103360146</v>
      </c>
      <c r="F11" s="29">
        <v>2.1332455106208837E-2</v>
      </c>
      <c r="G11" s="28">
        <v>0</v>
      </c>
      <c r="H11" s="28">
        <v>-9439387113</v>
      </c>
      <c r="I11" s="28">
        <v>0</v>
      </c>
      <c r="J11" s="28">
        <v>-9439387113</v>
      </c>
      <c r="K11" s="29">
        <v>7.2851505786958162E-2</v>
      </c>
    </row>
    <row r="12" spans="1:11">
      <c r="A12" s="27" t="s">
        <v>82</v>
      </c>
      <c r="B12" s="28">
        <v>0</v>
      </c>
      <c r="C12" s="28">
        <v>-1823296125</v>
      </c>
      <c r="D12" s="28">
        <v>0</v>
      </c>
      <c r="E12" s="28">
        <v>-1823296125</v>
      </c>
      <c r="F12" s="29">
        <v>1.2533312571542908E-2</v>
      </c>
      <c r="G12" s="28">
        <v>0</v>
      </c>
      <c r="H12" s="28">
        <v>-3052718655</v>
      </c>
      <c r="I12" s="28">
        <v>0</v>
      </c>
      <c r="J12" s="28">
        <v>-3052718655</v>
      </c>
      <c r="K12" s="29">
        <v>2.3560337985757913E-2</v>
      </c>
    </row>
    <row r="13" spans="1:11">
      <c r="A13" s="27" t="s">
        <v>83</v>
      </c>
      <c r="B13" s="28">
        <v>0</v>
      </c>
      <c r="C13" s="28">
        <v>-8878085971</v>
      </c>
      <c r="D13" s="28">
        <v>0</v>
      </c>
      <c r="E13" s="28">
        <v>-8878085971</v>
      </c>
      <c r="F13" s="29">
        <v>6.1027841273766231E-2</v>
      </c>
      <c r="G13" s="28">
        <v>0</v>
      </c>
      <c r="H13" s="28">
        <v>-18894847270</v>
      </c>
      <c r="I13" s="28">
        <v>-1302677493</v>
      </c>
      <c r="J13" s="28">
        <v>-20197524763</v>
      </c>
      <c r="K13" s="29">
        <v>0.15588089295834404</v>
      </c>
    </row>
    <row r="14" spans="1:11">
      <c r="A14" s="27" t="s">
        <v>84</v>
      </c>
      <c r="B14" s="28">
        <v>0</v>
      </c>
      <c r="C14" s="28">
        <v>-20798971470</v>
      </c>
      <c r="D14" s="28">
        <v>0</v>
      </c>
      <c r="E14" s="28">
        <v>-20798971470</v>
      </c>
      <c r="F14" s="29">
        <v>0.14297184479570663</v>
      </c>
      <c r="G14" s="28">
        <v>0</v>
      </c>
      <c r="H14" s="28">
        <v>403668677</v>
      </c>
      <c r="I14" s="28">
        <v>2284426071</v>
      </c>
      <c r="J14" s="28">
        <v>2688094748</v>
      </c>
      <c r="K14" s="29">
        <v>-2.0746235719066208E-2</v>
      </c>
    </row>
    <row r="15" spans="1:11">
      <c r="A15" s="27" t="s">
        <v>85</v>
      </c>
      <c r="B15" s="28">
        <v>0</v>
      </c>
      <c r="C15" s="28">
        <v>-770993790</v>
      </c>
      <c r="D15" s="28">
        <v>0</v>
      </c>
      <c r="E15" s="28">
        <v>-770993790</v>
      </c>
      <c r="F15" s="29">
        <v>5.2998007445381442E-3</v>
      </c>
      <c r="G15" s="28">
        <v>0</v>
      </c>
      <c r="H15" s="28">
        <v>-899988890</v>
      </c>
      <c r="I15" s="28">
        <v>164896344</v>
      </c>
      <c r="J15" s="28">
        <v>-735092546</v>
      </c>
      <c r="K15" s="29">
        <v>5.6733131322811983E-3</v>
      </c>
    </row>
    <row r="16" spans="1:11">
      <c r="A16" s="27" t="s">
        <v>86</v>
      </c>
      <c r="B16" s="28">
        <v>0</v>
      </c>
      <c r="C16" s="28">
        <v>-1303842780</v>
      </c>
      <c r="D16" s="28">
        <v>0</v>
      </c>
      <c r="E16" s="28">
        <v>-1303842780</v>
      </c>
      <c r="F16" s="29">
        <v>8.9625973980992559E-3</v>
      </c>
      <c r="G16" s="28">
        <v>0</v>
      </c>
      <c r="H16" s="28">
        <v>-4707328880</v>
      </c>
      <c r="I16" s="28">
        <v>0</v>
      </c>
      <c r="J16" s="28">
        <v>-4707328880</v>
      </c>
      <c r="K16" s="29">
        <v>3.6330324526063884E-2</v>
      </c>
    </row>
    <row r="17" spans="1:11">
      <c r="A17" s="27" t="s">
        <v>87</v>
      </c>
      <c r="B17" s="28">
        <v>0</v>
      </c>
      <c r="C17" s="28">
        <v>-2570475435</v>
      </c>
      <c r="D17" s="28">
        <v>0</v>
      </c>
      <c r="E17" s="28">
        <v>-2570475435</v>
      </c>
      <c r="F17" s="29">
        <v>1.7669412906983348E-2</v>
      </c>
      <c r="G17" s="28">
        <v>0</v>
      </c>
      <c r="H17" s="28">
        <v>-6074180805</v>
      </c>
      <c r="I17" s="28">
        <v>0</v>
      </c>
      <c r="J17" s="28">
        <v>-6074180805</v>
      </c>
      <c r="K17" s="29">
        <v>4.6879443841968821E-2</v>
      </c>
    </row>
    <row r="18" spans="1:11">
      <c r="A18" s="27" t="s">
        <v>88</v>
      </c>
      <c r="B18" s="28">
        <v>0</v>
      </c>
      <c r="C18" s="28">
        <v>-10669829697</v>
      </c>
      <c r="D18" s="28">
        <v>0</v>
      </c>
      <c r="E18" s="28">
        <v>-10669829697</v>
      </c>
      <c r="F18" s="29">
        <v>7.3344263087068179E-2</v>
      </c>
      <c r="G18" s="28">
        <v>0</v>
      </c>
      <c r="H18" s="28">
        <v>-16375478608</v>
      </c>
      <c r="I18" s="28">
        <v>0</v>
      </c>
      <c r="J18" s="28">
        <v>-16375478608</v>
      </c>
      <c r="K18" s="29">
        <v>0.12638302257272002</v>
      </c>
    </row>
    <row r="19" spans="1:11">
      <c r="A19" s="27" t="s">
        <v>89</v>
      </c>
      <c r="B19" s="28">
        <v>0</v>
      </c>
      <c r="C19" s="28">
        <v>-2147772463</v>
      </c>
      <c r="D19" s="28">
        <v>0</v>
      </c>
      <c r="E19" s="28">
        <v>-2147772463</v>
      </c>
      <c r="F19" s="29">
        <v>1.4763758471395631E-2</v>
      </c>
      <c r="G19" s="28">
        <v>0</v>
      </c>
      <c r="H19" s="28">
        <v>-5585360025</v>
      </c>
      <c r="I19" s="28">
        <v>0</v>
      </c>
      <c r="J19" s="28">
        <v>-5585360025</v>
      </c>
      <c r="K19" s="29">
        <v>4.3106812265718365E-2</v>
      </c>
    </row>
    <row r="20" spans="1:11">
      <c r="A20" s="27" t="s">
        <v>90</v>
      </c>
      <c r="B20" s="28">
        <v>0</v>
      </c>
      <c r="C20" s="28">
        <v>-7504780059</v>
      </c>
      <c r="D20" s="28">
        <v>0</v>
      </c>
      <c r="E20" s="28">
        <v>-7504780059</v>
      </c>
      <c r="F20" s="29">
        <v>5.1587755258422012E-2</v>
      </c>
      <c r="G20" s="28">
        <v>0</v>
      </c>
      <c r="H20" s="28">
        <v>-18453589377</v>
      </c>
      <c r="I20" s="28">
        <v>-3261816427</v>
      </c>
      <c r="J20" s="28">
        <v>-21715405804</v>
      </c>
      <c r="K20" s="29">
        <v>0.16759562804851044</v>
      </c>
    </row>
    <row r="21" spans="1:11">
      <c r="A21" s="27" t="s">
        <v>91</v>
      </c>
      <c r="B21" s="28">
        <v>0</v>
      </c>
      <c r="C21" s="28">
        <v>-6779684775</v>
      </c>
      <c r="D21" s="28">
        <v>0</v>
      </c>
      <c r="E21" s="28">
        <v>-6779684775</v>
      </c>
      <c r="F21" s="29">
        <v>4.6603460215002404E-2</v>
      </c>
      <c r="G21" s="28">
        <v>0</v>
      </c>
      <c r="H21" s="28">
        <v>3170231839</v>
      </c>
      <c r="I21" s="28">
        <v>1021799919</v>
      </c>
      <c r="J21" s="28">
        <v>4192031758</v>
      </c>
      <c r="K21" s="29">
        <v>-3.2353353265537316E-2</v>
      </c>
    </row>
    <row r="22" spans="1:11">
      <c r="A22" s="27" t="s">
        <v>92</v>
      </c>
      <c r="B22" s="28">
        <v>4948500000</v>
      </c>
      <c r="C22" s="28">
        <v>-11578365008</v>
      </c>
      <c r="D22" s="28">
        <v>0</v>
      </c>
      <c r="E22" s="28">
        <v>-6629865008</v>
      </c>
      <c r="F22" s="29">
        <v>4.557360119020646E-2</v>
      </c>
      <c r="G22" s="28">
        <v>4948500000</v>
      </c>
      <c r="H22" s="28">
        <v>-8697686125</v>
      </c>
      <c r="I22" s="28">
        <v>118405085</v>
      </c>
      <c r="J22" s="28">
        <v>-3630781040</v>
      </c>
      <c r="K22" s="29">
        <v>2.8021720349031515E-2</v>
      </c>
    </row>
    <row r="23" spans="1:11">
      <c r="A23" s="27" t="s">
        <v>93</v>
      </c>
      <c r="B23" s="28">
        <v>0</v>
      </c>
      <c r="C23" s="28">
        <v>-517729276</v>
      </c>
      <c r="D23" s="28">
        <v>0</v>
      </c>
      <c r="E23" s="28">
        <v>-517729276</v>
      </c>
      <c r="F23" s="29">
        <v>3.5588639467692656E-3</v>
      </c>
      <c r="G23" s="28">
        <v>0</v>
      </c>
      <c r="H23" s="28">
        <v>-691524627</v>
      </c>
      <c r="I23" s="28">
        <v>945453152</v>
      </c>
      <c r="J23" s="28">
        <v>253928525</v>
      </c>
      <c r="K23" s="29">
        <v>-1.9597750560557234E-3</v>
      </c>
    </row>
    <row r="24" spans="1:11">
      <c r="A24" s="27" t="s">
        <v>94</v>
      </c>
      <c r="B24" s="28">
        <v>0</v>
      </c>
      <c r="C24" s="28">
        <v>-3388800504</v>
      </c>
      <c r="D24" s="28">
        <v>0</v>
      </c>
      <c r="E24" s="28">
        <v>-3388800504</v>
      </c>
      <c r="F24" s="29">
        <v>2.3294568214603177E-2</v>
      </c>
      <c r="G24" s="28">
        <v>0</v>
      </c>
      <c r="H24" s="28">
        <v>-7620945768</v>
      </c>
      <c r="I24" s="28">
        <v>716160076</v>
      </c>
      <c r="J24" s="28">
        <v>-6904785692</v>
      </c>
      <c r="K24" s="29">
        <v>5.3289904183045439E-2</v>
      </c>
    </row>
    <row r="25" spans="1:11">
      <c r="A25" s="27" t="s">
        <v>95</v>
      </c>
      <c r="B25" s="28">
        <v>0</v>
      </c>
      <c r="C25" s="28">
        <v>-5829983158</v>
      </c>
      <c r="D25" s="28">
        <v>0</v>
      </c>
      <c r="E25" s="28">
        <v>-5829983158</v>
      </c>
      <c r="F25" s="29">
        <v>4.0075224317193583E-2</v>
      </c>
      <c r="G25" s="28">
        <v>4785000000</v>
      </c>
      <c r="H25" s="28">
        <v>-7239998828</v>
      </c>
      <c r="I25" s="28">
        <v>155272540</v>
      </c>
      <c r="J25" s="28">
        <v>-2299726288</v>
      </c>
      <c r="K25" s="29">
        <v>1.7748877228259491E-2</v>
      </c>
    </row>
    <row r="26" spans="1:11">
      <c r="A26" s="27" t="s">
        <v>96</v>
      </c>
      <c r="B26" s="28">
        <v>0</v>
      </c>
      <c r="C26" s="28">
        <v>-1787872086</v>
      </c>
      <c r="D26" s="28">
        <v>0</v>
      </c>
      <c r="E26" s="28">
        <v>-1787872086</v>
      </c>
      <c r="F26" s="29">
        <v>1.2289808213010074E-2</v>
      </c>
      <c r="G26" s="28">
        <v>0</v>
      </c>
      <c r="H26" s="28">
        <v>-5405771055</v>
      </c>
      <c r="I26" s="28">
        <v>0</v>
      </c>
      <c r="J26" s="28">
        <v>-5405771055</v>
      </c>
      <c r="K26" s="29">
        <v>4.1720776633255491E-2</v>
      </c>
    </row>
    <row r="27" spans="1:11">
      <c r="A27" s="27" t="s">
        <v>97</v>
      </c>
      <c r="B27" s="28">
        <v>0</v>
      </c>
      <c r="C27" s="28">
        <v>0</v>
      </c>
      <c r="D27" s="28">
        <v>0</v>
      </c>
      <c r="E27" s="28">
        <v>0</v>
      </c>
      <c r="F27" s="29">
        <v>0</v>
      </c>
      <c r="G27" s="28">
        <v>0</v>
      </c>
      <c r="H27" s="28">
        <v>3978774</v>
      </c>
      <c r="I27" s="28">
        <v>2015118858</v>
      </c>
      <c r="J27" s="28">
        <v>2019097632</v>
      </c>
      <c r="K27" s="29">
        <v>-1.5583035324348765E-2</v>
      </c>
    </row>
    <row r="28" spans="1:11">
      <c r="A28" s="27" t="s">
        <v>98</v>
      </c>
      <c r="B28" s="28">
        <v>0</v>
      </c>
      <c r="C28" s="28">
        <v>-1144549789</v>
      </c>
      <c r="D28" s="28">
        <v>0</v>
      </c>
      <c r="E28" s="28">
        <v>-1144549789</v>
      </c>
      <c r="F28" s="29">
        <v>7.8676195613756831E-3</v>
      </c>
      <c r="G28" s="28">
        <v>0</v>
      </c>
      <c r="H28" s="28">
        <v>-1462429705</v>
      </c>
      <c r="I28" s="28">
        <v>1827353285</v>
      </c>
      <c r="J28" s="28">
        <v>364923580</v>
      </c>
      <c r="K28" s="29">
        <v>-2.816415089445171E-3</v>
      </c>
    </row>
    <row r="29" spans="1:11">
      <c r="A29" s="27" t="s">
        <v>99</v>
      </c>
      <c r="B29" s="28">
        <v>0</v>
      </c>
      <c r="C29" s="28">
        <v>-753562087</v>
      </c>
      <c r="D29" s="28">
        <v>0</v>
      </c>
      <c r="E29" s="28">
        <v>-753562087</v>
      </c>
      <c r="F29" s="29">
        <v>5.1799754570504616E-3</v>
      </c>
      <c r="G29" s="28">
        <v>0</v>
      </c>
      <c r="H29" s="28">
        <v>328074230</v>
      </c>
      <c r="I29" s="28">
        <v>913456459</v>
      </c>
      <c r="J29" s="28">
        <v>1241530689</v>
      </c>
      <c r="K29" s="29">
        <v>-9.5819123732943205E-3</v>
      </c>
    </row>
    <row r="30" spans="1:11">
      <c r="A30" s="27" t="s">
        <v>100</v>
      </c>
      <c r="B30" s="28">
        <v>0</v>
      </c>
      <c r="C30" s="28">
        <v>-14377992300</v>
      </c>
      <c r="D30" s="28">
        <v>0</v>
      </c>
      <c r="E30" s="28">
        <v>-14377992300</v>
      </c>
      <c r="F30" s="29">
        <v>9.8834121992738361E-2</v>
      </c>
      <c r="G30" s="28">
        <v>0</v>
      </c>
      <c r="H30" s="28">
        <v>-13738970420</v>
      </c>
      <c r="I30" s="28">
        <v>632249560</v>
      </c>
      <c r="J30" s="28">
        <v>-13106720860</v>
      </c>
      <c r="K30" s="29">
        <v>0.10115533340775015</v>
      </c>
    </row>
    <row r="31" spans="1:11">
      <c r="A31" s="27" t="s">
        <v>101</v>
      </c>
      <c r="B31" s="28">
        <v>0</v>
      </c>
      <c r="C31" s="28">
        <v>-2983407071</v>
      </c>
      <c r="D31" s="28">
        <v>0</v>
      </c>
      <c r="E31" s="28">
        <v>-2983407071</v>
      </c>
      <c r="F31" s="29">
        <v>2.0507899312841631E-2</v>
      </c>
      <c r="G31" s="28">
        <v>0</v>
      </c>
      <c r="H31" s="28">
        <v>-3703647259</v>
      </c>
      <c r="I31" s="28">
        <v>0</v>
      </c>
      <c r="J31" s="28">
        <v>-3703647259</v>
      </c>
      <c r="K31" s="29">
        <v>2.858408882821397E-2</v>
      </c>
    </row>
    <row r="32" spans="1:11">
      <c r="A32" s="27" t="s">
        <v>102</v>
      </c>
      <c r="B32" s="28">
        <v>0</v>
      </c>
      <c r="C32" s="28">
        <v>-1769415864</v>
      </c>
      <c r="D32" s="28">
        <v>0</v>
      </c>
      <c r="E32" s="28">
        <v>-1769415864</v>
      </c>
      <c r="F32" s="29">
        <v>1.2162940395959354E-2</v>
      </c>
      <c r="G32" s="28">
        <v>0</v>
      </c>
      <c r="H32" s="28">
        <v>-2653650770</v>
      </c>
      <c r="I32" s="28">
        <v>189445153</v>
      </c>
      <c r="J32" s="28">
        <v>-2464205617</v>
      </c>
      <c r="K32" s="29">
        <v>1.9018299346987518E-2</v>
      </c>
    </row>
    <row r="33" spans="1:11">
      <c r="A33" s="27" t="s">
        <v>103</v>
      </c>
      <c r="B33" s="28">
        <v>0</v>
      </c>
      <c r="C33" s="28">
        <v>-1327260352</v>
      </c>
      <c r="D33" s="28">
        <v>0</v>
      </c>
      <c r="E33" s="28">
        <v>-1327260352</v>
      </c>
      <c r="F33" s="29">
        <v>9.1235694670453293E-3</v>
      </c>
      <c r="G33" s="28">
        <v>0</v>
      </c>
      <c r="H33" s="28">
        <v>-2907854884</v>
      </c>
      <c r="I33" s="28">
        <v>0</v>
      </c>
      <c r="J33" s="28">
        <v>-2907854884</v>
      </c>
      <c r="K33" s="29">
        <v>2.2442305244332078E-2</v>
      </c>
    </row>
    <row r="34" spans="1:11">
      <c r="A34" s="27" t="s">
        <v>104</v>
      </c>
      <c r="B34" s="28">
        <v>0</v>
      </c>
      <c r="C34" s="28">
        <v>-2618916032</v>
      </c>
      <c r="D34" s="28">
        <v>0</v>
      </c>
      <c r="E34" s="28">
        <v>-2618916032</v>
      </c>
      <c r="F34" s="29">
        <v>1.8002392906791741E-2</v>
      </c>
      <c r="G34" s="28">
        <v>0</v>
      </c>
      <c r="H34" s="28">
        <v>-2199185822</v>
      </c>
      <c r="I34" s="28">
        <v>483371600</v>
      </c>
      <c r="J34" s="28">
        <v>-1715814222</v>
      </c>
      <c r="K34" s="29">
        <v>1.3242348070588989E-2</v>
      </c>
    </row>
    <row r="35" spans="1:11">
      <c r="A35" s="27" t="s">
        <v>105</v>
      </c>
      <c r="B35" s="28">
        <v>0</v>
      </c>
      <c r="C35" s="28">
        <v>-1223468910</v>
      </c>
      <c r="D35" s="28">
        <v>0</v>
      </c>
      <c r="E35" s="28">
        <v>-1223468910</v>
      </c>
      <c r="F35" s="29">
        <v>8.4101085173945069E-3</v>
      </c>
      <c r="G35" s="28">
        <v>0</v>
      </c>
      <c r="H35" s="28">
        <v>-2619592800</v>
      </c>
      <c r="I35" s="28">
        <v>0</v>
      </c>
      <c r="J35" s="28">
        <v>-2619592800</v>
      </c>
      <c r="K35" s="29">
        <v>2.0217549904892211E-2</v>
      </c>
    </row>
    <row r="36" spans="1:11">
      <c r="A36" s="27" t="s">
        <v>106</v>
      </c>
      <c r="B36" s="28">
        <v>0</v>
      </c>
      <c r="C36" s="28">
        <v>-4881968400</v>
      </c>
      <c r="D36" s="28">
        <v>0</v>
      </c>
      <c r="E36" s="28">
        <v>-4881968400</v>
      </c>
      <c r="F36" s="29">
        <v>3.3558583865029176E-2</v>
      </c>
      <c r="G36" s="28">
        <v>0</v>
      </c>
      <c r="H36" s="28">
        <v>-6867520056</v>
      </c>
      <c r="I36" s="28">
        <v>-28485759</v>
      </c>
      <c r="J36" s="28">
        <v>-6896005815</v>
      </c>
      <c r="K36" s="29">
        <v>5.3222142658656491E-2</v>
      </c>
    </row>
    <row r="37" spans="1:11">
      <c r="A37" s="27" t="s">
        <v>212</v>
      </c>
      <c r="B37" s="61">
        <f>SUM(B10:B36)</f>
        <v>4948500000</v>
      </c>
      <c r="C37" s="61">
        <f>SUM(C10:C36)</f>
        <v>-122987274988</v>
      </c>
      <c r="D37" s="61">
        <f>SUM(D10:D36)</f>
        <v>0</v>
      </c>
      <c r="E37" s="61">
        <f>SUM(E10:E36)</f>
        <v>-118038774988</v>
      </c>
      <c r="F37" s="62">
        <f>SUM(F10:F36)</f>
        <v>0.81139692132380581</v>
      </c>
      <c r="G37" s="61">
        <f>SUM(G10:G36)</f>
        <v>9733500000</v>
      </c>
      <c r="H37" s="61">
        <f>SUM(H10:H36)</f>
        <v>-150376175753</v>
      </c>
      <c r="I37" s="61">
        <f>SUM(I10:I36)</f>
        <v>6874428423</v>
      </c>
      <c r="J37" s="61">
        <f>SUM(J10:J36)</f>
        <v>-133768247330</v>
      </c>
      <c r="K37" s="62">
        <f>SUM(K10:K36)</f>
        <v>1.0323994691404861</v>
      </c>
    </row>
    <row r="38" spans="1:11" ht="20.399999999999999">
      <c r="A38" s="6" t="s">
        <v>72</v>
      </c>
      <c r="B38" s="6"/>
      <c r="C38" s="6"/>
      <c r="D38" s="6"/>
      <c r="E38" s="6"/>
      <c r="F38" s="6"/>
      <c r="G38" s="6"/>
      <c r="H38" s="6"/>
      <c r="I38" s="6"/>
      <c r="J38" s="6"/>
      <c r="K38" s="6"/>
    </row>
    <row r="39" spans="1:11" ht="20.399999999999999">
      <c r="A39" s="6" t="s">
        <v>55</v>
      </c>
      <c r="B39" s="6"/>
      <c r="C39" s="6"/>
      <c r="D39" s="6"/>
      <c r="E39" s="6"/>
      <c r="F39" s="6"/>
      <c r="G39" s="6"/>
      <c r="H39" s="6"/>
      <c r="I39" s="6"/>
      <c r="J39" s="6"/>
      <c r="K39" s="6"/>
    </row>
    <row r="40" spans="1:11" ht="20.399999999999999">
      <c r="A40" s="6" t="s">
        <v>73</v>
      </c>
      <c r="B40" s="6"/>
      <c r="C40" s="6"/>
      <c r="D40" s="6"/>
      <c r="E40" s="6"/>
      <c r="F40" s="6"/>
      <c r="G40" s="6"/>
      <c r="H40" s="6"/>
      <c r="I40" s="6"/>
      <c r="J40" s="6"/>
      <c r="K40" s="6"/>
    </row>
    <row r="42" spans="1:11" ht="20.399999999999999">
      <c r="A42" s="13" t="s">
        <v>209</v>
      </c>
      <c r="B42" s="13"/>
      <c r="C42" s="13"/>
      <c r="D42" s="13"/>
      <c r="E42" s="13"/>
      <c r="F42" s="13"/>
      <c r="G42" s="13"/>
      <c r="H42" s="13"/>
      <c r="I42" s="13"/>
      <c r="J42" s="13"/>
      <c r="K42" s="13"/>
    </row>
    <row r="44" spans="1:11" ht="19.5" customHeight="1" thickBot="1">
      <c r="A44" s="60"/>
      <c r="B44" s="7" t="s">
        <v>210</v>
      </c>
      <c r="C44" s="7"/>
      <c r="D44" s="7"/>
      <c r="E44" s="7"/>
      <c r="F44" s="7"/>
      <c r="G44" s="7" t="s">
        <v>211</v>
      </c>
      <c r="H44" s="7"/>
      <c r="I44" s="7"/>
      <c r="J44" s="7"/>
      <c r="K44" s="7"/>
    </row>
    <row r="45" spans="1:11" ht="19.5" customHeight="1" thickBot="1">
      <c r="A45" s="55" t="s">
        <v>16</v>
      </c>
      <c r="B45" s="56" t="s">
        <v>7</v>
      </c>
      <c r="C45" s="56" t="s">
        <v>8</v>
      </c>
      <c r="D45" s="56" t="s">
        <v>9</v>
      </c>
      <c r="E45" s="56" t="s">
        <v>2</v>
      </c>
      <c r="F45" s="56"/>
      <c r="G45" s="56" t="s">
        <v>7</v>
      </c>
      <c r="H45" s="56" t="s">
        <v>8</v>
      </c>
      <c r="I45" s="56" t="s">
        <v>9</v>
      </c>
      <c r="J45" s="56" t="s">
        <v>2</v>
      </c>
      <c r="K45" s="56"/>
    </row>
    <row r="46" spans="1:11" ht="36.6" customHeight="1" thickBot="1">
      <c r="A46" s="57"/>
      <c r="B46" s="7"/>
      <c r="C46" s="7" t="s">
        <v>57</v>
      </c>
      <c r="D46" s="7" t="s">
        <v>57</v>
      </c>
      <c r="E46" s="58" t="s">
        <v>4</v>
      </c>
      <c r="F46" s="58" t="s">
        <v>10</v>
      </c>
      <c r="G46" s="7"/>
      <c r="H46" s="7" t="s">
        <v>57</v>
      </c>
      <c r="I46" s="7" t="s">
        <v>57</v>
      </c>
      <c r="J46" s="58" t="s">
        <v>4</v>
      </c>
      <c r="K46" s="58" t="s">
        <v>10</v>
      </c>
    </row>
    <row r="47" spans="1:11">
      <c r="A47" s="27" t="s">
        <v>213</v>
      </c>
      <c r="B47" s="28">
        <f>B37</f>
        <v>4948500000</v>
      </c>
      <c r="C47" s="28">
        <f>C37</f>
        <v>-122987274988</v>
      </c>
      <c r="D47" s="28">
        <f>D37</f>
        <v>0</v>
      </c>
      <c r="E47" s="28">
        <f>E37</f>
        <v>-118038774988</v>
      </c>
      <c r="F47" s="29">
        <f>F37</f>
        <v>0.81139692132380581</v>
      </c>
      <c r="G47" s="28">
        <f>G37</f>
        <v>9733500000</v>
      </c>
      <c r="H47" s="28">
        <f>H37</f>
        <v>-150376175753</v>
      </c>
      <c r="I47" s="28">
        <f>I37</f>
        <v>6874428423</v>
      </c>
      <c r="J47" s="28">
        <f>J37</f>
        <v>-133768247330</v>
      </c>
      <c r="K47" s="29">
        <f>K37</f>
        <v>1.0323994691404861</v>
      </c>
    </row>
    <row r="48" spans="1:11">
      <c r="A48" s="27" t="s">
        <v>107</v>
      </c>
      <c r="B48" s="28">
        <v>0</v>
      </c>
      <c r="C48" s="28">
        <v>-5490726045</v>
      </c>
      <c r="D48" s="28">
        <v>0</v>
      </c>
      <c r="E48" s="28">
        <v>-5490726045</v>
      </c>
      <c r="F48" s="29">
        <v>3.7743175572589216E-2</v>
      </c>
      <c r="G48" s="28">
        <v>3237500000</v>
      </c>
      <c r="H48" s="28">
        <v>-3650065195</v>
      </c>
      <c r="I48" s="28">
        <v>0</v>
      </c>
      <c r="J48" s="28">
        <v>-412565195</v>
      </c>
      <c r="K48" s="29">
        <v>3.1841045749301522E-3</v>
      </c>
    </row>
    <row r="49" spans="1:11">
      <c r="A49" s="27" t="s">
        <v>108</v>
      </c>
      <c r="B49" s="28">
        <v>0</v>
      </c>
      <c r="C49" s="28">
        <v>-1517577738</v>
      </c>
      <c r="D49" s="28">
        <v>0</v>
      </c>
      <c r="E49" s="28">
        <v>-1517577738</v>
      </c>
      <c r="F49" s="29">
        <v>1.0431808569751143E-2</v>
      </c>
      <c r="G49" s="28">
        <v>0</v>
      </c>
      <c r="H49" s="28">
        <v>-3904979358</v>
      </c>
      <c r="I49" s="28">
        <v>156233000</v>
      </c>
      <c r="J49" s="28">
        <v>-3748746358</v>
      </c>
      <c r="K49" s="29">
        <v>2.893215562878625E-2</v>
      </c>
    </row>
    <row r="50" spans="1:11">
      <c r="A50" s="27" t="s">
        <v>109</v>
      </c>
      <c r="B50" s="28">
        <v>0</v>
      </c>
      <c r="C50" s="28">
        <v>-9062097248</v>
      </c>
      <c r="D50" s="28">
        <v>0</v>
      </c>
      <c r="E50" s="28">
        <v>-9062097248</v>
      </c>
      <c r="F50" s="29">
        <v>6.2292732269643138E-2</v>
      </c>
      <c r="G50" s="28">
        <v>0</v>
      </c>
      <c r="H50" s="28">
        <v>4303779652</v>
      </c>
      <c r="I50" s="28">
        <v>0</v>
      </c>
      <c r="J50" s="28">
        <v>4303779652</v>
      </c>
      <c r="K50" s="29">
        <v>-3.3215803576025112E-2</v>
      </c>
    </row>
    <row r="51" spans="1:11">
      <c r="A51" s="27" t="s">
        <v>110</v>
      </c>
      <c r="B51" s="28">
        <v>0</v>
      </c>
      <c r="C51" s="28">
        <v>-5345532137</v>
      </c>
      <c r="D51" s="28">
        <v>0</v>
      </c>
      <c r="E51" s="28">
        <v>-5345532137</v>
      </c>
      <c r="F51" s="29">
        <v>3.6745114639153156E-2</v>
      </c>
      <c r="G51" s="28">
        <v>0</v>
      </c>
      <c r="H51" s="28">
        <v>-3409768581</v>
      </c>
      <c r="I51" s="28">
        <v>201541358</v>
      </c>
      <c r="J51" s="28">
        <v>-3208227223</v>
      </c>
      <c r="K51" s="29">
        <v>2.476052537143798E-2</v>
      </c>
    </row>
    <row r="52" spans="1:11">
      <c r="A52" s="27" t="s">
        <v>111</v>
      </c>
      <c r="B52" s="28">
        <v>0</v>
      </c>
      <c r="C52" s="28">
        <v>-1332420156</v>
      </c>
      <c r="D52" s="28">
        <v>0</v>
      </c>
      <c r="E52" s="28">
        <v>-1332420156</v>
      </c>
      <c r="F52" s="29">
        <v>9.1590378890164994E-3</v>
      </c>
      <c r="G52" s="28">
        <v>0</v>
      </c>
      <c r="H52" s="28">
        <v>-2900242725</v>
      </c>
      <c r="I52" s="28">
        <v>10229398</v>
      </c>
      <c r="J52" s="28">
        <v>-2890013327</v>
      </c>
      <c r="K52" s="29">
        <v>2.2304607290272779E-2</v>
      </c>
    </row>
    <row r="53" spans="1:11">
      <c r="A53" s="27" t="s">
        <v>112</v>
      </c>
      <c r="B53" s="28">
        <v>0</v>
      </c>
      <c r="C53" s="28">
        <v>-3054207060</v>
      </c>
      <c r="D53" s="28">
        <v>0</v>
      </c>
      <c r="E53" s="28">
        <v>-3054207060</v>
      </c>
      <c r="F53" s="29">
        <v>2.0994577466780448E-2</v>
      </c>
      <c r="G53" s="28">
        <v>0</v>
      </c>
      <c r="H53" s="28">
        <v>-5617240469</v>
      </c>
      <c r="I53" s="28">
        <v>61597329</v>
      </c>
      <c r="J53" s="28">
        <v>-5555643140</v>
      </c>
      <c r="K53" s="29">
        <v>4.2877462648668936E-2</v>
      </c>
    </row>
    <row r="54" spans="1:11">
      <c r="A54" s="27" t="s">
        <v>113</v>
      </c>
      <c r="B54" s="28">
        <v>0</v>
      </c>
      <c r="C54" s="28">
        <v>-3525256957</v>
      </c>
      <c r="D54" s="28">
        <v>0</v>
      </c>
      <c r="E54" s="28">
        <v>-3525256957</v>
      </c>
      <c r="F54" s="29">
        <v>2.4232568002132509E-2</v>
      </c>
      <c r="G54" s="28">
        <v>0</v>
      </c>
      <c r="H54" s="28">
        <v>-3212691907</v>
      </c>
      <c r="I54" s="28">
        <v>0</v>
      </c>
      <c r="J54" s="28">
        <v>-3212691907</v>
      </c>
      <c r="K54" s="29">
        <v>2.4794983006067139E-2</v>
      </c>
    </row>
    <row r="55" spans="1:11">
      <c r="A55" s="27" t="s">
        <v>114</v>
      </c>
      <c r="B55" s="28">
        <v>0</v>
      </c>
      <c r="C55" s="28">
        <v>0</v>
      </c>
      <c r="D55" s="28">
        <v>0</v>
      </c>
      <c r="E55" s="28">
        <v>0</v>
      </c>
      <c r="F55" s="29">
        <v>0</v>
      </c>
      <c r="G55" s="28">
        <v>0</v>
      </c>
      <c r="H55" s="28">
        <v>0</v>
      </c>
      <c r="I55" s="28">
        <v>-1420212200</v>
      </c>
      <c r="J55" s="28">
        <v>-1420212200</v>
      </c>
      <c r="K55" s="29">
        <v>1.0960944399082469E-2</v>
      </c>
    </row>
    <row r="56" spans="1:11">
      <c r="A56" s="27" t="s">
        <v>115</v>
      </c>
      <c r="B56" s="28">
        <v>0</v>
      </c>
      <c r="C56" s="28">
        <v>0</v>
      </c>
      <c r="D56" s="28">
        <v>0</v>
      </c>
      <c r="E56" s="28">
        <v>0</v>
      </c>
      <c r="F56" s="29">
        <v>0</v>
      </c>
      <c r="G56" s="28">
        <v>0</v>
      </c>
      <c r="H56" s="28">
        <v>0</v>
      </c>
      <c r="I56" s="28">
        <v>-553054609</v>
      </c>
      <c r="J56" s="28">
        <v>-553054609</v>
      </c>
      <c r="K56" s="29">
        <v>4.2683768093988309E-3</v>
      </c>
    </row>
    <row r="57" spans="1:11">
      <c r="A57" s="27" t="s">
        <v>116</v>
      </c>
      <c r="B57" s="28">
        <v>0</v>
      </c>
      <c r="C57" s="28">
        <v>0</v>
      </c>
      <c r="D57" s="28">
        <v>0</v>
      </c>
      <c r="E57" s="28">
        <v>0</v>
      </c>
      <c r="F57" s="29">
        <v>0</v>
      </c>
      <c r="G57" s="28">
        <v>0</v>
      </c>
      <c r="H57" s="28">
        <v>0</v>
      </c>
      <c r="I57" s="28">
        <v>642006420</v>
      </c>
      <c r="J57" s="28">
        <v>642006420</v>
      </c>
      <c r="K57" s="29">
        <v>-4.9548910180281418E-3</v>
      </c>
    </row>
    <row r="58" spans="1:11">
      <c r="A58" s="27" t="s">
        <v>117</v>
      </c>
      <c r="B58" s="28">
        <v>0</v>
      </c>
      <c r="C58" s="28">
        <v>0</v>
      </c>
      <c r="D58" s="28">
        <v>0</v>
      </c>
      <c r="E58" s="28">
        <v>0</v>
      </c>
      <c r="F58" s="29">
        <v>0</v>
      </c>
      <c r="G58" s="28">
        <v>0</v>
      </c>
      <c r="H58" s="28">
        <v>0</v>
      </c>
      <c r="I58" s="28">
        <v>-53544440</v>
      </c>
      <c r="J58" s="28">
        <v>-53544440</v>
      </c>
      <c r="K58" s="29">
        <v>4.132464357931915E-4</v>
      </c>
    </row>
    <row r="59" spans="1:11">
      <c r="A59" s="27" t="s">
        <v>118</v>
      </c>
      <c r="B59" s="28">
        <v>0</v>
      </c>
      <c r="C59" s="28">
        <v>0</v>
      </c>
      <c r="D59" s="28">
        <v>0</v>
      </c>
      <c r="E59" s="28">
        <v>0</v>
      </c>
      <c r="F59" s="29">
        <v>0</v>
      </c>
      <c r="G59" s="28">
        <v>0</v>
      </c>
      <c r="H59" s="28">
        <v>0</v>
      </c>
      <c r="I59" s="28">
        <v>179495223</v>
      </c>
      <c r="J59" s="28">
        <v>179495223</v>
      </c>
      <c r="K59" s="29">
        <v>-1.3853121098409862E-3</v>
      </c>
    </row>
    <row r="60" spans="1:11">
      <c r="A60" s="27" t="s">
        <v>119</v>
      </c>
      <c r="B60" s="28">
        <v>0</v>
      </c>
      <c r="C60" s="28">
        <v>0</v>
      </c>
      <c r="D60" s="28">
        <v>0</v>
      </c>
      <c r="E60" s="28">
        <v>0</v>
      </c>
      <c r="F60" s="29">
        <v>0</v>
      </c>
      <c r="G60" s="28">
        <v>0</v>
      </c>
      <c r="H60" s="28">
        <v>0</v>
      </c>
      <c r="I60" s="28">
        <v>-1579799394</v>
      </c>
      <c r="J60" s="28">
        <v>-1579799394</v>
      </c>
      <c r="K60" s="29">
        <v>1.2192609892618989E-2</v>
      </c>
    </row>
    <row r="61" spans="1:11">
      <c r="A61" s="27" t="s">
        <v>120</v>
      </c>
      <c r="B61" s="28">
        <v>0</v>
      </c>
      <c r="C61" s="28">
        <v>0</v>
      </c>
      <c r="D61" s="28">
        <v>0</v>
      </c>
      <c r="E61" s="28">
        <v>0</v>
      </c>
      <c r="F61" s="29">
        <v>0</v>
      </c>
      <c r="G61" s="28">
        <v>0</v>
      </c>
      <c r="H61" s="28">
        <v>0</v>
      </c>
      <c r="I61" s="28">
        <v>-277571830</v>
      </c>
      <c r="J61" s="28">
        <v>-277571830</v>
      </c>
      <c r="K61" s="29">
        <v>2.142249866168993E-3</v>
      </c>
    </row>
    <row r="62" spans="1:11">
      <c r="A62" s="27" t="s">
        <v>121</v>
      </c>
      <c r="B62" s="28">
        <v>0</v>
      </c>
      <c r="C62" s="28">
        <v>0</v>
      </c>
      <c r="D62" s="28">
        <v>0</v>
      </c>
      <c r="E62" s="28">
        <v>0</v>
      </c>
      <c r="F62" s="29">
        <v>0</v>
      </c>
      <c r="G62" s="28">
        <v>0</v>
      </c>
      <c r="H62" s="28">
        <v>0</v>
      </c>
      <c r="I62" s="28">
        <v>-1025979107</v>
      </c>
      <c r="J62" s="28">
        <v>-1025979107</v>
      </c>
      <c r="K62" s="29">
        <v>7.9183237170102339E-3</v>
      </c>
    </row>
    <row r="63" spans="1:11">
      <c r="A63" s="27" t="s">
        <v>122</v>
      </c>
      <c r="B63" s="28">
        <v>0</v>
      </c>
      <c r="C63" s="28">
        <v>0</v>
      </c>
      <c r="D63" s="28">
        <v>0</v>
      </c>
      <c r="E63" s="28">
        <v>0</v>
      </c>
      <c r="F63" s="29">
        <v>0</v>
      </c>
      <c r="G63" s="28">
        <v>0</v>
      </c>
      <c r="H63" s="28">
        <v>0</v>
      </c>
      <c r="I63" s="28">
        <v>-343528390</v>
      </c>
      <c r="J63" s="28">
        <v>-343528390</v>
      </c>
      <c r="K63" s="29">
        <v>2.6512908298466369E-3</v>
      </c>
    </row>
    <row r="64" spans="1:11">
      <c r="A64" s="27" t="s">
        <v>123</v>
      </c>
      <c r="B64" s="28">
        <v>0</v>
      </c>
      <c r="C64" s="28">
        <v>0</v>
      </c>
      <c r="D64" s="28">
        <v>0</v>
      </c>
      <c r="E64" s="28">
        <v>0</v>
      </c>
      <c r="F64" s="29">
        <v>0</v>
      </c>
      <c r="G64" s="28">
        <v>0</v>
      </c>
      <c r="H64" s="28">
        <v>0</v>
      </c>
      <c r="I64" s="28">
        <v>2957489400</v>
      </c>
      <c r="J64" s="28">
        <v>2957489400</v>
      </c>
      <c r="K64" s="29">
        <v>-2.2825375584209013E-2</v>
      </c>
    </row>
    <row r="65" spans="1:11" ht="18.600000000000001" thickBot="1">
      <c r="A65" s="27" t="s">
        <v>2</v>
      </c>
      <c r="B65" s="33">
        <f>SUM(B47:B64)</f>
        <v>4948500000</v>
      </c>
      <c r="C65" s="33">
        <f>SUM(C47:C64)</f>
        <v>-152315092329</v>
      </c>
      <c r="D65" s="33">
        <f>SUM(D47:D64)</f>
        <v>0</v>
      </c>
      <c r="E65" s="33">
        <f>SUM(E47:E64)</f>
        <v>-147366592329</v>
      </c>
      <c r="F65" s="34">
        <f>SUM(F47:F64)</f>
        <v>1.0129959357328719</v>
      </c>
      <c r="G65" s="33">
        <f>SUM(G47:G64)</f>
        <v>12971000000</v>
      </c>
      <c r="H65" s="33">
        <f>SUM(H47:H64)</f>
        <v>-168767384336</v>
      </c>
      <c r="I65" s="33">
        <f>SUM(I47:I64)</f>
        <v>5829330581</v>
      </c>
      <c r="J65" s="33">
        <f>SUM(J47:J64)</f>
        <v>-149967053755</v>
      </c>
      <c r="K65" s="34">
        <f>SUM(K47:K64)</f>
        <v>1.1574189673224655</v>
      </c>
    </row>
    <row r="66" spans="1:11" ht="18.600000000000001" thickTop="1"/>
  </sheetData>
  <mergeCells count="32">
    <mergeCell ref="G45:G46"/>
    <mergeCell ref="H45:H46"/>
    <mergeCell ref="I45:I46"/>
    <mergeCell ref="J45:K45"/>
    <mergeCell ref="A45:A46"/>
    <mergeCell ref="B45:B46"/>
    <mergeCell ref="C45:C46"/>
    <mergeCell ref="D45:D46"/>
    <mergeCell ref="E45:F45"/>
    <mergeCell ref="A39:K39"/>
    <mergeCell ref="A40:K40"/>
    <mergeCell ref="A42:F42"/>
    <mergeCell ref="G42:K42"/>
    <mergeCell ref="B44:F44"/>
    <mergeCell ref="G44:K44"/>
    <mergeCell ref="G5:K5"/>
    <mergeCell ref="B8:B9"/>
    <mergeCell ref="C8:C9"/>
    <mergeCell ref="D8:D9"/>
    <mergeCell ref="A38:K38"/>
    <mergeCell ref="G7:K7"/>
    <mergeCell ref="B7:F7"/>
    <mergeCell ref="A8:A9"/>
    <mergeCell ref="A1:K1"/>
    <mergeCell ref="A2:K2"/>
    <mergeCell ref="A3:K3"/>
    <mergeCell ref="G8:G9"/>
    <mergeCell ref="H8:H9"/>
    <mergeCell ref="I8:I9"/>
    <mergeCell ref="E8:F8"/>
    <mergeCell ref="J8:K8"/>
    <mergeCell ref="A5:F5"/>
  </mergeCells>
  <pageMargins left="0.7" right="0.7" top="0.75" bottom="0.75" header="0.3" footer="0.3"/>
  <pageSetup scale="56" orientation="landscape" horizontalDpi="4294967295" verticalDpi="4294967295" r:id="rId1"/>
  <rowBreaks count="1" manualBreakCount="1">
    <brk id="37" max="16383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12"/>
  <sheetViews>
    <sheetView rightToLeft="1" view="pageBreakPreview" zoomScaleNormal="100" zoomScaleSheetLayoutView="100" workbookViewId="0">
      <selection activeCell="A5" sqref="A5:E5"/>
    </sheetView>
  </sheetViews>
  <sheetFormatPr defaultColWidth="9.09765625" defaultRowHeight="18"/>
  <cols>
    <col min="1" max="1" width="23.69921875" style="24" customWidth="1"/>
    <col min="2" max="2" width="25.5" style="24" customWidth="1"/>
    <col min="3" max="3" width="12.59765625" style="24" customWidth="1"/>
    <col min="4" max="4" width="22.3984375" style="24" customWidth="1"/>
    <col min="5" max="5" width="13.19921875" style="24" customWidth="1"/>
    <col min="6" max="16384" width="9.09765625" style="24"/>
  </cols>
  <sheetData>
    <row r="1" spans="1:6" ht="20.399999999999999">
      <c r="A1" s="6" t="s">
        <v>72</v>
      </c>
      <c r="B1" s="6"/>
      <c r="C1" s="6"/>
      <c r="D1" s="6"/>
      <c r="E1" s="6"/>
    </row>
    <row r="2" spans="1:6" ht="20.399999999999999">
      <c r="A2" s="6" t="s">
        <v>55</v>
      </c>
      <c r="B2" s="6"/>
      <c r="C2" s="6"/>
      <c r="D2" s="6"/>
      <c r="E2" s="6"/>
    </row>
    <row r="3" spans="1:6" ht="20.399999999999999">
      <c r="A3" s="6" t="s">
        <v>73</v>
      </c>
      <c r="B3" s="6"/>
      <c r="C3" s="6"/>
      <c r="D3" s="6"/>
      <c r="E3" s="6"/>
    </row>
    <row r="4" spans="1:6" ht="20.399999999999999">
      <c r="A4" s="4"/>
      <c r="B4" s="4"/>
      <c r="C4" s="4"/>
      <c r="D4" s="4"/>
      <c r="E4" s="4"/>
    </row>
    <row r="5" spans="1:6" ht="20.399999999999999">
      <c r="A5" s="13" t="s">
        <v>214</v>
      </c>
      <c r="B5" s="13"/>
      <c r="C5" s="13"/>
      <c r="D5" s="13"/>
      <c r="E5" s="13"/>
    </row>
    <row r="6" spans="1:6">
      <c r="A6" s="40"/>
      <c r="B6" s="40"/>
      <c r="C6" s="40"/>
      <c r="D6" s="40"/>
      <c r="E6" s="40"/>
    </row>
    <row r="7" spans="1:6" ht="18.600000000000001" thickBot="1">
      <c r="A7" s="64"/>
      <c r="B7" s="7" t="s">
        <v>210</v>
      </c>
      <c r="C7" s="7"/>
      <c r="D7" s="7" t="s">
        <v>211</v>
      </c>
      <c r="E7" s="7"/>
      <c r="F7" s="59"/>
    </row>
    <row r="8" spans="1:6" ht="35.4" thickBot="1">
      <c r="A8" s="5" t="s">
        <v>207</v>
      </c>
      <c r="B8" s="5" t="s">
        <v>11</v>
      </c>
      <c r="C8" s="5" t="s">
        <v>215</v>
      </c>
      <c r="D8" s="5" t="s">
        <v>11</v>
      </c>
      <c r="E8" s="5" t="s">
        <v>215</v>
      </c>
      <c r="F8" s="65"/>
    </row>
    <row r="9" spans="1:6">
      <c r="A9" s="27" t="s">
        <v>75</v>
      </c>
      <c r="B9" s="28">
        <v>1869387165</v>
      </c>
      <c r="C9" s="29">
        <f>B9/B11</f>
        <v>0.98878157085951524</v>
      </c>
      <c r="D9" s="28">
        <v>5588966428</v>
      </c>
      <c r="E9" s="29">
        <f>D9/D11</f>
        <v>0.99463123380234686</v>
      </c>
    </row>
    <row r="10" spans="1:6">
      <c r="A10" s="27" t="s">
        <v>76</v>
      </c>
      <c r="B10" s="28">
        <v>21209525</v>
      </c>
      <c r="C10" s="29">
        <f>B10/B11</f>
        <v>1.1218429140484742E-2</v>
      </c>
      <c r="D10" s="28">
        <v>30167818</v>
      </c>
      <c r="E10" s="29">
        <f>D10/D11</f>
        <v>5.3687661976531461E-3</v>
      </c>
    </row>
    <row r="11" spans="1:6" ht="18.600000000000001" thickBot="1">
      <c r="A11" s="27" t="s">
        <v>2</v>
      </c>
      <c r="B11" s="33">
        <f>SUM(B9:B10)</f>
        <v>1890596690</v>
      </c>
      <c r="C11" s="67">
        <f>SUM(C9:C10)</f>
        <v>1</v>
      </c>
      <c r="D11" s="33">
        <f>SUM(D9:D10)</f>
        <v>5619134246</v>
      </c>
      <c r="E11" s="67">
        <f>SUM(E9:E10)</f>
        <v>1</v>
      </c>
    </row>
    <row r="12" spans="1:6" ht="18.600000000000001" thickTop="1"/>
  </sheetData>
  <mergeCells count="6">
    <mergeCell ref="B7:C7"/>
    <mergeCell ref="A5:E5"/>
    <mergeCell ref="D7:E7"/>
    <mergeCell ref="A1:E1"/>
    <mergeCell ref="A2:E2"/>
    <mergeCell ref="A3:E3"/>
  </mergeCells>
  <pageMargins left="0.7" right="0.7" top="0.75" bottom="0.75" header="0.3" footer="0.3"/>
  <pageSetup scale="85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34516-2072-42A8-877E-37BB5BACA214}">
  <dimension ref="A1:I56"/>
  <sheetViews>
    <sheetView rightToLeft="1" view="pageBreakPreview" topLeftCell="A37" zoomScale="60" zoomScaleNormal="70" workbookViewId="0">
      <selection activeCell="G51" sqref="E51:G56"/>
    </sheetView>
  </sheetViews>
  <sheetFormatPr defaultRowHeight="18.600000000000001"/>
  <cols>
    <col min="1" max="1" width="32.09765625" style="71" customWidth="1"/>
    <col min="2" max="2" width="22" style="71" customWidth="1"/>
    <col min="3" max="4" width="20.8984375" style="71" customWidth="1"/>
    <col min="5" max="5" width="10.796875" style="71" customWidth="1"/>
    <col min="6" max="6" width="20.3984375" style="71" customWidth="1"/>
    <col min="7" max="7" width="22.296875" style="71" customWidth="1"/>
    <col min="8" max="8" width="18.8984375" style="71" customWidth="1"/>
    <col min="9" max="9" width="11.09765625" style="71" customWidth="1"/>
    <col min="10" max="16384" width="8.796875" style="71"/>
  </cols>
  <sheetData>
    <row r="1" spans="1:9" ht="20.399999999999999">
      <c r="A1" s="6" t="s">
        <v>72</v>
      </c>
      <c r="B1" s="6"/>
      <c r="C1" s="6"/>
      <c r="D1" s="6"/>
      <c r="E1" s="6"/>
      <c r="F1" s="6"/>
      <c r="G1" s="6"/>
      <c r="H1" s="6"/>
      <c r="I1" s="6"/>
    </row>
    <row r="2" spans="1:9" ht="20.399999999999999">
      <c r="A2" s="6" t="s">
        <v>55</v>
      </c>
      <c r="B2" s="6"/>
      <c r="C2" s="6"/>
      <c r="D2" s="6"/>
      <c r="E2" s="6"/>
      <c r="F2" s="6"/>
      <c r="G2" s="6"/>
      <c r="H2" s="6"/>
      <c r="I2" s="6"/>
    </row>
    <row r="3" spans="1:9" ht="20.399999999999999">
      <c r="A3" s="6" t="s">
        <v>73</v>
      </c>
      <c r="B3" s="6"/>
      <c r="C3" s="6"/>
      <c r="D3" s="6"/>
      <c r="E3" s="6"/>
      <c r="F3" s="6"/>
      <c r="G3" s="6"/>
      <c r="H3" s="6"/>
      <c r="I3" s="6"/>
    </row>
    <row r="4" spans="1:9" ht="20.399999999999999">
      <c r="A4" s="4"/>
      <c r="B4" s="4"/>
      <c r="C4" s="4"/>
      <c r="D4" s="4"/>
      <c r="E4" s="4"/>
      <c r="F4" s="4"/>
      <c r="G4" s="4"/>
    </row>
    <row r="5" spans="1:9" ht="20.399999999999999">
      <c r="A5" s="13" t="s">
        <v>216</v>
      </c>
      <c r="B5" s="13"/>
      <c r="C5" s="13"/>
      <c r="D5" s="13"/>
      <c r="E5" s="13"/>
      <c r="F5" s="13"/>
      <c r="G5" s="13"/>
    </row>
    <row r="6" spans="1:9">
      <c r="B6" s="72"/>
      <c r="C6" s="72"/>
      <c r="D6" s="72"/>
    </row>
    <row r="7" spans="1:9" ht="19.2" thickBot="1">
      <c r="A7" s="60"/>
      <c r="B7" s="7" t="s">
        <v>210</v>
      </c>
      <c r="C7" s="7"/>
      <c r="D7" s="7"/>
      <c r="E7" s="7"/>
      <c r="F7" s="7" t="s">
        <v>211</v>
      </c>
      <c r="G7" s="7"/>
      <c r="H7" s="7"/>
      <c r="I7" s="7"/>
    </row>
    <row r="8" spans="1:9" ht="15" customHeight="1" thickBot="1">
      <c r="A8" s="68" t="s">
        <v>70</v>
      </c>
      <c r="B8" s="69" t="s">
        <v>8</v>
      </c>
      <c r="C8" s="69" t="s">
        <v>9</v>
      </c>
      <c r="D8" s="56" t="s">
        <v>2</v>
      </c>
      <c r="E8" s="56"/>
      <c r="F8" s="69" t="s">
        <v>8</v>
      </c>
      <c r="G8" s="69" t="s">
        <v>9</v>
      </c>
      <c r="H8" s="56" t="s">
        <v>2</v>
      </c>
      <c r="I8" s="56"/>
    </row>
    <row r="9" spans="1:9" ht="35.4" thickBot="1">
      <c r="A9" s="66"/>
      <c r="B9" s="70"/>
      <c r="C9" s="70" t="s">
        <v>57</v>
      </c>
      <c r="D9" s="58" t="s">
        <v>4</v>
      </c>
      <c r="E9" s="58" t="s">
        <v>10</v>
      </c>
      <c r="F9" s="70"/>
      <c r="G9" s="70" t="s">
        <v>57</v>
      </c>
      <c r="H9" s="58" t="s">
        <v>4</v>
      </c>
      <c r="I9" s="58" t="s">
        <v>10</v>
      </c>
    </row>
    <row r="10" spans="1:9">
      <c r="A10" s="27" t="s">
        <v>171</v>
      </c>
      <c r="B10" s="28">
        <v>0</v>
      </c>
      <c r="C10" s="28">
        <v>0</v>
      </c>
      <c r="D10" s="28">
        <v>0</v>
      </c>
      <c r="E10" s="29">
        <v>0</v>
      </c>
      <c r="F10" s="28">
        <v>363724270</v>
      </c>
      <c r="G10" s="28">
        <v>2675971415</v>
      </c>
      <c r="H10" s="28">
        <v>3039695685</v>
      </c>
      <c r="I10" s="29">
        <v>-2.3459829026546804E-2</v>
      </c>
    </row>
    <row r="11" spans="1:9">
      <c r="A11" s="27" t="s">
        <v>135</v>
      </c>
      <c r="B11" s="28">
        <v>0</v>
      </c>
      <c r="C11" s="28">
        <v>0</v>
      </c>
      <c r="D11" s="28">
        <v>0</v>
      </c>
      <c r="E11" s="29">
        <v>0</v>
      </c>
      <c r="F11" s="28">
        <v>-81937885</v>
      </c>
      <c r="G11" s="28">
        <v>-11252302</v>
      </c>
      <c r="H11" s="28">
        <v>-93190187</v>
      </c>
      <c r="I11" s="29">
        <v>7.192252384869654E-4</v>
      </c>
    </row>
    <row r="12" spans="1:9">
      <c r="A12" s="27" t="s">
        <v>131</v>
      </c>
      <c r="B12" s="28">
        <v>0</v>
      </c>
      <c r="C12" s="28">
        <v>0</v>
      </c>
      <c r="D12" s="28">
        <v>0</v>
      </c>
      <c r="E12" s="29">
        <v>0</v>
      </c>
      <c r="F12" s="28">
        <v>0</v>
      </c>
      <c r="G12" s="28">
        <v>80866755</v>
      </c>
      <c r="H12" s="28">
        <v>80866755</v>
      </c>
      <c r="I12" s="29">
        <v>-6.241151887649072E-4</v>
      </c>
    </row>
    <row r="13" spans="1:9">
      <c r="A13" s="27" t="s">
        <v>129</v>
      </c>
      <c r="B13" s="28">
        <v>0</v>
      </c>
      <c r="C13" s="28">
        <v>0</v>
      </c>
      <c r="D13" s="28">
        <v>0</v>
      </c>
      <c r="E13" s="29">
        <v>0</v>
      </c>
      <c r="F13" s="28">
        <v>0</v>
      </c>
      <c r="G13" s="28">
        <v>-116224949</v>
      </c>
      <c r="H13" s="28">
        <v>-116224949</v>
      </c>
      <c r="I13" s="29">
        <v>8.9700342228801831E-4</v>
      </c>
    </row>
    <row r="14" spans="1:9">
      <c r="A14" s="27" t="s">
        <v>124</v>
      </c>
      <c r="B14" s="28">
        <v>0</v>
      </c>
      <c r="C14" s="28">
        <v>0</v>
      </c>
      <c r="D14" s="28">
        <v>0</v>
      </c>
      <c r="E14" s="29">
        <v>0</v>
      </c>
      <c r="F14" s="28">
        <v>0</v>
      </c>
      <c r="G14" s="28">
        <v>-27066616</v>
      </c>
      <c r="H14" s="28">
        <v>-27066616</v>
      </c>
      <c r="I14" s="29">
        <v>2.0889531370545607E-4</v>
      </c>
    </row>
    <row r="15" spans="1:9">
      <c r="A15" s="27" t="s">
        <v>125</v>
      </c>
      <c r="B15" s="28">
        <v>0</v>
      </c>
      <c r="C15" s="28">
        <v>0</v>
      </c>
      <c r="D15" s="28">
        <v>0</v>
      </c>
      <c r="E15" s="29">
        <v>0</v>
      </c>
      <c r="F15" s="28">
        <v>0</v>
      </c>
      <c r="G15" s="28">
        <v>299927440</v>
      </c>
      <c r="H15" s="28">
        <v>299927440</v>
      </c>
      <c r="I15" s="29">
        <v>-2.3147864759922093E-3</v>
      </c>
    </row>
    <row r="16" spans="1:9">
      <c r="A16" s="27" t="s">
        <v>126</v>
      </c>
      <c r="B16" s="28">
        <v>0</v>
      </c>
      <c r="C16" s="28">
        <v>0</v>
      </c>
      <c r="D16" s="28">
        <v>0</v>
      </c>
      <c r="E16" s="29">
        <v>0</v>
      </c>
      <c r="F16" s="28">
        <v>0</v>
      </c>
      <c r="G16" s="28">
        <v>-23113573</v>
      </c>
      <c r="H16" s="28">
        <v>-23113573</v>
      </c>
      <c r="I16" s="29">
        <v>1.7838643303946675E-4</v>
      </c>
    </row>
    <row r="17" spans="1:9">
      <c r="A17" s="27" t="s">
        <v>127</v>
      </c>
      <c r="B17" s="28">
        <v>0</v>
      </c>
      <c r="C17" s="28">
        <v>0</v>
      </c>
      <c r="D17" s="28">
        <v>0</v>
      </c>
      <c r="E17" s="29">
        <v>0</v>
      </c>
      <c r="F17" s="28">
        <v>0</v>
      </c>
      <c r="G17" s="28">
        <v>49988663</v>
      </c>
      <c r="H17" s="28">
        <v>49988663</v>
      </c>
      <c r="I17" s="29">
        <v>-3.8580358324444123E-4</v>
      </c>
    </row>
    <row r="18" spans="1:9">
      <c r="A18" s="27" t="s">
        <v>128</v>
      </c>
      <c r="B18" s="28">
        <v>0</v>
      </c>
      <c r="C18" s="28">
        <v>0</v>
      </c>
      <c r="D18" s="28">
        <v>0</v>
      </c>
      <c r="E18" s="29">
        <v>0</v>
      </c>
      <c r="F18" s="28">
        <v>0</v>
      </c>
      <c r="G18" s="28">
        <v>-137249186</v>
      </c>
      <c r="H18" s="28">
        <v>-137249186</v>
      </c>
      <c r="I18" s="29">
        <v>1.059264732809173E-3</v>
      </c>
    </row>
    <row r="19" spans="1:9">
      <c r="A19" s="27" t="s">
        <v>134</v>
      </c>
      <c r="B19" s="28">
        <v>0</v>
      </c>
      <c r="C19" s="28">
        <v>0</v>
      </c>
      <c r="D19" s="28">
        <v>0</v>
      </c>
      <c r="E19" s="29">
        <v>0</v>
      </c>
      <c r="F19" s="28">
        <v>-17986365</v>
      </c>
      <c r="G19" s="28">
        <v>-31062868</v>
      </c>
      <c r="H19" s="28">
        <v>-49049233</v>
      </c>
      <c r="I19" s="29">
        <v>3.7855323009522164E-4</v>
      </c>
    </row>
    <row r="20" spans="1:9">
      <c r="A20" s="27" t="s">
        <v>130</v>
      </c>
      <c r="B20" s="28">
        <v>0</v>
      </c>
      <c r="C20" s="28">
        <v>0</v>
      </c>
      <c r="D20" s="28">
        <v>0</v>
      </c>
      <c r="E20" s="29">
        <v>0</v>
      </c>
      <c r="F20" s="28">
        <v>2362210</v>
      </c>
      <c r="G20" s="28">
        <v>76038490</v>
      </c>
      <c r="H20" s="28">
        <v>78400700</v>
      </c>
      <c r="I20" s="29">
        <v>-6.0508261620984872E-4</v>
      </c>
    </row>
    <row r="21" spans="1:9">
      <c r="A21" s="27" t="s">
        <v>132</v>
      </c>
      <c r="B21" s="28">
        <v>0</v>
      </c>
      <c r="C21" s="28">
        <v>0</v>
      </c>
      <c r="D21" s="28">
        <v>0</v>
      </c>
      <c r="E21" s="29">
        <v>0</v>
      </c>
      <c r="F21" s="28">
        <v>39969700</v>
      </c>
      <c r="G21" s="28">
        <v>328984960</v>
      </c>
      <c r="H21" s="28">
        <v>368954660</v>
      </c>
      <c r="I21" s="29">
        <v>-2.8475262457556528E-3</v>
      </c>
    </row>
    <row r="22" spans="1:9">
      <c r="A22" s="27" t="s">
        <v>137</v>
      </c>
      <c r="B22" s="28">
        <v>0</v>
      </c>
      <c r="C22" s="28">
        <v>0</v>
      </c>
      <c r="D22" s="28">
        <v>0</v>
      </c>
      <c r="E22" s="29">
        <v>0</v>
      </c>
      <c r="F22" s="28">
        <v>0</v>
      </c>
      <c r="G22" s="28">
        <v>2066660694</v>
      </c>
      <c r="H22" s="28">
        <v>2066660694</v>
      </c>
      <c r="I22" s="29">
        <v>-1.5950118551793308E-2</v>
      </c>
    </row>
    <row r="23" spans="1:9">
      <c r="A23" s="27" t="s">
        <v>139</v>
      </c>
      <c r="B23" s="28">
        <v>0</v>
      </c>
      <c r="C23" s="28">
        <v>0</v>
      </c>
      <c r="D23" s="28">
        <v>0</v>
      </c>
      <c r="E23" s="29">
        <v>0</v>
      </c>
      <c r="F23" s="28">
        <v>-39969700</v>
      </c>
      <c r="G23" s="28">
        <v>86002390</v>
      </c>
      <c r="H23" s="28">
        <v>46032690</v>
      </c>
      <c r="I23" s="29">
        <v>-3.5527208936115287E-4</v>
      </c>
    </row>
    <row r="24" spans="1:9">
      <c r="A24" s="27" t="s">
        <v>140</v>
      </c>
      <c r="B24" s="28">
        <v>0</v>
      </c>
      <c r="C24" s="28">
        <v>0</v>
      </c>
      <c r="D24" s="28">
        <v>0</v>
      </c>
      <c r="E24" s="29">
        <v>0</v>
      </c>
      <c r="F24" s="28">
        <v>0</v>
      </c>
      <c r="G24" s="28">
        <v>2443270643</v>
      </c>
      <c r="H24" s="28">
        <v>2443270643</v>
      </c>
      <c r="I24" s="29">
        <v>-1.8856726952376182E-2</v>
      </c>
    </row>
    <row r="25" spans="1:9">
      <c r="A25" s="27" t="s">
        <v>141</v>
      </c>
      <c r="B25" s="28">
        <v>0</v>
      </c>
      <c r="C25" s="28">
        <v>0</v>
      </c>
      <c r="D25" s="28">
        <v>0</v>
      </c>
      <c r="E25" s="29">
        <v>0</v>
      </c>
      <c r="F25" s="28">
        <v>0</v>
      </c>
      <c r="G25" s="28">
        <v>262945640</v>
      </c>
      <c r="H25" s="28">
        <v>262945640</v>
      </c>
      <c r="I25" s="29">
        <v>-2.0293675410063051E-3</v>
      </c>
    </row>
    <row r="26" spans="1:9">
      <c r="A26" s="27" t="s">
        <v>172</v>
      </c>
      <c r="B26" s="28">
        <v>0</v>
      </c>
      <c r="C26" s="28">
        <v>0</v>
      </c>
      <c r="D26" s="28">
        <v>0</v>
      </c>
      <c r="E26" s="29">
        <v>0</v>
      </c>
      <c r="F26" s="28">
        <v>32183602</v>
      </c>
      <c r="G26" s="28">
        <v>2950920590</v>
      </c>
      <c r="H26" s="28">
        <v>2983104192</v>
      </c>
      <c r="I26" s="29">
        <v>-2.3023065979282414E-2</v>
      </c>
    </row>
    <row r="27" spans="1:9">
      <c r="A27" s="27" t="s">
        <v>145</v>
      </c>
      <c r="B27" s="28">
        <v>0</v>
      </c>
      <c r="C27" s="28">
        <v>0</v>
      </c>
      <c r="D27" s="28">
        <v>0</v>
      </c>
      <c r="E27" s="29">
        <v>0</v>
      </c>
      <c r="F27" s="28">
        <v>13639660</v>
      </c>
      <c r="G27" s="28">
        <v>193957616</v>
      </c>
      <c r="H27" s="28">
        <v>207597276</v>
      </c>
      <c r="I27" s="29">
        <v>-1.602198741594374E-3</v>
      </c>
    </row>
    <row r="28" spans="1:9">
      <c r="A28" s="27" t="s">
        <v>148</v>
      </c>
      <c r="B28" s="28">
        <v>0</v>
      </c>
      <c r="C28" s="28">
        <v>0</v>
      </c>
      <c r="D28" s="28">
        <v>0</v>
      </c>
      <c r="E28" s="29">
        <v>0</v>
      </c>
      <c r="F28" s="28">
        <v>67041178</v>
      </c>
      <c r="G28" s="28">
        <v>283718110</v>
      </c>
      <c r="H28" s="28">
        <v>350759288</v>
      </c>
      <c r="I28" s="29">
        <v>-2.7070976106456164E-3</v>
      </c>
    </row>
    <row r="29" spans="1:9">
      <c r="A29" s="27" t="s">
        <v>149</v>
      </c>
      <c r="B29" s="28">
        <v>0</v>
      </c>
      <c r="C29" s="28">
        <v>0</v>
      </c>
      <c r="D29" s="28">
        <v>0</v>
      </c>
      <c r="E29" s="29">
        <v>0</v>
      </c>
      <c r="F29" s="28">
        <v>-68448111</v>
      </c>
      <c r="G29" s="28">
        <v>26915685</v>
      </c>
      <c r="H29" s="28">
        <v>-41532426</v>
      </c>
      <c r="I29" s="29">
        <v>3.2053985463933283E-4</v>
      </c>
    </row>
    <row r="30" spans="1:9">
      <c r="A30" s="27" t="s">
        <v>147</v>
      </c>
      <c r="B30" s="28">
        <v>0</v>
      </c>
      <c r="C30" s="28">
        <v>0</v>
      </c>
      <c r="D30" s="28">
        <v>0</v>
      </c>
      <c r="E30" s="29">
        <v>0</v>
      </c>
      <c r="F30" s="28">
        <v>-65017255</v>
      </c>
      <c r="G30" s="28">
        <v>-46032636</v>
      </c>
      <c r="H30" s="28">
        <v>-111049891</v>
      </c>
      <c r="I30" s="29">
        <v>8.570632478549111E-4</v>
      </c>
    </row>
    <row r="31" spans="1:9">
      <c r="A31" s="27" t="s">
        <v>150</v>
      </c>
      <c r="B31" s="28">
        <v>0</v>
      </c>
      <c r="C31" s="28">
        <v>0</v>
      </c>
      <c r="D31" s="28">
        <v>0</v>
      </c>
      <c r="E31" s="29">
        <v>0</v>
      </c>
      <c r="F31" s="28">
        <v>49962125</v>
      </c>
      <c r="G31" s="28">
        <v>105988655</v>
      </c>
      <c r="H31" s="28">
        <v>155950780</v>
      </c>
      <c r="I31" s="29">
        <v>-1.2036002990071077E-3</v>
      </c>
    </row>
    <row r="32" spans="1:9">
      <c r="A32" s="27" t="s">
        <v>151</v>
      </c>
      <c r="B32" s="28">
        <v>0</v>
      </c>
      <c r="C32" s="28">
        <v>0</v>
      </c>
      <c r="D32" s="28">
        <v>0</v>
      </c>
      <c r="E32" s="29">
        <v>0</v>
      </c>
      <c r="F32" s="28">
        <v>4996212</v>
      </c>
      <c r="G32" s="28">
        <v>224975799</v>
      </c>
      <c r="H32" s="28">
        <v>229972011</v>
      </c>
      <c r="I32" s="29">
        <v>-1.7748829547557625E-3</v>
      </c>
    </row>
    <row r="33" spans="1:9">
      <c r="A33" s="27" t="s">
        <v>152</v>
      </c>
      <c r="B33" s="28">
        <v>0</v>
      </c>
      <c r="C33" s="28">
        <v>0</v>
      </c>
      <c r="D33" s="28">
        <v>0</v>
      </c>
      <c r="E33" s="29">
        <v>0</v>
      </c>
      <c r="F33" s="28">
        <v>32359469</v>
      </c>
      <c r="G33" s="28">
        <v>295223511</v>
      </c>
      <c r="H33" s="28">
        <v>327582980</v>
      </c>
      <c r="I33" s="29">
        <v>-2.5282270000678377E-3</v>
      </c>
    </row>
    <row r="34" spans="1:9">
      <c r="A34" s="27" t="s">
        <v>159</v>
      </c>
      <c r="B34" s="28">
        <v>0</v>
      </c>
      <c r="C34" s="28">
        <v>0</v>
      </c>
      <c r="D34" s="28">
        <v>0</v>
      </c>
      <c r="E34" s="29">
        <v>0</v>
      </c>
      <c r="F34" s="28">
        <v>126154366</v>
      </c>
      <c r="G34" s="28">
        <v>569299070</v>
      </c>
      <c r="H34" s="28">
        <v>695453436</v>
      </c>
      <c r="I34" s="29">
        <v>-5.3673855527694089E-3</v>
      </c>
    </row>
    <row r="35" spans="1:9">
      <c r="A35" s="27" t="s">
        <v>156</v>
      </c>
      <c r="B35" s="28">
        <v>0</v>
      </c>
      <c r="C35" s="28">
        <v>0</v>
      </c>
      <c r="D35" s="28">
        <v>0</v>
      </c>
      <c r="E35" s="29">
        <v>0</v>
      </c>
      <c r="F35" s="28">
        <v>0</v>
      </c>
      <c r="G35" s="28">
        <v>380000000</v>
      </c>
      <c r="H35" s="28">
        <v>380000000</v>
      </c>
      <c r="I35" s="29">
        <v>-2.932772209428519E-3</v>
      </c>
    </row>
    <row r="36" spans="1:9">
      <c r="A36" s="27" t="s">
        <v>160</v>
      </c>
      <c r="B36" s="28">
        <v>0</v>
      </c>
      <c r="C36" s="28">
        <v>0</v>
      </c>
      <c r="D36" s="28">
        <v>0</v>
      </c>
      <c r="E36" s="29">
        <v>0</v>
      </c>
      <c r="F36" s="28">
        <v>13989395</v>
      </c>
      <c r="G36" s="28">
        <v>85054895</v>
      </c>
      <c r="H36" s="28">
        <v>99044290</v>
      </c>
      <c r="I36" s="29">
        <v>-7.6440616109099734E-4</v>
      </c>
    </row>
    <row r="37" spans="1:9">
      <c r="A37" s="27" t="s">
        <v>162</v>
      </c>
      <c r="B37" s="28">
        <v>0</v>
      </c>
      <c r="C37" s="28">
        <v>0</v>
      </c>
      <c r="D37" s="28">
        <v>0</v>
      </c>
      <c r="E37" s="29">
        <v>0</v>
      </c>
      <c r="F37" s="28">
        <v>29977275</v>
      </c>
      <c r="G37" s="28">
        <v>69977280</v>
      </c>
      <c r="H37" s="28">
        <v>99954555</v>
      </c>
      <c r="I37" s="29">
        <v>-7.7143142397314321E-4</v>
      </c>
    </row>
    <row r="38" spans="1:9">
      <c r="A38" s="27" t="s">
        <v>161</v>
      </c>
      <c r="B38" s="28">
        <v>0</v>
      </c>
      <c r="C38" s="28">
        <v>0</v>
      </c>
      <c r="D38" s="28">
        <v>0</v>
      </c>
      <c r="E38" s="29">
        <v>0</v>
      </c>
      <c r="F38" s="28">
        <v>29977274</v>
      </c>
      <c r="G38" s="28">
        <v>44950810</v>
      </c>
      <c r="H38" s="28">
        <v>74928084</v>
      </c>
      <c r="I38" s="29">
        <v>-5.7828158542348859E-4</v>
      </c>
    </row>
    <row r="39" spans="1:9">
      <c r="A39" s="27" t="s">
        <v>173</v>
      </c>
      <c r="B39" s="28">
        <v>0</v>
      </c>
      <c r="C39" s="28">
        <v>0</v>
      </c>
      <c r="D39" s="28">
        <v>0</v>
      </c>
      <c r="E39" s="29">
        <v>0</v>
      </c>
      <c r="F39" s="28">
        <v>1598788</v>
      </c>
      <c r="G39" s="28">
        <v>145498868</v>
      </c>
      <c r="H39" s="28">
        <v>147097656</v>
      </c>
      <c r="I39" s="29">
        <v>-1.1352734673391481E-3</v>
      </c>
    </row>
    <row r="40" spans="1:9">
      <c r="A40" s="27" t="s">
        <v>174</v>
      </c>
      <c r="B40" s="28">
        <v>0</v>
      </c>
      <c r="C40" s="28">
        <v>0</v>
      </c>
      <c r="D40" s="28">
        <v>0</v>
      </c>
      <c r="E40" s="29">
        <v>0</v>
      </c>
      <c r="F40" s="28">
        <v>139893</v>
      </c>
      <c r="G40" s="28">
        <v>139852</v>
      </c>
      <c r="H40" s="28">
        <v>279745</v>
      </c>
      <c r="I40" s="29">
        <v>-2.1590220045436344E-6</v>
      </c>
    </row>
    <row r="41" spans="1:9">
      <c r="A41" s="27" t="s">
        <v>165</v>
      </c>
      <c r="B41" s="28">
        <v>0</v>
      </c>
      <c r="C41" s="28">
        <v>0</v>
      </c>
      <c r="D41" s="28">
        <v>0</v>
      </c>
      <c r="E41" s="29">
        <v>0</v>
      </c>
      <c r="F41" s="28">
        <v>45056812</v>
      </c>
      <c r="G41" s="28">
        <v>61719786</v>
      </c>
      <c r="H41" s="28">
        <v>106776598</v>
      </c>
      <c r="I41" s="29">
        <v>-8.2408273482031784E-4</v>
      </c>
    </row>
    <row r="42" spans="1:9">
      <c r="A42" s="27" t="s">
        <v>166</v>
      </c>
      <c r="B42" s="28">
        <v>0</v>
      </c>
      <c r="C42" s="28">
        <v>0</v>
      </c>
      <c r="D42" s="28">
        <v>0</v>
      </c>
      <c r="E42" s="29">
        <v>0</v>
      </c>
      <c r="F42" s="28">
        <v>45068175</v>
      </c>
      <c r="G42" s="28">
        <v>34924266</v>
      </c>
      <c r="H42" s="28">
        <v>79992441</v>
      </c>
      <c r="I42" s="29">
        <v>-6.1736738928723804E-4</v>
      </c>
    </row>
    <row r="43" spans="1:9">
      <c r="A43" s="27" t="s">
        <v>167</v>
      </c>
      <c r="B43" s="28">
        <v>0</v>
      </c>
      <c r="C43" s="28">
        <v>0</v>
      </c>
      <c r="D43" s="28">
        <v>0</v>
      </c>
      <c r="E43" s="29">
        <v>0</v>
      </c>
      <c r="F43" s="28">
        <v>11219495</v>
      </c>
      <c r="G43" s="28">
        <v>59977300</v>
      </c>
      <c r="H43" s="28">
        <v>71196795</v>
      </c>
      <c r="I43" s="29">
        <v>-5.4948416256941934E-4</v>
      </c>
    </row>
    <row r="44" spans="1:9">
      <c r="A44" s="27" t="s">
        <v>175</v>
      </c>
      <c r="B44" s="28">
        <v>0</v>
      </c>
      <c r="C44" s="28">
        <v>0</v>
      </c>
      <c r="D44" s="28">
        <v>0</v>
      </c>
      <c r="E44" s="29">
        <v>0</v>
      </c>
      <c r="F44" s="28">
        <v>-6243138</v>
      </c>
      <c r="G44" s="28">
        <v>0</v>
      </c>
      <c r="H44" s="28">
        <v>-6243138</v>
      </c>
      <c r="I44" s="29">
        <v>4.8183425331650382E-5</v>
      </c>
    </row>
    <row r="45" spans="1:9">
      <c r="A45" s="27" t="s">
        <v>176</v>
      </c>
      <c r="B45" s="28">
        <v>0</v>
      </c>
      <c r="C45" s="28">
        <v>0</v>
      </c>
      <c r="D45" s="28">
        <v>0</v>
      </c>
      <c r="E45" s="29">
        <v>0</v>
      </c>
      <c r="F45" s="28">
        <v>74940162</v>
      </c>
      <c r="G45" s="28">
        <v>104975841</v>
      </c>
      <c r="H45" s="28">
        <v>179916003</v>
      </c>
      <c r="I45" s="29">
        <v>-1.388559614815416E-3</v>
      </c>
    </row>
    <row r="46" spans="1:9">
      <c r="A46" s="27" t="s">
        <v>177</v>
      </c>
      <c r="B46" s="28">
        <v>0</v>
      </c>
      <c r="C46" s="28">
        <v>0</v>
      </c>
      <c r="D46" s="28">
        <v>0</v>
      </c>
      <c r="E46" s="29">
        <v>0</v>
      </c>
      <c r="F46" s="28">
        <v>-9962125</v>
      </c>
      <c r="G46" s="28">
        <v>0</v>
      </c>
      <c r="H46" s="28">
        <v>-9962125</v>
      </c>
      <c r="I46" s="29">
        <v>7.6885903544350226E-5</v>
      </c>
    </row>
    <row r="47" spans="1:9">
      <c r="A47" s="27" t="s">
        <v>170</v>
      </c>
      <c r="B47" s="28">
        <v>0</v>
      </c>
      <c r="C47" s="28">
        <v>0</v>
      </c>
      <c r="D47" s="28">
        <v>0</v>
      </c>
      <c r="E47" s="29">
        <v>0</v>
      </c>
      <c r="F47" s="28">
        <v>-34943188</v>
      </c>
      <c r="G47" s="28">
        <v>0</v>
      </c>
      <c r="H47" s="28">
        <v>-34943188</v>
      </c>
      <c r="I47" s="29">
        <v>2.6968529125062136E-4</v>
      </c>
    </row>
    <row r="48" spans="1:9" ht="19.2" thickBot="1">
      <c r="A48" s="27" t="s">
        <v>2</v>
      </c>
      <c r="B48" s="33">
        <f t="shared" ref="B48:I48" si="0">SUM(B10:B47)</f>
        <v>0</v>
      </c>
      <c r="C48" s="33">
        <f t="shared" si="0"/>
        <v>0</v>
      </c>
      <c r="D48" s="33">
        <f t="shared" si="0"/>
        <v>0</v>
      </c>
      <c r="E48" s="34">
        <f t="shared" si="0"/>
        <v>0</v>
      </c>
      <c r="F48" s="33">
        <f t="shared" si="0"/>
        <v>659852294</v>
      </c>
      <c r="G48" s="33">
        <f t="shared" si="0"/>
        <v>13616872894</v>
      </c>
      <c r="H48" s="33">
        <f t="shared" si="0"/>
        <v>14276725188</v>
      </c>
      <c r="I48" s="34">
        <f t="shared" si="0"/>
        <v>-0.11018521808688041</v>
      </c>
    </row>
    <row r="49" spans="6:7" ht="19.2" thickTop="1"/>
    <row r="51" spans="6:7">
      <c r="F51" s="31"/>
      <c r="G51" s="31"/>
    </row>
    <row r="52" spans="6:7">
      <c r="F52" s="31"/>
      <c r="G52" s="31"/>
    </row>
    <row r="53" spans="6:7">
      <c r="F53" s="31"/>
      <c r="G53" s="31"/>
    </row>
    <row r="54" spans="6:7">
      <c r="F54" s="31"/>
      <c r="G54" s="31"/>
    </row>
    <row r="55" spans="6:7">
      <c r="F55" s="74"/>
      <c r="G55" s="74"/>
    </row>
    <row r="56" spans="6:7">
      <c r="F56" s="74"/>
    </row>
  </sheetData>
  <mergeCells count="14">
    <mergeCell ref="B7:E7"/>
    <mergeCell ref="F7:I7"/>
    <mergeCell ref="A5:E5"/>
    <mergeCell ref="F5:G5"/>
    <mergeCell ref="A1:I1"/>
    <mergeCell ref="A2:I2"/>
    <mergeCell ref="A3:I3"/>
    <mergeCell ref="H8:I8"/>
    <mergeCell ref="A8:A9"/>
    <mergeCell ref="D8:E8"/>
    <mergeCell ref="B8:B9"/>
    <mergeCell ref="C8:C9"/>
    <mergeCell ref="F8:F9"/>
    <mergeCell ref="G8:G9"/>
  </mergeCells>
  <conditionalFormatting sqref="F10:F12 F4:F6">
    <cfRule type="duplicateValues" dxfId="2" priority="4"/>
    <cfRule type="duplicateValues" dxfId="1" priority="5"/>
  </conditionalFormatting>
  <conditionalFormatting sqref="F4:G6 F10:G12 A7:B7">
    <cfRule type="cellIs" dxfId="0" priority="1" operator="equal">
      <formula>-3000000000000</formula>
    </cfRule>
  </conditionalFormatting>
  <pageMargins left="0.7" right="0.7" top="0.75" bottom="0.75" header="0.3" footer="0.3"/>
  <pageSetup scale="46" orientation="portrait" horizontalDpi="1200" verticalDpi="120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12"/>
  <sheetViews>
    <sheetView rightToLeft="1" view="pageBreakPreview" zoomScaleNormal="100" zoomScaleSheetLayoutView="100" workbookViewId="0">
      <selection activeCell="B10" sqref="B10"/>
    </sheetView>
  </sheetViews>
  <sheetFormatPr defaultRowHeight="18.600000000000001"/>
  <cols>
    <col min="1" max="1" width="27.296875" style="71" customWidth="1"/>
    <col min="2" max="2" width="23.19921875" style="71" customWidth="1"/>
    <col min="3" max="3" width="30.796875" style="71" customWidth="1"/>
    <col min="4" max="16384" width="8.796875" style="71"/>
  </cols>
  <sheetData>
    <row r="1" spans="1:3" ht="20.399999999999999">
      <c r="A1" s="6" t="s">
        <v>72</v>
      </c>
      <c r="B1" s="6"/>
      <c r="C1" s="6"/>
    </row>
    <row r="2" spans="1:3" ht="20.399999999999999">
      <c r="A2" s="6" t="s">
        <v>55</v>
      </c>
      <c r="B2" s="6"/>
      <c r="C2" s="6"/>
    </row>
    <row r="3" spans="1:3" ht="20.399999999999999">
      <c r="A3" s="6" t="s">
        <v>73</v>
      </c>
      <c r="B3" s="6"/>
      <c r="C3" s="6"/>
    </row>
    <row r="4" spans="1:3">
      <c r="A4" s="73"/>
      <c r="B4" s="73"/>
      <c r="C4" s="73"/>
    </row>
    <row r="5" spans="1:3" ht="20.399999999999999">
      <c r="A5" s="13" t="s">
        <v>217</v>
      </c>
      <c r="B5" s="13"/>
      <c r="C5" s="13"/>
    </row>
    <row r="6" spans="1:3" ht="19.2" thickBot="1">
      <c r="A6" s="75"/>
      <c r="B6" s="5" t="s">
        <v>210</v>
      </c>
      <c r="C6" s="5" t="s">
        <v>211</v>
      </c>
    </row>
    <row r="7" spans="1:3" ht="16.5" customHeight="1">
      <c r="A7" s="68" t="s">
        <v>20</v>
      </c>
      <c r="B7" s="56" t="s">
        <v>4</v>
      </c>
      <c r="C7" s="56" t="s">
        <v>4</v>
      </c>
    </row>
    <row r="8" spans="1:3" ht="19.2" thickBot="1">
      <c r="A8" s="66"/>
      <c r="B8" s="7"/>
      <c r="C8" s="7"/>
    </row>
    <row r="9" spans="1:3">
      <c r="A9" s="27" t="s">
        <v>218</v>
      </c>
      <c r="B9" s="28">
        <v>0</v>
      </c>
      <c r="C9" s="28">
        <v>183554895</v>
      </c>
    </row>
    <row r="10" spans="1:3">
      <c r="A10" s="27" t="s">
        <v>20</v>
      </c>
      <c r="B10" s="28">
        <v>0</v>
      </c>
      <c r="C10" s="28">
        <v>317399099</v>
      </c>
    </row>
    <row r="11" spans="1:3" ht="19.2" thickBot="1">
      <c r="A11" s="27" t="s">
        <v>2</v>
      </c>
      <c r="B11" s="33">
        <f>SUM(B9:B10)</f>
        <v>0</v>
      </c>
      <c r="C11" s="33">
        <f>SUM(C9:C10)</f>
        <v>500953994</v>
      </c>
    </row>
    <row r="12" spans="1:3" ht="19.2" thickTop="1"/>
  </sheetData>
  <mergeCells count="7">
    <mergeCell ref="A1:C1"/>
    <mergeCell ref="A2:C2"/>
    <mergeCell ref="A3:C3"/>
    <mergeCell ref="C7:C8"/>
    <mergeCell ref="B7:B8"/>
    <mergeCell ref="A5:C5"/>
    <mergeCell ref="A7:A8"/>
  </mergeCells>
  <pageMargins left="0.7" right="0.7" top="0.75" bottom="0.75" header="0.3" footer="0.3"/>
  <pageSetup orientation="portrait" horizontalDpi="4294967295" verticalDpi="4294967295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M12"/>
  <sheetViews>
    <sheetView rightToLeft="1" view="pageBreakPreview" zoomScale="98" zoomScaleNormal="70" zoomScaleSheetLayoutView="98" workbookViewId="0">
      <selection activeCell="E6" sqref="E6:J6"/>
    </sheetView>
  </sheetViews>
  <sheetFormatPr defaultColWidth="9.09765625" defaultRowHeight="18"/>
  <cols>
    <col min="1" max="1" width="23.296875" style="24" customWidth="1"/>
    <col min="2" max="2" width="14.296875" style="24" customWidth="1"/>
    <col min="3" max="3" width="18.69921875" style="24" customWidth="1"/>
    <col min="4" max="4" width="15.5" style="24" customWidth="1"/>
    <col min="5" max="6" width="17.59765625" style="24" customWidth="1"/>
    <col min="7" max="7" width="16" style="24" customWidth="1"/>
    <col min="8" max="8" width="19.3984375" style="24" customWidth="1"/>
    <col min="9" max="9" width="17.59765625" style="24" customWidth="1"/>
    <col min="10" max="10" width="16.09765625" style="24" customWidth="1"/>
    <col min="11" max="16384" width="9.09765625" style="24"/>
  </cols>
  <sheetData>
    <row r="1" spans="1:13" ht="20.399999999999999">
      <c r="A1" s="6" t="s">
        <v>72</v>
      </c>
      <c r="B1" s="6"/>
      <c r="C1" s="6"/>
      <c r="D1" s="6"/>
      <c r="E1" s="6"/>
      <c r="F1" s="6"/>
      <c r="G1" s="6"/>
      <c r="H1" s="6"/>
      <c r="I1" s="6"/>
      <c r="J1" s="6"/>
    </row>
    <row r="2" spans="1:13" ht="20.399999999999999">
      <c r="A2" s="6" t="s">
        <v>55</v>
      </c>
      <c r="B2" s="6"/>
      <c r="C2" s="6"/>
      <c r="D2" s="6"/>
      <c r="E2" s="6"/>
      <c r="F2" s="6"/>
      <c r="G2" s="6"/>
      <c r="H2" s="6"/>
      <c r="I2" s="6"/>
      <c r="J2" s="6"/>
    </row>
    <row r="3" spans="1:13" ht="20.399999999999999">
      <c r="A3" s="6" t="s">
        <v>73</v>
      </c>
      <c r="B3" s="6"/>
      <c r="C3" s="6"/>
      <c r="D3" s="6"/>
      <c r="E3" s="6"/>
      <c r="F3" s="6"/>
      <c r="G3" s="6"/>
      <c r="H3" s="6"/>
      <c r="I3" s="6"/>
      <c r="J3" s="6"/>
    </row>
    <row r="4" spans="1:13" ht="20.399999999999999">
      <c r="A4" s="4"/>
      <c r="B4" s="4"/>
      <c r="C4" s="4"/>
      <c r="D4" s="4"/>
      <c r="E4" s="4"/>
      <c r="F4" s="4"/>
      <c r="G4" s="4"/>
      <c r="H4" s="4"/>
      <c r="I4" s="4"/>
      <c r="J4" s="4"/>
    </row>
    <row r="5" spans="1:13" ht="20.399999999999999">
      <c r="A5" s="13" t="s">
        <v>7</v>
      </c>
      <c r="B5" s="13"/>
      <c r="C5" s="13"/>
      <c r="D5" s="13"/>
      <c r="E5" s="13"/>
      <c r="F5" s="13"/>
      <c r="G5" s="13"/>
      <c r="H5" s="13"/>
      <c r="I5" s="13"/>
      <c r="J5" s="13"/>
      <c r="K5" s="36"/>
      <c r="L5" s="36"/>
      <c r="M5" s="36"/>
    </row>
    <row r="6" spans="1:13" ht="16.5" customHeight="1" thickBot="1">
      <c r="B6" s="53" t="s">
        <v>42</v>
      </c>
      <c r="C6" s="53"/>
      <c r="D6" s="53"/>
      <c r="E6" s="7" t="s">
        <v>210</v>
      </c>
      <c r="F6" s="7"/>
      <c r="G6" s="7"/>
      <c r="H6" s="7" t="s">
        <v>211</v>
      </c>
      <c r="I6" s="7"/>
      <c r="J6" s="7"/>
      <c r="K6" s="59"/>
      <c r="L6" s="59"/>
      <c r="M6" s="59"/>
    </row>
    <row r="7" spans="1:13" ht="18.600000000000001" thickBot="1">
      <c r="A7" s="84" t="s">
        <v>22</v>
      </c>
      <c r="B7" s="83" t="s">
        <v>36</v>
      </c>
      <c r="C7" s="83" t="s">
        <v>41</v>
      </c>
      <c r="D7" s="83" t="s">
        <v>37</v>
      </c>
      <c r="E7" s="83" t="s">
        <v>38</v>
      </c>
      <c r="F7" s="83" t="s">
        <v>39</v>
      </c>
      <c r="G7" s="83" t="s">
        <v>40</v>
      </c>
      <c r="H7" s="83" t="s">
        <v>38</v>
      </c>
      <c r="I7" s="83" t="s">
        <v>39</v>
      </c>
      <c r="J7" s="83" t="s">
        <v>40</v>
      </c>
    </row>
    <row r="8" spans="1:13">
      <c r="A8" s="27" t="s">
        <v>157</v>
      </c>
      <c r="B8" s="28" t="s">
        <v>186</v>
      </c>
      <c r="C8" s="28">
        <v>3299000</v>
      </c>
      <c r="D8" s="28">
        <v>1500</v>
      </c>
      <c r="E8" s="28">
        <v>4948500000</v>
      </c>
      <c r="F8" s="28">
        <v>0</v>
      </c>
      <c r="G8" s="28">
        <v>4948500000</v>
      </c>
      <c r="H8" s="28">
        <v>4948500000</v>
      </c>
      <c r="I8" s="28">
        <v>0</v>
      </c>
      <c r="J8" s="28">
        <v>4948500000</v>
      </c>
    </row>
    <row r="9" spans="1:13">
      <c r="A9" s="27" t="s">
        <v>154</v>
      </c>
      <c r="B9" s="28" t="s">
        <v>187</v>
      </c>
      <c r="C9" s="28">
        <v>550000</v>
      </c>
      <c r="D9" s="28">
        <v>8700</v>
      </c>
      <c r="E9" s="30">
        <v>0</v>
      </c>
      <c r="F9" s="30">
        <v>0</v>
      </c>
      <c r="G9" s="30">
        <v>0</v>
      </c>
      <c r="H9" s="28">
        <v>4785000000</v>
      </c>
      <c r="I9" s="28">
        <v>0</v>
      </c>
      <c r="J9" s="28">
        <v>4785000000</v>
      </c>
    </row>
    <row r="10" spans="1:13">
      <c r="A10" s="27" t="s">
        <v>107</v>
      </c>
      <c r="B10" s="28" t="s">
        <v>188</v>
      </c>
      <c r="C10" s="28">
        <v>350000</v>
      </c>
      <c r="D10" s="28">
        <v>9250</v>
      </c>
      <c r="E10" s="30">
        <v>0</v>
      </c>
      <c r="F10" s="30">
        <v>0</v>
      </c>
      <c r="G10" s="30">
        <v>0</v>
      </c>
      <c r="H10" s="28">
        <v>3237500000</v>
      </c>
      <c r="I10" s="28">
        <v>0</v>
      </c>
      <c r="J10" s="28">
        <v>3237500000</v>
      </c>
    </row>
    <row r="11" spans="1:13" ht="18.600000000000001" thickBot="1">
      <c r="A11" s="27" t="s">
        <v>2</v>
      </c>
      <c r="B11" s="28"/>
      <c r="C11" s="28"/>
      <c r="D11" s="28"/>
      <c r="E11" s="33">
        <f t="shared" ref="E11:J11" si="0">SUM(E8:E10)</f>
        <v>4948500000</v>
      </c>
      <c r="F11" s="33">
        <f t="shared" si="0"/>
        <v>0</v>
      </c>
      <c r="G11" s="33">
        <f t="shared" si="0"/>
        <v>4948500000</v>
      </c>
      <c r="H11" s="33">
        <f t="shared" si="0"/>
        <v>12971000000</v>
      </c>
      <c r="I11" s="33">
        <f t="shared" si="0"/>
        <v>0</v>
      </c>
      <c r="J11" s="33">
        <f t="shared" si="0"/>
        <v>12971000000</v>
      </c>
    </row>
    <row r="12" spans="1:13" ht="18.600000000000001" thickTop="1"/>
  </sheetData>
  <mergeCells count="7">
    <mergeCell ref="B6:D6"/>
    <mergeCell ref="E6:G6"/>
    <mergeCell ref="H6:J6"/>
    <mergeCell ref="A1:J1"/>
    <mergeCell ref="A2:J2"/>
    <mergeCell ref="A3:J3"/>
    <mergeCell ref="A5:J5"/>
  </mergeCells>
  <pageMargins left="0.7" right="0.7" top="0.75" bottom="0.75" header="0.3" footer="0.3"/>
  <pageSetup scale="59" orientation="landscape" horizontalDpi="4294967295" verticalDpi="4294967295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G11"/>
  <sheetViews>
    <sheetView rightToLeft="1" view="pageBreakPreview" zoomScaleNormal="100" zoomScaleSheetLayoutView="100" workbookViewId="0">
      <selection activeCell="E9" sqref="E9"/>
    </sheetView>
  </sheetViews>
  <sheetFormatPr defaultRowHeight="18.600000000000001"/>
  <cols>
    <col min="1" max="1" width="34" style="71" customWidth="1"/>
    <col min="2" max="2" width="23.69921875" style="71" customWidth="1"/>
    <col min="3" max="3" width="20.296875" style="71" customWidth="1"/>
    <col min="4" max="4" width="22" style="71" customWidth="1"/>
    <col min="5" max="5" width="21.3984375" style="71" customWidth="1"/>
    <col min="6" max="6" width="16.59765625" style="71" customWidth="1"/>
    <col min="7" max="7" width="21.296875" style="71" customWidth="1"/>
    <col min="8" max="16384" width="8.796875" style="71"/>
  </cols>
  <sheetData>
    <row r="1" spans="1:7">
      <c r="A1" s="86" t="s">
        <v>72</v>
      </c>
      <c r="B1" s="86"/>
      <c r="C1" s="86"/>
      <c r="D1" s="86"/>
      <c r="E1" s="86"/>
      <c r="F1" s="86"/>
      <c r="G1" s="86"/>
    </row>
    <row r="2" spans="1:7">
      <c r="A2" s="86" t="s">
        <v>55</v>
      </c>
      <c r="B2" s="86"/>
      <c r="C2" s="86"/>
      <c r="D2" s="86"/>
      <c r="E2" s="86"/>
      <c r="F2" s="86"/>
      <c r="G2" s="86"/>
    </row>
    <row r="3" spans="1:7">
      <c r="A3" s="86" t="s">
        <v>73</v>
      </c>
      <c r="B3" s="86"/>
      <c r="C3" s="86"/>
      <c r="D3" s="86"/>
      <c r="E3" s="86"/>
      <c r="F3" s="86"/>
      <c r="G3" s="86"/>
    </row>
    <row r="4" spans="1:7">
      <c r="A4" s="87"/>
      <c r="B4" s="87"/>
      <c r="C4" s="87"/>
      <c r="D4" s="87"/>
      <c r="E4" s="87"/>
      <c r="F4" s="87"/>
      <c r="G4" s="87"/>
    </row>
    <row r="5" spans="1:7" ht="20.399999999999999">
      <c r="A5" s="13" t="s">
        <v>66</v>
      </c>
      <c r="B5" s="13"/>
      <c r="C5" s="13"/>
      <c r="D5" s="13"/>
      <c r="E5" s="13"/>
      <c r="F5" s="13"/>
      <c r="G5" s="13"/>
    </row>
    <row r="6" spans="1:7" ht="16.5" customHeight="1" thickBot="1">
      <c r="A6" s="73"/>
      <c r="B6" s="7" t="s">
        <v>210</v>
      </c>
      <c r="C6" s="7"/>
      <c r="D6" s="7"/>
      <c r="E6" s="7" t="s">
        <v>211</v>
      </c>
      <c r="F6" s="7"/>
      <c r="G6" s="7"/>
    </row>
    <row r="7" spans="1:7" ht="38.25" customHeight="1" thickBot="1">
      <c r="A7" s="3" t="s">
        <v>34</v>
      </c>
      <c r="B7" s="85" t="s">
        <v>56</v>
      </c>
      <c r="C7" s="85" t="s">
        <v>39</v>
      </c>
      <c r="D7" s="85" t="s">
        <v>43</v>
      </c>
      <c r="E7" s="85" t="s">
        <v>56</v>
      </c>
      <c r="F7" s="85" t="s">
        <v>39</v>
      </c>
      <c r="G7" s="85" t="s">
        <v>43</v>
      </c>
    </row>
    <row r="8" spans="1:7">
      <c r="A8" s="27" t="s">
        <v>76</v>
      </c>
      <c r="B8" s="28">
        <v>21209525</v>
      </c>
      <c r="C8" s="28">
        <v>0</v>
      </c>
      <c r="D8" s="28">
        <v>21209525</v>
      </c>
      <c r="E8" s="28">
        <v>30167818</v>
      </c>
      <c r="F8" s="28">
        <v>0</v>
      </c>
      <c r="G8" s="28">
        <v>30167818</v>
      </c>
    </row>
    <row r="9" spans="1:7">
      <c r="A9" s="27" t="s">
        <v>75</v>
      </c>
      <c r="B9" s="28">
        <v>1869387165</v>
      </c>
      <c r="C9" s="28">
        <v>-23249253</v>
      </c>
      <c r="D9" s="28">
        <v>1846137912</v>
      </c>
      <c r="E9" s="28">
        <v>5588966428</v>
      </c>
      <c r="F9" s="28">
        <v>-81773</v>
      </c>
      <c r="G9" s="28">
        <v>5588884655</v>
      </c>
    </row>
    <row r="10" spans="1:7" ht="19.2" thickBot="1">
      <c r="A10" s="27" t="s">
        <v>2</v>
      </c>
      <c r="B10" s="33">
        <f t="shared" ref="B10:G10" si="0">SUM(B8:B9)</f>
        <v>1890596690</v>
      </c>
      <c r="C10" s="33">
        <f t="shared" si="0"/>
        <v>-23249253</v>
      </c>
      <c r="D10" s="33">
        <f t="shared" si="0"/>
        <v>1867347437</v>
      </c>
      <c r="E10" s="33">
        <f t="shared" si="0"/>
        <v>5619134246</v>
      </c>
      <c r="F10" s="33">
        <f t="shared" si="0"/>
        <v>-81773</v>
      </c>
      <c r="G10" s="33">
        <f t="shared" si="0"/>
        <v>5619052473</v>
      </c>
    </row>
    <row r="11" spans="1:7" ht="19.2" thickTop="1"/>
  </sheetData>
  <mergeCells count="6">
    <mergeCell ref="A1:G1"/>
    <mergeCell ref="A2:G2"/>
    <mergeCell ref="A3:G3"/>
    <mergeCell ref="A5:G5"/>
    <mergeCell ref="B6:D6"/>
    <mergeCell ref="E6:G6"/>
  </mergeCells>
  <pageMargins left="0.7" right="0.7" top="0.75" bottom="0.75" header="0.3" footer="0.3"/>
  <pageSetup scale="72" orientation="landscape" horizontalDpi="4294967295" verticalDpi="4294967295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86"/>
  <sheetViews>
    <sheetView rightToLeft="1" view="pageBreakPreview" zoomScaleNormal="55" zoomScaleSheetLayoutView="100" workbookViewId="0">
      <selection activeCell="B6" sqref="B6:I6"/>
    </sheetView>
  </sheetViews>
  <sheetFormatPr defaultRowHeight="18.600000000000001"/>
  <cols>
    <col min="1" max="1" width="34.69921875" style="71" customWidth="1"/>
    <col min="2" max="2" width="16.59765625" style="71" customWidth="1"/>
    <col min="3" max="3" width="19.8984375" style="71" customWidth="1"/>
    <col min="4" max="4" width="19.59765625" style="71" customWidth="1"/>
    <col min="5" max="5" width="20.69921875" style="71" customWidth="1"/>
    <col min="6" max="6" width="14.3984375" style="71" customWidth="1"/>
    <col min="7" max="7" width="20.59765625" style="71" customWidth="1"/>
    <col min="8" max="8" width="20.296875" style="71" customWidth="1"/>
    <col min="9" max="9" width="23.09765625" style="71" customWidth="1"/>
    <col min="10" max="16384" width="8.796875" style="71"/>
  </cols>
  <sheetData>
    <row r="1" spans="1:9" ht="20.399999999999999">
      <c r="A1" s="6" t="s">
        <v>72</v>
      </c>
      <c r="B1" s="6"/>
      <c r="C1" s="6"/>
      <c r="D1" s="6"/>
      <c r="E1" s="6"/>
      <c r="F1" s="6"/>
      <c r="G1" s="6"/>
      <c r="H1" s="6"/>
      <c r="I1" s="6"/>
    </row>
    <row r="2" spans="1:9" ht="20.399999999999999">
      <c r="A2" s="6" t="s">
        <v>55</v>
      </c>
      <c r="B2" s="6"/>
      <c r="C2" s="6"/>
      <c r="D2" s="6"/>
      <c r="E2" s="6"/>
      <c r="F2" s="6"/>
      <c r="G2" s="6"/>
      <c r="H2" s="6"/>
      <c r="I2" s="6"/>
    </row>
    <row r="3" spans="1:9" ht="20.399999999999999">
      <c r="A3" s="6" t="s">
        <v>73</v>
      </c>
      <c r="B3" s="6"/>
      <c r="C3" s="6"/>
      <c r="D3" s="6"/>
      <c r="E3" s="6"/>
      <c r="F3" s="6"/>
      <c r="G3" s="6"/>
      <c r="H3" s="6"/>
      <c r="I3" s="6"/>
    </row>
    <row r="4" spans="1:9" ht="20.399999999999999">
      <c r="A4" s="4"/>
      <c r="B4" s="4"/>
      <c r="C4" s="4"/>
      <c r="D4" s="4"/>
      <c r="E4" s="4"/>
      <c r="F4" s="4"/>
      <c r="G4" s="4"/>
      <c r="H4" s="4"/>
      <c r="I4" s="4"/>
    </row>
    <row r="5" spans="1:9" ht="20.399999999999999">
      <c r="A5" s="13" t="s">
        <v>50</v>
      </c>
      <c r="B5" s="13"/>
      <c r="C5" s="13"/>
      <c r="D5" s="13"/>
      <c r="E5" s="13"/>
      <c r="F5" s="13"/>
      <c r="G5" s="13"/>
      <c r="H5" s="13"/>
      <c r="I5" s="13"/>
    </row>
    <row r="6" spans="1:9" ht="16.5" customHeight="1" thickBot="1">
      <c r="B6" s="7" t="s">
        <v>210</v>
      </c>
      <c r="C6" s="7"/>
      <c r="D6" s="7"/>
      <c r="E6" s="7"/>
      <c r="F6" s="7" t="s">
        <v>211</v>
      </c>
      <c r="G6" s="7"/>
      <c r="H6" s="7"/>
      <c r="I6" s="7"/>
    </row>
    <row r="7" spans="1:9" ht="19.2" thickBot="1">
      <c r="A7" s="3" t="s">
        <v>34</v>
      </c>
      <c r="B7" s="1" t="s">
        <v>3</v>
      </c>
      <c r="C7" s="2" t="s">
        <v>13</v>
      </c>
      <c r="D7" s="1" t="s">
        <v>45</v>
      </c>
      <c r="E7" s="2" t="s">
        <v>47</v>
      </c>
      <c r="F7" s="1" t="s">
        <v>3</v>
      </c>
      <c r="G7" s="2" t="s">
        <v>13</v>
      </c>
      <c r="H7" s="1" t="s">
        <v>45</v>
      </c>
      <c r="I7" s="2" t="s">
        <v>47</v>
      </c>
    </row>
    <row r="8" spans="1:9">
      <c r="A8" s="27" t="s">
        <v>124</v>
      </c>
      <c r="B8" s="28">
        <v>0</v>
      </c>
      <c r="C8" s="28">
        <v>0</v>
      </c>
      <c r="D8" s="28">
        <v>0</v>
      </c>
      <c r="E8" s="28">
        <v>0</v>
      </c>
      <c r="F8" s="28">
        <v>8000000</v>
      </c>
      <c r="G8" s="28">
        <v>60953834</v>
      </c>
      <c r="H8" s="28">
        <v>88020450</v>
      </c>
      <c r="I8" s="28">
        <v>-27066616</v>
      </c>
    </row>
    <row r="9" spans="1:9">
      <c r="A9" s="27" t="s">
        <v>125</v>
      </c>
      <c r="B9" s="28">
        <v>0</v>
      </c>
      <c r="C9" s="28">
        <v>0</v>
      </c>
      <c r="D9" s="28">
        <v>0</v>
      </c>
      <c r="E9" s="28">
        <v>0</v>
      </c>
      <c r="F9" s="28">
        <v>32000000</v>
      </c>
      <c r="G9" s="28">
        <v>395700166</v>
      </c>
      <c r="H9" s="28">
        <v>95772726</v>
      </c>
      <c r="I9" s="28">
        <v>299927440</v>
      </c>
    </row>
    <row r="10" spans="1:9">
      <c r="A10" s="27" t="s">
        <v>126</v>
      </c>
      <c r="B10" s="28">
        <v>0</v>
      </c>
      <c r="C10" s="28">
        <v>0</v>
      </c>
      <c r="D10" s="28">
        <v>0</v>
      </c>
      <c r="E10" s="28">
        <v>0</v>
      </c>
      <c r="F10" s="28">
        <v>14000000</v>
      </c>
      <c r="G10" s="28">
        <v>126903870</v>
      </c>
      <c r="H10" s="28">
        <v>150017443</v>
      </c>
      <c r="I10" s="28">
        <v>-23113573</v>
      </c>
    </row>
    <row r="11" spans="1:9">
      <c r="A11" s="27" t="s">
        <v>127</v>
      </c>
      <c r="B11" s="28">
        <v>0</v>
      </c>
      <c r="C11" s="28">
        <v>0</v>
      </c>
      <c r="D11" s="28">
        <v>0</v>
      </c>
      <c r="E11" s="28">
        <v>0</v>
      </c>
      <c r="F11" s="28">
        <v>5000000</v>
      </c>
      <c r="G11" s="28">
        <v>64950770</v>
      </c>
      <c r="H11" s="28">
        <v>14962107</v>
      </c>
      <c r="I11" s="28">
        <v>49988663</v>
      </c>
    </row>
    <row r="12" spans="1:9">
      <c r="A12" s="27" t="s">
        <v>128</v>
      </c>
      <c r="B12" s="28">
        <v>0</v>
      </c>
      <c r="C12" s="28">
        <v>0</v>
      </c>
      <c r="D12" s="28">
        <v>0</v>
      </c>
      <c r="E12" s="28">
        <v>0</v>
      </c>
      <c r="F12" s="28">
        <v>11000000</v>
      </c>
      <c r="G12" s="28">
        <v>191854617</v>
      </c>
      <c r="H12" s="28">
        <v>329103803</v>
      </c>
      <c r="I12" s="28">
        <v>-137249186</v>
      </c>
    </row>
    <row r="13" spans="1:9">
      <c r="A13" s="27" t="s">
        <v>129</v>
      </c>
      <c r="B13" s="28">
        <v>0</v>
      </c>
      <c r="C13" s="28">
        <v>0</v>
      </c>
      <c r="D13" s="28">
        <v>0</v>
      </c>
      <c r="E13" s="28">
        <v>0</v>
      </c>
      <c r="F13" s="28">
        <v>5000000</v>
      </c>
      <c r="G13" s="28">
        <v>76941700</v>
      </c>
      <c r="H13" s="28">
        <v>193166649</v>
      </c>
      <c r="I13" s="28">
        <v>-116224949</v>
      </c>
    </row>
    <row r="14" spans="1:9">
      <c r="A14" s="27" t="s">
        <v>116</v>
      </c>
      <c r="B14" s="28">
        <v>0</v>
      </c>
      <c r="C14" s="28">
        <v>0</v>
      </c>
      <c r="D14" s="28">
        <v>0</v>
      </c>
      <c r="E14" s="28">
        <v>0</v>
      </c>
      <c r="F14" s="28">
        <v>1105454</v>
      </c>
      <c r="G14" s="28">
        <v>5875656169</v>
      </c>
      <c r="H14" s="28">
        <v>5233649749</v>
      </c>
      <c r="I14" s="28">
        <v>642006420</v>
      </c>
    </row>
    <row r="15" spans="1:9">
      <c r="A15" s="27" t="s">
        <v>117</v>
      </c>
      <c r="B15" s="28">
        <v>0</v>
      </c>
      <c r="C15" s="28">
        <v>0</v>
      </c>
      <c r="D15" s="28">
        <v>0</v>
      </c>
      <c r="E15" s="28">
        <v>0</v>
      </c>
      <c r="F15" s="28">
        <v>10800000</v>
      </c>
      <c r="G15" s="28">
        <v>6220739248</v>
      </c>
      <c r="H15" s="28">
        <v>6274283688</v>
      </c>
      <c r="I15" s="28">
        <v>-53544440</v>
      </c>
    </row>
    <row r="16" spans="1:9">
      <c r="A16" s="27" t="s">
        <v>130</v>
      </c>
      <c r="B16" s="28">
        <v>0</v>
      </c>
      <c r="C16" s="28">
        <v>0</v>
      </c>
      <c r="D16" s="28">
        <v>0</v>
      </c>
      <c r="E16" s="28">
        <v>0</v>
      </c>
      <c r="F16" s="28">
        <v>1000000</v>
      </c>
      <c r="G16" s="28">
        <v>77980889</v>
      </c>
      <c r="H16" s="28">
        <v>1942399</v>
      </c>
      <c r="I16" s="28">
        <v>76038490</v>
      </c>
    </row>
    <row r="17" spans="1:9">
      <c r="A17" s="27" t="s">
        <v>131</v>
      </c>
      <c r="B17" s="28">
        <v>0</v>
      </c>
      <c r="C17" s="28">
        <v>0</v>
      </c>
      <c r="D17" s="28">
        <v>0</v>
      </c>
      <c r="E17" s="28">
        <v>0</v>
      </c>
      <c r="F17" s="28">
        <v>11000000</v>
      </c>
      <c r="G17" s="28">
        <v>144890222</v>
      </c>
      <c r="H17" s="28">
        <v>64023467</v>
      </c>
      <c r="I17" s="28">
        <v>80866755</v>
      </c>
    </row>
    <row r="18" spans="1:9">
      <c r="A18" s="27" t="s">
        <v>132</v>
      </c>
      <c r="B18" s="28">
        <v>0</v>
      </c>
      <c r="C18" s="28">
        <v>0</v>
      </c>
      <c r="D18" s="28">
        <v>0</v>
      </c>
      <c r="E18" s="28">
        <v>0</v>
      </c>
      <c r="F18" s="28">
        <v>20000000</v>
      </c>
      <c r="G18" s="28">
        <v>348735672</v>
      </c>
      <c r="H18" s="28">
        <v>19750712</v>
      </c>
      <c r="I18" s="28">
        <v>328984960</v>
      </c>
    </row>
    <row r="19" spans="1:9">
      <c r="A19" s="27" t="s">
        <v>118</v>
      </c>
      <c r="B19" s="28">
        <v>0</v>
      </c>
      <c r="C19" s="28">
        <v>0</v>
      </c>
      <c r="D19" s="28">
        <v>0</v>
      </c>
      <c r="E19" s="28">
        <v>0</v>
      </c>
      <c r="F19" s="28">
        <v>1200000</v>
      </c>
      <c r="G19" s="28">
        <v>3952012977</v>
      </c>
      <c r="H19" s="28">
        <v>3772517754</v>
      </c>
      <c r="I19" s="28">
        <v>179495223</v>
      </c>
    </row>
    <row r="20" spans="1:9">
      <c r="A20" s="27" t="s">
        <v>111</v>
      </c>
      <c r="B20" s="28">
        <v>0</v>
      </c>
      <c r="C20" s="28">
        <v>0</v>
      </c>
      <c r="D20" s="28">
        <v>0</v>
      </c>
      <c r="E20" s="28">
        <v>0</v>
      </c>
      <c r="F20" s="28">
        <v>200000</v>
      </c>
      <c r="G20" s="28">
        <v>1738457084</v>
      </c>
      <c r="H20" s="28">
        <v>1728227686</v>
      </c>
      <c r="I20" s="28">
        <v>10229398</v>
      </c>
    </row>
    <row r="21" spans="1:9">
      <c r="A21" s="27" t="s">
        <v>133</v>
      </c>
      <c r="B21" s="28">
        <v>0</v>
      </c>
      <c r="C21" s="28">
        <v>0</v>
      </c>
      <c r="D21" s="28">
        <v>0</v>
      </c>
      <c r="E21" s="28">
        <v>0</v>
      </c>
      <c r="F21" s="28">
        <v>1100000</v>
      </c>
      <c r="G21" s="28">
        <v>14835801785</v>
      </c>
      <c r="H21" s="28">
        <v>12551375714</v>
      </c>
      <c r="I21" s="28">
        <v>2284426071</v>
      </c>
    </row>
    <row r="22" spans="1:9">
      <c r="A22" s="27" t="s">
        <v>99</v>
      </c>
      <c r="B22" s="28">
        <v>0</v>
      </c>
      <c r="C22" s="28">
        <v>0</v>
      </c>
      <c r="D22" s="28">
        <v>0</v>
      </c>
      <c r="E22" s="28">
        <v>0</v>
      </c>
      <c r="F22" s="28">
        <v>133750</v>
      </c>
      <c r="G22" s="28">
        <v>4817594885</v>
      </c>
      <c r="H22" s="28">
        <v>3904138426</v>
      </c>
      <c r="I22" s="28">
        <v>913456459</v>
      </c>
    </row>
    <row r="23" spans="1:9">
      <c r="A23" s="27" t="s">
        <v>121</v>
      </c>
      <c r="B23" s="28">
        <v>0</v>
      </c>
      <c r="C23" s="28">
        <v>0</v>
      </c>
      <c r="D23" s="28">
        <v>0</v>
      </c>
      <c r="E23" s="28">
        <v>0</v>
      </c>
      <c r="F23" s="28">
        <v>2450000</v>
      </c>
      <c r="G23" s="28">
        <v>9241456646</v>
      </c>
      <c r="H23" s="28">
        <v>10267435753</v>
      </c>
      <c r="I23" s="28">
        <v>-1025979107</v>
      </c>
    </row>
    <row r="24" spans="1:9">
      <c r="A24" s="27" t="s">
        <v>134</v>
      </c>
      <c r="B24" s="28">
        <v>0</v>
      </c>
      <c r="C24" s="28">
        <v>0</v>
      </c>
      <c r="D24" s="28">
        <v>0</v>
      </c>
      <c r="E24" s="28">
        <v>0</v>
      </c>
      <c r="F24" s="28">
        <v>1000000</v>
      </c>
      <c r="G24" s="28">
        <v>51960615</v>
      </c>
      <c r="H24" s="28">
        <v>83023483</v>
      </c>
      <c r="I24" s="28">
        <v>-31062868</v>
      </c>
    </row>
    <row r="25" spans="1:9">
      <c r="A25" s="27" t="s">
        <v>135</v>
      </c>
      <c r="B25" s="28">
        <v>0</v>
      </c>
      <c r="C25" s="28">
        <v>0</v>
      </c>
      <c r="D25" s="28">
        <v>0</v>
      </c>
      <c r="E25" s="28">
        <v>0</v>
      </c>
      <c r="F25" s="28">
        <v>1000000</v>
      </c>
      <c r="G25" s="28">
        <v>381161053</v>
      </c>
      <c r="H25" s="28">
        <v>392413355</v>
      </c>
      <c r="I25" s="28">
        <v>-11252302</v>
      </c>
    </row>
    <row r="26" spans="1:9">
      <c r="A26" s="27" t="s">
        <v>119</v>
      </c>
      <c r="B26" s="28">
        <v>0</v>
      </c>
      <c r="C26" s="28">
        <v>0</v>
      </c>
      <c r="D26" s="28">
        <v>0</v>
      </c>
      <c r="E26" s="28">
        <v>0</v>
      </c>
      <c r="F26" s="28">
        <v>2900000</v>
      </c>
      <c r="G26" s="28">
        <v>21814981638</v>
      </c>
      <c r="H26" s="28">
        <v>23394781032</v>
      </c>
      <c r="I26" s="28">
        <v>-1579799394</v>
      </c>
    </row>
    <row r="27" spans="1:9">
      <c r="A27" s="27" t="s">
        <v>102</v>
      </c>
      <c r="B27" s="28">
        <v>0</v>
      </c>
      <c r="C27" s="28">
        <v>0</v>
      </c>
      <c r="D27" s="28">
        <v>0</v>
      </c>
      <c r="E27" s="28">
        <v>0</v>
      </c>
      <c r="F27" s="28">
        <v>170000</v>
      </c>
      <c r="G27" s="28">
        <v>2753946186</v>
      </c>
      <c r="H27" s="28">
        <v>2564501033</v>
      </c>
      <c r="I27" s="28">
        <v>189445153</v>
      </c>
    </row>
    <row r="28" spans="1:9">
      <c r="A28" s="27" t="s">
        <v>136</v>
      </c>
      <c r="B28" s="28">
        <v>0</v>
      </c>
      <c r="C28" s="28">
        <v>0</v>
      </c>
      <c r="D28" s="28">
        <v>0</v>
      </c>
      <c r="E28" s="28">
        <v>0</v>
      </c>
      <c r="F28" s="28">
        <v>49000</v>
      </c>
      <c r="G28" s="28">
        <v>1444536745</v>
      </c>
      <c r="H28" s="28">
        <v>1279640401</v>
      </c>
      <c r="I28" s="28">
        <v>164896344</v>
      </c>
    </row>
    <row r="29" spans="1:9">
      <c r="A29" s="27" t="s">
        <v>137</v>
      </c>
      <c r="B29" s="28">
        <v>0</v>
      </c>
      <c r="C29" s="28">
        <v>0</v>
      </c>
      <c r="D29" s="28">
        <v>0</v>
      </c>
      <c r="E29" s="28">
        <v>0</v>
      </c>
      <c r="F29" s="28">
        <v>5149000</v>
      </c>
      <c r="G29" s="28">
        <v>2128867180</v>
      </c>
      <c r="H29" s="28">
        <v>62206486</v>
      </c>
      <c r="I29" s="28">
        <v>2066660694</v>
      </c>
    </row>
    <row r="30" spans="1:9">
      <c r="A30" s="27" t="s">
        <v>138</v>
      </c>
      <c r="B30" s="28">
        <v>0</v>
      </c>
      <c r="C30" s="28">
        <v>0</v>
      </c>
      <c r="D30" s="28">
        <v>0</v>
      </c>
      <c r="E30" s="28">
        <v>0</v>
      </c>
      <c r="F30" s="28">
        <v>100000</v>
      </c>
      <c r="G30" s="28">
        <v>2222684823</v>
      </c>
      <c r="H30" s="28">
        <v>2066451823</v>
      </c>
      <c r="I30" s="28">
        <v>156233000</v>
      </c>
    </row>
    <row r="31" spans="1:9">
      <c r="A31" s="27" t="s">
        <v>139</v>
      </c>
      <c r="B31" s="28">
        <v>0</v>
      </c>
      <c r="C31" s="28">
        <v>0</v>
      </c>
      <c r="D31" s="28">
        <v>0</v>
      </c>
      <c r="E31" s="28">
        <v>0</v>
      </c>
      <c r="F31" s="28">
        <v>4000000</v>
      </c>
      <c r="G31" s="28">
        <v>1402936497</v>
      </c>
      <c r="H31" s="28">
        <v>1316934107</v>
      </c>
      <c r="I31" s="28">
        <v>86002390</v>
      </c>
    </row>
    <row r="32" spans="1:9">
      <c r="A32" s="27" t="s">
        <v>140</v>
      </c>
      <c r="B32" s="28">
        <v>0</v>
      </c>
      <c r="C32" s="28">
        <v>0</v>
      </c>
      <c r="D32" s="28">
        <v>0</v>
      </c>
      <c r="E32" s="28">
        <v>0</v>
      </c>
      <c r="F32" s="28">
        <v>148596000</v>
      </c>
      <c r="G32" s="28">
        <v>2596420247</v>
      </c>
      <c r="H32" s="28">
        <v>153149604</v>
      </c>
      <c r="I32" s="28">
        <v>2443270643</v>
      </c>
    </row>
    <row r="33" spans="1:9">
      <c r="A33" s="27" t="s">
        <v>141</v>
      </c>
      <c r="B33" s="28">
        <v>0</v>
      </c>
      <c r="C33" s="28">
        <v>0</v>
      </c>
      <c r="D33" s="28">
        <v>0</v>
      </c>
      <c r="E33" s="28">
        <v>0</v>
      </c>
      <c r="F33" s="28">
        <v>36000000</v>
      </c>
      <c r="G33" s="28">
        <v>334746428</v>
      </c>
      <c r="H33" s="28">
        <v>71800788</v>
      </c>
      <c r="I33" s="28">
        <v>262945640</v>
      </c>
    </row>
    <row r="34" spans="1:9">
      <c r="A34" s="27" t="s">
        <v>142</v>
      </c>
      <c r="B34" s="28">
        <v>0</v>
      </c>
      <c r="C34" s="28">
        <v>0</v>
      </c>
      <c r="D34" s="28">
        <v>0</v>
      </c>
      <c r="E34" s="28">
        <v>0</v>
      </c>
      <c r="F34" s="28">
        <v>200000</v>
      </c>
      <c r="G34" s="28">
        <v>5146100772</v>
      </c>
      <c r="H34" s="28">
        <v>4429940696</v>
      </c>
      <c r="I34" s="28">
        <v>716160076</v>
      </c>
    </row>
    <row r="35" spans="1:9">
      <c r="A35" s="27" t="s">
        <v>106</v>
      </c>
      <c r="B35" s="28">
        <v>0</v>
      </c>
      <c r="C35" s="28">
        <v>0</v>
      </c>
      <c r="D35" s="28">
        <v>0</v>
      </c>
      <c r="E35" s="28">
        <v>0</v>
      </c>
      <c r="F35" s="28">
        <v>9141000</v>
      </c>
      <c r="G35" s="28">
        <v>15623586935</v>
      </c>
      <c r="H35" s="28">
        <v>15652072694</v>
      </c>
      <c r="I35" s="28">
        <v>-28485759</v>
      </c>
    </row>
    <row r="36" spans="1:9">
      <c r="A36" s="27" t="s">
        <v>143</v>
      </c>
      <c r="B36" s="28">
        <v>0</v>
      </c>
      <c r="C36" s="28">
        <v>0</v>
      </c>
      <c r="D36" s="28">
        <v>0</v>
      </c>
      <c r="E36" s="28">
        <v>0</v>
      </c>
      <c r="F36" s="28">
        <v>200000</v>
      </c>
      <c r="G36" s="28">
        <v>1492374080</v>
      </c>
      <c r="H36" s="28">
        <v>1290832722</v>
      </c>
      <c r="I36" s="28">
        <v>201541358</v>
      </c>
    </row>
    <row r="37" spans="1:9">
      <c r="A37" s="27" t="s">
        <v>144</v>
      </c>
      <c r="B37" s="28">
        <v>0</v>
      </c>
      <c r="C37" s="28">
        <v>0</v>
      </c>
      <c r="D37" s="28">
        <v>0</v>
      </c>
      <c r="E37" s="28">
        <v>0</v>
      </c>
      <c r="F37" s="28">
        <v>3500000</v>
      </c>
      <c r="G37" s="28">
        <v>3004685259</v>
      </c>
      <c r="H37" s="28">
        <v>53764669</v>
      </c>
      <c r="I37" s="28">
        <v>2950920590</v>
      </c>
    </row>
    <row r="38" spans="1:9">
      <c r="A38" s="27" t="s">
        <v>145</v>
      </c>
      <c r="B38" s="28">
        <v>0</v>
      </c>
      <c r="C38" s="28">
        <v>0</v>
      </c>
      <c r="D38" s="28">
        <v>0</v>
      </c>
      <c r="E38" s="28">
        <v>0</v>
      </c>
      <c r="F38" s="28">
        <v>8000000</v>
      </c>
      <c r="G38" s="28">
        <v>249810648</v>
      </c>
      <c r="H38" s="28">
        <v>55853032</v>
      </c>
      <c r="I38" s="28">
        <v>193957616</v>
      </c>
    </row>
    <row r="39" spans="1:9">
      <c r="A39" s="27" t="s">
        <v>114</v>
      </c>
      <c r="B39" s="28">
        <v>0</v>
      </c>
      <c r="C39" s="28">
        <v>0</v>
      </c>
      <c r="D39" s="28">
        <v>0</v>
      </c>
      <c r="E39" s="28">
        <v>0</v>
      </c>
      <c r="F39" s="28">
        <v>2300000</v>
      </c>
      <c r="G39" s="28">
        <v>17160317626</v>
      </c>
      <c r="H39" s="28">
        <v>18580529826</v>
      </c>
      <c r="I39" s="28">
        <v>-1420212200</v>
      </c>
    </row>
    <row r="40" spans="1:9">
      <c r="A40" s="27" t="s">
        <v>146</v>
      </c>
      <c r="B40" s="28">
        <v>0</v>
      </c>
      <c r="C40" s="28">
        <v>0</v>
      </c>
      <c r="D40" s="28">
        <v>0</v>
      </c>
      <c r="E40" s="28">
        <v>0</v>
      </c>
      <c r="F40" s="28">
        <v>700000</v>
      </c>
      <c r="G40" s="28">
        <v>10200715278</v>
      </c>
      <c r="H40" s="28">
        <v>10478287108</v>
      </c>
      <c r="I40" s="28">
        <v>-277571830</v>
      </c>
    </row>
    <row r="41" spans="1:9">
      <c r="A41" s="27" t="s">
        <v>147</v>
      </c>
      <c r="B41" s="28">
        <v>0</v>
      </c>
      <c r="C41" s="28">
        <v>0</v>
      </c>
      <c r="D41" s="28">
        <v>0</v>
      </c>
      <c r="E41" s="28">
        <v>0</v>
      </c>
      <c r="F41" s="28">
        <v>200000</v>
      </c>
      <c r="G41" s="28">
        <v>1053201595</v>
      </c>
      <c r="H41" s="28">
        <v>1099234231</v>
      </c>
      <c r="I41" s="28">
        <v>-46032636</v>
      </c>
    </row>
    <row r="42" spans="1:9">
      <c r="A42" s="27" t="s">
        <v>148</v>
      </c>
      <c r="B42" s="28">
        <v>0</v>
      </c>
      <c r="C42" s="28">
        <v>0</v>
      </c>
      <c r="D42" s="28">
        <v>0</v>
      </c>
      <c r="E42" s="28">
        <v>0</v>
      </c>
      <c r="F42" s="28">
        <v>25424000</v>
      </c>
      <c r="G42" s="28">
        <v>608223068</v>
      </c>
      <c r="H42" s="28">
        <v>324504958</v>
      </c>
      <c r="I42" s="28">
        <v>283718110</v>
      </c>
    </row>
    <row r="43" spans="1:9">
      <c r="A43" s="27" t="s">
        <v>149</v>
      </c>
      <c r="B43" s="28">
        <v>0</v>
      </c>
      <c r="C43" s="28">
        <v>0</v>
      </c>
      <c r="D43" s="28">
        <v>0</v>
      </c>
      <c r="E43" s="28">
        <v>0</v>
      </c>
      <c r="F43" s="28">
        <v>100000</v>
      </c>
      <c r="G43" s="28">
        <v>139894951</v>
      </c>
      <c r="H43" s="28">
        <v>112979266</v>
      </c>
      <c r="I43" s="28">
        <v>26915685</v>
      </c>
    </row>
    <row r="44" spans="1:9">
      <c r="A44" s="27" t="s">
        <v>150</v>
      </c>
      <c r="B44" s="28">
        <v>0</v>
      </c>
      <c r="C44" s="28">
        <v>0</v>
      </c>
      <c r="D44" s="28">
        <v>0</v>
      </c>
      <c r="E44" s="28">
        <v>0</v>
      </c>
      <c r="F44" s="28">
        <v>5000000</v>
      </c>
      <c r="G44" s="28">
        <v>120908364</v>
      </c>
      <c r="H44" s="28">
        <v>14919709</v>
      </c>
      <c r="I44" s="28">
        <v>105988655</v>
      </c>
    </row>
    <row r="45" spans="1:9">
      <c r="A45" s="27" t="s">
        <v>151</v>
      </c>
      <c r="B45" s="28">
        <v>0</v>
      </c>
      <c r="C45" s="28">
        <v>0</v>
      </c>
      <c r="D45" s="28">
        <v>0</v>
      </c>
      <c r="E45" s="28">
        <v>0</v>
      </c>
      <c r="F45" s="28">
        <v>8000000</v>
      </c>
      <c r="G45" s="28">
        <v>256805344</v>
      </c>
      <c r="H45" s="28">
        <v>31829545</v>
      </c>
      <c r="I45" s="28">
        <v>224975799</v>
      </c>
    </row>
    <row r="46" spans="1:9">
      <c r="A46" s="27" t="s">
        <v>212</v>
      </c>
      <c r="B46" s="28"/>
      <c r="C46" s="61">
        <f>SUM(C8:C45)</f>
        <v>0</v>
      </c>
      <c r="D46" s="61">
        <f>SUM(D8:D45)</f>
        <v>0</v>
      </c>
      <c r="E46" s="61">
        <f>SUM(E8:E45)</f>
        <v>0</v>
      </c>
      <c r="F46" s="28"/>
      <c r="G46" s="61">
        <f>SUM(G8:G45)</f>
        <v>138359495866</v>
      </c>
      <c r="H46" s="61">
        <f>SUM(H8:H45)</f>
        <v>128198039094</v>
      </c>
      <c r="I46" s="61">
        <f>SUM(I8:I45)</f>
        <v>10161456772</v>
      </c>
    </row>
    <row r="47" spans="1:9">
      <c r="A47" s="27"/>
      <c r="B47" s="28"/>
      <c r="C47" s="63"/>
      <c r="D47" s="63"/>
      <c r="E47" s="63"/>
      <c r="F47" s="28"/>
      <c r="G47" s="63"/>
      <c r="H47" s="63"/>
      <c r="I47" s="63"/>
    </row>
    <row r="48" spans="1:9" ht="20.399999999999999">
      <c r="A48" s="6" t="s">
        <v>72</v>
      </c>
      <c r="B48" s="6"/>
      <c r="C48" s="6"/>
      <c r="D48" s="6"/>
      <c r="E48" s="6"/>
      <c r="F48" s="6"/>
      <c r="G48" s="6"/>
      <c r="H48" s="6"/>
      <c r="I48" s="6"/>
    </row>
    <row r="49" spans="1:9" ht="20.399999999999999">
      <c r="A49" s="6" t="s">
        <v>55</v>
      </c>
      <c r="B49" s="6"/>
      <c r="C49" s="6"/>
      <c r="D49" s="6"/>
      <c r="E49" s="6"/>
      <c r="F49" s="6"/>
      <c r="G49" s="6"/>
      <c r="H49" s="6"/>
      <c r="I49" s="6"/>
    </row>
    <row r="50" spans="1:9" ht="20.399999999999999">
      <c r="A50" s="6" t="s">
        <v>73</v>
      </c>
      <c r="B50" s="6"/>
      <c r="C50" s="6"/>
      <c r="D50" s="6"/>
      <c r="E50" s="6"/>
      <c r="F50" s="6"/>
      <c r="G50" s="6"/>
      <c r="H50" s="6"/>
      <c r="I50" s="6"/>
    </row>
    <row r="51" spans="1:9" ht="20.399999999999999">
      <c r="A51" s="4"/>
      <c r="B51" s="4"/>
      <c r="C51" s="4"/>
      <c r="D51" s="4"/>
      <c r="E51" s="4"/>
      <c r="F51" s="4"/>
      <c r="G51" s="4"/>
      <c r="H51" s="4"/>
      <c r="I51" s="4"/>
    </row>
    <row r="52" spans="1:9" ht="20.399999999999999">
      <c r="A52" s="13" t="s">
        <v>50</v>
      </c>
      <c r="B52" s="13"/>
      <c r="C52" s="13"/>
      <c r="D52" s="13"/>
      <c r="E52" s="13"/>
      <c r="F52" s="13"/>
      <c r="G52" s="13"/>
      <c r="H52" s="13"/>
      <c r="I52" s="13"/>
    </row>
    <row r="53" spans="1:9" ht="16.5" customHeight="1" thickBot="1">
      <c r="B53" s="7" t="s">
        <v>210</v>
      </c>
      <c r="C53" s="7"/>
      <c r="D53" s="7"/>
      <c r="E53" s="7"/>
      <c r="F53" s="7" t="s">
        <v>211</v>
      </c>
      <c r="G53" s="7"/>
      <c r="H53" s="7"/>
      <c r="I53" s="7"/>
    </row>
    <row r="54" spans="1:9" ht="19.2" thickBot="1">
      <c r="A54" s="3" t="s">
        <v>34</v>
      </c>
      <c r="B54" s="1" t="s">
        <v>3</v>
      </c>
      <c r="C54" s="2" t="s">
        <v>13</v>
      </c>
      <c r="D54" s="1" t="s">
        <v>45</v>
      </c>
      <c r="E54" s="2" t="s">
        <v>47</v>
      </c>
      <c r="F54" s="1" t="s">
        <v>3</v>
      </c>
      <c r="G54" s="2" t="s">
        <v>13</v>
      </c>
      <c r="H54" s="1" t="s">
        <v>45</v>
      </c>
      <c r="I54" s="2" t="s">
        <v>47</v>
      </c>
    </row>
    <row r="55" spans="1:9">
      <c r="A55" s="27" t="s">
        <v>213</v>
      </c>
      <c r="B55" s="88"/>
      <c r="C55" s="89">
        <f>C46</f>
        <v>0</v>
      </c>
      <c r="D55" s="89">
        <f>D46</f>
        <v>0</v>
      </c>
      <c r="E55" s="89">
        <f>E46</f>
        <v>0</v>
      </c>
      <c r="F55" s="88"/>
      <c r="G55" s="89">
        <f>G46</f>
        <v>138359495866</v>
      </c>
      <c r="H55" s="89">
        <f>H46</f>
        <v>128198039094</v>
      </c>
      <c r="I55" s="89">
        <f>I46</f>
        <v>10161456772</v>
      </c>
    </row>
    <row r="56" spans="1:9">
      <c r="A56" s="27" t="s">
        <v>152</v>
      </c>
      <c r="B56" s="28">
        <v>0</v>
      </c>
      <c r="C56" s="28">
        <v>0</v>
      </c>
      <c r="D56" s="28">
        <v>0</v>
      </c>
      <c r="E56" s="28">
        <v>0</v>
      </c>
      <c r="F56" s="28">
        <v>8096000</v>
      </c>
      <c r="G56" s="28">
        <v>327383857</v>
      </c>
      <c r="H56" s="28">
        <v>32160346</v>
      </c>
      <c r="I56" s="28">
        <v>295223511</v>
      </c>
    </row>
    <row r="57" spans="1:9">
      <c r="A57" s="27" t="s">
        <v>98</v>
      </c>
      <c r="B57" s="28">
        <v>0</v>
      </c>
      <c r="C57" s="28">
        <v>0</v>
      </c>
      <c r="D57" s="28">
        <v>0</v>
      </c>
      <c r="E57" s="28">
        <v>0</v>
      </c>
      <c r="F57" s="28">
        <v>1256501</v>
      </c>
      <c r="G57" s="28">
        <v>9700012759</v>
      </c>
      <c r="H57" s="28">
        <v>7872659474</v>
      </c>
      <c r="I57" s="28">
        <v>1827353285</v>
      </c>
    </row>
    <row r="58" spans="1:9">
      <c r="A58" s="27" t="s">
        <v>97</v>
      </c>
      <c r="B58" s="28">
        <v>0</v>
      </c>
      <c r="C58" s="28">
        <v>0</v>
      </c>
      <c r="D58" s="28">
        <v>0</v>
      </c>
      <c r="E58" s="28">
        <v>0</v>
      </c>
      <c r="F58" s="28">
        <v>100000</v>
      </c>
      <c r="G58" s="28">
        <v>6318775366</v>
      </c>
      <c r="H58" s="28">
        <v>4303656508</v>
      </c>
      <c r="I58" s="28">
        <v>2015118858</v>
      </c>
    </row>
    <row r="59" spans="1:9">
      <c r="A59" s="27" t="s">
        <v>153</v>
      </c>
      <c r="B59" s="28">
        <v>0</v>
      </c>
      <c r="C59" s="28">
        <v>0</v>
      </c>
      <c r="D59" s="28">
        <v>0</v>
      </c>
      <c r="E59" s="28">
        <v>0</v>
      </c>
      <c r="F59" s="28">
        <v>6000000</v>
      </c>
      <c r="G59" s="28">
        <v>2470752400</v>
      </c>
      <c r="H59" s="28">
        <v>2814280790</v>
      </c>
      <c r="I59" s="28">
        <v>-343528390</v>
      </c>
    </row>
    <row r="60" spans="1:9">
      <c r="A60" s="27" t="s">
        <v>154</v>
      </c>
      <c r="B60" s="28">
        <v>0</v>
      </c>
      <c r="C60" s="28">
        <v>0</v>
      </c>
      <c r="D60" s="28">
        <v>0</v>
      </c>
      <c r="E60" s="28">
        <v>0</v>
      </c>
      <c r="F60" s="28">
        <v>200000</v>
      </c>
      <c r="G60" s="28">
        <v>5665861700</v>
      </c>
      <c r="H60" s="28">
        <v>5510589160</v>
      </c>
      <c r="I60" s="28">
        <v>155272540</v>
      </c>
    </row>
    <row r="61" spans="1:9">
      <c r="A61" s="27" t="s">
        <v>155</v>
      </c>
      <c r="B61" s="28">
        <v>0</v>
      </c>
      <c r="C61" s="28">
        <v>0</v>
      </c>
      <c r="D61" s="28">
        <v>0</v>
      </c>
      <c r="E61" s="28">
        <v>0</v>
      </c>
      <c r="F61" s="28">
        <v>3200000</v>
      </c>
      <c r="G61" s="28">
        <v>11113821014</v>
      </c>
      <c r="H61" s="28">
        <v>12416498507</v>
      </c>
      <c r="I61" s="28">
        <v>-1302677493</v>
      </c>
    </row>
    <row r="62" spans="1:9">
      <c r="A62" s="27" t="s">
        <v>90</v>
      </c>
      <c r="B62" s="28">
        <v>0</v>
      </c>
      <c r="C62" s="28">
        <v>0</v>
      </c>
      <c r="D62" s="28">
        <v>0</v>
      </c>
      <c r="E62" s="28">
        <v>0</v>
      </c>
      <c r="F62" s="28">
        <v>16520000</v>
      </c>
      <c r="G62" s="28">
        <v>21398380503</v>
      </c>
      <c r="H62" s="28">
        <v>24660196930</v>
      </c>
      <c r="I62" s="28">
        <v>-3261816427</v>
      </c>
    </row>
    <row r="63" spans="1:9">
      <c r="A63" s="27" t="s">
        <v>100</v>
      </c>
      <c r="B63" s="28">
        <v>0</v>
      </c>
      <c r="C63" s="28">
        <v>0</v>
      </c>
      <c r="D63" s="28">
        <v>0</v>
      </c>
      <c r="E63" s="28">
        <v>0</v>
      </c>
      <c r="F63" s="28">
        <v>400000</v>
      </c>
      <c r="G63" s="28">
        <v>4735112467</v>
      </c>
      <c r="H63" s="28">
        <v>4102862907</v>
      </c>
      <c r="I63" s="28">
        <v>632249560</v>
      </c>
    </row>
    <row r="64" spans="1:9">
      <c r="A64" s="27" t="s">
        <v>156</v>
      </c>
      <c r="B64" s="28">
        <v>0</v>
      </c>
      <c r="C64" s="28">
        <v>0</v>
      </c>
      <c r="D64" s="28">
        <v>0</v>
      </c>
      <c r="E64" s="28">
        <v>0</v>
      </c>
      <c r="F64" s="28">
        <v>77000000</v>
      </c>
      <c r="G64" s="28">
        <v>379712256</v>
      </c>
      <c r="H64" s="28">
        <v>-287744</v>
      </c>
      <c r="I64" s="28">
        <v>380000000</v>
      </c>
    </row>
    <row r="65" spans="1:9">
      <c r="A65" s="27" t="s">
        <v>112</v>
      </c>
      <c r="B65" s="28">
        <v>0</v>
      </c>
      <c r="C65" s="28">
        <v>0</v>
      </c>
      <c r="D65" s="28">
        <v>0</v>
      </c>
      <c r="E65" s="28">
        <v>0</v>
      </c>
      <c r="F65" s="28">
        <v>50000</v>
      </c>
      <c r="G65" s="28">
        <v>2588588775</v>
      </c>
      <c r="H65" s="28">
        <v>2526991446</v>
      </c>
      <c r="I65" s="28">
        <v>61597329</v>
      </c>
    </row>
    <row r="66" spans="1:9">
      <c r="A66" s="27" t="s">
        <v>157</v>
      </c>
      <c r="B66" s="28">
        <v>0</v>
      </c>
      <c r="C66" s="28">
        <v>0</v>
      </c>
      <c r="D66" s="28">
        <v>0</v>
      </c>
      <c r="E66" s="28">
        <v>0</v>
      </c>
      <c r="F66" s="28">
        <v>301000</v>
      </c>
      <c r="G66" s="28">
        <v>4325866110</v>
      </c>
      <c r="H66" s="28">
        <v>4207461025</v>
      </c>
      <c r="I66" s="28">
        <v>118405085</v>
      </c>
    </row>
    <row r="67" spans="1:9">
      <c r="A67" s="27" t="s">
        <v>123</v>
      </c>
      <c r="B67" s="28">
        <v>0</v>
      </c>
      <c r="C67" s="28">
        <v>0</v>
      </c>
      <c r="D67" s="28">
        <v>0</v>
      </c>
      <c r="E67" s="28">
        <v>0</v>
      </c>
      <c r="F67" s="28">
        <v>750000</v>
      </c>
      <c r="G67" s="28">
        <v>9053223432</v>
      </c>
      <c r="H67" s="28">
        <v>6095734032</v>
      </c>
      <c r="I67" s="28">
        <v>2957489400</v>
      </c>
    </row>
    <row r="68" spans="1:9">
      <c r="A68" s="27" t="s">
        <v>91</v>
      </c>
      <c r="B68" s="28">
        <v>0</v>
      </c>
      <c r="C68" s="28">
        <v>0</v>
      </c>
      <c r="D68" s="28">
        <v>0</v>
      </c>
      <c r="E68" s="28">
        <v>0</v>
      </c>
      <c r="F68" s="28">
        <v>50000</v>
      </c>
      <c r="G68" s="28">
        <v>3345438305</v>
      </c>
      <c r="H68" s="28">
        <v>2323638386</v>
      </c>
      <c r="I68" s="28">
        <v>1021799919</v>
      </c>
    </row>
    <row r="69" spans="1:9">
      <c r="A69" s="27" t="s">
        <v>158</v>
      </c>
      <c r="B69" s="28">
        <v>0</v>
      </c>
      <c r="C69" s="28">
        <v>0</v>
      </c>
      <c r="D69" s="28">
        <v>0</v>
      </c>
      <c r="E69" s="28">
        <v>0</v>
      </c>
      <c r="F69" s="28">
        <v>800000</v>
      </c>
      <c r="G69" s="28">
        <v>3354666439</v>
      </c>
      <c r="H69" s="28">
        <v>2871294839</v>
      </c>
      <c r="I69" s="28">
        <v>483371600</v>
      </c>
    </row>
    <row r="70" spans="1:9">
      <c r="A70" s="27" t="s">
        <v>159</v>
      </c>
      <c r="B70" s="28">
        <v>0</v>
      </c>
      <c r="C70" s="28">
        <v>0</v>
      </c>
      <c r="D70" s="28">
        <v>0</v>
      </c>
      <c r="E70" s="28">
        <v>0</v>
      </c>
      <c r="F70" s="28">
        <v>100000</v>
      </c>
      <c r="G70" s="28">
        <v>1139636072</v>
      </c>
      <c r="H70" s="28">
        <v>570337002</v>
      </c>
      <c r="I70" s="28">
        <v>569299070</v>
      </c>
    </row>
    <row r="71" spans="1:9">
      <c r="A71" s="27" t="s">
        <v>93</v>
      </c>
      <c r="B71" s="28">
        <v>0</v>
      </c>
      <c r="C71" s="28">
        <v>0</v>
      </c>
      <c r="D71" s="28">
        <v>0</v>
      </c>
      <c r="E71" s="28">
        <v>0</v>
      </c>
      <c r="F71" s="28">
        <v>837500</v>
      </c>
      <c r="G71" s="28">
        <v>4535170175</v>
      </c>
      <c r="H71" s="28">
        <v>3589717023</v>
      </c>
      <c r="I71" s="28">
        <v>945453152</v>
      </c>
    </row>
    <row r="72" spans="1:9">
      <c r="A72" s="27" t="s">
        <v>160</v>
      </c>
      <c r="B72" s="28">
        <v>0</v>
      </c>
      <c r="C72" s="28">
        <v>0</v>
      </c>
      <c r="D72" s="28">
        <v>0</v>
      </c>
      <c r="E72" s="28">
        <v>0</v>
      </c>
      <c r="F72" s="28">
        <v>10009000</v>
      </c>
      <c r="G72" s="28">
        <v>155143432</v>
      </c>
      <c r="H72" s="28">
        <v>70088537</v>
      </c>
      <c r="I72" s="28">
        <v>85054895</v>
      </c>
    </row>
    <row r="73" spans="1:9">
      <c r="A73" s="27" t="s">
        <v>161</v>
      </c>
      <c r="B73" s="28">
        <v>0</v>
      </c>
      <c r="C73" s="28">
        <v>0</v>
      </c>
      <c r="D73" s="28">
        <v>0</v>
      </c>
      <c r="E73" s="28">
        <v>0</v>
      </c>
      <c r="F73" s="28">
        <v>10000000</v>
      </c>
      <c r="G73" s="28">
        <v>109916722</v>
      </c>
      <c r="H73" s="28">
        <v>64965912</v>
      </c>
      <c r="I73" s="28">
        <v>44950810</v>
      </c>
    </row>
    <row r="74" spans="1:9">
      <c r="A74" s="27" t="s">
        <v>162</v>
      </c>
      <c r="B74" s="28">
        <v>0</v>
      </c>
      <c r="C74" s="28">
        <v>0</v>
      </c>
      <c r="D74" s="28">
        <v>0</v>
      </c>
      <c r="E74" s="28">
        <v>0</v>
      </c>
      <c r="F74" s="28">
        <v>10000000</v>
      </c>
      <c r="G74" s="28">
        <v>99924294</v>
      </c>
      <c r="H74" s="28">
        <v>29947014</v>
      </c>
      <c r="I74" s="28">
        <v>69977280</v>
      </c>
    </row>
    <row r="75" spans="1:9">
      <c r="A75" s="27" t="s">
        <v>163</v>
      </c>
      <c r="B75" s="28">
        <v>0</v>
      </c>
      <c r="C75" s="28">
        <v>0</v>
      </c>
      <c r="D75" s="28">
        <v>0</v>
      </c>
      <c r="E75" s="28">
        <v>0</v>
      </c>
      <c r="F75" s="28">
        <v>20000</v>
      </c>
      <c r="G75" s="28">
        <v>339744</v>
      </c>
      <c r="H75" s="28">
        <v>199892</v>
      </c>
      <c r="I75" s="28">
        <v>139852</v>
      </c>
    </row>
    <row r="76" spans="1:9">
      <c r="A76" s="27" t="s">
        <v>164</v>
      </c>
      <c r="B76" s="28">
        <v>0</v>
      </c>
      <c r="C76" s="28">
        <v>0</v>
      </c>
      <c r="D76" s="28">
        <v>0</v>
      </c>
      <c r="E76" s="28">
        <v>0</v>
      </c>
      <c r="F76" s="28">
        <v>100000</v>
      </c>
      <c r="G76" s="28">
        <v>146888649</v>
      </c>
      <c r="H76" s="28">
        <v>1389781</v>
      </c>
      <c r="I76" s="28">
        <v>145498868</v>
      </c>
    </row>
    <row r="77" spans="1:9">
      <c r="A77" s="27" t="s">
        <v>165</v>
      </c>
      <c r="B77" s="28">
        <v>0</v>
      </c>
      <c r="C77" s="28">
        <v>0</v>
      </c>
      <c r="D77" s="28">
        <v>0</v>
      </c>
      <c r="E77" s="28">
        <v>0</v>
      </c>
      <c r="F77" s="28">
        <v>15000000</v>
      </c>
      <c r="G77" s="28">
        <v>551581958</v>
      </c>
      <c r="H77" s="28">
        <v>489862172</v>
      </c>
      <c r="I77" s="28">
        <v>61719786</v>
      </c>
    </row>
    <row r="78" spans="1:9">
      <c r="A78" s="27" t="s">
        <v>115</v>
      </c>
      <c r="B78" s="28">
        <v>0</v>
      </c>
      <c r="C78" s="28">
        <v>0</v>
      </c>
      <c r="D78" s="28">
        <v>0</v>
      </c>
      <c r="E78" s="28">
        <v>0</v>
      </c>
      <c r="F78" s="28">
        <v>562500</v>
      </c>
      <c r="G78" s="28">
        <v>4950825640</v>
      </c>
      <c r="H78" s="28">
        <v>5503880249</v>
      </c>
      <c r="I78" s="28">
        <v>-553054609</v>
      </c>
    </row>
    <row r="79" spans="1:9">
      <c r="A79" s="27" t="s">
        <v>166</v>
      </c>
      <c r="B79" s="28">
        <v>0</v>
      </c>
      <c r="C79" s="28">
        <v>0</v>
      </c>
      <c r="D79" s="28">
        <v>0</v>
      </c>
      <c r="E79" s="28">
        <v>0</v>
      </c>
      <c r="F79" s="28">
        <v>10000000</v>
      </c>
      <c r="G79" s="28">
        <v>134897786</v>
      </c>
      <c r="H79" s="28">
        <v>99973520</v>
      </c>
      <c r="I79" s="28">
        <v>34924266</v>
      </c>
    </row>
    <row r="80" spans="1:9">
      <c r="A80" s="27" t="s">
        <v>167</v>
      </c>
      <c r="B80" s="28">
        <v>0</v>
      </c>
      <c r="C80" s="28">
        <v>0</v>
      </c>
      <c r="D80" s="28">
        <v>0</v>
      </c>
      <c r="E80" s="28">
        <v>0</v>
      </c>
      <c r="F80" s="28">
        <v>5000000</v>
      </c>
      <c r="G80" s="28">
        <v>89931841</v>
      </c>
      <c r="H80" s="28">
        <v>29954541</v>
      </c>
      <c r="I80" s="28">
        <v>59977300</v>
      </c>
    </row>
    <row r="81" spans="1:9">
      <c r="A81" s="27" t="s">
        <v>168</v>
      </c>
      <c r="B81" s="28">
        <v>0</v>
      </c>
      <c r="C81" s="28">
        <v>0</v>
      </c>
      <c r="D81" s="28">
        <v>0</v>
      </c>
      <c r="E81" s="28">
        <v>0</v>
      </c>
      <c r="F81" s="28">
        <v>16000000</v>
      </c>
      <c r="G81" s="28">
        <v>136896309</v>
      </c>
      <c r="H81" s="28">
        <v>31920468</v>
      </c>
      <c r="I81" s="28">
        <v>104975841</v>
      </c>
    </row>
    <row r="82" spans="1:9">
      <c r="A82" s="27" t="s">
        <v>169</v>
      </c>
      <c r="B82" s="28">
        <v>0</v>
      </c>
      <c r="C82" s="28">
        <v>0</v>
      </c>
      <c r="D82" s="28">
        <v>0</v>
      </c>
      <c r="E82" s="28">
        <v>0</v>
      </c>
      <c r="F82" s="28">
        <v>5000000</v>
      </c>
      <c r="G82" s="28">
        <v>39969728</v>
      </c>
      <c r="H82" s="28">
        <v>39969728</v>
      </c>
      <c r="I82" s="28">
        <v>0</v>
      </c>
    </row>
    <row r="83" spans="1:9">
      <c r="A83" s="27" t="s">
        <v>170</v>
      </c>
      <c r="B83" s="28">
        <v>0</v>
      </c>
      <c r="C83" s="28">
        <v>0</v>
      </c>
      <c r="D83" s="28">
        <v>0</v>
      </c>
      <c r="E83" s="28">
        <v>0</v>
      </c>
      <c r="F83" s="28">
        <v>5000000</v>
      </c>
      <c r="G83" s="28">
        <v>39969725</v>
      </c>
      <c r="H83" s="28">
        <v>39969725</v>
      </c>
      <c r="I83" s="28">
        <v>0</v>
      </c>
    </row>
    <row r="84" spans="1:9">
      <c r="A84" s="27" t="s">
        <v>171</v>
      </c>
      <c r="B84" s="28">
        <v>0</v>
      </c>
      <c r="C84" s="28">
        <v>0</v>
      </c>
      <c r="D84" s="28">
        <v>0</v>
      </c>
      <c r="E84" s="28">
        <v>0</v>
      </c>
      <c r="F84" s="28">
        <v>13000000</v>
      </c>
      <c r="G84" s="28">
        <v>4472000000</v>
      </c>
      <c r="H84" s="28">
        <v>1796028585</v>
      </c>
      <c r="I84" s="28">
        <v>2675971415</v>
      </c>
    </row>
    <row r="85" spans="1:9" ht="19.2" thickBot="1">
      <c r="A85" s="27" t="s">
        <v>2</v>
      </c>
      <c r="B85" s="28"/>
      <c r="C85" s="33">
        <f>SUM(C55:C84)</f>
        <v>0</v>
      </c>
      <c r="D85" s="33">
        <f>SUM(D55:D84)</f>
        <v>0</v>
      </c>
      <c r="E85" s="33">
        <f>SUM(E55:E84)</f>
        <v>0</v>
      </c>
      <c r="F85" s="28"/>
      <c r="G85" s="33">
        <f>SUM(G55:G84)</f>
        <v>239740183324</v>
      </c>
      <c r="H85" s="33">
        <f>SUM(H55:H84)</f>
        <v>220293979849</v>
      </c>
      <c r="I85" s="33">
        <f>SUM(I55:I84)</f>
        <v>19446203475</v>
      </c>
    </row>
    <row r="86" spans="1:9" ht="19.2" thickTop="1">
      <c r="B86" s="73"/>
      <c r="C86" s="73"/>
      <c r="D86" s="73"/>
      <c r="E86" s="73"/>
      <c r="F86" s="73"/>
      <c r="G86" s="73"/>
      <c r="H86" s="73"/>
      <c r="I86" s="73"/>
    </row>
  </sheetData>
  <mergeCells count="14">
    <mergeCell ref="B53:E53"/>
    <mergeCell ref="F53:I53"/>
    <mergeCell ref="A48:I48"/>
    <mergeCell ref="A49:I49"/>
    <mergeCell ref="A50:I50"/>
    <mergeCell ref="A52:E52"/>
    <mergeCell ref="F52:I52"/>
    <mergeCell ref="A1:I1"/>
    <mergeCell ref="A2:I2"/>
    <mergeCell ref="A3:I3"/>
    <mergeCell ref="B6:E6"/>
    <mergeCell ref="F6:I6"/>
    <mergeCell ref="A5:E5"/>
    <mergeCell ref="F5:I5"/>
  </mergeCells>
  <pageMargins left="0.7" right="0.7" top="0.75" bottom="0.75" header="0.3" footer="0.3"/>
  <pageSetup scale="56" orientation="landscape" r:id="rId1"/>
  <rowBreaks count="1" manualBreakCount="1">
    <brk id="47" max="8" man="1"/>
  </rowBreak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I81"/>
  <sheetViews>
    <sheetView rightToLeft="1" view="pageBreakPreview" topLeftCell="A55" zoomScale="70" zoomScaleNormal="70" zoomScaleSheetLayoutView="70" workbookViewId="0">
      <selection activeCell="I80" sqref="I80"/>
    </sheetView>
  </sheetViews>
  <sheetFormatPr defaultRowHeight="18.600000000000001"/>
  <cols>
    <col min="1" max="1" width="32.59765625" style="71" customWidth="1"/>
    <col min="2" max="2" width="21.59765625" style="71" customWidth="1"/>
    <col min="3" max="3" width="20.69921875" style="71" customWidth="1"/>
    <col min="4" max="4" width="23" style="71" customWidth="1"/>
    <col min="5" max="5" width="25.3984375" style="71" customWidth="1"/>
    <col min="6" max="6" width="18.69921875" style="71" customWidth="1"/>
    <col min="7" max="7" width="21.59765625" style="71" customWidth="1"/>
    <col min="8" max="8" width="26.296875" style="71" customWidth="1"/>
    <col min="9" max="9" width="25.69921875" style="71" customWidth="1"/>
    <col min="10" max="16384" width="8.796875" style="71"/>
  </cols>
  <sheetData>
    <row r="1" spans="1:9" ht="20.399999999999999">
      <c r="A1" s="6" t="s">
        <v>72</v>
      </c>
      <c r="B1" s="6"/>
      <c r="C1" s="6"/>
      <c r="D1" s="6"/>
      <c r="E1" s="6"/>
      <c r="F1" s="6"/>
      <c r="G1" s="6"/>
      <c r="H1" s="6"/>
      <c r="I1" s="6"/>
    </row>
    <row r="2" spans="1:9" ht="20.399999999999999">
      <c r="A2" s="6" t="s">
        <v>55</v>
      </c>
      <c r="B2" s="6"/>
      <c r="C2" s="6"/>
      <c r="D2" s="6"/>
      <c r="E2" s="6"/>
      <c r="F2" s="6"/>
      <c r="G2" s="6"/>
      <c r="H2" s="6"/>
      <c r="I2" s="6"/>
    </row>
    <row r="3" spans="1:9" ht="20.399999999999999">
      <c r="A3" s="6" t="s">
        <v>73</v>
      </c>
      <c r="B3" s="6"/>
      <c r="C3" s="6"/>
      <c r="D3" s="6"/>
      <c r="E3" s="6"/>
      <c r="F3" s="6"/>
      <c r="G3" s="6"/>
      <c r="H3" s="6"/>
      <c r="I3" s="6"/>
    </row>
    <row r="4" spans="1:9" ht="20.399999999999999">
      <c r="A4" s="4"/>
      <c r="B4" s="4"/>
      <c r="C4" s="4"/>
      <c r="D4" s="4"/>
      <c r="E4" s="4"/>
      <c r="F4" s="4"/>
      <c r="G4" s="4"/>
      <c r="H4" s="4"/>
      <c r="I4" s="4"/>
    </row>
    <row r="5" spans="1:9" ht="20.399999999999999">
      <c r="A5" s="13" t="s">
        <v>44</v>
      </c>
      <c r="B5" s="13"/>
      <c r="C5" s="13"/>
      <c r="D5" s="13"/>
    </row>
    <row r="6" spans="1:9" ht="16.5" customHeight="1" thickBot="1">
      <c r="B6" s="7" t="s">
        <v>210</v>
      </c>
      <c r="C6" s="7"/>
      <c r="D6" s="7"/>
      <c r="E6" s="7"/>
      <c r="F6" s="7" t="s">
        <v>211</v>
      </c>
      <c r="G6" s="7"/>
      <c r="H6" s="7"/>
      <c r="I6" s="7"/>
    </row>
    <row r="7" spans="1:9" ht="19.2" thickBot="1">
      <c r="A7" s="3" t="s">
        <v>34</v>
      </c>
      <c r="B7" s="1" t="s">
        <v>3</v>
      </c>
      <c r="C7" s="2" t="s">
        <v>13</v>
      </c>
      <c r="D7" s="1" t="s">
        <v>45</v>
      </c>
      <c r="E7" s="2" t="s">
        <v>46</v>
      </c>
      <c r="F7" s="1" t="s">
        <v>3</v>
      </c>
      <c r="G7" s="2" t="s">
        <v>13</v>
      </c>
      <c r="H7" s="1" t="s">
        <v>45</v>
      </c>
      <c r="I7" s="2" t="s">
        <v>46</v>
      </c>
    </row>
    <row r="8" spans="1:9">
      <c r="A8" s="27" t="s">
        <v>103</v>
      </c>
      <c r="B8" s="28">
        <v>1600000</v>
      </c>
      <c r="C8" s="28">
        <v>7515849888</v>
      </c>
      <c r="D8" s="28">
        <v>8843110240</v>
      </c>
      <c r="E8" s="28">
        <v>-1327260352</v>
      </c>
      <c r="F8" s="28">
        <v>1600000</v>
      </c>
      <c r="G8" s="28">
        <v>7515849888</v>
      </c>
      <c r="H8" s="28">
        <v>10423704772</v>
      </c>
      <c r="I8" s="28">
        <v>-2907854884</v>
      </c>
    </row>
    <row r="9" spans="1:9">
      <c r="A9" s="27" t="s">
        <v>93</v>
      </c>
      <c r="B9" s="28">
        <v>837500</v>
      </c>
      <c r="C9" s="28">
        <v>2933522221</v>
      </c>
      <c r="D9" s="28">
        <v>3451251497</v>
      </c>
      <c r="E9" s="28">
        <v>-517729276</v>
      </c>
      <c r="F9" s="28">
        <v>837500</v>
      </c>
      <c r="G9" s="28">
        <v>2933522221</v>
      </c>
      <c r="H9" s="28">
        <v>3625046848</v>
      </c>
      <c r="I9" s="28">
        <v>-691524627</v>
      </c>
    </row>
    <row r="10" spans="1:9">
      <c r="A10" s="27" t="s">
        <v>134</v>
      </c>
      <c r="B10" s="28">
        <v>0</v>
      </c>
      <c r="C10" s="28">
        <v>-17986365</v>
      </c>
      <c r="D10" s="28">
        <v>-17986365</v>
      </c>
      <c r="E10" s="28">
        <v>0</v>
      </c>
      <c r="F10" s="28">
        <v>0</v>
      </c>
      <c r="G10" s="28">
        <v>-17986365</v>
      </c>
      <c r="H10" s="28">
        <v>0</v>
      </c>
      <c r="I10" s="28">
        <v>-17986365</v>
      </c>
    </row>
    <row r="11" spans="1:9">
      <c r="A11" s="27" t="s">
        <v>148</v>
      </c>
      <c r="B11" s="28">
        <v>0</v>
      </c>
      <c r="C11" s="28">
        <v>67041178</v>
      </c>
      <c r="D11" s="28">
        <v>67041178</v>
      </c>
      <c r="E11" s="28">
        <v>0</v>
      </c>
      <c r="F11" s="28">
        <v>0</v>
      </c>
      <c r="G11" s="28">
        <v>67041178</v>
      </c>
      <c r="H11" s="28">
        <v>0</v>
      </c>
      <c r="I11" s="28">
        <v>67041178</v>
      </c>
    </row>
    <row r="12" spans="1:9">
      <c r="A12" s="27" t="s">
        <v>130</v>
      </c>
      <c r="B12" s="28">
        <v>0</v>
      </c>
      <c r="C12" s="28">
        <v>2362210</v>
      </c>
      <c r="D12" s="28">
        <v>2362210</v>
      </c>
      <c r="E12" s="28">
        <v>0</v>
      </c>
      <c r="F12" s="28">
        <v>0</v>
      </c>
      <c r="G12" s="28">
        <v>2362210</v>
      </c>
      <c r="H12" s="28">
        <v>0</v>
      </c>
      <c r="I12" s="28">
        <v>2362210</v>
      </c>
    </row>
    <row r="13" spans="1:9">
      <c r="A13" s="27" t="s">
        <v>132</v>
      </c>
      <c r="B13" s="28">
        <v>0</v>
      </c>
      <c r="C13" s="28">
        <v>39969700</v>
      </c>
      <c r="D13" s="28">
        <v>39969700</v>
      </c>
      <c r="E13" s="28">
        <v>0</v>
      </c>
      <c r="F13" s="28">
        <v>0</v>
      </c>
      <c r="G13" s="28">
        <v>39969700</v>
      </c>
      <c r="H13" s="28">
        <v>0</v>
      </c>
      <c r="I13" s="28">
        <v>39969700</v>
      </c>
    </row>
    <row r="14" spans="1:9">
      <c r="A14" s="27" t="s">
        <v>139</v>
      </c>
      <c r="B14" s="28">
        <v>0</v>
      </c>
      <c r="C14" s="28">
        <v>-39969700</v>
      </c>
      <c r="D14" s="28">
        <v>-39969700</v>
      </c>
      <c r="E14" s="28">
        <v>0</v>
      </c>
      <c r="F14" s="28">
        <v>0</v>
      </c>
      <c r="G14" s="28">
        <v>-39969700</v>
      </c>
      <c r="H14" s="28">
        <v>0</v>
      </c>
      <c r="I14" s="28">
        <v>-39969700</v>
      </c>
    </row>
    <row r="15" spans="1:9">
      <c r="A15" s="27" t="s">
        <v>170</v>
      </c>
      <c r="B15" s="28">
        <v>0</v>
      </c>
      <c r="C15" s="28">
        <v>-74943188</v>
      </c>
      <c r="D15" s="28">
        <v>-74943188</v>
      </c>
      <c r="E15" s="28">
        <v>0</v>
      </c>
      <c r="F15" s="28">
        <v>0</v>
      </c>
      <c r="G15" s="28">
        <v>-74943188</v>
      </c>
      <c r="H15" s="28">
        <v>-40000000</v>
      </c>
      <c r="I15" s="28">
        <v>-34943188</v>
      </c>
    </row>
    <row r="16" spans="1:9">
      <c r="A16" s="27" t="s">
        <v>150</v>
      </c>
      <c r="B16" s="28">
        <v>0</v>
      </c>
      <c r="C16" s="28">
        <v>49962125</v>
      </c>
      <c r="D16" s="28">
        <v>49962125</v>
      </c>
      <c r="E16" s="28">
        <v>0</v>
      </c>
      <c r="F16" s="28">
        <v>0</v>
      </c>
      <c r="G16" s="28">
        <v>49962125</v>
      </c>
      <c r="H16" s="28">
        <v>0</v>
      </c>
      <c r="I16" s="28">
        <v>49962125</v>
      </c>
    </row>
    <row r="17" spans="1:9">
      <c r="A17" s="27" t="s">
        <v>167</v>
      </c>
      <c r="B17" s="28">
        <v>0</v>
      </c>
      <c r="C17" s="28">
        <v>11219495</v>
      </c>
      <c r="D17" s="28">
        <v>11219495</v>
      </c>
      <c r="E17" s="28">
        <v>0</v>
      </c>
      <c r="F17" s="28">
        <v>0</v>
      </c>
      <c r="G17" s="28">
        <v>11219495</v>
      </c>
      <c r="H17" s="28">
        <v>0</v>
      </c>
      <c r="I17" s="28">
        <v>11219495</v>
      </c>
    </row>
    <row r="18" spans="1:9">
      <c r="A18" s="27" t="s">
        <v>144</v>
      </c>
      <c r="B18" s="28">
        <v>0</v>
      </c>
      <c r="C18" s="28">
        <v>32183602</v>
      </c>
      <c r="D18" s="28">
        <v>32183602</v>
      </c>
      <c r="E18" s="28">
        <v>0</v>
      </c>
      <c r="F18" s="28">
        <v>0</v>
      </c>
      <c r="G18" s="28">
        <v>32183602</v>
      </c>
      <c r="H18" s="28">
        <v>0</v>
      </c>
      <c r="I18" s="28">
        <v>32183602</v>
      </c>
    </row>
    <row r="19" spans="1:9">
      <c r="A19" s="27" t="s">
        <v>159</v>
      </c>
      <c r="B19" s="28">
        <v>0</v>
      </c>
      <c r="C19" s="28">
        <v>126154366</v>
      </c>
      <c r="D19" s="28">
        <v>126154366</v>
      </c>
      <c r="E19" s="28">
        <v>0</v>
      </c>
      <c r="F19" s="28">
        <v>0</v>
      </c>
      <c r="G19" s="28">
        <v>126154366</v>
      </c>
      <c r="H19" s="28">
        <v>0</v>
      </c>
      <c r="I19" s="28">
        <v>126154366</v>
      </c>
    </row>
    <row r="20" spans="1:9">
      <c r="A20" s="27" t="s">
        <v>149</v>
      </c>
      <c r="B20" s="28">
        <v>0</v>
      </c>
      <c r="C20" s="28">
        <v>-68448111</v>
      </c>
      <c r="D20" s="28">
        <v>-68448111</v>
      </c>
      <c r="E20" s="28">
        <v>0</v>
      </c>
      <c r="F20" s="28">
        <v>0</v>
      </c>
      <c r="G20" s="28">
        <v>-68448111</v>
      </c>
      <c r="H20" s="28">
        <v>0</v>
      </c>
      <c r="I20" s="28">
        <v>-68448111</v>
      </c>
    </row>
    <row r="21" spans="1:9">
      <c r="A21" s="27" t="s">
        <v>164</v>
      </c>
      <c r="B21" s="28">
        <v>0</v>
      </c>
      <c r="C21" s="28">
        <v>1598788</v>
      </c>
      <c r="D21" s="28">
        <v>1598788</v>
      </c>
      <c r="E21" s="28">
        <v>0</v>
      </c>
      <c r="F21" s="28">
        <v>0</v>
      </c>
      <c r="G21" s="28">
        <v>1598788</v>
      </c>
      <c r="H21" s="28">
        <v>0</v>
      </c>
      <c r="I21" s="28">
        <v>1598788</v>
      </c>
    </row>
    <row r="22" spans="1:9">
      <c r="A22" s="27" t="s">
        <v>178</v>
      </c>
      <c r="B22" s="28">
        <v>50000</v>
      </c>
      <c r="C22" s="28">
        <v>653504595</v>
      </c>
      <c r="D22" s="28">
        <v>653504595</v>
      </c>
      <c r="E22" s="28">
        <v>0</v>
      </c>
      <c r="F22" s="28">
        <v>50000</v>
      </c>
      <c r="G22" s="28">
        <v>653504595</v>
      </c>
      <c r="H22" s="28">
        <v>659747733</v>
      </c>
      <c r="I22" s="28">
        <v>-6243138</v>
      </c>
    </row>
    <row r="23" spans="1:9">
      <c r="A23" s="27" t="s">
        <v>135</v>
      </c>
      <c r="B23" s="28">
        <v>0</v>
      </c>
      <c r="C23" s="28">
        <v>-81937885</v>
      </c>
      <c r="D23" s="28">
        <v>-81937885</v>
      </c>
      <c r="E23" s="28">
        <v>0</v>
      </c>
      <c r="F23" s="28">
        <v>0</v>
      </c>
      <c r="G23" s="28">
        <v>-81937885</v>
      </c>
      <c r="H23" s="28">
        <v>0</v>
      </c>
      <c r="I23" s="28">
        <v>-81937885</v>
      </c>
    </row>
    <row r="24" spans="1:9">
      <c r="A24" s="27" t="s">
        <v>171</v>
      </c>
      <c r="B24" s="28">
        <v>0</v>
      </c>
      <c r="C24" s="28">
        <v>363724270</v>
      </c>
      <c r="D24" s="28">
        <v>363724270</v>
      </c>
      <c r="E24" s="28">
        <v>0</v>
      </c>
      <c r="F24" s="28">
        <v>0</v>
      </c>
      <c r="G24" s="28">
        <v>363724270</v>
      </c>
      <c r="H24" s="28">
        <v>0</v>
      </c>
      <c r="I24" s="28">
        <v>363724270</v>
      </c>
    </row>
    <row r="25" spans="1:9">
      <c r="A25" s="27" t="s">
        <v>166</v>
      </c>
      <c r="B25" s="28">
        <v>0</v>
      </c>
      <c r="C25" s="28">
        <v>45068175</v>
      </c>
      <c r="D25" s="28">
        <v>45068175</v>
      </c>
      <c r="E25" s="28">
        <v>0</v>
      </c>
      <c r="F25" s="28">
        <v>0</v>
      </c>
      <c r="G25" s="28">
        <v>45068175</v>
      </c>
      <c r="H25" s="28">
        <v>0</v>
      </c>
      <c r="I25" s="28">
        <v>45068175</v>
      </c>
    </row>
    <row r="26" spans="1:9">
      <c r="A26" s="27" t="s">
        <v>161</v>
      </c>
      <c r="B26" s="28">
        <v>0</v>
      </c>
      <c r="C26" s="28">
        <v>29977274</v>
      </c>
      <c r="D26" s="28">
        <v>29977274</v>
      </c>
      <c r="E26" s="28">
        <v>0</v>
      </c>
      <c r="F26" s="28">
        <v>0</v>
      </c>
      <c r="G26" s="28">
        <v>29977274</v>
      </c>
      <c r="H26" s="28">
        <v>0</v>
      </c>
      <c r="I26" s="28">
        <v>29977274</v>
      </c>
    </row>
    <row r="27" spans="1:9">
      <c r="A27" s="27" t="s">
        <v>169</v>
      </c>
      <c r="B27" s="28">
        <v>0</v>
      </c>
      <c r="C27" s="28">
        <v>-49962125</v>
      </c>
      <c r="D27" s="28">
        <v>-49962125</v>
      </c>
      <c r="E27" s="28">
        <v>0</v>
      </c>
      <c r="F27" s="28">
        <v>0</v>
      </c>
      <c r="G27" s="28">
        <v>-49962125</v>
      </c>
      <c r="H27" s="28">
        <v>-40000000</v>
      </c>
      <c r="I27" s="28">
        <v>-9962125</v>
      </c>
    </row>
    <row r="28" spans="1:9">
      <c r="A28" s="27" t="s">
        <v>168</v>
      </c>
      <c r="B28" s="28">
        <v>0</v>
      </c>
      <c r="C28" s="28">
        <v>74940162</v>
      </c>
      <c r="D28" s="28">
        <v>74940162</v>
      </c>
      <c r="E28" s="28">
        <v>0</v>
      </c>
      <c r="F28" s="28">
        <v>0</v>
      </c>
      <c r="G28" s="28">
        <v>74940162</v>
      </c>
      <c r="H28" s="28">
        <v>0</v>
      </c>
      <c r="I28" s="28">
        <v>74940162</v>
      </c>
    </row>
    <row r="29" spans="1:9">
      <c r="A29" s="27" t="s">
        <v>152</v>
      </c>
      <c r="B29" s="28">
        <v>0</v>
      </c>
      <c r="C29" s="28">
        <v>32359469</v>
      </c>
      <c r="D29" s="28">
        <v>32359469</v>
      </c>
      <c r="E29" s="28">
        <v>0</v>
      </c>
      <c r="F29" s="28">
        <v>0</v>
      </c>
      <c r="G29" s="28">
        <v>32359469</v>
      </c>
      <c r="H29" s="28">
        <v>0</v>
      </c>
      <c r="I29" s="28">
        <v>32359469</v>
      </c>
    </row>
    <row r="30" spans="1:9">
      <c r="A30" s="27" t="s">
        <v>151</v>
      </c>
      <c r="B30" s="28">
        <v>0</v>
      </c>
      <c r="C30" s="28">
        <v>4996212</v>
      </c>
      <c r="D30" s="28">
        <v>4996212</v>
      </c>
      <c r="E30" s="28">
        <v>0</v>
      </c>
      <c r="F30" s="28">
        <v>0</v>
      </c>
      <c r="G30" s="28">
        <v>4996212</v>
      </c>
      <c r="H30" s="28">
        <v>0</v>
      </c>
      <c r="I30" s="28">
        <v>4996212</v>
      </c>
    </row>
    <row r="31" spans="1:9">
      <c r="A31" s="27" t="s">
        <v>145</v>
      </c>
      <c r="B31" s="28">
        <v>0</v>
      </c>
      <c r="C31" s="28">
        <v>13639660</v>
      </c>
      <c r="D31" s="28">
        <v>13639660</v>
      </c>
      <c r="E31" s="28">
        <v>0</v>
      </c>
      <c r="F31" s="28">
        <v>0</v>
      </c>
      <c r="G31" s="28">
        <v>13639660</v>
      </c>
      <c r="H31" s="28">
        <v>0</v>
      </c>
      <c r="I31" s="28">
        <v>13639660</v>
      </c>
    </row>
    <row r="32" spans="1:9">
      <c r="A32" s="27" t="s">
        <v>147</v>
      </c>
      <c r="B32" s="28">
        <v>0</v>
      </c>
      <c r="C32" s="28">
        <v>-65017255</v>
      </c>
      <c r="D32" s="28">
        <v>-65017255</v>
      </c>
      <c r="E32" s="28">
        <v>0</v>
      </c>
      <c r="F32" s="28">
        <v>0</v>
      </c>
      <c r="G32" s="28">
        <v>-65017255</v>
      </c>
      <c r="H32" s="28">
        <v>0</v>
      </c>
      <c r="I32" s="28">
        <v>-65017255</v>
      </c>
    </row>
    <row r="33" spans="1:9">
      <c r="A33" s="27" t="s">
        <v>160</v>
      </c>
      <c r="B33" s="28">
        <v>0</v>
      </c>
      <c r="C33" s="28">
        <v>13989395</v>
      </c>
      <c r="D33" s="28">
        <v>13989395</v>
      </c>
      <c r="E33" s="28">
        <v>0</v>
      </c>
      <c r="F33" s="28">
        <v>0</v>
      </c>
      <c r="G33" s="28">
        <v>13989395</v>
      </c>
      <c r="H33" s="28">
        <v>0</v>
      </c>
      <c r="I33" s="28">
        <v>13989395</v>
      </c>
    </row>
    <row r="34" spans="1:9">
      <c r="A34" s="27" t="s">
        <v>165</v>
      </c>
      <c r="B34" s="28">
        <v>0</v>
      </c>
      <c r="C34" s="28">
        <v>-74943188</v>
      </c>
      <c r="D34" s="28">
        <v>-74943188</v>
      </c>
      <c r="E34" s="28">
        <v>0</v>
      </c>
      <c r="F34" s="28">
        <v>0</v>
      </c>
      <c r="G34" s="28">
        <v>-74943188</v>
      </c>
      <c r="H34" s="28">
        <v>-120000000</v>
      </c>
      <c r="I34" s="28">
        <v>45056812</v>
      </c>
    </row>
    <row r="35" spans="1:9">
      <c r="A35" s="27" t="s">
        <v>162</v>
      </c>
      <c r="B35" s="28">
        <v>0</v>
      </c>
      <c r="C35" s="28">
        <v>29977275</v>
      </c>
      <c r="D35" s="28">
        <v>29977275</v>
      </c>
      <c r="E35" s="28">
        <v>0</v>
      </c>
      <c r="F35" s="28">
        <v>0</v>
      </c>
      <c r="G35" s="28">
        <v>29977275</v>
      </c>
      <c r="H35" s="28">
        <v>0</v>
      </c>
      <c r="I35" s="28">
        <v>29977275</v>
      </c>
    </row>
    <row r="36" spans="1:9">
      <c r="A36" s="27" t="s">
        <v>163</v>
      </c>
      <c r="B36" s="28">
        <v>0</v>
      </c>
      <c r="C36" s="28">
        <v>139893</v>
      </c>
      <c r="D36" s="28">
        <v>139893</v>
      </c>
      <c r="E36" s="28">
        <v>0</v>
      </c>
      <c r="F36" s="28">
        <v>0</v>
      </c>
      <c r="G36" s="28">
        <v>139893</v>
      </c>
      <c r="H36" s="28">
        <v>0</v>
      </c>
      <c r="I36" s="28">
        <v>139893</v>
      </c>
    </row>
    <row r="37" spans="1:9">
      <c r="A37" s="27" t="s">
        <v>179</v>
      </c>
      <c r="B37" s="28">
        <v>9890291</v>
      </c>
      <c r="C37" s="28">
        <v>16879803167</v>
      </c>
      <c r="D37" s="28">
        <v>19863210238</v>
      </c>
      <c r="E37" s="28">
        <v>-2983407071</v>
      </c>
      <c r="F37" s="28">
        <v>9890291</v>
      </c>
      <c r="G37" s="28">
        <v>16879803167</v>
      </c>
      <c r="H37" s="28">
        <v>20583450426</v>
      </c>
      <c r="I37" s="28">
        <v>-3703647259</v>
      </c>
    </row>
    <row r="38" spans="1:9">
      <c r="A38" s="27" t="s">
        <v>81</v>
      </c>
      <c r="B38" s="28">
        <v>43438000</v>
      </c>
      <c r="C38" s="28">
        <v>17370196377</v>
      </c>
      <c r="D38" s="28">
        <v>20473556523</v>
      </c>
      <c r="E38" s="28">
        <v>-3103360146</v>
      </c>
      <c r="F38" s="28">
        <v>43438000</v>
      </c>
      <c r="G38" s="28">
        <v>17370196377</v>
      </c>
      <c r="H38" s="28">
        <v>26809583490</v>
      </c>
      <c r="I38" s="28">
        <v>-9439387113</v>
      </c>
    </row>
    <row r="39" spans="1:9">
      <c r="A39" s="27" t="s">
        <v>90</v>
      </c>
      <c r="B39" s="28">
        <v>57844523</v>
      </c>
      <c r="C39" s="28">
        <v>42588859549</v>
      </c>
      <c r="D39" s="28">
        <v>50093639608</v>
      </c>
      <c r="E39" s="28">
        <v>-7504780059</v>
      </c>
      <c r="F39" s="28">
        <v>57844523</v>
      </c>
      <c r="G39" s="28">
        <v>42588859549</v>
      </c>
      <c r="H39" s="28">
        <v>61042448926</v>
      </c>
      <c r="I39" s="28">
        <v>-18453589377</v>
      </c>
    </row>
    <row r="40" spans="1:9">
      <c r="A40" s="27" t="s">
        <v>180</v>
      </c>
      <c r="B40" s="28">
        <v>5850000</v>
      </c>
      <c r="C40" s="28">
        <v>10106121109</v>
      </c>
      <c r="D40" s="28">
        <v>11893993195</v>
      </c>
      <c r="E40" s="28">
        <v>-1787872086</v>
      </c>
      <c r="F40" s="28">
        <v>5850000</v>
      </c>
      <c r="G40" s="28">
        <v>10106121109</v>
      </c>
      <c r="H40" s="28">
        <v>15511892164</v>
      </c>
      <c r="I40" s="28">
        <v>-5405771055</v>
      </c>
    </row>
    <row r="41" spans="1:9">
      <c r="A41" s="27" t="s">
        <v>106</v>
      </c>
      <c r="B41" s="28">
        <v>20000000</v>
      </c>
      <c r="C41" s="28">
        <v>27644642200</v>
      </c>
      <c r="D41" s="28">
        <v>32526610600</v>
      </c>
      <c r="E41" s="28">
        <v>-4881968400</v>
      </c>
      <c r="F41" s="28">
        <v>20000000</v>
      </c>
      <c r="G41" s="28">
        <v>27644642200</v>
      </c>
      <c r="H41" s="28">
        <v>34512162256</v>
      </c>
      <c r="I41" s="28">
        <v>-6867520056</v>
      </c>
    </row>
    <row r="42" spans="1:9">
      <c r="A42" s="27" t="s">
        <v>82</v>
      </c>
      <c r="B42" s="28">
        <v>350000</v>
      </c>
      <c r="C42" s="28">
        <v>10332011375</v>
      </c>
      <c r="D42" s="28">
        <v>12155307500</v>
      </c>
      <c r="E42" s="28">
        <v>-1823296125</v>
      </c>
      <c r="F42" s="28">
        <v>350000</v>
      </c>
      <c r="G42" s="28">
        <v>10332011375</v>
      </c>
      <c r="H42" s="28">
        <v>13384730030</v>
      </c>
      <c r="I42" s="28">
        <v>-3052718655</v>
      </c>
    </row>
    <row r="43" spans="1:9">
      <c r="A43" s="27" t="s">
        <v>113</v>
      </c>
      <c r="B43" s="28">
        <v>2383333</v>
      </c>
      <c r="C43" s="28">
        <v>19952744286</v>
      </c>
      <c r="D43" s="28">
        <v>25348785362</v>
      </c>
      <c r="E43" s="28">
        <v>-5396041076</v>
      </c>
      <c r="F43" s="28">
        <v>2383333</v>
      </c>
      <c r="G43" s="28">
        <v>19952744286</v>
      </c>
      <c r="H43" s="28">
        <v>25036220312</v>
      </c>
      <c r="I43" s="28">
        <v>-5083476026</v>
      </c>
    </row>
    <row r="44" spans="1:9">
      <c r="A44" s="27" t="s">
        <v>181</v>
      </c>
      <c r="B44" s="28">
        <v>800000</v>
      </c>
      <c r="C44" s="28">
        <v>7086395432</v>
      </c>
      <c r="D44" s="28">
        <v>5215611313</v>
      </c>
      <c r="E44" s="28">
        <v>1870784119</v>
      </c>
      <c r="F44" s="28">
        <v>800000</v>
      </c>
      <c r="G44" s="28">
        <v>7086395432</v>
      </c>
      <c r="H44" s="28">
        <v>5215611313</v>
      </c>
      <c r="I44" s="28">
        <v>1870784119</v>
      </c>
    </row>
    <row r="45" spans="1:9">
      <c r="A45" s="27" t="s">
        <v>157</v>
      </c>
      <c r="B45" s="28">
        <v>3299000</v>
      </c>
      <c r="C45" s="28">
        <v>37785995840</v>
      </c>
      <c r="D45" s="28">
        <v>49364360848</v>
      </c>
      <c r="E45" s="28">
        <v>-11578365008</v>
      </c>
      <c r="F45" s="28">
        <v>3299000</v>
      </c>
      <c r="G45" s="28">
        <v>37785995840</v>
      </c>
      <c r="H45" s="28">
        <v>46483681965</v>
      </c>
      <c r="I45" s="28">
        <v>-8697686125</v>
      </c>
    </row>
    <row r="46" spans="1:9">
      <c r="A46" s="27" t="s">
        <v>87</v>
      </c>
      <c r="B46" s="28">
        <v>1100000</v>
      </c>
      <c r="C46" s="28">
        <v>14566027465</v>
      </c>
      <c r="D46" s="28">
        <v>17136502900</v>
      </c>
      <c r="E46" s="28">
        <v>-2570475435</v>
      </c>
      <c r="F46" s="28">
        <v>1100000</v>
      </c>
      <c r="G46" s="28">
        <v>14566027465</v>
      </c>
      <c r="H46" s="28">
        <v>20640208270</v>
      </c>
      <c r="I46" s="28">
        <v>-6074180805</v>
      </c>
    </row>
    <row r="47" spans="1:9">
      <c r="A47" s="27" t="s">
        <v>100</v>
      </c>
      <c r="B47" s="28">
        <v>9200000</v>
      </c>
      <c r="C47" s="28">
        <v>81475289700</v>
      </c>
      <c r="D47" s="28">
        <v>95853282000</v>
      </c>
      <c r="E47" s="28">
        <v>-14377992300</v>
      </c>
      <c r="F47" s="28">
        <v>9200000</v>
      </c>
      <c r="G47" s="28">
        <v>81475289700</v>
      </c>
      <c r="H47" s="28">
        <v>95214260120</v>
      </c>
      <c r="I47" s="28">
        <v>-13738970420</v>
      </c>
    </row>
    <row r="48" spans="1:9">
      <c r="A48" s="27" t="s">
        <v>138</v>
      </c>
      <c r="B48" s="28">
        <v>600000</v>
      </c>
      <c r="C48" s="28">
        <v>8597622642</v>
      </c>
      <c r="D48" s="28">
        <v>10115200380</v>
      </c>
      <c r="E48" s="28">
        <v>-1517577738</v>
      </c>
      <c r="F48" s="28">
        <v>600000</v>
      </c>
      <c r="G48" s="28">
        <v>8597622642</v>
      </c>
      <c r="H48" s="28">
        <v>12502602000</v>
      </c>
      <c r="I48" s="28">
        <v>-3904979358</v>
      </c>
    </row>
    <row r="49" spans="1:9">
      <c r="A49" s="27" t="s">
        <v>155</v>
      </c>
      <c r="B49" s="28">
        <v>22820100</v>
      </c>
      <c r="C49" s="28">
        <v>50223727991</v>
      </c>
      <c r="D49" s="28">
        <v>59101813962</v>
      </c>
      <c r="E49" s="28">
        <v>-8878085971</v>
      </c>
      <c r="F49" s="28">
        <v>22820100</v>
      </c>
      <c r="G49" s="28">
        <v>50223727991</v>
      </c>
      <c r="H49" s="28">
        <v>69118575261</v>
      </c>
      <c r="I49" s="28">
        <v>-18894847270</v>
      </c>
    </row>
    <row r="50" spans="1:9">
      <c r="A50" s="27" t="s">
        <v>99</v>
      </c>
      <c r="B50" s="28">
        <v>401250</v>
      </c>
      <c r="C50" s="28">
        <v>4269742771</v>
      </c>
      <c r="D50" s="28">
        <v>5023304858</v>
      </c>
      <c r="E50" s="28">
        <v>-753562087</v>
      </c>
      <c r="F50" s="28">
        <v>401250</v>
      </c>
      <c r="G50" s="28">
        <v>4269742771</v>
      </c>
      <c r="H50" s="28">
        <v>3941668541</v>
      </c>
      <c r="I50" s="28">
        <v>328074230</v>
      </c>
    </row>
    <row r="51" spans="1:9">
      <c r="A51" s="27" t="s">
        <v>102</v>
      </c>
      <c r="B51" s="28">
        <v>800000</v>
      </c>
      <c r="C51" s="28">
        <v>10026689896</v>
      </c>
      <c r="D51" s="28">
        <v>11796105760</v>
      </c>
      <c r="E51" s="28">
        <v>-1769415864</v>
      </c>
      <c r="F51" s="28">
        <v>800000</v>
      </c>
      <c r="G51" s="28">
        <v>10026689896</v>
      </c>
      <c r="H51" s="28">
        <v>12680340666</v>
      </c>
      <c r="I51" s="28">
        <v>-2653650770</v>
      </c>
    </row>
    <row r="52" spans="1:9">
      <c r="A52" s="27" t="s">
        <v>212</v>
      </c>
      <c r="B52" s="28"/>
      <c r="C52" s="61">
        <f>SUM(C8:C51)</f>
        <v>370474841936</v>
      </c>
      <c r="D52" s="61">
        <f>SUM(D8:D51)</f>
        <v>439375246811</v>
      </c>
      <c r="E52" s="61">
        <f>SUM(E8:E51)</f>
        <v>-68900404875</v>
      </c>
      <c r="F52" s="28"/>
      <c r="G52" s="61">
        <f>SUM(G8:G51)</f>
        <v>370474841936</v>
      </c>
      <c r="H52" s="61">
        <f>SUM(H8:H51)</f>
        <v>477185935093</v>
      </c>
      <c r="I52" s="61">
        <f>SUM(I8:I51)</f>
        <v>-106711093157</v>
      </c>
    </row>
    <row r="53" spans="1:9">
      <c r="A53" s="27"/>
      <c r="B53" s="28"/>
      <c r="C53" s="63"/>
      <c r="D53" s="63"/>
      <c r="E53" s="63"/>
      <c r="F53" s="28"/>
      <c r="G53" s="63"/>
      <c r="H53" s="63"/>
      <c r="I53" s="63"/>
    </row>
    <row r="54" spans="1:9" ht="20.399999999999999">
      <c r="A54" s="6" t="s">
        <v>72</v>
      </c>
      <c r="B54" s="6"/>
      <c r="C54" s="6"/>
      <c r="D54" s="6"/>
      <c r="E54" s="6"/>
      <c r="F54" s="6"/>
      <c r="G54" s="6"/>
      <c r="H54" s="6"/>
      <c r="I54" s="6"/>
    </row>
    <row r="55" spans="1:9" ht="20.399999999999999">
      <c r="A55" s="6" t="s">
        <v>55</v>
      </c>
      <c r="B55" s="6"/>
      <c r="C55" s="6"/>
      <c r="D55" s="6"/>
      <c r="E55" s="6"/>
      <c r="F55" s="6"/>
      <c r="G55" s="6"/>
      <c r="H55" s="6"/>
      <c r="I55" s="6"/>
    </row>
    <row r="56" spans="1:9" ht="20.399999999999999">
      <c r="A56" s="6" t="s">
        <v>73</v>
      </c>
      <c r="B56" s="6"/>
      <c r="C56" s="6"/>
      <c r="D56" s="6"/>
      <c r="E56" s="6"/>
      <c r="F56" s="6"/>
      <c r="G56" s="6"/>
      <c r="H56" s="6"/>
      <c r="I56" s="6"/>
    </row>
    <row r="57" spans="1:9" ht="20.399999999999999">
      <c r="A57" s="4"/>
      <c r="B57" s="4"/>
      <c r="C57" s="4"/>
      <c r="D57" s="4"/>
      <c r="E57" s="4"/>
      <c r="F57" s="4"/>
      <c r="G57" s="4"/>
      <c r="H57" s="4"/>
      <c r="I57" s="4"/>
    </row>
    <row r="58" spans="1:9" ht="20.399999999999999">
      <c r="A58" s="13" t="s">
        <v>44</v>
      </c>
      <c r="B58" s="13"/>
      <c r="C58" s="13"/>
      <c r="D58" s="13"/>
    </row>
    <row r="59" spans="1:9" ht="16.5" customHeight="1" thickBot="1">
      <c r="B59" s="7" t="s">
        <v>210</v>
      </c>
      <c r="C59" s="7"/>
      <c r="D59" s="7"/>
      <c r="E59" s="7"/>
      <c r="F59" s="7" t="s">
        <v>211</v>
      </c>
      <c r="G59" s="7"/>
      <c r="H59" s="7"/>
      <c r="I59" s="7"/>
    </row>
    <row r="60" spans="1:9" ht="19.2" thickBot="1">
      <c r="A60" s="3" t="s">
        <v>34</v>
      </c>
      <c r="B60" s="1" t="s">
        <v>3</v>
      </c>
      <c r="C60" s="2" t="s">
        <v>13</v>
      </c>
      <c r="D60" s="1" t="s">
        <v>45</v>
      </c>
      <c r="E60" s="2" t="s">
        <v>46</v>
      </c>
      <c r="F60" s="1" t="s">
        <v>3</v>
      </c>
      <c r="G60" s="2" t="s">
        <v>13</v>
      </c>
      <c r="H60" s="1" t="s">
        <v>45</v>
      </c>
      <c r="I60" s="2" t="s">
        <v>46</v>
      </c>
    </row>
    <row r="61" spans="1:9">
      <c r="A61" s="27" t="s">
        <v>213</v>
      </c>
      <c r="B61" s="88"/>
      <c r="C61" s="89">
        <f>C52</f>
        <v>370474841936</v>
      </c>
      <c r="D61" s="89">
        <f>D52</f>
        <v>439375246811</v>
      </c>
      <c r="E61" s="89">
        <f>E52</f>
        <v>-68900404875</v>
      </c>
      <c r="F61" s="88"/>
      <c r="G61" s="89">
        <f>G52</f>
        <v>370474841936</v>
      </c>
      <c r="H61" s="89">
        <f>H52</f>
        <v>477185935093</v>
      </c>
      <c r="I61" s="89">
        <f>I52</f>
        <v>-106711093157</v>
      </c>
    </row>
    <row r="62" spans="1:9">
      <c r="A62" s="27" t="s">
        <v>98</v>
      </c>
      <c r="B62" s="28">
        <v>1256499</v>
      </c>
      <c r="C62" s="28">
        <v>6485782139</v>
      </c>
      <c r="D62" s="28">
        <v>7630331928</v>
      </c>
      <c r="E62" s="28">
        <v>-1144549789</v>
      </c>
      <c r="F62" s="28">
        <v>1256499</v>
      </c>
      <c r="G62" s="28">
        <v>6485782139</v>
      </c>
      <c r="H62" s="28">
        <v>7948211844</v>
      </c>
      <c r="I62" s="28">
        <v>-1462429705</v>
      </c>
    </row>
    <row r="63" spans="1:9">
      <c r="A63" s="27" t="s">
        <v>111</v>
      </c>
      <c r="B63" s="28">
        <v>1200000</v>
      </c>
      <c r="C63" s="28">
        <v>7550380884</v>
      </c>
      <c r="D63" s="28">
        <v>8882801040</v>
      </c>
      <c r="E63" s="28">
        <v>-1332420156</v>
      </c>
      <c r="F63" s="28">
        <v>1200000</v>
      </c>
      <c r="G63" s="28">
        <v>7550380884</v>
      </c>
      <c r="H63" s="28">
        <v>10450623609</v>
      </c>
      <c r="I63" s="28">
        <v>-2900242725</v>
      </c>
    </row>
    <row r="64" spans="1:9">
      <c r="A64" s="27" t="s">
        <v>133</v>
      </c>
      <c r="B64" s="28">
        <v>10200000</v>
      </c>
      <c r="C64" s="28">
        <v>117860838330</v>
      </c>
      <c r="D64" s="28">
        <v>138659809800</v>
      </c>
      <c r="E64" s="28">
        <v>-20798971470</v>
      </c>
      <c r="F64" s="28">
        <v>10200000</v>
      </c>
      <c r="G64" s="28">
        <v>117860838330</v>
      </c>
      <c r="H64" s="28">
        <v>117457169653</v>
      </c>
      <c r="I64" s="28">
        <v>403668677</v>
      </c>
    </row>
    <row r="65" spans="1:9">
      <c r="A65" s="27" t="s">
        <v>182</v>
      </c>
      <c r="B65" s="28">
        <v>11650000</v>
      </c>
      <c r="C65" s="28">
        <v>60423835128</v>
      </c>
      <c r="D65" s="28">
        <v>71093664825</v>
      </c>
      <c r="E65" s="28">
        <v>-10669829697</v>
      </c>
      <c r="F65" s="28">
        <v>11650000</v>
      </c>
      <c r="G65" s="28">
        <v>60423835128</v>
      </c>
      <c r="H65" s="28">
        <v>76799313736</v>
      </c>
      <c r="I65" s="28">
        <v>-16375478608</v>
      </c>
    </row>
    <row r="66" spans="1:9">
      <c r="A66" s="27" t="s">
        <v>143</v>
      </c>
      <c r="B66" s="28">
        <v>5175000</v>
      </c>
      <c r="C66" s="28">
        <v>30291348778</v>
      </c>
      <c r="D66" s="28">
        <v>35636880915</v>
      </c>
      <c r="E66" s="28">
        <v>-5345532137</v>
      </c>
      <c r="F66" s="28">
        <v>5175000</v>
      </c>
      <c r="G66" s="28">
        <v>30291348778</v>
      </c>
      <c r="H66" s="28">
        <v>33701117359</v>
      </c>
      <c r="I66" s="28">
        <v>-3409768581</v>
      </c>
    </row>
    <row r="67" spans="1:9">
      <c r="A67" s="27" t="s">
        <v>136</v>
      </c>
      <c r="B67" s="28">
        <v>200000</v>
      </c>
      <c r="C67" s="28">
        <v>4368964810</v>
      </c>
      <c r="D67" s="28">
        <v>5139958600</v>
      </c>
      <c r="E67" s="28">
        <v>-770993790</v>
      </c>
      <c r="F67" s="28">
        <v>200000</v>
      </c>
      <c r="G67" s="28">
        <v>4368964810</v>
      </c>
      <c r="H67" s="28">
        <v>5268953700</v>
      </c>
      <c r="I67" s="28">
        <v>-899988890</v>
      </c>
    </row>
    <row r="68" spans="1:9">
      <c r="A68" s="27" t="s">
        <v>158</v>
      </c>
      <c r="B68" s="28">
        <v>5684430</v>
      </c>
      <c r="C68" s="28">
        <v>14823206028</v>
      </c>
      <c r="D68" s="28">
        <v>17442122060</v>
      </c>
      <c r="E68" s="28">
        <v>-2618916032</v>
      </c>
      <c r="F68" s="28">
        <v>5684430</v>
      </c>
      <c r="G68" s="28">
        <v>14823206028</v>
      </c>
      <c r="H68" s="28">
        <v>17022391850</v>
      </c>
      <c r="I68" s="28">
        <v>-2199185822</v>
      </c>
    </row>
    <row r="69" spans="1:9">
      <c r="A69" s="27" t="s">
        <v>154</v>
      </c>
      <c r="B69" s="28">
        <v>1450000</v>
      </c>
      <c r="C69" s="28">
        <v>33031775257</v>
      </c>
      <c r="D69" s="28">
        <v>38861758415</v>
      </c>
      <c r="E69" s="28">
        <v>-5829983158</v>
      </c>
      <c r="F69" s="28">
        <v>1450000</v>
      </c>
      <c r="G69" s="28">
        <v>33031775257</v>
      </c>
      <c r="H69" s="28">
        <v>40271774085</v>
      </c>
      <c r="I69" s="28">
        <v>-7239998828</v>
      </c>
    </row>
    <row r="70" spans="1:9">
      <c r="A70" s="27" t="s">
        <v>183</v>
      </c>
      <c r="B70" s="28">
        <v>2000000</v>
      </c>
      <c r="C70" s="28">
        <v>13899718160</v>
      </c>
      <c r="D70" s="28">
        <v>16352609600</v>
      </c>
      <c r="E70" s="28">
        <v>-2452891440</v>
      </c>
      <c r="F70" s="28">
        <v>2000000</v>
      </c>
      <c r="G70" s="28">
        <v>13899718160</v>
      </c>
      <c r="H70" s="28">
        <v>18890189691</v>
      </c>
      <c r="I70" s="28">
        <v>-4990471531</v>
      </c>
    </row>
    <row r="71" spans="1:9">
      <c r="A71" s="27" t="s">
        <v>97</v>
      </c>
      <c r="B71" s="28">
        <v>454</v>
      </c>
      <c r="C71" s="28">
        <v>23740854</v>
      </c>
      <c r="D71" s="28">
        <v>23740854</v>
      </c>
      <c r="E71" s="28">
        <v>0</v>
      </c>
      <c r="F71" s="28">
        <v>454</v>
      </c>
      <c r="G71" s="28">
        <v>23740854</v>
      </c>
      <c r="H71" s="28">
        <v>19762080</v>
      </c>
      <c r="I71" s="28">
        <v>3978774</v>
      </c>
    </row>
    <row r="72" spans="1:9">
      <c r="A72" s="27" t="s">
        <v>86</v>
      </c>
      <c r="B72" s="28">
        <v>200000</v>
      </c>
      <c r="C72" s="28">
        <v>7388442420</v>
      </c>
      <c r="D72" s="28">
        <v>8692285200</v>
      </c>
      <c r="E72" s="28">
        <v>-1303842780</v>
      </c>
      <c r="F72" s="28">
        <v>200000</v>
      </c>
      <c r="G72" s="28">
        <v>7388442420</v>
      </c>
      <c r="H72" s="28">
        <v>12095771300</v>
      </c>
      <c r="I72" s="28">
        <v>-4707328880</v>
      </c>
    </row>
    <row r="73" spans="1:9">
      <c r="A73" s="27" t="s">
        <v>91</v>
      </c>
      <c r="B73" s="28">
        <v>750000</v>
      </c>
      <c r="C73" s="28">
        <v>38415733050</v>
      </c>
      <c r="D73" s="28">
        <v>45195417825</v>
      </c>
      <c r="E73" s="28">
        <v>-6779684775</v>
      </c>
      <c r="F73" s="28">
        <v>750000</v>
      </c>
      <c r="G73" s="28">
        <v>38415733050</v>
      </c>
      <c r="H73" s="28">
        <v>35245501211</v>
      </c>
      <c r="I73" s="28">
        <v>3170231839</v>
      </c>
    </row>
    <row r="74" spans="1:9">
      <c r="A74" s="27" t="s">
        <v>112</v>
      </c>
      <c r="B74" s="28">
        <v>450000</v>
      </c>
      <c r="C74" s="28">
        <v>17307173340</v>
      </c>
      <c r="D74" s="28">
        <v>20361380400</v>
      </c>
      <c r="E74" s="28">
        <v>-3054207060</v>
      </c>
      <c r="F74" s="28">
        <v>450000</v>
      </c>
      <c r="G74" s="28">
        <v>17307173340</v>
      </c>
      <c r="H74" s="28">
        <v>22924413809</v>
      </c>
      <c r="I74" s="28">
        <v>-5617240469</v>
      </c>
    </row>
    <row r="75" spans="1:9">
      <c r="A75" s="27" t="s">
        <v>105</v>
      </c>
      <c r="B75" s="28">
        <v>3000000</v>
      </c>
      <c r="C75" s="28">
        <v>6932990490</v>
      </c>
      <c r="D75" s="28">
        <v>8156459400</v>
      </c>
      <c r="E75" s="28">
        <v>-1223468910</v>
      </c>
      <c r="F75" s="28">
        <v>3000000</v>
      </c>
      <c r="G75" s="28">
        <v>6932990490</v>
      </c>
      <c r="H75" s="28">
        <v>9552583290</v>
      </c>
      <c r="I75" s="28">
        <v>-2619592800</v>
      </c>
    </row>
    <row r="76" spans="1:9">
      <c r="A76" s="27" t="s">
        <v>184</v>
      </c>
      <c r="B76" s="28">
        <v>4671455</v>
      </c>
      <c r="C76" s="28">
        <v>51345712720</v>
      </c>
      <c r="D76" s="28">
        <v>60407809968</v>
      </c>
      <c r="E76" s="28">
        <v>-9062097248</v>
      </c>
      <c r="F76" s="28">
        <v>4671455</v>
      </c>
      <c r="G76" s="28">
        <v>51345712720</v>
      </c>
      <c r="H76" s="28">
        <v>47041933068</v>
      </c>
      <c r="I76" s="28">
        <v>4303779652</v>
      </c>
    </row>
    <row r="77" spans="1:9">
      <c r="A77" s="27" t="s">
        <v>142</v>
      </c>
      <c r="B77" s="28">
        <v>1200000</v>
      </c>
      <c r="C77" s="28">
        <v>19199233776</v>
      </c>
      <c r="D77" s="28">
        <v>22588034280</v>
      </c>
      <c r="E77" s="28">
        <v>-3388800504</v>
      </c>
      <c r="F77" s="28">
        <v>1200000</v>
      </c>
      <c r="G77" s="28">
        <v>19199233776</v>
      </c>
      <c r="H77" s="28">
        <v>26820179544</v>
      </c>
      <c r="I77" s="28">
        <v>-7620945768</v>
      </c>
    </row>
    <row r="78" spans="1:9">
      <c r="A78" s="27" t="s">
        <v>107</v>
      </c>
      <c r="B78" s="28">
        <v>350000</v>
      </c>
      <c r="C78" s="28">
        <v>31114114255</v>
      </c>
      <c r="D78" s="28">
        <v>36604840300</v>
      </c>
      <c r="E78" s="28">
        <v>-5490726045</v>
      </c>
      <c r="F78" s="28">
        <v>350000</v>
      </c>
      <c r="G78" s="28">
        <v>31114114255</v>
      </c>
      <c r="H78" s="28">
        <v>34764179450</v>
      </c>
      <c r="I78" s="28">
        <v>-3650065195</v>
      </c>
    </row>
    <row r="79" spans="1:9">
      <c r="A79" s="27" t="s">
        <v>185</v>
      </c>
      <c r="B79" s="28">
        <v>5802960</v>
      </c>
      <c r="C79" s="28">
        <v>12161113788</v>
      </c>
      <c r="D79" s="28">
        <v>14308886251</v>
      </c>
      <c r="E79" s="28">
        <v>-2147772463</v>
      </c>
      <c r="F79" s="28">
        <v>5802960</v>
      </c>
      <c r="G79" s="28">
        <v>12161113788</v>
      </c>
      <c r="H79" s="28">
        <v>17746473813</v>
      </c>
      <c r="I79" s="28">
        <v>-5585360025</v>
      </c>
    </row>
    <row r="80" spans="1:9" ht="19.2" thickBot="1">
      <c r="A80" s="27" t="s">
        <v>2</v>
      </c>
      <c r="B80" s="28"/>
      <c r="C80" s="33">
        <f>SUM(C61:C79)</f>
        <v>843098946143</v>
      </c>
      <c r="D80" s="33">
        <f>SUM(D61:D79)</f>
        <v>995414038472</v>
      </c>
      <c r="E80" s="33">
        <f>SUM(E61:E79)</f>
        <v>-152315092329</v>
      </c>
      <c r="F80" s="28"/>
      <c r="G80" s="33">
        <f>SUM(G61:G79)</f>
        <v>843098946143</v>
      </c>
      <c r="H80" s="33">
        <f>SUM(H61:H79)</f>
        <v>1011206478185</v>
      </c>
      <c r="I80" s="33">
        <f>SUM(I61:I79)</f>
        <v>-168107532042</v>
      </c>
    </row>
    <row r="81" ht="19.2" thickTop="1"/>
  </sheetData>
  <mergeCells count="12">
    <mergeCell ref="A54:I54"/>
    <mergeCell ref="A55:I55"/>
    <mergeCell ref="A56:I56"/>
    <mergeCell ref="A58:D58"/>
    <mergeCell ref="B59:E59"/>
    <mergeCell ref="F59:I59"/>
    <mergeCell ref="B6:E6"/>
    <mergeCell ref="F6:I6"/>
    <mergeCell ref="A5:D5"/>
    <mergeCell ref="A1:I1"/>
    <mergeCell ref="A2:I2"/>
    <mergeCell ref="A3:I3"/>
  </mergeCells>
  <pageMargins left="0.7" right="0.7" top="0.75" bottom="0.75" header="0.3" footer="0.3"/>
  <pageSetup scale="50" orientation="landscape" r:id="rId1"/>
  <rowBreaks count="1" manualBreakCount="1">
    <brk id="53" max="8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14</vt:i4>
      </vt:variant>
    </vt:vector>
  </HeadingPairs>
  <TitlesOfParts>
    <vt:vector size="28" baseType="lpstr">
      <vt:lpstr>سربرگ</vt:lpstr>
      <vt:lpstr> سهام</vt:lpstr>
      <vt:lpstr>اوراق مشتقه</vt:lpstr>
      <vt:lpstr>تعدیل قیمت</vt:lpstr>
      <vt:lpstr>سپرده</vt:lpstr>
      <vt:lpstr>درآمدها</vt:lpstr>
      <vt:lpstr>درآمد سرمایه گذاری در سهام </vt:lpstr>
      <vt:lpstr>درآمد سپرده بانکی</vt:lpstr>
      <vt:lpstr>درآمد سرمایه گذاری مشتقه </vt:lpstr>
      <vt:lpstr>سایر درآمدها</vt:lpstr>
      <vt:lpstr>درآمد سود سهام</vt:lpstr>
      <vt:lpstr>سود  سپرده بانکی</vt:lpstr>
      <vt:lpstr>درآمد ناشی ازفروش</vt:lpstr>
      <vt:lpstr>درآمد ناشی از تغییر قیمت اوراق </vt:lpstr>
      <vt:lpstr>' سهام'!Print_Area</vt:lpstr>
      <vt:lpstr>'اوراق مشتقه'!Print_Area</vt:lpstr>
      <vt:lpstr>'تعدیل قیمت'!Print_Area</vt:lpstr>
      <vt:lpstr>'درآمد سپرده بانکی'!Print_Area</vt:lpstr>
      <vt:lpstr>'درآمد سرمایه گذاری در سهام '!Print_Area</vt:lpstr>
      <vt:lpstr>'درآمد سرمایه گذاری مشتقه '!Print_Area</vt:lpstr>
      <vt:lpstr>'درآمد سود سهام'!Print_Area</vt:lpstr>
      <vt:lpstr>'درآمد ناشی از تغییر قیمت اوراق '!Print_Area</vt:lpstr>
      <vt:lpstr>'درآمد ناشی ازفروش'!Print_Area</vt:lpstr>
      <vt:lpstr>درآمدها!Print_Area</vt:lpstr>
      <vt:lpstr>'سایر درآمدها'!Print_Area</vt:lpstr>
      <vt:lpstr>سپرده!Print_Area</vt:lpstr>
      <vt:lpstr>سربرگ!Print_Area</vt:lpstr>
      <vt:lpstr>'سود  سپرده بانکی'!Print_Area</vt:lpstr>
    </vt:vector>
  </TitlesOfParts>
  <Company>15KHODAEI-A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Akbar Iranshahi</dc:creator>
  <cp:lastModifiedBy>Arash Ranjbar</cp:lastModifiedBy>
  <cp:lastPrinted>2026-04-30T15:47:02Z</cp:lastPrinted>
  <dcterms:created xsi:type="dcterms:W3CDTF">2017-11-22T14:26:20Z</dcterms:created>
  <dcterms:modified xsi:type="dcterms:W3CDTF">2026-04-30T16:11:12Z</dcterms:modified>
</cp:coreProperties>
</file>