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4E0413F5-EA4A-47A8-9302-6FC3EE93E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" sheetId="20" r:id="rId1"/>
    <sheet name="1" sheetId="21" r:id="rId2"/>
    <sheet name="2" sheetId="22" r:id="rId3"/>
    <sheet name="3" sheetId="23" r:id="rId4"/>
    <sheet name="4" sheetId="24" r:id="rId5"/>
    <sheet name="5" sheetId="25" r:id="rId6"/>
    <sheet name="6" sheetId="26" r:id="rId7"/>
    <sheet name="7" sheetId="27" r:id="rId8"/>
    <sheet name="8" sheetId="28" r:id="rId9"/>
    <sheet name="9" sheetId="29" r:id="rId10"/>
    <sheet name="10" sheetId="30" r:id="rId11"/>
    <sheet name="11" sheetId="31" r:id="rId12"/>
  </sheets>
  <definedNames>
    <definedName name="_xlnm.Print_Area" localSheetId="0">'0'!$A$1:$J$29</definedName>
    <definedName name="_xlnm.Print_Area" localSheetId="1">'1'!$A$1:$W$49</definedName>
    <definedName name="_xlnm.Print_Area" localSheetId="2">'2'!$A$1:$Q$13</definedName>
    <definedName name="_xlnm.Print_Area" localSheetId="3">'3'!$A$1:$I$13</definedName>
    <definedName name="_xlnm.Print_Area" localSheetId="4">'4'!$A$1:$U$85</definedName>
    <definedName name="_xlnm.Print_Area" localSheetId="5">'5'!$A$1:$Q$123</definedName>
    <definedName name="_xlnm.Print_Area" localSheetId="9">'9'!$A$1:$Q$12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6" i="31" l="1"/>
  <c r="G136" i="31"/>
  <c r="I136" i="31"/>
  <c r="M136" i="31"/>
  <c r="O136" i="31"/>
  <c r="Q136" i="31"/>
  <c r="E192" i="30"/>
  <c r="G192" i="30"/>
  <c r="I192" i="30"/>
  <c r="M192" i="30"/>
  <c r="O192" i="30"/>
  <c r="Q192" i="30"/>
  <c r="G11" i="29"/>
  <c r="I11" i="29"/>
  <c r="K11" i="29"/>
  <c r="M11" i="29"/>
  <c r="O11" i="29"/>
  <c r="Q11" i="29"/>
  <c r="I50" i="28"/>
  <c r="K50" i="28"/>
  <c r="M50" i="28"/>
  <c r="O50" i="28"/>
  <c r="Q50" i="28"/>
  <c r="S50" i="28"/>
  <c r="E11" i="23"/>
  <c r="E10" i="23"/>
  <c r="E9" i="23"/>
  <c r="E8" i="23"/>
  <c r="C11" i="27"/>
  <c r="E11" i="27"/>
  <c r="K10" i="26"/>
  <c r="K9" i="26"/>
  <c r="G10" i="26"/>
  <c r="G9" i="26"/>
  <c r="E11" i="26"/>
  <c r="I11" i="26"/>
  <c r="C122" i="25"/>
  <c r="O18" i="25"/>
  <c r="O19" i="25"/>
  <c r="O74" i="25"/>
  <c r="O39" i="25"/>
  <c r="Q122" i="25"/>
  <c r="M122" i="25"/>
  <c r="K122" i="25"/>
  <c r="I122" i="25"/>
  <c r="E122" i="25"/>
  <c r="O121" i="25"/>
  <c r="G121" i="25"/>
  <c r="O120" i="25"/>
  <c r="G120" i="25"/>
  <c r="O119" i="25"/>
  <c r="G119" i="25"/>
  <c r="O118" i="25"/>
  <c r="G118" i="25"/>
  <c r="O117" i="25"/>
  <c r="G117" i="25"/>
  <c r="O116" i="25"/>
  <c r="G116" i="25"/>
  <c r="O115" i="25"/>
  <c r="G115" i="25"/>
  <c r="O114" i="25"/>
  <c r="G114" i="25"/>
  <c r="O113" i="25"/>
  <c r="G113" i="25"/>
  <c r="O112" i="25"/>
  <c r="G112" i="25"/>
  <c r="O111" i="25"/>
  <c r="G111" i="25"/>
  <c r="O110" i="25"/>
  <c r="G110" i="25"/>
  <c r="O109" i="25"/>
  <c r="G109" i="25"/>
  <c r="O108" i="25"/>
  <c r="G108" i="25"/>
  <c r="O107" i="25"/>
  <c r="G107" i="25"/>
  <c r="O106" i="25"/>
  <c r="G106" i="25"/>
  <c r="O105" i="25"/>
  <c r="G105" i="25"/>
  <c r="O104" i="25"/>
  <c r="G104" i="25"/>
  <c r="O103" i="25"/>
  <c r="G103" i="25"/>
  <c r="O102" i="25"/>
  <c r="G102" i="25"/>
  <c r="O101" i="25"/>
  <c r="G101" i="25"/>
  <c r="O100" i="25"/>
  <c r="G100" i="25"/>
  <c r="O99" i="25"/>
  <c r="G99" i="25"/>
  <c r="O98" i="25"/>
  <c r="G98" i="25"/>
  <c r="O97" i="25"/>
  <c r="G97" i="25"/>
  <c r="O96" i="25"/>
  <c r="G96" i="25"/>
  <c r="O95" i="25"/>
  <c r="G95" i="25"/>
  <c r="O94" i="25"/>
  <c r="G94" i="25"/>
  <c r="O93" i="25"/>
  <c r="G93" i="25"/>
  <c r="O92" i="25"/>
  <c r="G92" i="25"/>
  <c r="O91" i="25"/>
  <c r="G91" i="25"/>
  <c r="O90" i="25"/>
  <c r="G90" i="25"/>
  <c r="O89" i="25"/>
  <c r="G89" i="25"/>
  <c r="O88" i="25"/>
  <c r="G88" i="25"/>
  <c r="O87" i="25"/>
  <c r="G87" i="25"/>
  <c r="O86" i="25"/>
  <c r="G86" i="25"/>
  <c r="O85" i="25"/>
  <c r="G85" i="25"/>
  <c r="O84" i="25"/>
  <c r="G84" i="25"/>
  <c r="O83" i="25"/>
  <c r="G83" i="25"/>
  <c r="O82" i="25"/>
  <c r="G82" i="25"/>
  <c r="O81" i="25"/>
  <c r="G81" i="25"/>
  <c r="O80" i="25"/>
  <c r="G80" i="25"/>
  <c r="O79" i="25"/>
  <c r="G79" i="25"/>
  <c r="O78" i="25"/>
  <c r="G78" i="25"/>
  <c r="O77" i="25"/>
  <c r="G77" i="25"/>
  <c r="O76" i="25"/>
  <c r="G76" i="25"/>
  <c r="O75" i="25"/>
  <c r="G75" i="25"/>
  <c r="O73" i="25"/>
  <c r="G73" i="25"/>
  <c r="O72" i="25"/>
  <c r="G72" i="25"/>
  <c r="O71" i="25"/>
  <c r="G71" i="25"/>
  <c r="O70" i="25"/>
  <c r="G70" i="25"/>
  <c r="O69" i="25"/>
  <c r="G69" i="25"/>
  <c r="O68" i="25"/>
  <c r="G68" i="25"/>
  <c r="O67" i="25"/>
  <c r="G67" i="25"/>
  <c r="O66" i="25"/>
  <c r="G66" i="25"/>
  <c r="O65" i="25"/>
  <c r="G65" i="25"/>
  <c r="O64" i="25"/>
  <c r="G64" i="25"/>
  <c r="O63" i="25"/>
  <c r="G63" i="25"/>
  <c r="O62" i="25"/>
  <c r="G62" i="25"/>
  <c r="O61" i="25"/>
  <c r="O60" i="25"/>
  <c r="G60" i="25"/>
  <c r="O59" i="25"/>
  <c r="G59" i="25"/>
  <c r="O58" i="25"/>
  <c r="G58" i="25"/>
  <c r="O57" i="25"/>
  <c r="G57" i="25"/>
  <c r="O56" i="25"/>
  <c r="G56" i="25"/>
  <c r="O55" i="25"/>
  <c r="G55" i="25"/>
  <c r="O54" i="25"/>
  <c r="G54" i="25"/>
  <c r="O53" i="25"/>
  <c r="G53" i="25"/>
  <c r="O52" i="25"/>
  <c r="G52" i="25"/>
  <c r="O51" i="25"/>
  <c r="G51" i="25"/>
  <c r="O50" i="25"/>
  <c r="G50" i="25"/>
  <c r="O49" i="25"/>
  <c r="G49" i="25"/>
  <c r="O48" i="25"/>
  <c r="G48" i="25"/>
  <c r="O47" i="25"/>
  <c r="G47" i="25"/>
  <c r="O46" i="25"/>
  <c r="G46" i="25"/>
  <c r="O45" i="25"/>
  <c r="G45" i="25"/>
  <c r="O44" i="25"/>
  <c r="G44" i="25"/>
  <c r="O43" i="25"/>
  <c r="G43" i="25"/>
  <c r="O42" i="25"/>
  <c r="G42" i="25"/>
  <c r="O41" i="25"/>
  <c r="G41" i="25"/>
  <c r="O40" i="25"/>
  <c r="G40" i="25"/>
  <c r="O38" i="25"/>
  <c r="G38" i="25"/>
  <c r="O37" i="25"/>
  <c r="G37" i="25"/>
  <c r="O36" i="25"/>
  <c r="G36" i="25"/>
  <c r="O35" i="25"/>
  <c r="G35" i="25"/>
  <c r="O34" i="25"/>
  <c r="G34" i="25"/>
  <c r="O33" i="25"/>
  <c r="G33" i="25"/>
  <c r="O32" i="25"/>
  <c r="G32" i="25"/>
  <c r="O31" i="25"/>
  <c r="G31" i="25"/>
  <c r="O30" i="25"/>
  <c r="G30" i="25"/>
  <c r="O29" i="25"/>
  <c r="G29" i="25"/>
  <c r="O28" i="25"/>
  <c r="G28" i="25"/>
  <c r="O27" i="25"/>
  <c r="G27" i="25"/>
  <c r="O26" i="25"/>
  <c r="G26" i="25"/>
  <c r="O25" i="25"/>
  <c r="G25" i="25"/>
  <c r="O24" i="25"/>
  <c r="G24" i="25"/>
  <c r="O23" i="25"/>
  <c r="G23" i="25"/>
  <c r="O22" i="25"/>
  <c r="G22" i="25"/>
  <c r="O21" i="25"/>
  <c r="G21" i="25"/>
  <c r="O20" i="25"/>
  <c r="G20" i="25"/>
  <c r="G19" i="25"/>
  <c r="O17" i="25"/>
  <c r="G17" i="25"/>
  <c r="O16" i="25"/>
  <c r="G16" i="25"/>
  <c r="O15" i="25"/>
  <c r="G15" i="25"/>
  <c r="O14" i="25"/>
  <c r="G14" i="25"/>
  <c r="O13" i="25"/>
  <c r="G13" i="25"/>
  <c r="O12" i="25"/>
  <c r="G12" i="25"/>
  <c r="O11" i="25"/>
  <c r="G11" i="25"/>
  <c r="O10" i="25"/>
  <c r="G10" i="25"/>
  <c r="O9" i="25"/>
  <c r="G9" i="25"/>
  <c r="K11" i="26" l="1"/>
  <c r="G11" i="26"/>
  <c r="G61" i="25"/>
  <c r="G122" i="25" s="1"/>
  <c r="O122" i="25"/>
  <c r="C84" i="24"/>
  <c r="E84" i="24"/>
  <c r="G84" i="24"/>
  <c r="I84" i="24"/>
  <c r="K84" i="24"/>
  <c r="M84" i="24"/>
  <c r="O84" i="24"/>
  <c r="Q84" i="24"/>
  <c r="S84" i="24"/>
  <c r="U84" i="24"/>
  <c r="E12" i="23"/>
  <c r="G9" i="23" s="1"/>
  <c r="I12" i="22"/>
  <c r="K12" i="22"/>
  <c r="M12" i="22"/>
  <c r="O12" i="22"/>
  <c r="Q12" i="22"/>
  <c r="E48" i="21"/>
  <c r="G48" i="21"/>
  <c r="J48" i="21"/>
  <c r="M48" i="21"/>
  <c r="S48" i="21"/>
  <c r="U48" i="21"/>
  <c r="W48" i="21"/>
  <c r="G11" i="23" l="1"/>
  <c r="G8" i="23"/>
  <c r="G10" i="23"/>
  <c r="G12" i="23"/>
  <c r="I12" i="23"/>
</calcChain>
</file>

<file path=xl/sharedStrings.xml><?xml version="1.0" encoding="utf-8"?>
<sst xmlns="http://schemas.openxmlformats.org/spreadsheetml/2006/main" count="836" uniqueCount="348">
  <si>
    <t>‫صورت وضعیت پورتفوی</t>
  </si>
  <si>
    <t>‫برای ماه منتهی به 1404/06/31</t>
  </si>
  <si>
    <t>‫1404/05/31</t>
  </si>
  <si>
    <t>‫1404/06/31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</si>
  <si>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</si>
  <si>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</si>
  <si>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</si>
  <si>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</si>
  <si>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</si>
  <si>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</si>
  <si>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</si>
  <si>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</si>
  <si>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</si>
  <si>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</si>
  <si>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</si>
  <si>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</si>
  <si>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</si>
  <si>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‫مبلغ</t>
  </si>
  <si>
    <t>‫افزایش</t>
  </si>
  <si>
    <t>‫کاهش</t>
  </si>
  <si>
    <t>‫کوتاه مدت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</si>
  <si>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</si>
  <si>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</si>
  <si>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</si>
  <si>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</si>
  <si>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</si>
  <si>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</si>
  <si>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</si>
  <si>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</si>
  <si>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</si>
  <si>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</si>
  <si>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</si>
  <si>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</si>
  <si>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</si>
  <si>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</si>
  <si>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‫1404/06/01</t>
  </si>
  <si>
    <t>‫سود(زیان) حاصل از فروش اوراق بهادار</t>
  </si>
  <si>
    <t>‫ارزش دفتری</t>
  </si>
  <si>
    <t>‫سود و زیان ناشی از فروش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</si>
  <si>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</si>
  <si>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</si>
  <si>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</si>
  <si>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</si>
  <si>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</si>
  <si>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</si>
  <si>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</si>
  <si>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</si>
  <si>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</si>
  <si>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</si>
  <si>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</si>
  <si>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</si>
  <si>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</si>
  <si>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</si>
  <si>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</si>
  <si>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</si>
  <si>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‫تغییرات طی شهریور ماه</t>
  </si>
  <si>
    <t>‫خرید طی شهریور ماه</t>
  </si>
  <si>
    <t>‫فروش طی شهریور ماه</t>
  </si>
  <si>
    <t>‫1-2- سرمایه گذاری در سپرده بانکی</t>
  </si>
  <si>
    <t>طی شهریور ماه</t>
  </si>
  <si>
    <t>از ابتدای سال مالی تا پایان شهریور ماه</t>
  </si>
  <si>
    <t>‫درصد سود به کل سود سپرده</t>
  </si>
  <si>
    <t>تعدیل کارمزد کارگزاری</t>
  </si>
  <si>
    <t>2-1</t>
  </si>
  <si>
    <t>2-2</t>
  </si>
  <si>
    <t>2-3</t>
  </si>
  <si>
    <t>صندوق ‫سرمایه گذاری قابل معامله شاخصی بازار آشنا</t>
  </si>
  <si>
    <t>‫گل گهر</t>
  </si>
  <si>
    <t>‫چادرملو</t>
  </si>
  <si>
    <t>‫پويا زركان آق دره</t>
  </si>
  <si>
    <t>‫پويا</t>
  </si>
  <si>
    <t>‫پست بانك ايران</t>
  </si>
  <si>
    <t>‫پخش هجرت</t>
  </si>
  <si>
    <t>‫پتروشیمی تامین</t>
  </si>
  <si>
    <t>‫پتروشيمی پردیس</t>
  </si>
  <si>
    <t>‫پتروشيمي پارس</t>
  </si>
  <si>
    <t>‫پتروشيمي نوري</t>
  </si>
  <si>
    <t>‫پتروشيمي شيراز</t>
  </si>
  <si>
    <t>‫پتروشيمي جم</t>
  </si>
  <si>
    <t>‫پارس مينو</t>
  </si>
  <si>
    <t>‫نفت و گاز پارسیان</t>
  </si>
  <si>
    <t>‫نفت تهران</t>
  </si>
  <si>
    <t>‫نفت تبريز</t>
  </si>
  <si>
    <t>‫نفت بندر عباس</t>
  </si>
  <si>
    <t>‫نفت اصفهان</t>
  </si>
  <si>
    <t>‫مپنا</t>
  </si>
  <si>
    <t>‫ملي مس</t>
  </si>
  <si>
    <t>‫معدنكاران نسوز</t>
  </si>
  <si>
    <t>‫فولاد مباركه</t>
  </si>
  <si>
    <t>‫صندوق بازنشستگي</t>
  </si>
  <si>
    <t>‫صنايع پتروشيمي خليج فارس</t>
  </si>
  <si>
    <t>‫صنايع غذايي رضوي</t>
  </si>
  <si>
    <t>‫سيمان تهران</t>
  </si>
  <si>
    <t>‫سرمايه گذاري پايا تدبيرپارسا</t>
  </si>
  <si>
    <t>‫سرمايه گذاري مهر</t>
  </si>
  <si>
    <t>‫سرمايه گذاري غدير</t>
  </si>
  <si>
    <t>‫سرمايه گذاري صدرتامين</t>
  </si>
  <si>
    <t>‫سرمايه گذاري دارويي تامين</t>
  </si>
  <si>
    <t>‫سرمايه گذاري تامين اجتماعي</t>
  </si>
  <si>
    <t>‫ذوب آهن  اصفهان</t>
  </si>
  <si>
    <t>‫توسعه‌معادن‌وفلزات‌</t>
  </si>
  <si>
    <t>‫بانك ملت</t>
  </si>
  <si>
    <t>‫ايران خودرو</t>
  </si>
  <si>
    <t>‫اقتصاد نوين</t>
  </si>
  <si>
    <t>‫قیمت بازار هر سهم</t>
  </si>
  <si>
    <t>‫شرکت</t>
  </si>
  <si>
    <t>‫1-1- سرمایه گذاری در سهام و حق تقدم سهام</t>
  </si>
  <si>
    <t>‫1- سرمایه گذاری ها</t>
  </si>
  <si>
    <t>‫سرمایه گذاری قابل معامله شاخصی بازار آشنا</t>
  </si>
  <si>
    <t>‫1403/05/03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</si>
  <si>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</si>
  <si>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</si>
  <si>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</si>
  <si>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</si>
  <si>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</si>
  <si>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</si>
  <si>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‫درآمد حاصل از سرمایه گذاری در سهام و حق تقدم سهام</t>
  </si>
  <si>
    <t>‫گسترش سرمايه گذاري ايران خودرو</t>
  </si>
  <si>
    <t>‫گروه مديريت سرمايه گذاري اميد</t>
  </si>
  <si>
    <t>‫گروه مالي صبا تامين</t>
  </si>
  <si>
    <t>‫نفت بهران</t>
  </si>
  <si>
    <t>‫نساجي بابكان</t>
  </si>
  <si>
    <t>‫مديريت نيروگاهي ايرانيان مپنا</t>
  </si>
  <si>
    <t>‫مبين انرژي خليج فارس</t>
  </si>
  <si>
    <t>‫كشتيراني جمهوري اسلامي ايران</t>
  </si>
  <si>
    <t>‫كاني كربن طبس</t>
  </si>
  <si>
    <t>‫فولاد خوزستان</t>
  </si>
  <si>
    <t>‫فولاد اميركبير كاشان</t>
  </si>
  <si>
    <t>‫فروشگاههاي زنجيره اي افق كوروش</t>
  </si>
  <si>
    <t>‫فرآورده هاي غذايي و قند چهار محال</t>
  </si>
  <si>
    <t>‫صنايع شيميايي كيمياگران امروز</t>
  </si>
  <si>
    <t>‫صنايع الكترونيك ماديران</t>
  </si>
  <si>
    <t>‫صنايع ارتباطي آوا</t>
  </si>
  <si>
    <t>‫صبا فولاد خليج فارس</t>
  </si>
  <si>
    <t>‫شركت مخابرات ايران</t>
  </si>
  <si>
    <t>‫شركت ارتباطات سيار ايران</t>
  </si>
  <si>
    <t>‫سيمان سپاهان</t>
  </si>
  <si>
    <t>‫سرمايه گذاري ملي ايران</t>
  </si>
  <si>
    <t>‫سرمايه گذاري جامي</t>
  </si>
  <si>
    <t>‫سايپا</t>
  </si>
  <si>
    <t>‫دارويي و نهاده هاي زاگرس دارو</t>
  </si>
  <si>
    <t>‫توليدي برنا باطري</t>
  </si>
  <si>
    <t>‫توليد نيروي برق دماوند</t>
  </si>
  <si>
    <t>‫توليد انرژي برق شمس پاسارگاد</t>
  </si>
  <si>
    <t>‫توسعه نيشكر و صنايع جانبي</t>
  </si>
  <si>
    <t>‫توسعه معدني و صنعتي صبانور</t>
  </si>
  <si>
    <t>‫توسعه معادن وص.معدني خاورميانه</t>
  </si>
  <si>
    <t>‫توسعه معادن روي ايران</t>
  </si>
  <si>
    <t>‫بين المللي توسعه ص. معادن غدير</t>
  </si>
  <si>
    <t>‫بانك صادرات ايران</t>
  </si>
  <si>
    <t>‫بانك تجارت</t>
  </si>
  <si>
    <t>‫انتقال داده هاي آسياتك</t>
  </si>
  <si>
    <t>‫اخشان خراسان</t>
  </si>
  <si>
    <t>‫آلومينيوم ايران</t>
  </si>
  <si>
    <t>‫گروه مپنا</t>
  </si>
  <si>
    <t>‫پتروشيمي پرديس</t>
  </si>
  <si>
    <t>‫پتروشيمي بوعلي سينا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</si>
  <si>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</si>
  <si>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</si>
  <si>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</si>
  <si>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</si>
  <si>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گل گهر</t>
  </si>
  <si>
    <t>‫معدني و صنعتي چادر ملو</t>
  </si>
  <si>
    <t>‫فولاد مباركه اصفهان</t>
  </si>
  <si>
    <t>‫شركت گسترش نفت و گاز پارسيان</t>
  </si>
  <si>
    <t>‫شركت پالايش نفت بندر عباس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</si>
  <si>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</si>
  <si>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</si>
  <si>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</si>
  <si>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</si>
  <si>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‫ذوب آهن اصفهان</t>
  </si>
  <si>
    <t>‫بانك اقتصاد نوين</t>
  </si>
  <si>
    <t>‫درصد از کل درآمد ها</t>
  </si>
  <si>
    <t>‫جمع مبلغ</t>
  </si>
  <si>
    <t>‫درآمد سود سهام</t>
  </si>
  <si>
    <t>‫سهام</t>
  </si>
  <si>
    <t>‫2-1- درآمد حاصل از سرمایه گذاری در سهام و حق تقدم سهام:</t>
  </si>
  <si>
    <t>‫2-2- درآمد حاصل از سرمایه گذاری در اختیار معاملات سهام:</t>
  </si>
  <si>
    <t>اختیار معامله</t>
  </si>
  <si>
    <t>اختيارخ خودرو-3250-1404/02/03</t>
  </si>
  <si>
    <t>اختيارخ خودرو-3750-1404/01/06</t>
  </si>
  <si>
    <t>اختيارخ خودرو-4000-1403/11/03</t>
  </si>
  <si>
    <t>اختيارخ خودرو-4000-1404/01/06</t>
  </si>
  <si>
    <t>اختيارخ خودرو-500-1404/07/02</t>
  </si>
  <si>
    <t>اختيارخ خودرو-500-1404/08/07</t>
  </si>
  <si>
    <t>اختيارخ خودرو-5000-1403/12/01</t>
  </si>
  <si>
    <t>اختيارخ خودرو-5000-1404/02/03</t>
  </si>
  <si>
    <t>اختيارخ خودرو-600-1404/04/04</t>
  </si>
  <si>
    <t>اختيارخ خودرو-600-1404/08/07</t>
  </si>
  <si>
    <t>اختيارخ خودرو-700-1404/03/07</t>
  </si>
  <si>
    <t>اختيارخ ذوب-400-1404/06/18</t>
  </si>
  <si>
    <t>اختيارخ ذوب-500-1403/12/22</t>
  </si>
  <si>
    <t>اختيارخ ذوب-600-1403/11/24</t>
  </si>
  <si>
    <t>اختيارخ ذوب-700-1403/11/24</t>
  </si>
  <si>
    <t>اختيارخ شپنا-5500-1403/12/08</t>
  </si>
  <si>
    <t>اختيارخ شستا-1300-1404/06/12</t>
  </si>
  <si>
    <t>اختيارخ شستا-1300-1404/07/09</t>
  </si>
  <si>
    <t>اختيارخ شستا-1350-1403/10/12</t>
  </si>
  <si>
    <t>اختيارخ شستا-1450-1403/10/12</t>
  </si>
  <si>
    <t>اختيارخ شستا-1500-1404/01/20</t>
  </si>
  <si>
    <t>اختيارخ شستا-1500-1404/07/09</t>
  </si>
  <si>
    <t>اختيارخ شستا-1650-1403/11/10</t>
  </si>
  <si>
    <t>اختيارخ شستا-1650-1403/12/08</t>
  </si>
  <si>
    <t>اختيارخ شستا-1700-1404/07/09</t>
  </si>
  <si>
    <t>اختيارخ شستا-2200-1404/04/11</t>
  </si>
  <si>
    <t>اختيارخ فملي-10000-1404/01/06</t>
  </si>
  <si>
    <t>اختيارخ فولاد-4320-1404/03/13</t>
  </si>
  <si>
    <t>اختيارخ وبصادر-2200-1403/11/17</t>
  </si>
  <si>
    <t>اختيارخ وبصادر-2400-1403/11/17</t>
  </si>
  <si>
    <t>اختيارخ وبصادر-700-1404/03/21</t>
  </si>
  <si>
    <t>اختيارخ وبصادر-700-1404/05/22</t>
  </si>
  <si>
    <t>اختيارخ وبصادر-800-1404/03/21</t>
  </si>
  <si>
    <t>اختيارخ وبصادر-800-1404/05/22</t>
  </si>
  <si>
    <t>اختيارخ وبصادر-900-1404/03/21</t>
  </si>
  <si>
    <t>اختيارخ وبملت-2934-1404/03/21</t>
  </si>
  <si>
    <t>اختيارخ وبملت-3000-1403/11/24</t>
  </si>
  <si>
    <t>اختيارخ وبملت-3500-1404/01/27</t>
  </si>
  <si>
    <t>اختيارخ وبملت-3750-1403/11/24</t>
  </si>
  <si>
    <t>اختيارف خساپا-300-1404/06/26</t>
  </si>
  <si>
    <t>اختيارف خساپا-543-1404/02/31</t>
  </si>
  <si>
    <t>اختيارف خودرو-300-1404/08/07</t>
  </si>
  <si>
    <t>اختيارف خودرو-3250-1403/11/03</t>
  </si>
  <si>
    <t>اختيارف خودرو-3250-1403/12/01</t>
  </si>
  <si>
    <t>اختيارف خودرو-3250-1404/01/06</t>
  </si>
  <si>
    <t>اختيارف خودرو-3500-1403/12/01</t>
  </si>
  <si>
    <t>اختيارف خودرو-3500-1404/01/06</t>
  </si>
  <si>
    <t>اختيارف خودرو-3750-1404/01/06</t>
  </si>
  <si>
    <t>اختيارف خودرو-500-1404/04/04</t>
  </si>
  <si>
    <t>اختيارف خودرو-600-1404/04/04</t>
  </si>
  <si>
    <t>اختيارف خودرو-647-1404/03/07</t>
  </si>
  <si>
    <t>اختيارف شستا-1300-1404/01/20</t>
  </si>
  <si>
    <t>اختيارف شستا-1400-1404/02/10</t>
  </si>
  <si>
    <t>اختيارف شستا-1500-1404/03/13</t>
  </si>
  <si>
    <t>اختيارف شستا-1500-1404/04/11</t>
  </si>
  <si>
    <t>اختيارف فولاد-3960-1404/03/13</t>
  </si>
  <si>
    <t>اختيارف وبملت-1907-1404/03/21</t>
  </si>
  <si>
    <t>اختيارف وبملت-2054-1404/01/27</t>
  </si>
  <si>
    <t>اختيارف وبملت-2347-1404/03/21</t>
  </si>
  <si>
    <t>اختيارف وبملت-2640-1404/03/21</t>
  </si>
  <si>
    <t>اختيارف وبملت-3000-1403/11/24</t>
  </si>
  <si>
    <t>سرمایه گذاری قابل معامله شاخصی بازار آشنا</t>
  </si>
  <si>
    <t>اختيارخ اخابر-800-1404/05/22</t>
  </si>
  <si>
    <t>اختيارخ خساپا-3000-1403/12/22</t>
  </si>
  <si>
    <t>اختيارخ خساپا-3250-1403/12/22</t>
  </si>
  <si>
    <t>اختيارخ خساپا-500-1404/05/29</t>
  </si>
  <si>
    <t>اختيارخ خگستر-5500-1404/04/04</t>
  </si>
  <si>
    <t>اختيارخ خودرو-3750-1403/12/01</t>
  </si>
  <si>
    <t>اختيارخ خودرو-400-1404/06/05</t>
  </si>
  <si>
    <t>اختيارخ خودرو-647-1404/03/07</t>
  </si>
  <si>
    <t>اختيارخ شپنا-3873-1404/02/17</t>
  </si>
  <si>
    <t>اختيارخ شپنا-4930-1404/04/18</t>
  </si>
  <si>
    <t>اختيارخ شپنا-5000-1403/12/08</t>
  </si>
  <si>
    <t>اختيارخ شستا-1200-1404/06/12</t>
  </si>
  <si>
    <t>اختيارخ شستا-1400-1404/02/10</t>
  </si>
  <si>
    <t>اختيارخ شستا-1400-1404/07/09</t>
  </si>
  <si>
    <t>اختيارخ شستا-1500-1404/05/15</t>
  </si>
  <si>
    <t>اختيارخ شستا-1550-1403/11/10</t>
  </si>
  <si>
    <t>اختيارخ شستا-1600-1404/04/11</t>
  </si>
  <si>
    <t>اختيارخ شستا-1700-1404/04/11</t>
  </si>
  <si>
    <t>اختيارخ شستا-1800-1404/04/11</t>
  </si>
  <si>
    <t>اختيارخ شستا-2000-1404/03/13</t>
  </si>
  <si>
    <t>اختيارخ فملي-7429-1404/03/07</t>
  </si>
  <si>
    <t>اختيارخ فولاد-4000-1404/05/15</t>
  </si>
  <si>
    <t>اختيارخ فولاد-5000-1404/05/15</t>
  </si>
  <si>
    <t>اختيارخ فولاد-5040-1404/03/13</t>
  </si>
  <si>
    <t>اختيارخ فولاد-6000-1403/12/01</t>
  </si>
  <si>
    <t>اختيارخ فولاد-6500-1403/12/01</t>
  </si>
  <si>
    <t>اختيارخ وبصادر-585-1404/05/22</t>
  </si>
  <si>
    <t>اختيارخ وبملت-1073-1404/05/22</t>
  </si>
  <si>
    <t>اختيارخ وبملت-1073-1404/06/26</t>
  </si>
  <si>
    <t>اختيارخ وبملت-2600-1404/05/22</t>
  </si>
  <si>
    <t>اختيارخ وبملت-2640-1404/03/21</t>
  </si>
  <si>
    <t>اختيارخ وبملت-2800-1404/05/22</t>
  </si>
  <si>
    <t>اختيارخ وبملت-3000-1404/04/25</t>
  </si>
  <si>
    <t>اختيارخ وبملت-3250-1404/03/21</t>
  </si>
  <si>
    <t>اختيارخ وبملت-3750-1404/01/27</t>
  </si>
  <si>
    <t>اختيارخ وتجارت-1000-1404/04/18</t>
  </si>
  <si>
    <t>اختيارخ وتجارت-1800-1403/12/15</t>
  </si>
  <si>
    <t>اختيارخ وتجارت-2200-1403/12/15</t>
  </si>
  <si>
    <t>اختيارخ وتجارت-499-1404/02/17</t>
  </si>
  <si>
    <t>اختيارخ وتجارت-600-1404/06/18</t>
  </si>
  <si>
    <t>اختيارخ وتجارت-900-1404/04/18</t>
  </si>
  <si>
    <t>اختيارف خودرو-3000-1404/01/06</t>
  </si>
  <si>
    <t>اختيارف خودرو-3250-1404/02/03</t>
  </si>
  <si>
    <t>اختيارف شپنا-3521-1404/04/18</t>
  </si>
  <si>
    <t>اختيارف شستا-1350-1403/12/08</t>
  </si>
  <si>
    <t>اختيارف شستا-1500-1404/02/10</t>
  </si>
  <si>
    <t>اختيارف فملي-6686-1404/03/07</t>
  </si>
  <si>
    <t>اختيارف وبصادر-600-1404/03/21</t>
  </si>
  <si>
    <t>اختيارف وبملت-1907-1404/01/27</t>
  </si>
  <si>
    <t>اختيارف وتجارت-545-1404/02/17</t>
  </si>
  <si>
    <t>اختيارخ وبملت-1073-1404/07/23</t>
  </si>
  <si>
    <t>اختيارخ خودرو-400-1404/08/07</t>
  </si>
  <si>
    <t>‫2-3- درآمد حاصل از سرمایه گذاری در سپرده بانکی و گواهی سپرده:</t>
  </si>
  <si>
    <t>‫2-4- سایر درآمدها:</t>
  </si>
  <si>
    <t>سایر درآمد ها</t>
  </si>
  <si>
    <t>2-4</t>
  </si>
  <si>
    <t>‫درآمد حاصل از سرمایه گذاری در اختیار معاملات سهام</t>
  </si>
  <si>
    <t>‫1404/04/23</t>
  </si>
  <si>
    <t>‫1404/04/21</t>
  </si>
  <si>
    <t>‫1404/04/29</t>
  </si>
  <si>
    <t>‫1404/02/15</t>
  </si>
  <si>
    <t>‫1404/06/26</t>
  </si>
  <si>
    <t>‫1404/06/23</t>
  </si>
  <si>
    <t>‫1404/04/31</t>
  </si>
  <si>
    <t>‫1404/05/08</t>
  </si>
  <si>
    <t>‫1404/05/11</t>
  </si>
  <si>
    <t>‫1404/04/28</t>
  </si>
  <si>
    <t>‫1404/03/03</t>
  </si>
  <si>
    <t>‫1403/10/19</t>
  </si>
  <si>
    <t>‫1404/05/12</t>
  </si>
  <si>
    <t>‫1404/04/30</t>
  </si>
  <si>
    <t>‫1404/04/12</t>
  </si>
  <si>
    <t>‫مخابرات</t>
  </si>
  <si>
    <t>‫1404/03/28</t>
  </si>
  <si>
    <t>‫1404/05/13</t>
  </si>
  <si>
    <t>‫1404/04/17</t>
  </si>
  <si>
    <t>‫1404/01/31</t>
  </si>
  <si>
    <t>‫1404/01/27</t>
  </si>
  <si>
    <t>‫1403/12/08</t>
  </si>
  <si>
    <t>‫1404/06/17</t>
  </si>
  <si>
    <t>‫1403/12/22</t>
  </si>
  <si>
    <t>‫1403/12/20</t>
  </si>
  <si>
    <t>‫1403/10/15</t>
  </si>
  <si>
    <t>‫1404/04/22</t>
  </si>
  <si>
    <t>‫1404/03/21</t>
  </si>
  <si>
    <t>‫ارتباطات سیار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</si>
  <si>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</si>
  <si>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</si>
  <si>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</si>
  <si>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</si>
  <si>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</si>
  <si>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‫نام سهام</t>
  </si>
  <si>
    <t>‫اطلاعات مجمع</t>
  </si>
  <si>
    <t>‫كوتاه مدت-1.14938708.8100.415-پاسارگاد</t>
  </si>
  <si>
    <t>‫1404/06/03</t>
  </si>
  <si>
    <t>‫كوتاه مدت-1.1270160.9967.132-گردشگري</t>
  </si>
  <si>
    <t>سود سپرده های بانکی</t>
  </si>
  <si>
    <t>‫گسترش خودرو</t>
  </si>
  <si>
    <t>‫معادن روي</t>
  </si>
  <si>
    <t>‫كشتيراني ايران</t>
  </si>
  <si>
    <t>‫قند چهار محال</t>
  </si>
  <si>
    <t>‫فولاد اميركبير</t>
  </si>
  <si>
    <t>‫صنعتی صبانور</t>
  </si>
  <si>
    <t>‫سرمايه گذاري اميد</t>
  </si>
  <si>
    <t>‫تولید برق دماوند</t>
  </si>
  <si>
    <t>‫بانك صادرات</t>
  </si>
  <si>
    <t>معدنکاران نسوز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</si>
</sst>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  <family val="2"/>
      <scheme val="minor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1" fillId="2" borderId="2"/>
    <xf numFmtId="0" fontId="1" fillId="2" borderId="2"/>
    <xf numFmtId="9" fontId="1" fillId="2" borderId="2" applyFont="0" applyFill="0" applyBorder="0" applyAlignment="0" applyProtection="0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</cellStyleXfs>
  <cellXfs count="149">
    <xf numFmtId="0" fontId="0" fillId="0" borderId="0" xfId="0"/>
    <xf numFmtId="0" fontId="3" fillId="2" borderId="2" xfId="1" applyFont="1"/>
    <xf numFmtId="0" fontId="5" fillId="2" borderId="2" xfId="1" applyFont="1" applyAlignment="1">
      <alignment horizontal="center" vertical="center" wrapText="1" readingOrder="2"/>
    </xf>
    <xf numFmtId="37" fontId="2" fillId="2" borderId="2" xfId="1" applyNumberFormat="1" applyFont="1" applyAlignment="1">
      <alignment horizontal="center" vertical="center"/>
    </xf>
    <xf numFmtId="0" fontId="3" fillId="2" borderId="2" xfId="1" applyFont="1"/>
    <xf numFmtId="0" fontId="4" fillId="3" borderId="2" xfId="1" applyFont="1" applyFill="1" applyAlignment="1">
      <alignment horizontal="center" vertical="center" wrapText="1" readingOrder="2"/>
    </xf>
    <xf numFmtId="37" fontId="6" fillId="2" borderId="2" xfId="4" applyNumberFormat="1" applyFont="1" applyAlignment="1">
      <alignment horizontal="center" vertical="center"/>
    </xf>
    <xf numFmtId="0" fontId="3" fillId="2" borderId="2" xfId="4" applyFont="1"/>
    <xf numFmtId="0" fontId="3" fillId="2" borderId="2" xfId="4" applyFont="1"/>
    <xf numFmtId="37" fontId="7" fillId="2" borderId="2" xfId="4" applyNumberFormat="1" applyFont="1" applyAlignment="1">
      <alignment horizontal="right" vertical="center"/>
    </xf>
    <xf numFmtId="37" fontId="7" fillId="2" borderId="7" xfId="4" applyNumberFormat="1" applyFont="1" applyBorder="1" applyAlignment="1">
      <alignment horizontal="center" vertical="center"/>
    </xf>
    <xf numFmtId="0" fontId="3" fillId="2" borderId="6" xfId="4" applyFont="1" applyBorder="1"/>
    <xf numFmtId="0" fontId="8" fillId="2" borderId="2" xfId="4" applyFont="1" applyAlignment="1">
      <alignment horizontal="center" vertical="center"/>
    </xf>
    <xf numFmtId="37" fontId="8" fillId="2" borderId="2" xfId="4" applyNumberFormat="1" applyFont="1" applyAlignment="1">
      <alignment horizontal="center" vertical="center" wrapText="1"/>
    </xf>
    <xf numFmtId="37" fontId="8" fillId="2" borderId="3" xfId="4" applyNumberFormat="1" applyFont="1" applyBorder="1" applyAlignment="1">
      <alignment horizontal="center" vertical="center"/>
    </xf>
    <xf numFmtId="37" fontId="8" fillId="2" borderId="3" xfId="4" applyNumberFormat="1" applyFont="1" applyBorder="1" applyAlignment="1">
      <alignment horizontal="center" vertical="center"/>
    </xf>
    <xf numFmtId="37" fontId="8" fillId="2" borderId="2" xfId="4" applyNumberFormat="1" applyFont="1" applyAlignment="1">
      <alignment horizontal="right" vertical="center" wrapText="1"/>
    </xf>
    <xf numFmtId="37" fontId="8" fillId="2" borderId="2" xfId="4" applyNumberFormat="1" applyFont="1" applyAlignment="1">
      <alignment horizontal="center" vertical="center"/>
    </xf>
    <xf numFmtId="10" fontId="8" fillId="2" borderId="2" xfId="4" applyNumberFormat="1" applyFont="1" applyAlignment="1">
      <alignment horizontal="center" vertical="center"/>
    </xf>
    <xf numFmtId="0" fontId="8" fillId="2" borderId="2" xfId="4" applyFont="1" applyAlignment="1">
      <alignment horizontal="center" vertical="center"/>
    </xf>
    <xf numFmtId="37" fontId="8" fillId="2" borderId="5" xfId="4" applyNumberFormat="1" applyFont="1" applyBorder="1" applyAlignment="1">
      <alignment horizontal="center" vertical="center"/>
    </xf>
    <xf numFmtId="10" fontId="8" fillId="2" borderId="5" xfId="4" applyNumberFormat="1" applyFont="1" applyBorder="1" applyAlignment="1">
      <alignment horizontal="center" vertical="center"/>
    </xf>
    <xf numFmtId="37" fontId="8" fillId="2" borderId="1" xfId="4" applyNumberFormat="1" applyFont="1" applyBorder="1" applyAlignment="1">
      <alignment horizontal="center" vertical="center"/>
    </xf>
    <xf numFmtId="37" fontId="8" fillId="2" borderId="2" xfId="4" applyNumberFormat="1" applyFont="1" applyBorder="1" applyAlignment="1">
      <alignment horizontal="center" vertical="center"/>
    </xf>
    <xf numFmtId="37" fontId="3" fillId="2" borderId="2" xfId="4" applyNumberFormat="1" applyFont="1"/>
    <xf numFmtId="37" fontId="6" fillId="2" borderId="2" xfId="5" applyNumberFormat="1" applyFont="1" applyAlignment="1">
      <alignment horizontal="center" vertical="center"/>
    </xf>
    <xf numFmtId="0" fontId="3" fillId="2" borderId="2" xfId="5" applyFont="1"/>
    <xf numFmtId="0" fontId="3" fillId="2" borderId="2" xfId="5" applyFont="1"/>
    <xf numFmtId="37" fontId="7" fillId="2" borderId="2" xfId="5" applyNumberFormat="1" applyFont="1" applyAlignment="1">
      <alignment horizontal="right" vertical="center"/>
    </xf>
    <xf numFmtId="37" fontId="7" fillId="2" borderId="7" xfId="5" applyNumberFormat="1" applyFont="1" applyBorder="1" applyAlignment="1">
      <alignment horizontal="center" vertical="center"/>
    </xf>
    <xf numFmtId="0" fontId="3" fillId="2" borderId="6" xfId="5" applyFont="1" applyBorder="1"/>
    <xf numFmtId="37" fontId="7" fillId="2" borderId="7" xfId="5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 wrapText="1"/>
    </xf>
    <xf numFmtId="37" fontId="8" fillId="2" borderId="2" xfId="5" applyNumberFormat="1" applyFont="1" applyAlignment="1">
      <alignment horizontal="right" vertical="center" wrapText="1"/>
    </xf>
    <xf numFmtId="0" fontId="8" fillId="2" borderId="2" xfId="5" applyFont="1" applyAlignment="1">
      <alignment horizontal="center" vertical="center"/>
    </xf>
    <xf numFmtId="37" fontId="8" fillId="2" borderId="2" xfId="5" applyNumberFormat="1" applyFont="1" applyAlignment="1">
      <alignment horizontal="center" vertical="center" wrapText="1"/>
    </xf>
    <xf numFmtId="37" fontId="8" fillId="2" borderId="2" xfId="5" applyNumberFormat="1" applyFont="1" applyAlignment="1">
      <alignment horizontal="center" vertical="center"/>
    </xf>
    <xf numFmtId="10" fontId="8" fillId="2" borderId="2" xfId="5" applyNumberFormat="1" applyFont="1" applyAlignment="1">
      <alignment horizontal="center" vertical="center"/>
    </xf>
    <xf numFmtId="37" fontId="8" fillId="2" borderId="5" xfId="5" applyNumberFormat="1" applyFont="1" applyBorder="1" applyAlignment="1">
      <alignment horizontal="center" vertical="center"/>
    </xf>
    <xf numFmtId="10" fontId="8" fillId="2" borderId="5" xfId="5" applyNumberFormat="1" applyFont="1" applyBorder="1" applyAlignment="1">
      <alignment horizontal="center" vertical="center"/>
    </xf>
    <xf numFmtId="37" fontId="8" fillId="2" borderId="1" xfId="5" applyNumberFormat="1" applyFont="1" applyBorder="1" applyAlignment="1">
      <alignment horizontal="center" vertical="center"/>
    </xf>
    <xf numFmtId="37" fontId="6" fillId="2" borderId="2" xfId="1" applyNumberFormat="1" applyFont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7" xfId="1" applyNumberFormat="1" applyFont="1" applyBorder="1" applyAlignment="1">
      <alignment horizontal="center" vertical="center"/>
    </xf>
    <xf numFmtId="0" fontId="3" fillId="2" borderId="6" xfId="1" applyFont="1" applyBorder="1"/>
    <xf numFmtId="37" fontId="7" fillId="2" borderId="7" xfId="1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 wrapText="1"/>
    </xf>
    <xf numFmtId="37" fontId="8" fillId="2" borderId="2" xfId="1" applyNumberFormat="1" applyFont="1" applyAlignment="1">
      <alignment horizontal="center" vertical="center" wrapText="1"/>
    </xf>
    <xf numFmtId="37" fontId="8" fillId="2" borderId="2" xfId="1" applyNumberFormat="1" applyFont="1" applyAlignment="1">
      <alignment horizontal="center" vertical="center"/>
    </xf>
    <xf numFmtId="10" fontId="8" fillId="2" borderId="2" xfId="1" applyNumberFormat="1" applyFont="1" applyAlignment="1">
      <alignment horizontal="center" vertical="center"/>
    </xf>
    <xf numFmtId="0" fontId="8" fillId="2" borderId="2" xfId="1" applyFont="1" applyAlignment="1">
      <alignment horizontal="center" vertical="center"/>
    </xf>
    <xf numFmtId="37" fontId="8" fillId="2" borderId="5" xfId="1" applyNumberFormat="1" applyFont="1" applyBorder="1" applyAlignment="1">
      <alignment horizontal="center" vertical="center"/>
    </xf>
    <xf numFmtId="10" fontId="8" fillId="2" borderId="5" xfId="1" applyNumberFormat="1" applyFont="1" applyBorder="1" applyAlignment="1">
      <alignment horizontal="center" vertical="center"/>
    </xf>
    <xf numFmtId="37" fontId="8" fillId="2" borderId="1" xfId="1" applyNumberFormat="1" applyFont="1" applyBorder="1" applyAlignment="1">
      <alignment horizontal="center" vertical="center"/>
    </xf>
    <xf numFmtId="0" fontId="9" fillId="2" borderId="6" xfId="1" applyFont="1" applyBorder="1" applyAlignment="1">
      <alignment horizontal="center"/>
    </xf>
    <xf numFmtId="10" fontId="8" fillId="2" borderId="4" xfId="1" applyNumberFormat="1" applyFont="1" applyBorder="1" applyAlignment="1">
      <alignment horizontal="center" vertical="center"/>
    </xf>
    <xf numFmtId="37" fontId="6" fillId="2" borderId="2" xfId="7" applyNumberFormat="1" applyFont="1" applyAlignment="1">
      <alignment horizontal="center" vertical="center"/>
    </xf>
    <xf numFmtId="0" fontId="3" fillId="2" borderId="2" xfId="7" applyFont="1"/>
    <xf numFmtId="0" fontId="3" fillId="2" borderId="2" xfId="7" applyFont="1"/>
    <xf numFmtId="37" fontId="7" fillId="2" borderId="2" xfId="7" applyNumberFormat="1" applyFont="1" applyAlignment="1">
      <alignment horizontal="right" vertical="center"/>
    </xf>
    <xf numFmtId="37" fontId="7" fillId="2" borderId="7" xfId="7" applyNumberFormat="1" applyFont="1" applyBorder="1" applyAlignment="1">
      <alignment horizontal="center" vertical="center"/>
    </xf>
    <xf numFmtId="0" fontId="3" fillId="2" borderId="6" xfId="7" applyFont="1" applyBorder="1"/>
    <xf numFmtId="37" fontId="7" fillId="2" borderId="7" xfId="7" applyNumberFormat="1" applyFont="1" applyBorder="1" applyAlignment="1">
      <alignment horizontal="center" vertical="center" wrapText="1"/>
    </xf>
    <xf numFmtId="37" fontId="8" fillId="2" borderId="2" xfId="7" applyNumberFormat="1" applyFont="1" applyAlignment="1">
      <alignment horizontal="center" vertical="center" wrapText="1"/>
    </xf>
    <xf numFmtId="0" fontId="8" fillId="2" borderId="2" xfId="7" applyFont="1" applyAlignment="1">
      <alignment horizontal="center" vertical="center"/>
    </xf>
    <xf numFmtId="37" fontId="8" fillId="2" borderId="2" xfId="7" applyNumberFormat="1" applyFont="1" applyAlignment="1">
      <alignment horizontal="center" vertical="center"/>
    </xf>
    <xf numFmtId="10" fontId="8" fillId="2" borderId="2" xfId="7" applyNumberFormat="1" applyFont="1" applyAlignment="1">
      <alignment horizontal="center" vertical="center"/>
    </xf>
    <xf numFmtId="37" fontId="8" fillId="2" borderId="5" xfId="7" applyNumberFormat="1" applyFont="1" applyBorder="1" applyAlignment="1">
      <alignment horizontal="center" vertical="center"/>
    </xf>
    <xf numFmtId="37" fontId="8" fillId="2" borderId="1" xfId="7" applyNumberFormat="1" applyFont="1" applyBorder="1" applyAlignment="1">
      <alignment horizontal="center" vertical="center"/>
    </xf>
    <xf numFmtId="9" fontId="8" fillId="2" borderId="5" xfId="7" applyNumberFormat="1" applyFont="1" applyBorder="1" applyAlignment="1">
      <alignment horizontal="center" vertical="center"/>
    </xf>
    <xf numFmtId="37" fontId="6" fillId="2" borderId="2" xfId="8" applyNumberFormat="1" applyFont="1" applyAlignment="1">
      <alignment horizontal="center" vertical="center"/>
    </xf>
    <xf numFmtId="0" fontId="3" fillId="2" borderId="2" xfId="8" applyFont="1"/>
    <xf numFmtId="0" fontId="3" fillId="2" borderId="2" xfId="8" applyFont="1"/>
    <xf numFmtId="37" fontId="7" fillId="2" borderId="2" xfId="8" applyNumberFormat="1" applyFont="1" applyAlignment="1">
      <alignment horizontal="right" vertical="center"/>
    </xf>
    <xf numFmtId="37" fontId="7" fillId="2" borderId="7" xfId="8" applyNumberFormat="1" applyFont="1" applyBorder="1" applyAlignment="1">
      <alignment horizontal="center" vertical="center"/>
    </xf>
    <xf numFmtId="37" fontId="7" fillId="2" borderId="7" xfId="8" applyNumberFormat="1" applyFont="1" applyBorder="1" applyAlignment="1">
      <alignment horizontal="center" vertical="center" wrapText="1"/>
    </xf>
    <xf numFmtId="37" fontId="8" fillId="2" borderId="2" xfId="8" applyNumberFormat="1" applyFont="1" applyAlignment="1">
      <alignment horizontal="center" vertical="center" wrapText="1"/>
    </xf>
    <xf numFmtId="37" fontId="8" fillId="2" borderId="2" xfId="8" applyNumberFormat="1" applyFont="1" applyAlignment="1">
      <alignment horizontal="center" vertical="center"/>
    </xf>
    <xf numFmtId="37" fontId="8" fillId="2" borderId="5" xfId="8" applyNumberFormat="1" applyFont="1" applyBorder="1" applyAlignment="1">
      <alignment horizontal="center" vertical="center"/>
    </xf>
    <xf numFmtId="37" fontId="8" fillId="2" borderId="1" xfId="8" applyNumberFormat="1" applyFont="1" applyBorder="1" applyAlignment="1">
      <alignment horizontal="center" vertical="center"/>
    </xf>
    <xf numFmtId="37" fontId="6" fillId="2" borderId="2" xfId="6" applyNumberFormat="1" applyFont="1" applyAlignment="1">
      <alignment horizontal="center" vertical="center"/>
    </xf>
    <xf numFmtId="0" fontId="3" fillId="2" borderId="2" xfId="6" applyFont="1"/>
    <xf numFmtId="0" fontId="3" fillId="2" borderId="2" xfId="6" applyFont="1"/>
    <xf numFmtId="37" fontId="7" fillId="2" borderId="2" xfId="6" applyNumberFormat="1" applyFont="1" applyAlignment="1">
      <alignment horizontal="right" vertical="center"/>
    </xf>
    <xf numFmtId="37" fontId="7" fillId="2" borderId="7" xfId="6" applyNumberFormat="1" applyFont="1" applyBorder="1" applyAlignment="1">
      <alignment horizontal="center" vertical="center"/>
    </xf>
    <xf numFmtId="37" fontId="7" fillId="2" borderId="7" xfId="6" applyNumberFormat="1" applyFont="1" applyBorder="1" applyAlignment="1">
      <alignment horizontal="center" vertical="center" wrapText="1"/>
    </xf>
    <xf numFmtId="37" fontId="7" fillId="2" borderId="2" xfId="6" applyNumberFormat="1" applyFont="1" applyAlignment="1">
      <alignment horizontal="right" vertical="center"/>
    </xf>
    <xf numFmtId="37" fontId="8" fillId="2" borderId="2" xfId="6" applyNumberFormat="1" applyFont="1" applyAlignment="1">
      <alignment horizontal="center" vertical="center"/>
    </xf>
    <xf numFmtId="10" fontId="8" fillId="2" borderId="2" xfId="6" applyNumberFormat="1" applyFont="1" applyAlignment="1">
      <alignment horizontal="center" vertical="center"/>
    </xf>
    <xf numFmtId="37" fontId="8" fillId="2" borderId="5" xfId="6" applyNumberFormat="1" applyFont="1" applyBorder="1" applyAlignment="1">
      <alignment horizontal="center" vertical="center"/>
    </xf>
    <xf numFmtId="10" fontId="8" fillId="2" borderId="5" xfId="6" applyNumberFormat="1" applyFont="1" applyBorder="1" applyAlignment="1">
      <alignment horizontal="center" vertical="center"/>
    </xf>
    <xf numFmtId="37" fontId="8" fillId="2" borderId="1" xfId="6" applyNumberFormat="1" applyFont="1" applyBorder="1" applyAlignment="1">
      <alignment horizontal="center" vertical="center"/>
    </xf>
    <xf numFmtId="37" fontId="7" fillId="2" borderId="5" xfId="6" applyNumberFormat="1" applyFont="1" applyBorder="1" applyAlignment="1">
      <alignment horizontal="center" vertical="center"/>
    </xf>
    <xf numFmtId="49" fontId="8" fillId="2" borderId="2" xfId="6" applyNumberFormat="1" applyFont="1" applyAlignment="1">
      <alignment horizontal="center" vertical="center"/>
    </xf>
    <xf numFmtId="9" fontId="8" fillId="2" borderId="5" xfId="6" applyNumberFormat="1" applyFont="1" applyBorder="1" applyAlignment="1">
      <alignment horizontal="center" vertical="center"/>
    </xf>
    <xf numFmtId="0" fontId="9" fillId="2" borderId="7" xfId="6" applyFont="1" applyBorder="1" applyAlignment="1">
      <alignment horizontal="center"/>
    </xf>
    <xf numFmtId="37" fontId="6" fillId="2" borderId="2" xfId="9" applyNumberFormat="1" applyFont="1" applyAlignment="1">
      <alignment horizontal="center" vertical="center"/>
    </xf>
    <xf numFmtId="0" fontId="3" fillId="2" borderId="2" xfId="9" applyFont="1"/>
    <xf numFmtId="0" fontId="3" fillId="2" borderId="2" xfId="9" applyFont="1"/>
    <xf numFmtId="37" fontId="7" fillId="2" borderId="2" xfId="9" applyNumberFormat="1" applyFont="1" applyAlignment="1">
      <alignment horizontal="right" vertical="center"/>
    </xf>
    <xf numFmtId="37" fontId="7" fillId="2" borderId="7" xfId="9" applyNumberFormat="1" applyFont="1" applyBorder="1" applyAlignment="1">
      <alignment horizontal="center" vertical="center"/>
    </xf>
    <xf numFmtId="0" fontId="3" fillId="2" borderId="6" xfId="9" applyFont="1" applyBorder="1"/>
    <xf numFmtId="37" fontId="7" fillId="2" borderId="7" xfId="9" applyNumberFormat="1" applyFont="1" applyBorder="1" applyAlignment="1">
      <alignment horizontal="center" vertical="center"/>
    </xf>
    <xf numFmtId="37" fontId="7" fillId="2" borderId="7" xfId="9" applyNumberFormat="1" applyFont="1" applyBorder="1" applyAlignment="1">
      <alignment horizontal="center" vertical="center" wrapText="1"/>
    </xf>
    <xf numFmtId="37" fontId="8" fillId="2" borderId="2" xfId="9" applyNumberFormat="1" applyFont="1" applyAlignment="1">
      <alignment horizontal="center" vertical="center" wrapText="1"/>
    </xf>
    <xf numFmtId="0" fontId="8" fillId="2" borderId="2" xfId="9" applyFont="1" applyAlignment="1">
      <alignment horizontal="center" vertical="center"/>
    </xf>
    <xf numFmtId="37" fontId="8" fillId="2" borderId="2" xfId="9" applyNumberFormat="1" applyFont="1" applyAlignment="1">
      <alignment horizontal="center" vertical="center"/>
    </xf>
    <xf numFmtId="37" fontId="8" fillId="2" borderId="5" xfId="9" applyNumberFormat="1" applyFont="1" applyBorder="1" applyAlignment="1">
      <alignment horizontal="center" vertical="center"/>
    </xf>
    <xf numFmtId="37" fontId="8" fillId="2" borderId="1" xfId="9" applyNumberFormat="1" applyFont="1" applyBorder="1" applyAlignment="1">
      <alignment horizontal="center" vertical="center"/>
    </xf>
    <xf numFmtId="37" fontId="6" fillId="2" borderId="2" xfId="10" applyNumberFormat="1" applyFont="1" applyAlignment="1">
      <alignment horizontal="center" vertical="center"/>
    </xf>
    <xf numFmtId="0" fontId="3" fillId="2" borderId="2" xfId="10" applyFont="1"/>
    <xf numFmtId="0" fontId="3" fillId="2" borderId="2" xfId="10" applyFont="1"/>
    <xf numFmtId="37" fontId="7" fillId="2" borderId="2" xfId="10" applyNumberFormat="1" applyFont="1" applyAlignment="1">
      <alignment horizontal="right" vertical="center"/>
    </xf>
    <xf numFmtId="37" fontId="7" fillId="2" borderId="7" xfId="10" applyNumberFormat="1" applyFont="1" applyBorder="1" applyAlignment="1">
      <alignment horizontal="center" vertical="center"/>
    </xf>
    <xf numFmtId="0" fontId="3" fillId="2" borderId="6" xfId="10" applyFont="1" applyBorder="1"/>
    <xf numFmtId="37" fontId="7" fillId="2" borderId="7" xfId="10" applyNumberFormat="1" applyFont="1" applyBorder="1" applyAlignment="1">
      <alignment horizontal="center" vertical="center" wrapText="1"/>
    </xf>
    <xf numFmtId="37" fontId="8" fillId="2" borderId="2" xfId="10" applyNumberFormat="1" applyFont="1" applyAlignment="1">
      <alignment horizontal="center" vertical="center" wrapText="1"/>
    </xf>
    <xf numFmtId="0" fontId="8" fillId="2" borderId="2" xfId="10" applyFont="1" applyAlignment="1">
      <alignment horizontal="center" vertical="center"/>
    </xf>
    <xf numFmtId="37" fontId="8" fillId="2" borderId="2" xfId="10" applyNumberFormat="1" applyFont="1" applyAlignment="1">
      <alignment horizontal="center" vertical="center"/>
    </xf>
    <xf numFmtId="37" fontId="8" fillId="2" borderId="5" xfId="10" applyNumberFormat="1" applyFont="1" applyBorder="1" applyAlignment="1">
      <alignment horizontal="center" vertical="center"/>
    </xf>
    <xf numFmtId="37" fontId="8" fillId="2" borderId="1" xfId="10" applyNumberFormat="1" applyFont="1" applyBorder="1" applyAlignment="1">
      <alignment horizontal="center" vertical="center"/>
    </xf>
    <xf numFmtId="37" fontId="7" fillId="2" borderId="7" xfId="10" applyNumberFormat="1" applyFont="1" applyBorder="1" applyAlignment="1">
      <alignment horizontal="center" vertical="center"/>
    </xf>
    <xf numFmtId="37" fontId="6" fillId="2" borderId="2" xfId="11" applyNumberFormat="1" applyFont="1" applyAlignment="1">
      <alignment horizontal="center" vertical="center"/>
    </xf>
    <xf numFmtId="0" fontId="3" fillId="2" borderId="2" xfId="11" applyFont="1"/>
    <xf numFmtId="0" fontId="3" fillId="2" borderId="2" xfId="11" applyFont="1"/>
    <xf numFmtId="37" fontId="7" fillId="2" borderId="2" xfId="11" applyNumberFormat="1" applyFont="1" applyAlignment="1">
      <alignment horizontal="right" vertical="center"/>
    </xf>
    <xf numFmtId="37" fontId="7" fillId="2" borderId="7" xfId="11" applyNumberFormat="1" applyFont="1" applyBorder="1" applyAlignment="1">
      <alignment horizontal="center" vertical="center"/>
    </xf>
    <xf numFmtId="0" fontId="3" fillId="2" borderId="6" xfId="11" applyFont="1" applyBorder="1"/>
    <xf numFmtId="37" fontId="7" fillId="2" borderId="7" xfId="11" applyNumberFormat="1" applyFont="1" applyBorder="1" applyAlignment="1">
      <alignment horizontal="center" vertical="center" wrapText="1"/>
    </xf>
    <xf numFmtId="37" fontId="8" fillId="2" borderId="2" xfId="11" applyNumberFormat="1" applyFont="1" applyAlignment="1">
      <alignment horizontal="center" vertical="center" wrapText="1"/>
    </xf>
    <xf numFmtId="0" fontId="8" fillId="2" borderId="2" xfId="11" applyFont="1" applyAlignment="1">
      <alignment horizontal="center" vertical="center"/>
    </xf>
    <xf numFmtId="37" fontId="8" fillId="2" borderId="2" xfId="11" applyNumberFormat="1" applyFont="1" applyAlignment="1">
      <alignment horizontal="center" vertical="center"/>
    </xf>
    <xf numFmtId="37" fontId="8" fillId="2" borderId="8" xfId="11" applyNumberFormat="1" applyFont="1" applyBorder="1" applyAlignment="1">
      <alignment horizontal="center" vertical="center"/>
    </xf>
    <xf numFmtId="37" fontId="8" fillId="2" borderId="1" xfId="11" applyNumberFormat="1" applyFont="1" applyBorder="1" applyAlignment="1">
      <alignment horizontal="center" vertical="center"/>
    </xf>
    <xf numFmtId="37" fontId="7" fillId="2" borderId="7" xfId="11" applyNumberFormat="1" applyFont="1" applyBorder="1" applyAlignment="1">
      <alignment horizontal="center" vertical="center"/>
    </xf>
    <xf numFmtId="37" fontId="8" fillId="2" borderId="2" xfId="11" applyNumberFormat="1" applyFont="1" applyBorder="1" applyAlignment="1">
      <alignment horizontal="center" vertical="center"/>
    </xf>
    <xf numFmtId="37" fontId="6" fillId="2" borderId="2" xfId="12" applyNumberFormat="1" applyFont="1" applyAlignment="1">
      <alignment horizontal="center" vertical="center"/>
    </xf>
    <xf numFmtId="0" fontId="3" fillId="2" borderId="2" xfId="12" applyFont="1"/>
    <xf numFmtId="0" fontId="3" fillId="2" borderId="2" xfId="12" applyFont="1"/>
    <xf numFmtId="37" fontId="7" fillId="2" borderId="2" xfId="12" applyNumberFormat="1" applyFont="1" applyAlignment="1">
      <alignment horizontal="right" vertical="center"/>
    </xf>
    <xf numFmtId="37" fontId="7" fillId="2" borderId="7" xfId="12" applyNumberFormat="1" applyFont="1" applyBorder="1" applyAlignment="1">
      <alignment horizontal="center" vertical="center"/>
    </xf>
    <xf numFmtId="0" fontId="3" fillId="2" borderId="6" xfId="12" applyFont="1" applyBorder="1"/>
    <xf numFmtId="37" fontId="7" fillId="2" borderId="7" xfId="12" applyNumberFormat="1" applyFont="1" applyBorder="1" applyAlignment="1">
      <alignment horizontal="center" vertical="center" wrapText="1"/>
    </xf>
    <xf numFmtId="37" fontId="8" fillId="2" borderId="2" xfId="12" applyNumberFormat="1" applyFont="1" applyAlignment="1">
      <alignment horizontal="center" vertical="center" wrapText="1"/>
    </xf>
    <xf numFmtId="37" fontId="8" fillId="2" borderId="2" xfId="12" applyNumberFormat="1" applyFont="1" applyAlignment="1">
      <alignment horizontal="center" vertical="center"/>
    </xf>
    <xf numFmtId="37" fontId="8" fillId="2" borderId="8" xfId="12" applyNumberFormat="1" applyFont="1" applyBorder="1" applyAlignment="1">
      <alignment horizontal="center" vertical="center"/>
    </xf>
    <xf numFmtId="37" fontId="8" fillId="2" borderId="1" xfId="12" applyNumberFormat="1" applyFont="1" applyBorder="1" applyAlignment="1">
      <alignment horizontal="center" vertical="center"/>
    </xf>
    <xf numFmtId="37" fontId="7" fillId="2" borderId="7" xfId="12" applyNumberFormat="1" applyFont="1" applyBorder="1" applyAlignment="1">
      <alignment horizontal="center" vertical="center"/>
    </xf>
    <xf numFmtId="37" fontId="8" fillId="2" borderId="2" xfId="12" applyNumberFormat="1" applyFont="1" applyBorder="1" applyAlignment="1">
      <alignment horizontal="center" vertical="center"/>
    </xf>
  </cellXfs>
  <cellStyles count="13">
    <cellStyle name="Normal" xfId="0" builtinId="0"/>
    <cellStyle name="Normal 10" xfId="10" xr:uid="{6DAFB86F-6D7D-4EEA-B3FF-10E1E422B67F}"/>
    <cellStyle name="Normal 11" xfId="11" xr:uid="{D90DC1E2-5259-4B28-9794-0E5611336074}"/>
    <cellStyle name="Normal 12" xfId="12" xr:uid="{300AF749-8703-45A6-BC9B-8F3DC6191CD2}"/>
    <cellStyle name="Normal 2" xfId="1" xr:uid="{19C3DE40-DB4B-477D-A2AD-589745597E9A}"/>
    <cellStyle name="Normal 3" xfId="2" xr:uid="{AD01CB15-73ED-4623-A195-C1C33E537DF6}"/>
    <cellStyle name="Normal 4" xfId="4" xr:uid="{BB3FBC29-AE83-42B9-BB41-BE06BDE16AE4}"/>
    <cellStyle name="Normal 5" xfId="5" xr:uid="{4647D8FC-8CE3-4C4A-AB4F-67DB53FD1E1C}"/>
    <cellStyle name="Normal 6" xfId="6" xr:uid="{2AE41913-B853-4E45-AB9C-D69FED1CA255}"/>
    <cellStyle name="Normal 7" xfId="7" xr:uid="{06F21C7E-64B6-4C11-BB13-8257CCD261CD}"/>
    <cellStyle name="Normal 8" xfId="8" xr:uid="{65E555A8-21F9-4039-838F-7FFBD05A894A}"/>
    <cellStyle name="Normal 9" xfId="9" xr:uid="{159B02B5-6086-41B4-AB96-BFDB5408254A}"/>
    <cellStyle name="Percent 2" xfId="3" xr:uid="{64D95264-330B-4927-9504-84F54B572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80811-25F9-4B07-A87A-5A73D66A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12699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F64AC-26D3-4687-A9CD-7E0F0C33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0513539" y="0"/>
          <a:ext cx="871561" cy="774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20319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C4D21-65B6-4275-AEDA-EC87D9EDF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139739" y="0"/>
          <a:ext cx="871561" cy="7746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27939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C0EE8-B033-4F08-8FB1-543BD441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91399" y="0"/>
          <a:ext cx="871561" cy="7823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20319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D1573-2339-4BDA-98D2-90A14645D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351319" y="0"/>
          <a:ext cx="871561" cy="7746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29284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2566A-3B08-4FD6-90C0-7FAF4A1E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7101592" y="0"/>
          <a:ext cx="871561" cy="7823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29284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006BE-648F-4D9F-83F9-7742460E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41719" y="0"/>
          <a:ext cx="871561" cy="7836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864416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3DDF1-A937-4A11-8309-40077B844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98544" y="0"/>
          <a:ext cx="864416" cy="7772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864416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3E211-E1D9-42FA-8ED5-4995B3607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86964" y="0"/>
          <a:ext cx="864416" cy="7772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864416</xdr:colOff>
      <xdr:row>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397E2-F40C-40F2-B995-1292937C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931744" y="0"/>
          <a:ext cx="864416" cy="7848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864416</xdr:colOff>
      <xdr:row>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4798B-A30C-4D02-9F73-FCAF0A2B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762324" y="0"/>
          <a:ext cx="864416" cy="7848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864416</xdr:colOff>
      <xdr:row>3</xdr:row>
      <xdr:rowOff>41366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993ED-DEC7-4FA2-A612-08545A3E2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716498" y="0"/>
          <a:ext cx="864416" cy="79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7DD6-56F6-45B1-ABFC-C69700AC21C2}">
  <sheetPr>
    <pageSetUpPr fitToPage="1"/>
  </sheetPr>
  <dimension ref="A18:J25"/>
  <sheetViews>
    <sheetView rightToLeft="1" tabSelected="1" view="pageBreakPreview" zoomScale="70" zoomScaleNormal="100" zoomScaleSheetLayoutView="70" workbookViewId="0">
      <selection activeCell="A21" sqref="A21"/>
    </sheetView>
  </sheetViews>
  <sheetFormatPr defaultColWidth="8.8984375" defaultRowHeight="18.600000000000001" x14ac:dyDescent="0.65"/>
  <cols>
    <col min="1" max="16384" width="8.8984375" style="1"/>
  </cols>
  <sheetData>
    <row r="18" spans="1:10" ht="40.200000000000003" customHeight="1" x14ac:dyDescent="0.65">
      <c r="A18" s="3" t="s">
        <v>66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40.200000000000003" customHeight="1" x14ac:dyDescent="0.65">
      <c r="A19" s="3" t="s">
        <v>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40.200000000000003" customHeight="1" x14ac:dyDescent="0.65">
      <c r="A20" s="3" t="s">
        <v>1</v>
      </c>
      <c r="B20" s="4"/>
      <c r="C20" s="4"/>
      <c r="D20" s="4"/>
      <c r="E20" s="4"/>
      <c r="F20" s="4"/>
      <c r="G20" s="4"/>
      <c r="H20" s="4"/>
      <c r="I20" s="4"/>
      <c r="J20" s="4"/>
    </row>
    <row r="24" spans="1:10" ht="43.5" customHeight="1" x14ac:dyDescent="0.65">
      <c r="B24" s="5" t="s">
        <v>48</v>
      </c>
      <c r="C24" s="5"/>
      <c r="D24" s="5" t="s">
        <v>49</v>
      </c>
      <c r="E24" s="5"/>
      <c r="F24" s="5" t="s">
        <v>50</v>
      </c>
      <c r="G24" s="5"/>
      <c r="H24" s="5" t="s">
        <v>51</v>
      </c>
      <c r="I24" s="5"/>
    </row>
    <row r="25" spans="1:10" ht="39.75" customHeight="1" x14ac:dyDescent="0.65">
      <c r="B25" s="2" t="s">
        <v>52</v>
      </c>
      <c r="C25" s="2"/>
      <c r="D25" s="2" t="s">
        <v>53</v>
      </c>
      <c r="E25" s="2"/>
      <c r="F25" s="2" t="s">
        <v>54</v>
      </c>
      <c r="G25" s="2"/>
      <c r="H25" s="2"/>
      <c r="I25" s="2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A515-371B-42F4-9445-9D1B0CC8EAB4}">
  <sheetPr>
    <pageSetUpPr fitToPage="1"/>
  </sheetPr>
  <dimension ref="A1:W51"/>
  <sheetViews>
    <sheetView rightToLeft="1" view="pageBreakPreview" topLeftCell="A16" zoomScale="60" zoomScaleNormal="100" workbookViewId="0">
      <selection activeCell="A42" sqref="A42"/>
    </sheetView>
  </sheetViews>
  <sheetFormatPr defaultRowHeight="18.600000000000001" x14ac:dyDescent="0.65"/>
  <cols>
    <col min="1" max="1" width="35.5" style="8" customWidth="1"/>
    <col min="2" max="2" width="1.3984375" style="8" customWidth="1"/>
    <col min="3" max="3" width="15.19921875" style="8" customWidth="1"/>
    <col min="4" max="4" width="1.3984375" style="8" customWidth="1"/>
    <col min="5" max="5" width="18" style="8" customWidth="1"/>
    <col min="6" max="6" width="1.3984375" style="8" customWidth="1"/>
    <col min="7" max="7" width="19" style="8" customWidth="1"/>
    <col min="8" max="8" width="1.3984375" style="8" customWidth="1"/>
    <col min="9" max="9" width="12.8984375" style="8" customWidth="1"/>
    <col min="10" max="10" width="19" style="8" customWidth="1"/>
    <col min="11" max="11" width="1.3984375" style="8" customWidth="1"/>
    <col min="12" max="12" width="12.8984375" style="8" customWidth="1"/>
    <col min="13" max="13" width="18.296875" style="8" customWidth="1"/>
    <col min="14" max="14" width="1.3984375" style="8" customWidth="1"/>
    <col min="15" max="15" width="15" style="8" customWidth="1"/>
    <col min="16" max="16" width="1.3984375" style="8" customWidth="1"/>
    <col min="17" max="17" width="15.69921875" style="8" customWidth="1"/>
    <col min="18" max="18" width="1.3984375" style="8" customWidth="1"/>
    <col min="19" max="19" width="18.19921875" style="8" customWidth="1"/>
    <col min="20" max="20" width="1.3984375" style="8" customWidth="1"/>
    <col min="21" max="21" width="19" style="8" customWidth="1"/>
    <col min="22" max="22" width="1.3984375" style="8" customWidth="1"/>
    <col min="23" max="23" width="14.8984375" style="8" customWidth="1"/>
    <col min="24" max="16384" width="8.796875" style="8"/>
  </cols>
  <sheetData>
    <row r="1" spans="1:23" ht="19.95" customHeight="1" x14ac:dyDescent="0.65">
      <c r="A1" s="6" t="s">
        <v>108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9.95" customHeight="1" x14ac:dyDescent="0.6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9.95" customHeight="1" x14ac:dyDescent="0.65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 ht="20.399999999999999" x14ac:dyDescent="0.65">
      <c r="A5" s="9" t="s">
        <v>107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20.399999999999999" x14ac:dyDescent="0.65">
      <c r="A6" s="9" t="s">
        <v>106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8" spans="1:23" ht="20.399999999999999" x14ac:dyDescent="0.65">
      <c r="C8" s="10" t="s">
        <v>2</v>
      </c>
      <c r="D8" s="11"/>
      <c r="E8" s="11"/>
      <c r="F8" s="11"/>
      <c r="G8" s="11"/>
      <c r="I8" s="10" t="s">
        <v>55</v>
      </c>
      <c r="J8" s="11"/>
      <c r="K8" s="11"/>
      <c r="L8" s="11"/>
      <c r="M8" s="11"/>
      <c r="O8" s="10" t="s">
        <v>3</v>
      </c>
      <c r="P8" s="11"/>
      <c r="Q8" s="11"/>
      <c r="R8" s="11"/>
      <c r="S8" s="11"/>
      <c r="T8" s="11"/>
      <c r="U8" s="11"/>
      <c r="V8" s="11"/>
      <c r="W8" s="11"/>
    </row>
    <row r="9" spans="1:23" ht="21" x14ac:dyDescent="0.65">
      <c r="A9" s="12" t="s">
        <v>105</v>
      </c>
      <c r="C9" s="12" t="s">
        <v>4</v>
      </c>
      <c r="E9" s="12" t="s">
        <v>5</v>
      </c>
      <c r="G9" s="12" t="s">
        <v>6</v>
      </c>
      <c r="I9" s="12" t="s">
        <v>56</v>
      </c>
      <c r="J9" s="7"/>
      <c r="L9" s="12" t="s">
        <v>57</v>
      </c>
      <c r="M9" s="7"/>
      <c r="O9" s="12" t="s">
        <v>4</v>
      </c>
      <c r="Q9" s="13" t="s">
        <v>104</v>
      </c>
      <c r="S9" s="12" t="s">
        <v>5</v>
      </c>
      <c r="U9" s="12" t="s">
        <v>6</v>
      </c>
      <c r="W9" s="13" t="s">
        <v>7</v>
      </c>
    </row>
    <row r="10" spans="1:23" ht="21" x14ac:dyDescent="0.65">
      <c r="A10" s="14"/>
      <c r="C10" s="14"/>
      <c r="E10" s="14"/>
      <c r="G10" s="14"/>
      <c r="I10" s="15" t="s">
        <v>4</v>
      </c>
      <c r="J10" s="15" t="s">
        <v>5</v>
      </c>
      <c r="L10" s="15" t="s">
        <v>4</v>
      </c>
      <c r="M10" s="15" t="s">
        <v>8</v>
      </c>
      <c r="O10" s="14"/>
      <c r="Q10" s="14"/>
      <c r="S10" s="14"/>
      <c r="U10" s="14"/>
      <c r="W10" s="14"/>
    </row>
    <row r="11" spans="1:23" ht="21" x14ac:dyDescent="0.65">
      <c r="A11" s="16" t="s">
        <v>103</v>
      </c>
      <c r="C11" s="17">
        <v>5000000</v>
      </c>
      <c r="E11" s="17">
        <v>16785329728</v>
      </c>
      <c r="G11" s="17">
        <v>16406795250</v>
      </c>
      <c r="I11" s="17">
        <v>0</v>
      </c>
      <c r="J11" s="17">
        <v>0</v>
      </c>
      <c r="L11" s="17">
        <v>800000</v>
      </c>
      <c r="M11" s="17">
        <v>3014854272</v>
      </c>
      <c r="O11" s="17">
        <v>4200000</v>
      </c>
      <c r="Q11" s="17">
        <v>3535</v>
      </c>
      <c r="S11" s="17">
        <v>14099676972</v>
      </c>
      <c r="U11" s="17">
        <v>14871385620</v>
      </c>
      <c r="W11" s="18">
        <v>1.9890993856597986E-2</v>
      </c>
    </row>
    <row r="12" spans="1:23" ht="21" x14ac:dyDescent="0.65">
      <c r="A12" s="16" t="s">
        <v>102</v>
      </c>
      <c r="C12" s="17">
        <v>58000000</v>
      </c>
      <c r="E12" s="17">
        <v>19281246614</v>
      </c>
      <c r="G12" s="17">
        <v>22024171800</v>
      </c>
      <c r="I12" s="17">
        <v>0</v>
      </c>
      <c r="J12" s="17">
        <v>0</v>
      </c>
      <c r="L12" s="17">
        <v>9000</v>
      </c>
      <c r="M12" s="17">
        <v>3580200</v>
      </c>
      <c r="O12" s="17">
        <v>57991000</v>
      </c>
      <c r="Q12" s="17">
        <v>402</v>
      </c>
      <c r="S12" s="17">
        <v>19278254696</v>
      </c>
      <c r="U12" s="17">
        <v>23173673327</v>
      </c>
      <c r="W12" s="18">
        <v>3.0995591504415956E-2</v>
      </c>
    </row>
    <row r="13" spans="1:23" ht="21" x14ac:dyDescent="0.65">
      <c r="A13" s="16" t="s">
        <v>101</v>
      </c>
      <c r="C13" s="17">
        <v>39313066</v>
      </c>
      <c r="E13" s="17">
        <v>17890271230</v>
      </c>
      <c r="G13" s="17">
        <v>39352707330</v>
      </c>
      <c r="I13" s="17">
        <v>2000000</v>
      </c>
      <c r="J13" s="17">
        <v>2108354698</v>
      </c>
      <c r="L13" s="17">
        <v>0</v>
      </c>
      <c r="M13" s="17">
        <v>0</v>
      </c>
      <c r="O13" s="17">
        <v>41313066</v>
      </c>
      <c r="Q13" s="17">
        <v>1009</v>
      </c>
      <c r="S13" s="17">
        <v>19998625928</v>
      </c>
      <c r="U13" s="17">
        <v>41436858537</v>
      </c>
      <c r="W13" s="18">
        <v>5.5423234906081795E-2</v>
      </c>
    </row>
    <row r="14" spans="1:23" ht="21" x14ac:dyDescent="0.65">
      <c r="A14" s="16" t="s">
        <v>100</v>
      </c>
      <c r="C14" s="17">
        <v>1450000</v>
      </c>
      <c r="E14" s="17">
        <v>3000155735</v>
      </c>
      <c r="G14" s="17">
        <v>2248541100</v>
      </c>
      <c r="I14" s="17">
        <v>0</v>
      </c>
      <c r="J14" s="17">
        <v>0</v>
      </c>
      <c r="L14" s="17">
        <v>0</v>
      </c>
      <c r="M14" s="17">
        <v>0</v>
      </c>
      <c r="N14" s="17"/>
      <c r="O14" s="17">
        <v>1450000</v>
      </c>
      <c r="Q14" s="17">
        <v>1587</v>
      </c>
      <c r="S14" s="17">
        <v>3000155735</v>
      </c>
      <c r="U14" s="17">
        <v>2337906195</v>
      </c>
      <c r="W14" s="18">
        <v>3.127030590848694E-3</v>
      </c>
    </row>
    <row r="15" spans="1:23" ht="21" x14ac:dyDescent="0.65">
      <c r="A15" s="16" t="s">
        <v>99</v>
      </c>
      <c r="C15" s="17">
        <v>0</v>
      </c>
      <c r="E15" s="17">
        <v>0</v>
      </c>
      <c r="G15" s="17">
        <v>0</v>
      </c>
      <c r="H15" s="19"/>
      <c r="I15" s="17">
        <v>50000</v>
      </c>
      <c r="J15" s="17">
        <v>15914750</v>
      </c>
      <c r="L15" s="17">
        <v>6000</v>
      </c>
      <c r="M15" s="17">
        <v>2386800</v>
      </c>
      <c r="O15" s="17">
        <v>44000</v>
      </c>
      <c r="Q15" s="17">
        <v>301</v>
      </c>
      <c r="S15" s="17">
        <v>14004980</v>
      </c>
      <c r="U15" s="17">
        <v>13208936</v>
      </c>
      <c r="W15" s="18">
        <v>1.7667409852841673E-5</v>
      </c>
    </row>
    <row r="16" spans="1:23" ht="21" x14ac:dyDescent="0.65">
      <c r="A16" s="16" t="s">
        <v>98</v>
      </c>
      <c r="C16" s="17">
        <v>16000000</v>
      </c>
      <c r="E16" s="17">
        <v>21392908714</v>
      </c>
      <c r="G16" s="17">
        <v>17479375200</v>
      </c>
      <c r="I16" s="17">
        <v>0</v>
      </c>
      <c r="J16" s="17">
        <v>0</v>
      </c>
      <c r="L16" s="17">
        <v>14000</v>
      </c>
      <c r="M16" s="17">
        <v>17702100</v>
      </c>
      <c r="O16" s="17">
        <v>15986000</v>
      </c>
      <c r="Q16" s="17">
        <v>1169</v>
      </c>
      <c r="S16" s="17">
        <v>21374189919</v>
      </c>
      <c r="U16" s="17">
        <v>18576442578</v>
      </c>
      <c r="W16" s="18">
        <v>2.4846635991975796E-2</v>
      </c>
    </row>
    <row r="17" spans="1:23" ht="21" x14ac:dyDescent="0.65">
      <c r="A17" s="16" t="s">
        <v>97</v>
      </c>
      <c r="C17" s="17">
        <v>350000</v>
      </c>
      <c r="E17" s="17">
        <v>8983711439</v>
      </c>
      <c r="G17" s="17">
        <v>8729250075</v>
      </c>
      <c r="I17" s="17">
        <v>0</v>
      </c>
      <c r="J17" s="17">
        <v>0</v>
      </c>
      <c r="L17" s="17">
        <v>0</v>
      </c>
      <c r="M17" s="17">
        <v>0</v>
      </c>
      <c r="N17" s="19"/>
      <c r="O17" s="17">
        <v>350000</v>
      </c>
      <c r="Q17" s="17">
        <v>22040</v>
      </c>
      <c r="S17" s="17">
        <v>8983711439</v>
      </c>
      <c r="U17" s="17">
        <v>7688976750</v>
      </c>
      <c r="W17" s="18">
        <v>1.0284272979384603E-2</v>
      </c>
    </row>
    <row r="18" spans="1:23" ht="21" x14ac:dyDescent="0.65">
      <c r="A18" s="16" t="s">
        <v>96</v>
      </c>
      <c r="C18" s="17">
        <v>1288004</v>
      </c>
      <c r="E18" s="17">
        <v>14045283146</v>
      </c>
      <c r="G18" s="17">
        <v>13225916086</v>
      </c>
      <c r="I18" s="17">
        <v>911996</v>
      </c>
      <c r="J18" s="17">
        <v>8827359457</v>
      </c>
      <c r="L18" s="17">
        <v>0</v>
      </c>
      <c r="M18" s="17">
        <v>0</v>
      </c>
      <c r="O18" s="17">
        <v>2200000</v>
      </c>
      <c r="Q18" s="17">
        <v>9310</v>
      </c>
      <c r="S18" s="17">
        <v>22872642596</v>
      </c>
      <c r="U18" s="17">
        <v>20382001200</v>
      </c>
      <c r="W18" s="18">
        <v>2.7261633247485702E-2</v>
      </c>
    </row>
    <row r="19" spans="1:23" ht="21" x14ac:dyDescent="0.65">
      <c r="A19" s="16" t="s">
        <v>95</v>
      </c>
      <c r="C19" s="17">
        <v>3200000</v>
      </c>
      <c r="E19" s="17">
        <v>25946924014</v>
      </c>
      <c r="G19" s="17">
        <v>24906916800</v>
      </c>
      <c r="I19" s="17">
        <v>600000</v>
      </c>
      <c r="J19" s="17">
        <v>5074704936</v>
      </c>
      <c r="L19" s="17">
        <v>0</v>
      </c>
      <c r="M19" s="17">
        <v>0</v>
      </c>
      <c r="O19" s="17">
        <v>3800000</v>
      </c>
      <c r="Q19" s="17">
        <v>8430</v>
      </c>
      <c r="S19" s="17">
        <v>31021628950</v>
      </c>
      <c r="U19" s="17">
        <v>32070041100</v>
      </c>
      <c r="W19" s="18">
        <v>4.2894791837221211E-2</v>
      </c>
    </row>
    <row r="20" spans="1:23" ht="21" x14ac:dyDescent="0.65">
      <c r="A20" s="16" t="s">
        <v>94</v>
      </c>
      <c r="C20" s="17">
        <v>750000</v>
      </c>
      <c r="E20" s="17">
        <v>2327157600</v>
      </c>
      <c r="G20" s="17">
        <v>2299237650</v>
      </c>
      <c r="I20" s="17">
        <v>0</v>
      </c>
      <c r="J20" s="17">
        <v>0</v>
      </c>
      <c r="L20" s="17">
        <v>750000</v>
      </c>
      <c r="M20" s="17">
        <v>2168023077</v>
      </c>
      <c r="O20" s="17">
        <v>0</v>
      </c>
      <c r="Q20" s="17">
        <v>0</v>
      </c>
      <c r="S20" s="17">
        <v>0</v>
      </c>
      <c r="U20" s="17">
        <v>0</v>
      </c>
      <c r="W20" s="18">
        <v>0</v>
      </c>
    </row>
    <row r="21" spans="1:23" ht="21" x14ac:dyDescent="0.65">
      <c r="A21" s="16" t="s">
        <v>93</v>
      </c>
      <c r="C21" s="17">
        <v>3250000</v>
      </c>
      <c r="E21" s="17">
        <v>3903619200</v>
      </c>
      <c r="G21" s="17">
        <v>3537575437</v>
      </c>
      <c r="I21" s="17">
        <v>0</v>
      </c>
      <c r="J21" s="17">
        <v>0</v>
      </c>
      <c r="L21" s="17">
        <v>3250000</v>
      </c>
      <c r="M21" s="17">
        <v>3232931104</v>
      </c>
      <c r="O21" s="17">
        <v>0</v>
      </c>
      <c r="Q21" s="17">
        <v>0</v>
      </c>
      <c r="S21" s="17">
        <v>0</v>
      </c>
      <c r="U21" s="17">
        <v>0</v>
      </c>
      <c r="W21" s="18">
        <v>0</v>
      </c>
    </row>
    <row r="22" spans="1:23" ht="21" x14ac:dyDescent="0.65">
      <c r="A22" s="16" t="s">
        <v>92</v>
      </c>
      <c r="C22" s="17">
        <v>2500000</v>
      </c>
      <c r="E22" s="17">
        <v>23171604024</v>
      </c>
      <c r="G22" s="17">
        <v>18539032500</v>
      </c>
      <c r="I22" s="17">
        <v>0</v>
      </c>
      <c r="J22" s="17">
        <v>0</v>
      </c>
      <c r="L22" s="17">
        <v>500000</v>
      </c>
      <c r="M22" s="17">
        <v>3967750612</v>
      </c>
      <c r="O22" s="17">
        <v>2000000</v>
      </c>
      <c r="Q22" s="17">
        <v>7720</v>
      </c>
      <c r="S22" s="17">
        <v>18537283220</v>
      </c>
      <c r="U22" s="17">
        <v>15387894000</v>
      </c>
      <c r="W22" s="18">
        <v>2.0581841722155613E-2</v>
      </c>
    </row>
    <row r="23" spans="1:23" ht="21" x14ac:dyDescent="0.65">
      <c r="A23" s="16" t="s">
        <v>91</v>
      </c>
      <c r="C23" s="17">
        <v>1875000</v>
      </c>
      <c r="E23" s="17">
        <v>6098945898</v>
      </c>
      <c r="G23" s="17">
        <v>6038853750</v>
      </c>
      <c r="I23" s="17">
        <v>0</v>
      </c>
      <c r="J23" s="17">
        <v>0</v>
      </c>
      <c r="L23" s="17">
        <v>0</v>
      </c>
      <c r="M23" s="17">
        <v>0</v>
      </c>
      <c r="N23" s="19"/>
      <c r="O23" s="17">
        <v>1875000</v>
      </c>
      <c r="Q23" s="17">
        <v>3039</v>
      </c>
      <c r="S23" s="17">
        <v>6098945898</v>
      </c>
      <c r="U23" s="17">
        <v>5682859594</v>
      </c>
      <c r="W23" s="18">
        <v>7.6010217313000408E-3</v>
      </c>
    </row>
    <row r="24" spans="1:23" ht="21" x14ac:dyDescent="0.65">
      <c r="A24" s="16" t="s">
        <v>90</v>
      </c>
      <c r="C24" s="17">
        <v>9100000</v>
      </c>
      <c r="E24" s="17">
        <v>44348561527</v>
      </c>
      <c r="G24" s="17">
        <v>61240438350</v>
      </c>
      <c r="I24" s="17">
        <v>0</v>
      </c>
      <c r="J24" s="17">
        <v>0</v>
      </c>
      <c r="L24" s="17">
        <v>0</v>
      </c>
      <c r="M24" s="17">
        <v>0</v>
      </c>
      <c r="N24" s="19"/>
      <c r="O24" s="17">
        <v>9100000</v>
      </c>
      <c r="Q24" s="17">
        <v>6840</v>
      </c>
      <c r="S24" s="17">
        <v>44348561527</v>
      </c>
      <c r="U24" s="17">
        <v>62778233700</v>
      </c>
      <c r="W24" s="18">
        <v>8.3968064090504876E-2</v>
      </c>
    </row>
    <row r="25" spans="1:23" ht="21" x14ac:dyDescent="0.65">
      <c r="A25" s="16" t="s">
        <v>89</v>
      </c>
      <c r="C25" s="17">
        <v>450000</v>
      </c>
      <c r="E25" s="17">
        <v>8328511297</v>
      </c>
      <c r="G25" s="17">
        <v>6316193700</v>
      </c>
      <c r="I25" s="17">
        <v>200000</v>
      </c>
      <c r="J25" s="17">
        <v>2723525074</v>
      </c>
      <c r="L25" s="17">
        <v>0</v>
      </c>
      <c r="M25" s="17">
        <v>0</v>
      </c>
      <c r="O25" s="17">
        <v>650000</v>
      </c>
      <c r="Q25" s="17">
        <v>12980</v>
      </c>
      <c r="S25" s="17">
        <v>11052036371</v>
      </c>
      <c r="U25" s="17">
        <v>8535410325</v>
      </c>
      <c r="W25" s="18">
        <v>1.1416407231737027E-2</v>
      </c>
    </row>
    <row r="26" spans="1:23" ht="21" x14ac:dyDescent="0.65">
      <c r="A26" s="16" t="s">
        <v>88</v>
      </c>
      <c r="C26" s="17">
        <v>14400000</v>
      </c>
      <c r="E26" s="17">
        <v>47870389253</v>
      </c>
      <c r="G26" s="17">
        <v>30489501600</v>
      </c>
      <c r="I26" s="17">
        <v>0</v>
      </c>
      <c r="J26" s="17">
        <v>0</v>
      </c>
      <c r="L26" s="17">
        <v>0</v>
      </c>
      <c r="M26" s="17">
        <v>0</v>
      </c>
      <c r="N26" s="19"/>
      <c r="O26" s="17">
        <v>14400000</v>
      </c>
      <c r="Q26" s="17">
        <v>2228</v>
      </c>
      <c r="S26" s="17">
        <v>47870389253</v>
      </c>
      <c r="U26" s="17">
        <v>31920933600</v>
      </c>
      <c r="W26" s="18">
        <v>4.2695355386425132E-2</v>
      </c>
    </row>
    <row r="27" spans="1:23" ht="21" x14ac:dyDescent="0.65">
      <c r="A27" s="16" t="s">
        <v>87</v>
      </c>
      <c r="C27" s="17">
        <v>175000</v>
      </c>
      <c r="E27" s="17">
        <v>7181514900</v>
      </c>
      <c r="G27" s="17">
        <v>7045329375</v>
      </c>
      <c r="I27" s="17">
        <v>0</v>
      </c>
      <c r="J27" s="17">
        <v>0</v>
      </c>
      <c r="L27" s="17">
        <v>175000</v>
      </c>
      <c r="M27" s="17">
        <v>7014703095</v>
      </c>
      <c r="O27" s="17">
        <v>0</v>
      </c>
      <c r="Q27" s="17">
        <v>0</v>
      </c>
      <c r="S27" s="17">
        <v>0</v>
      </c>
      <c r="U27" s="17">
        <v>0</v>
      </c>
      <c r="W27" s="18">
        <v>0</v>
      </c>
    </row>
    <row r="28" spans="1:23" ht="21" x14ac:dyDescent="0.65">
      <c r="A28" s="16" t="s">
        <v>86</v>
      </c>
      <c r="C28" s="17">
        <v>11000000</v>
      </c>
      <c r="E28" s="17">
        <v>44697071750</v>
      </c>
      <c r="G28" s="17">
        <v>59593297500</v>
      </c>
      <c r="I28" s="17">
        <v>0</v>
      </c>
      <c r="J28" s="17">
        <v>0</v>
      </c>
      <c r="L28" s="17">
        <v>0</v>
      </c>
      <c r="M28" s="17">
        <v>0</v>
      </c>
      <c r="N28" s="19"/>
      <c r="O28" s="17">
        <v>11000000</v>
      </c>
      <c r="Q28" s="17">
        <v>5860</v>
      </c>
      <c r="S28" s="17">
        <v>44697071750</v>
      </c>
      <c r="U28" s="17">
        <v>64185808500</v>
      </c>
      <c r="W28" s="18">
        <v>8.5850744186019887E-2</v>
      </c>
    </row>
    <row r="29" spans="1:23" ht="21" x14ac:dyDescent="0.65">
      <c r="A29" s="16" t="s">
        <v>85</v>
      </c>
      <c r="C29" s="17">
        <v>800000</v>
      </c>
      <c r="E29" s="17">
        <v>11354968821</v>
      </c>
      <c r="G29" s="17">
        <v>9487213200</v>
      </c>
      <c r="I29" s="17">
        <v>0</v>
      </c>
      <c r="J29" s="17">
        <v>0</v>
      </c>
      <c r="L29" s="17">
        <v>100000</v>
      </c>
      <c r="M29" s="17">
        <v>1099419300</v>
      </c>
      <c r="O29" s="17">
        <v>700000</v>
      </c>
      <c r="Q29" s="17">
        <v>11750</v>
      </c>
      <c r="S29" s="17">
        <v>9935597718</v>
      </c>
      <c r="U29" s="17">
        <v>8148227850</v>
      </c>
      <c r="W29" s="18">
        <v>1.0898537247836534E-2</v>
      </c>
    </row>
    <row r="30" spans="1:23" ht="21" x14ac:dyDescent="0.65">
      <c r="A30" s="16" t="s">
        <v>84</v>
      </c>
      <c r="C30" s="17">
        <v>7850000</v>
      </c>
      <c r="E30" s="17">
        <v>20465056527</v>
      </c>
      <c r="G30" s="17">
        <v>24237026505</v>
      </c>
      <c r="I30" s="17">
        <v>0</v>
      </c>
      <c r="J30" s="17">
        <v>0</v>
      </c>
      <c r="L30" s="17">
        <v>0</v>
      </c>
      <c r="M30" s="17">
        <v>0</v>
      </c>
      <c r="N30" s="19"/>
      <c r="O30" s="17">
        <v>7850000</v>
      </c>
      <c r="Q30" s="17">
        <v>3476</v>
      </c>
      <c r="S30" s="17">
        <v>20465056527</v>
      </c>
      <c r="U30" s="17">
        <v>27124244730</v>
      </c>
      <c r="W30" s="18">
        <v>3.6279617721949056E-2</v>
      </c>
    </row>
    <row r="31" spans="1:23" ht="21" x14ac:dyDescent="0.65">
      <c r="A31" s="16" t="s">
        <v>83</v>
      </c>
      <c r="C31" s="17">
        <v>1400000</v>
      </c>
      <c r="E31" s="17">
        <v>14385369699</v>
      </c>
      <c r="G31" s="17">
        <v>12789447300</v>
      </c>
      <c r="I31" s="17">
        <v>0</v>
      </c>
      <c r="J31" s="17">
        <v>0</v>
      </c>
      <c r="L31" s="17">
        <v>0</v>
      </c>
      <c r="M31" s="17">
        <v>0</v>
      </c>
      <c r="N31" s="19"/>
      <c r="O31" s="17">
        <v>1400000</v>
      </c>
      <c r="Q31" s="17">
        <v>10200</v>
      </c>
      <c r="S31" s="17">
        <v>14385369699</v>
      </c>
      <c r="U31" s="17">
        <v>14195034000</v>
      </c>
      <c r="W31" s="18">
        <v>1.8986350115786959E-2</v>
      </c>
    </row>
    <row r="32" spans="1:23" ht="21" x14ac:dyDescent="0.65">
      <c r="A32" s="16" t="s">
        <v>82</v>
      </c>
      <c r="C32" s="17">
        <v>600000</v>
      </c>
      <c r="E32" s="17">
        <v>9532063153</v>
      </c>
      <c r="G32" s="17">
        <v>9775487700</v>
      </c>
      <c r="I32" s="17">
        <v>0</v>
      </c>
      <c r="J32" s="17">
        <v>0</v>
      </c>
      <c r="L32" s="17">
        <v>0</v>
      </c>
      <c r="M32" s="17">
        <v>0</v>
      </c>
      <c r="N32" s="19"/>
      <c r="O32" s="17">
        <v>600000</v>
      </c>
      <c r="Q32" s="17">
        <v>17440</v>
      </c>
      <c r="S32" s="17">
        <v>9532063153</v>
      </c>
      <c r="U32" s="17">
        <v>10497168000</v>
      </c>
      <c r="W32" s="18">
        <v>1.4040326136044138E-2</v>
      </c>
    </row>
    <row r="33" spans="1:23" ht="21" x14ac:dyDescent="0.65">
      <c r="A33" s="16" t="s">
        <v>81</v>
      </c>
      <c r="C33" s="17">
        <v>5100000</v>
      </c>
      <c r="E33" s="17">
        <v>9708803181</v>
      </c>
      <c r="G33" s="17">
        <v>10012568625</v>
      </c>
      <c r="I33" s="17">
        <v>0</v>
      </c>
      <c r="J33" s="17">
        <v>0</v>
      </c>
      <c r="L33" s="17">
        <v>0</v>
      </c>
      <c r="M33" s="17">
        <v>0</v>
      </c>
      <c r="N33" s="19"/>
      <c r="O33" s="17">
        <v>5100000</v>
      </c>
      <c r="Q33" s="17">
        <v>2167</v>
      </c>
      <c r="S33" s="17">
        <v>9708803181</v>
      </c>
      <c r="U33" s="17">
        <v>10985942385</v>
      </c>
      <c r="W33" s="18">
        <v>1.4694078821753694E-2</v>
      </c>
    </row>
    <row r="34" spans="1:23" ht="21" x14ac:dyDescent="0.65">
      <c r="A34" s="16" t="s">
        <v>80</v>
      </c>
      <c r="C34" s="17">
        <v>350000</v>
      </c>
      <c r="E34" s="17">
        <v>12290048766</v>
      </c>
      <c r="G34" s="17">
        <v>17423708400</v>
      </c>
      <c r="I34" s="17">
        <v>100000</v>
      </c>
      <c r="J34" s="17">
        <v>5677263610</v>
      </c>
      <c r="L34" s="17">
        <v>0</v>
      </c>
      <c r="M34" s="17">
        <v>0</v>
      </c>
      <c r="O34" s="17">
        <v>450000</v>
      </c>
      <c r="Q34" s="17">
        <v>56360</v>
      </c>
      <c r="S34" s="17">
        <v>17967312376</v>
      </c>
      <c r="U34" s="17">
        <v>25094792250</v>
      </c>
      <c r="W34" s="18">
        <v>3.3565154668980517E-2</v>
      </c>
    </row>
    <row r="35" spans="1:23" ht="21" x14ac:dyDescent="0.65">
      <c r="A35" s="16" t="s">
        <v>79</v>
      </c>
      <c r="C35" s="17">
        <v>3900000</v>
      </c>
      <c r="E35" s="17">
        <v>17451066898</v>
      </c>
      <c r="G35" s="17">
        <v>14549611635</v>
      </c>
      <c r="I35" s="17">
        <v>0</v>
      </c>
      <c r="J35" s="17">
        <v>0</v>
      </c>
      <c r="L35" s="17">
        <v>0</v>
      </c>
      <c r="M35" s="17">
        <v>0</v>
      </c>
      <c r="N35" s="19"/>
      <c r="O35" s="17">
        <v>3900000</v>
      </c>
      <c r="Q35" s="17">
        <v>4037</v>
      </c>
      <c r="S35" s="17">
        <v>17451066898</v>
      </c>
      <c r="U35" s="17">
        <v>15701019750</v>
      </c>
      <c r="W35" s="18">
        <v>2.1000658268827382E-2</v>
      </c>
    </row>
    <row r="36" spans="1:23" ht="21" x14ac:dyDescent="0.65">
      <c r="A36" s="16" t="s">
        <v>78</v>
      </c>
      <c r="C36" s="17">
        <v>200000</v>
      </c>
      <c r="E36" s="17">
        <v>8564224465</v>
      </c>
      <c r="G36" s="17">
        <v>7624363500</v>
      </c>
      <c r="I36" s="17">
        <v>0</v>
      </c>
      <c r="J36" s="17">
        <v>0</v>
      </c>
      <c r="L36" s="17">
        <v>0</v>
      </c>
      <c r="M36" s="17">
        <v>0</v>
      </c>
      <c r="N36" s="19"/>
      <c r="O36" s="17">
        <v>200000</v>
      </c>
      <c r="Q36" s="17">
        <v>35950</v>
      </c>
      <c r="S36" s="17">
        <v>8564224465</v>
      </c>
      <c r="U36" s="17">
        <v>7037874000</v>
      </c>
      <c r="W36" s="18">
        <v>9.4134004775750478E-3</v>
      </c>
    </row>
    <row r="37" spans="1:23" ht="21" x14ac:dyDescent="0.65">
      <c r="A37" s="16" t="s">
        <v>77</v>
      </c>
      <c r="C37" s="17">
        <v>600000</v>
      </c>
      <c r="E37" s="17">
        <v>20419932104</v>
      </c>
      <c r="G37" s="17">
        <v>16652325600</v>
      </c>
      <c r="I37" s="17">
        <v>0</v>
      </c>
      <c r="J37" s="17">
        <v>0</v>
      </c>
      <c r="L37" s="17">
        <v>0</v>
      </c>
      <c r="M37" s="17">
        <v>0</v>
      </c>
      <c r="N37" s="19"/>
      <c r="O37" s="17">
        <v>600000</v>
      </c>
      <c r="Q37" s="17">
        <v>31290</v>
      </c>
      <c r="S37" s="17">
        <v>20419932104</v>
      </c>
      <c r="U37" s="17">
        <v>18698080500</v>
      </c>
      <c r="W37" s="18">
        <v>2.5009330929828624E-2</v>
      </c>
    </row>
    <row r="38" spans="1:23" ht="21" x14ac:dyDescent="0.65">
      <c r="A38" s="16" t="s">
        <v>76</v>
      </c>
      <c r="C38" s="17">
        <v>650001</v>
      </c>
      <c r="E38" s="17">
        <v>17002700893</v>
      </c>
      <c r="G38" s="17">
        <v>23170347097</v>
      </c>
      <c r="I38" s="17">
        <v>0</v>
      </c>
      <c r="J38" s="17">
        <v>0</v>
      </c>
      <c r="L38" s="17">
        <v>1</v>
      </c>
      <c r="M38" s="17">
        <v>1</v>
      </c>
      <c r="O38" s="17">
        <v>650000</v>
      </c>
      <c r="Q38" s="17">
        <v>34640</v>
      </c>
      <c r="S38" s="17">
        <v>17002674735</v>
      </c>
      <c r="U38" s="17">
        <v>22459565700</v>
      </c>
      <c r="W38" s="18">
        <v>3.0040447795244438E-2</v>
      </c>
    </row>
    <row r="39" spans="1:23" ht="21" x14ac:dyDescent="0.65">
      <c r="A39" s="16" t="s">
        <v>75</v>
      </c>
      <c r="C39" s="17">
        <v>3000000</v>
      </c>
      <c r="E39" s="17">
        <v>8292444580</v>
      </c>
      <c r="G39" s="17">
        <v>7518000150</v>
      </c>
      <c r="I39" s="17">
        <v>0</v>
      </c>
      <c r="J39" s="17">
        <v>0</v>
      </c>
      <c r="L39" s="17">
        <v>0</v>
      </c>
      <c r="M39" s="17">
        <v>0</v>
      </c>
      <c r="N39" s="19"/>
      <c r="O39" s="17">
        <v>3000000</v>
      </c>
      <c r="Q39" s="17">
        <v>2393</v>
      </c>
      <c r="S39" s="17">
        <v>8292444580</v>
      </c>
      <c r="U39" s="17">
        <v>7157160000</v>
      </c>
      <c r="W39" s="18">
        <v>9.5729496382119129E-3</v>
      </c>
    </row>
    <row r="40" spans="1:23" ht="21" x14ac:dyDescent="0.65">
      <c r="A40" s="16" t="s">
        <v>74</v>
      </c>
      <c r="C40" s="17">
        <v>120000</v>
      </c>
      <c r="E40" s="17">
        <v>18239142954</v>
      </c>
      <c r="G40" s="17">
        <v>31994890920</v>
      </c>
      <c r="I40" s="17">
        <v>0</v>
      </c>
      <c r="J40" s="17">
        <v>0</v>
      </c>
      <c r="L40" s="17">
        <v>0</v>
      </c>
      <c r="M40" s="17">
        <v>0</v>
      </c>
      <c r="N40" s="19"/>
      <c r="O40" s="17">
        <v>120000</v>
      </c>
      <c r="Q40" s="17">
        <v>250640</v>
      </c>
      <c r="S40" s="17">
        <v>18239142954</v>
      </c>
      <c r="U40" s="17">
        <v>30083929200</v>
      </c>
      <c r="W40" s="18">
        <v>4.023829831261741E-2</v>
      </c>
    </row>
    <row r="41" spans="1:23" ht="21" x14ac:dyDescent="0.65">
      <c r="A41" s="16" t="s">
        <v>73</v>
      </c>
      <c r="C41" s="17">
        <v>1100000</v>
      </c>
      <c r="E41" s="17">
        <v>16548215065</v>
      </c>
      <c r="G41" s="17">
        <v>15767621100</v>
      </c>
      <c r="I41" s="17">
        <v>0</v>
      </c>
      <c r="J41" s="17">
        <v>0</v>
      </c>
      <c r="L41" s="17">
        <v>0</v>
      </c>
      <c r="M41" s="17">
        <v>0</v>
      </c>
      <c r="N41" s="19"/>
      <c r="O41" s="17">
        <v>1100000</v>
      </c>
      <c r="Q41" s="17">
        <v>14730</v>
      </c>
      <c r="S41" s="17">
        <v>16548215065</v>
      </c>
      <c r="U41" s="17">
        <v>15986312100</v>
      </c>
      <c r="W41" s="18">
        <v>2.1382246678017219E-2</v>
      </c>
    </row>
    <row r="42" spans="1:23" ht="21" x14ac:dyDescent="0.65">
      <c r="A42" s="16" t="s">
        <v>72</v>
      </c>
      <c r="C42" s="17">
        <v>17187</v>
      </c>
      <c r="E42" s="17">
        <v>41652251</v>
      </c>
      <c r="G42" s="17">
        <v>38474829</v>
      </c>
      <c r="I42" s="17">
        <v>0</v>
      </c>
      <c r="J42" s="17">
        <v>0</v>
      </c>
      <c r="L42" s="17">
        <v>17187</v>
      </c>
      <c r="M42" s="17">
        <v>37330175</v>
      </c>
      <c r="O42" s="17">
        <v>0</v>
      </c>
      <c r="Q42" s="17">
        <v>0</v>
      </c>
      <c r="S42" s="17">
        <v>0</v>
      </c>
      <c r="U42" s="17">
        <v>0</v>
      </c>
      <c r="W42" s="18">
        <v>0</v>
      </c>
    </row>
    <row r="43" spans="1:23" ht="21" x14ac:dyDescent="0.65">
      <c r="A43" s="16" t="s">
        <v>71</v>
      </c>
      <c r="C43" s="17">
        <v>2000000</v>
      </c>
      <c r="E43" s="17">
        <v>10526832667</v>
      </c>
      <c r="G43" s="17">
        <v>11690028000</v>
      </c>
      <c r="I43" s="17">
        <v>0</v>
      </c>
      <c r="J43" s="17">
        <v>0</v>
      </c>
      <c r="L43" s="17">
        <v>0</v>
      </c>
      <c r="M43" s="17">
        <v>0</v>
      </c>
      <c r="N43" s="19"/>
      <c r="O43" s="17">
        <v>2000000</v>
      </c>
      <c r="Q43" s="17">
        <v>5750</v>
      </c>
      <c r="S43" s="17">
        <v>10526832667</v>
      </c>
      <c r="U43" s="17">
        <v>11411694000</v>
      </c>
      <c r="W43" s="18">
        <v>1.5263536367593439E-2</v>
      </c>
    </row>
    <row r="44" spans="1:23" ht="21" x14ac:dyDescent="0.65">
      <c r="A44" s="16" t="s">
        <v>70</v>
      </c>
      <c r="C44" s="17">
        <v>100000</v>
      </c>
      <c r="E44" s="17">
        <v>2552366400</v>
      </c>
      <c r="G44" s="17">
        <v>3146168250</v>
      </c>
      <c r="I44" s="17">
        <v>0</v>
      </c>
      <c r="J44" s="17">
        <v>0</v>
      </c>
      <c r="L44" s="17">
        <v>0</v>
      </c>
      <c r="M44" s="17">
        <v>0</v>
      </c>
      <c r="N44" s="19"/>
      <c r="O44" s="17">
        <v>100000</v>
      </c>
      <c r="Q44" s="17">
        <v>28750</v>
      </c>
      <c r="S44" s="17">
        <v>2552366400</v>
      </c>
      <c r="U44" s="17">
        <v>2862864000</v>
      </c>
      <c r="W44" s="18">
        <v>3.8291798552847651E-3</v>
      </c>
    </row>
    <row r="45" spans="1:23" ht="21" x14ac:dyDescent="0.65">
      <c r="A45" s="16" t="s">
        <v>69</v>
      </c>
      <c r="C45" s="17">
        <v>700000</v>
      </c>
      <c r="E45" s="17">
        <v>31964666269</v>
      </c>
      <c r="G45" s="17">
        <v>40741139250</v>
      </c>
      <c r="I45" s="17">
        <v>85000</v>
      </c>
      <c r="J45" s="17">
        <v>4961000478</v>
      </c>
      <c r="L45" s="17">
        <v>285000</v>
      </c>
      <c r="M45" s="17">
        <v>17381380923</v>
      </c>
      <c r="O45" s="17">
        <v>500000</v>
      </c>
      <c r="Q45" s="17">
        <v>69650</v>
      </c>
      <c r="S45" s="17">
        <v>23754619620</v>
      </c>
      <c r="U45" s="17">
        <v>34592940000</v>
      </c>
      <c r="W45" s="18">
        <v>4.6269256584690915E-2</v>
      </c>
    </row>
    <row r="46" spans="1:23" ht="21" x14ac:dyDescent="0.65">
      <c r="A46" s="16" t="s">
        <v>68</v>
      </c>
      <c r="C46" s="17">
        <v>5802960</v>
      </c>
      <c r="E46" s="17">
        <v>17199552966</v>
      </c>
      <c r="G46" s="17">
        <v>10723515809</v>
      </c>
      <c r="I46" s="17">
        <v>0</v>
      </c>
      <c r="J46" s="17">
        <v>0</v>
      </c>
      <c r="L46" s="17">
        <v>0</v>
      </c>
      <c r="M46" s="17">
        <v>0</v>
      </c>
      <c r="N46" s="19"/>
      <c r="O46" s="17">
        <v>5802960</v>
      </c>
      <c r="Q46" s="17">
        <v>1846</v>
      </c>
      <c r="S46" s="17">
        <v>17199552966</v>
      </c>
      <c r="U46" s="17">
        <v>10815810727</v>
      </c>
      <c r="W46" s="18">
        <v>1.4466521830726598E-2</v>
      </c>
    </row>
    <row r="47" spans="1:23" ht="21" x14ac:dyDescent="0.65">
      <c r="A47" s="16" t="s">
        <v>67</v>
      </c>
      <c r="C47" s="17">
        <v>1800000</v>
      </c>
      <c r="E47" s="17">
        <v>3883758963</v>
      </c>
      <c r="G47" s="17">
        <v>2970221400</v>
      </c>
      <c r="I47" s="17">
        <v>0</v>
      </c>
      <c r="J47" s="17">
        <v>0</v>
      </c>
      <c r="L47" s="17">
        <v>0</v>
      </c>
      <c r="M47" s="17">
        <v>0</v>
      </c>
      <c r="N47" s="19"/>
      <c r="O47" s="17">
        <v>1800000</v>
      </c>
      <c r="Q47" s="17">
        <v>1642</v>
      </c>
      <c r="S47" s="17">
        <v>3883758963</v>
      </c>
      <c r="U47" s="17">
        <v>2963064240</v>
      </c>
      <c r="W47" s="18">
        <v>3.963201150219732E-3</v>
      </c>
    </row>
    <row r="48" spans="1:23" ht="21.6" thickBot="1" x14ac:dyDescent="0.7">
      <c r="A48" s="20" t="s">
        <v>9</v>
      </c>
      <c r="C48" s="23"/>
      <c r="E48" s="20">
        <f>SUM(E11:$E$47)</f>
        <v>565676072691</v>
      </c>
      <c r="G48" s="20">
        <f>SUM(G11:$G$47)</f>
        <v>609785292773</v>
      </c>
      <c r="I48" s="23"/>
      <c r="J48" s="20">
        <f>SUM(J11:$J$47)</f>
        <v>29388123003</v>
      </c>
      <c r="L48" s="23"/>
      <c r="M48" s="20">
        <f>SUM(M11:$M$47)</f>
        <v>37940061659</v>
      </c>
      <c r="O48" s="23"/>
      <c r="Q48" s="23"/>
      <c r="S48" s="20">
        <f>SUM(S11:$S$47)</f>
        <v>559676213305</v>
      </c>
      <c r="U48" s="20">
        <f>SUM(U11:$U$47)</f>
        <v>624857357394</v>
      </c>
      <c r="W48" s="21">
        <f>SUM(W11:$W$47)</f>
        <v>0.83576837927319536</v>
      </c>
    </row>
    <row r="49" spans="3:23" ht="21.6" thickTop="1" x14ac:dyDescent="0.65">
      <c r="C49" s="23"/>
      <c r="E49" s="22"/>
      <c r="G49" s="22"/>
      <c r="I49" s="23"/>
      <c r="J49" s="22"/>
      <c r="L49" s="23"/>
      <c r="M49" s="22"/>
      <c r="O49" s="23"/>
      <c r="Q49" s="23"/>
      <c r="S49" s="22"/>
      <c r="U49" s="22"/>
      <c r="W49" s="22"/>
    </row>
    <row r="51" spans="3:23" x14ac:dyDescent="0.65">
      <c r="G51" s="24"/>
    </row>
  </sheetData>
  <mergeCells count="19">
    <mergeCell ref="Q9:Q10"/>
    <mergeCell ref="S9:S10"/>
    <mergeCell ref="U9:U10"/>
    <mergeCell ref="W9:W10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</mergeCells>
  <pageMargins left="0.7" right="0.7" top="0.75" bottom="0.75" header="0.3" footer="0.3"/>
  <pageSetup paperSize="9" scale="4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BDB1-425E-4187-8FD6-039BCE09161B}">
  <sheetPr>
    <pageSetUpPr fitToPage="1"/>
  </sheetPr>
  <dimension ref="A1:Q13"/>
  <sheetViews>
    <sheetView rightToLeft="1" view="pageBreakPreview" zoomScaleNormal="100" zoomScaleSheetLayoutView="100" workbookViewId="0">
      <selection activeCell="S6" sqref="S6"/>
    </sheetView>
  </sheetViews>
  <sheetFormatPr defaultRowHeight="18.600000000000001" x14ac:dyDescent="0.65"/>
  <cols>
    <col min="1" max="1" width="24.19921875" style="27" customWidth="1"/>
    <col min="2" max="2" width="1.3984375" style="27" customWidth="1"/>
    <col min="3" max="3" width="18.5" style="27" customWidth="1"/>
    <col min="4" max="4" width="1.3984375" style="27" customWidth="1"/>
    <col min="5" max="5" width="9.8984375" style="27" customWidth="1"/>
    <col min="6" max="6" width="1.3984375" style="27" customWidth="1"/>
    <col min="7" max="7" width="11.3984375" style="27" customWidth="1"/>
    <col min="8" max="8" width="1.3984375" style="27" customWidth="1"/>
    <col min="9" max="9" width="18.5" style="27" customWidth="1"/>
    <col min="10" max="10" width="1.3984375" style="27" customWidth="1"/>
    <col min="11" max="11" width="18.5" style="27" customWidth="1"/>
    <col min="12" max="12" width="1.3984375" style="27" customWidth="1"/>
    <col min="13" max="13" width="18.5" style="27" customWidth="1"/>
    <col min="14" max="14" width="1.3984375" style="27" customWidth="1"/>
    <col min="15" max="15" width="18.5" style="27" customWidth="1"/>
    <col min="16" max="16" width="1.3984375" style="27" customWidth="1"/>
    <col min="17" max="17" width="10.59765625" style="27" customWidth="1"/>
    <col min="18" max="16384" width="8.796875" style="27"/>
  </cols>
  <sheetData>
    <row r="1" spans="1:17" ht="19.95" customHeight="1" x14ac:dyDescent="0.65">
      <c r="A1" s="25" t="s">
        <v>108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9.95" customHeight="1" x14ac:dyDescent="0.6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9.95" customHeight="1" x14ac:dyDescent="0.65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5" spans="1:17" ht="20.399999999999999" x14ac:dyDescent="0.65">
      <c r="A5" s="28" t="s">
        <v>58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7" spans="1:17" ht="20.399999999999999" x14ac:dyDescent="0.65">
      <c r="C7" s="29" t="s">
        <v>12</v>
      </c>
      <c r="D7" s="30"/>
      <c r="E7" s="30"/>
      <c r="F7" s="30"/>
      <c r="G7" s="30"/>
      <c r="I7" s="31" t="s">
        <v>2</v>
      </c>
      <c r="K7" s="29" t="s">
        <v>55</v>
      </c>
      <c r="L7" s="30"/>
      <c r="M7" s="30"/>
      <c r="O7" s="29" t="s">
        <v>3</v>
      </c>
      <c r="P7" s="30"/>
      <c r="Q7" s="30"/>
    </row>
    <row r="8" spans="1:17" ht="40.799999999999997" x14ac:dyDescent="0.65">
      <c r="A8" s="31" t="s">
        <v>13</v>
      </c>
      <c r="C8" s="31" t="s">
        <v>14</v>
      </c>
      <c r="E8" s="31" t="s">
        <v>15</v>
      </c>
      <c r="G8" s="32" t="s">
        <v>16</v>
      </c>
      <c r="I8" s="31" t="s">
        <v>17</v>
      </c>
      <c r="K8" s="31" t="s">
        <v>18</v>
      </c>
      <c r="M8" s="31" t="s">
        <v>19</v>
      </c>
      <c r="O8" s="31" t="s">
        <v>17</v>
      </c>
      <c r="Q8" s="32" t="s">
        <v>7</v>
      </c>
    </row>
    <row r="9" spans="1:17" ht="21" x14ac:dyDescent="0.65">
      <c r="A9" s="33" t="s">
        <v>21</v>
      </c>
      <c r="C9" s="34" t="s">
        <v>115</v>
      </c>
      <c r="E9" s="35" t="s">
        <v>20</v>
      </c>
      <c r="G9" s="34" t="s">
        <v>114</v>
      </c>
      <c r="I9" s="36">
        <v>6392261071</v>
      </c>
      <c r="K9" s="36">
        <v>7778327786</v>
      </c>
      <c r="M9" s="36">
        <v>11457397019</v>
      </c>
      <c r="O9" s="36">
        <v>2713191838</v>
      </c>
      <c r="Q9" s="37">
        <v>3.6289881494868934E-3</v>
      </c>
    </row>
    <row r="10" spans="1:17" ht="21" x14ac:dyDescent="0.65">
      <c r="A10" s="33" t="s">
        <v>22</v>
      </c>
      <c r="C10" s="34" t="s">
        <v>113</v>
      </c>
      <c r="E10" s="35" t="s">
        <v>112</v>
      </c>
      <c r="G10" s="34" t="s">
        <v>111</v>
      </c>
      <c r="I10" s="36">
        <v>156818</v>
      </c>
      <c r="K10" s="36">
        <v>18707075</v>
      </c>
      <c r="M10" s="36">
        <v>0</v>
      </c>
      <c r="O10" s="36">
        <v>18863893</v>
      </c>
      <c r="Q10" s="37">
        <v>2.5231110897285827E-5</v>
      </c>
    </row>
    <row r="11" spans="1:17" ht="21" x14ac:dyDescent="0.65">
      <c r="A11" s="33" t="s">
        <v>22</v>
      </c>
      <c r="C11" s="34" t="s">
        <v>110</v>
      </c>
      <c r="E11" s="35" t="s">
        <v>20</v>
      </c>
      <c r="G11" s="34" t="s">
        <v>109</v>
      </c>
      <c r="I11" s="36">
        <v>80203853668</v>
      </c>
      <c r="K11" s="36">
        <v>44265419341</v>
      </c>
      <c r="M11" s="36">
        <v>45443995302</v>
      </c>
      <c r="O11" s="36">
        <v>79025277707</v>
      </c>
      <c r="Q11" s="37">
        <v>0.10569904873369068</v>
      </c>
    </row>
    <row r="12" spans="1:17" ht="21.6" thickBot="1" x14ac:dyDescent="0.7">
      <c r="A12" s="38" t="s">
        <v>9</v>
      </c>
      <c r="I12" s="38">
        <f>SUM(I9:$I$11)</f>
        <v>86596271557</v>
      </c>
      <c r="K12" s="38">
        <f>SUM(K9:$K$11)</f>
        <v>52062454202</v>
      </c>
      <c r="M12" s="38">
        <f>SUM(M9:$M$11)</f>
        <v>56901392321</v>
      </c>
      <c r="O12" s="38">
        <f>SUM(O9:$O$11)</f>
        <v>81757333438</v>
      </c>
      <c r="Q12" s="39">
        <f>SUM(Q9:$Q$11)</f>
        <v>0.10935326799407485</v>
      </c>
    </row>
    <row r="13" spans="1:17" ht="21.6" thickTop="1" x14ac:dyDescent="0.65">
      <c r="I13" s="40"/>
      <c r="K13" s="40"/>
      <c r="M13" s="40"/>
      <c r="O13" s="40"/>
      <c r="Q13" s="40"/>
    </row>
  </sheetData>
  <mergeCells count="7">
    <mergeCell ref="A1:Q1"/>
    <mergeCell ref="A2:Q2"/>
    <mergeCell ref="A3:Q3"/>
    <mergeCell ref="A5:Q5"/>
    <mergeCell ref="C7:G7"/>
    <mergeCell ref="K7:M7"/>
    <mergeCell ref="O7:Q7"/>
  </mergeCells>
  <pageMargins left="0.7" right="0.7" top="0.75" bottom="0.75" header="0.3" footer="0.3"/>
  <pageSetup paperSize="9" scale="7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A1A6-87DA-427E-B8EE-42484ACC7CE8}">
  <sheetPr>
    <pageSetUpPr fitToPage="1"/>
  </sheetPr>
  <dimension ref="A1:I13"/>
  <sheetViews>
    <sheetView rightToLeft="1" view="pageBreakPreview" zoomScale="115" zoomScaleNormal="100" zoomScaleSheetLayoutView="115" workbookViewId="0">
      <selection activeCell="G12" sqref="G12"/>
    </sheetView>
  </sheetViews>
  <sheetFormatPr defaultRowHeight="18.600000000000001" x14ac:dyDescent="0.65"/>
  <cols>
    <col min="1" max="1" width="49.69921875" style="82" customWidth="1"/>
    <col min="2" max="2" width="1.3984375" style="82" customWidth="1"/>
    <col min="3" max="3" width="11.3984375" style="82" customWidth="1"/>
    <col min="4" max="4" width="1.3984375" style="82" customWidth="1"/>
    <col min="5" max="5" width="21.296875" style="82" customWidth="1"/>
    <col min="6" max="6" width="1.3984375" style="82" customWidth="1"/>
    <col min="7" max="7" width="11.3984375" style="82" customWidth="1"/>
    <col min="8" max="8" width="1.3984375" style="82" customWidth="1"/>
    <col min="9" max="9" width="11.3984375" style="82" customWidth="1"/>
    <col min="10" max="16384" width="8.796875" style="82"/>
  </cols>
  <sheetData>
    <row r="1" spans="1:9" ht="19.95" customHeight="1" x14ac:dyDescent="0.65">
      <c r="A1" s="80" t="s">
        <v>108</v>
      </c>
      <c r="B1" s="81"/>
      <c r="C1" s="81"/>
      <c r="D1" s="81"/>
      <c r="E1" s="81"/>
      <c r="F1" s="81"/>
      <c r="G1" s="81"/>
      <c r="H1" s="81"/>
      <c r="I1" s="81"/>
    </row>
    <row r="2" spans="1:9" ht="19.95" customHeight="1" x14ac:dyDescent="0.65">
      <c r="A2" s="80" t="s">
        <v>23</v>
      </c>
      <c r="B2" s="81"/>
      <c r="C2" s="81"/>
      <c r="D2" s="81"/>
      <c r="E2" s="81"/>
      <c r="F2" s="81"/>
      <c r="G2" s="81"/>
      <c r="H2" s="81"/>
      <c r="I2" s="81"/>
    </row>
    <row r="3" spans="1:9" ht="19.95" customHeight="1" x14ac:dyDescent="0.65">
      <c r="A3" s="80" t="s">
        <v>1</v>
      </c>
      <c r="B3" s="81"/>
      <c r="C3" s="81"/>
      <c r="D3" s="81"/>
      <c r="E3" s="81"/>
      <c r="F3" s="81"/>
      <c r="G3" s="81"/>
      <c r="H3" s="81"/>
      <c r="I3" s="81"/>
    </row>
    <row r="5" spans="1:9" ht="20.399999999999999" x14ac:dyDescent="0.65">
      <c r="A5" s="83" t="s">
        <v>24</v>
      </c>
      <c r="B5" s="81"/>
      <c r="C5" s="81"/>
      <c r="D5" s="81"/>
      <c r="E5" s="81"/>
      <c r="F5" s="81"/>
      <c r="G5" s="81"/>
      <c r="H5" s="81"/>
      <c r="I5" s="81"/>
    </row>
    <row r="6" spans="1:9" ht="20.399999999999999" x14ac:dyDescent="0.65">
      <c r="E6" s="95" t="s">
        <v>60</v>
      </c>
      <c r="F6" s="95"/>
      <c r="G6" s="95"/>
      <c r="H6" s="95"/>
      <c r="I6" s="95"/>
    </row>
    <row r="7" spans="1:9" ht="40.799999999999997" x14ac:dyDescent="0.65">
      <c r="A7" s="84" t="s">
        <v>25</v>
      </c>
      <c r="C7" s="84" t="s">
        <v>26</v>
      </c>
      <c r="E7" s="84" t="s">
        <v>17</v>
      </c>
      <c r="G7" s="85" t="s">
        <v>27</v>
      </c>
      <c r="I7" s="85" t="s">
        <v>28</v>
      </c>
    </row>
    <row r="8" spans="1:9" ht="21" x14ac:dyDescent="0.65">
      <c r="A8" s="86" t="s">
        <v>116</v>
      </c>
      <c r="C8" s="93" t="s">
        <v>63</v>
      </c>
      <c r="E8" s="87">
        <f>'4'!$S$84</f>
        <v>-19632601800</v>
      </c>
      <c r="G8" s="88">
        <f>E8/$E$12</f>
        <v>-1.1094135240550707</v>
      </c>
      <c r="I8" s="88">
        <v>-2.6259285568363506E-2</v>
      </c>
    </row>
    <row r="9" spans="1:9" ht="21" x14ac:dyDescent="0.65">
      <c r="A9" s="86" t="s">
        <v>297</v>
      </c>
      <c r="C9" s="93" t="s">
        <v>64</v>
      </c>
      <c r="E9" s="87">
        <f>'5'!$O$122</f>
        <v>26849633649</v>
      </c>
      <c r="G9" s="88">
        <f t="shared" ref="G9:G11" si="0">E9/$E$12</f>
        <v>1.517238875905113</v>
      </c>
      <c r="I9" s="88">
        <v>3.5912315880365531E-2</v>
      </c>
    </row>
    <row r="10" spans="1:9" ht="21" x14ac:dyDescent="0.65">
      <c r="A10" s="86" t="s">
        <v>29</v>
      </c>
      <c r="C10" s="93" t="s">
        <v>65</v>
      </c>
      <c r="E10" s="87">
        <f>'6'!$I$11</f>
        <v>10335662423</v>
      </c>
      <c r="G10" s="88">
        <f t="shared" si="0"/>
        <v>0.58405522553531342</v>
      </c>
      <c r="I10" s="88">
        <v>1.3824306827420137E-2</v>
      </c>
    </row>
    <row r="11" spans="1:9" ht="21" x14ac:dyDescent="0.65">
      <c r="A11" s="86" t="s">
        <v>30</v>
      </c>
      <c r="C11" s="93" t="s">
        <v>296</v>
      </c>
      <c r="E11" s="87">
        <f>'7'!$E$11</f>
        <v>143684377</v>
      </c>
      <c r="G11" s="88">
        <f t="shared" si="0"/>
        <v>8.1194226146443487E-3</v>
      </c>
      <c r="I11" s="88">
        <v>1.9218283576430512E-4</v>
      </c>
    </row>
    <row r="12" spans="1:9" ht="21.6" thickBot="1" x14ac:dyDescent="0.7">
      <c r="A12" s="92" t="s">
        <v>9</v>
      </c>
      <c r="E12" s="89">
        <f>SUM(E8:$E$11)</f>
        <v>17696378649</v>
      </c>
      <c r="G12" s="94">
        <f>SUM(G8:$G$11)</f>
        <v>1</v>
      </c>
      <c r="I12" s="90">
        <f>SUM(I8:$I$11)</f>
        <v>2.3669519975186466E-2</v>
      </c>
    </row>
    <row r="13" spans="1:9" ht="21.6" thickTop="1" x14ac:dyDescent="0.65">
      <c r="E13" s="91"/>
      <c r="G13" s="91"/>
      <c r="I13" s="91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scale="7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E2C4-58DF-40F9-ACF1-2FB0D07F019F}">
  <sheetPr>
    <pageSetUpPr fitToPage="1"/>
  </sheetPr>
  <dimension ref="A1:U85"/>
  <sheetViews>
    <sheetView rightToLeft="1" view="pageBreakPreview" topLeftCell="A15" zoomScale="60" zoomScaleNormal="100" workbookViewId="0">
      <selection activeCell="E42" sqref="E42"/>
    </sheetView>
  </sheetViews>
  <sheetFormatPr defaultRowHeight="18.600000000000001" x14ac:dyDescent="0.65"/>
  <cols>
    <col min="1" max="1" width="36.796875" style="1" customWidth="1"/>
    <col min="2" max="2" width="1.3984375" style="1" customWidth="1"/>
    <col min="3" max="3" width="17" style="1" customWidth="1"/>
    <col min="4" max="4" width="1.3984375" style="1" customWidth="1"/>
    <col min="5" max="5" width="17" style="1" customWidth="1"/>
    <col min="6" max="6" width="1.3984375" style="1" customWidth="1"/>
    <col min="7" max="7" width="17" style="1" customWidth="1"/>
    <col min="8" max="8" width="1.3984375" style="1" customWidth="1"/>
    <col min="9" max="9" width="17" style="1" customWidth="1"/>
    <col min="10" max="10" width="1.3984375" style="1" customWidth="1"/>
    <col min="11" max="11" width="10.59765625" style="1" customWidth="1"/>
    <col min="12" max="12" width="1.3984375" style="1" customWidth="1"/>
    <col min="13" max="13" width="17" style="1" customWidth="1"/>
    <col min="14" max="14" width="1.3984375" style="1" customWidth="1"/>
    <col min="15" max="15" width="17" style="1" customWidth="1"/>
    <col min="16" max="16" width="1.3984375" style="1" customWidth="1"/>
    <col min="17" max="17" width="17" style="1" customWidth="1"/>
    <col min="18" max="18" width="1.3984375" style="1" customWidth="1"/>
    <col min="19" max="19" width="17" style="1" customWidth="1"/>
    <col min="20" max="20" width="1.3984375" style="1" customWidth="1"/>
    <col min="21" max="21" width="10.59765625" style="1" customWidth="1"/>
    <col min="22" max="16384" width="8.796875" style="1"/>
  </cols>
  <sheetData>
    <row r="1" spans="1:21" ht="19.95" customHeight="1" x14ac:dyDescent="0.65">
      <c r="A1" s="41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9.95" customHeight="1" x14ac:dyDescent="0.65">
      <c r="A2" s="41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9.95" customHeight="1" x14ac:dyDescent="0.65">
      <c r="A3" s="41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spans="1:21" ht="20.399999999999999" x14ac:dyDescent="0.65">
      <c r="A5" s="42" t="s">
        <v>176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1:21" ht="20.399999999999999" x14ac:dyDescent="0.65">
      <c r="C7" s="43" t="s">
        <v>59</v>
      </c>
      <c r="D7" s="44"/>
      <c r="E7" s="44"/>
      <c r="F7" s="44"/>
      <c r="G7" s="44"/>
      <c r="H7" s="44"/>
      <c r="I7" s="44"/>
      <c r="J7" s="44"/>
      <c r="K7" s="44"/>
      <c r="M7" s="43" t="s">
        <v>60</v>
      </c>
      <c r="N7" s="44"/>
      <c r="O7" s="44"/>
      <c r="P7" s="44"/>
      <c r="Q7" s="44"/>
      <c r="R7" s="44"/>
      <c r="S7" s="44"/>
      <c r="T7" s="44"/>
      <c r="U7" s="44"/>
    </row>
    <row r="8" spans="1:21" ht="40.799999999999997" x14ac:dyDescent="0.65">
      <c r="A8" s="45" t="s">
        <v>175</v>
      </c>
      <c r="C8" s="46" t="s">
        <v>174</v>
      </c>
      <c r="E8" s="46" t="s">
        <v>41</v>
      </c>
      <c r="G8" s="46" t="s">
        <v>42</v>
      </c>
      <c r="I8" s="46" t="s">
        <v>173</v>
      </c>
      <c r="K8" s="46" t="s">
        <v>172</v>
      </c>
      <c r="M8" s="46" t="s">
        <v>174</v>
      </c>
      <c r="O8" s="46" t="s">
        <v>41</v>
      </c>
      <c r="Q8" s="46" t="s">
        <v>42</v>
      </c>
      <c r="S8" s="46" t="s">
        <v>173</v>
      </c>
      <c r="U8" s="46" t="s">
        <v>172</v>
      </c>
    </row>
    <row r="9" spans="1:21" ht="21" x14ac:dyDescent="0.65">
      <c r="A9" s="47" t="s">
        <v>102</v>
      </c>
      <c r="C9" s="48">
        <v>0</v>
      </c>
      <c r="E9" s="48">
        <v>1153487062</v>
      </c>
      <c r="G9" s="48">
        <v>-385535</v>
      </c>
      <c r="I9" s="48">
        <v>1153101527</v>
      </c>
      <c r="K9" s="49">
        <v>3.1704826464521489E-2</v>
      </c>
      <c r="M9" s="48">
        <v>0</v>
      </c>
      <c r="O9" s="48">
        <v>-2506896455</v>
      </c>
      <c r="Q9" s="48">
        <v>-953099619</v>
      </c>
      <c r="S9" s="48">
        <v>-3459996074</v>
      </c>
      <c r="U9" s="49">
        <v>-0.19552000681198806</v>
      </c>
    </row>
    <row r="10" spans="1:21" ht="21" x14ac:dyDescent="0.65">
      <c r="A10" s="47" t="s">
        <v>171</v>
      </c>
      <c r="C10" s="48">
        <v>0</v>
      </c>
      <c r="E10" s="48">
        <v>1150243126</v>
      </c>
      <c r="G10" s="48">
        <v>347247244</v>
      </c>
      <c r="I10" s="48">
        <v>1497490370</v>
      </c>
      <c r="K10" s="49">
        <v>4.1173887295651877E-2</v>
      </c>
      <c r="M10" s="48">
        <v>1258089360</v>
      </c>
      <c r="O10" s="48">
        <v>771708648</v>
      </c>
      <c r="Q10" s="48">
        <v>1338953748</v>
      </c>
      <c r="S10" s="48">
        <v>3368751756</v>
      </c>
      <c r="U10" s="49">
        <v>0.19036390567910705</v>
      </c>
    </row>
    <row r="11" spans="1:21" ht="21" x14ac:dyDescent="0.65">
      <c r="A11" s="47" t="s">
        <v>101</v>
      </c>
      <c r="C11" s="48">
        <v>0</v>
      </c>
      <c r="E11" s="48">
        <v>-24203491</v>
      </c>
      <c r="G11" s="48">
        <v>0</v>
      </c>
      <c r="I11" s="48">
        <v>-24203491</v>
      </c>
      <c r="K11" s="49">
        <v>-6.6548128158935968E-4</v>
      </c>
      <c r="M11" s="48">
        <v>1800000000</v>
      </c>
      <c r="O11" s="48">
        <v>1508268497</v>
      </c>
      <c r="Q11" s="48">
        <v>2282088371</v>
      </c>
      <c r="S11" s="48">
        <v>5590356868</v>
      </c>
      <c r="U11" s="49">
        <v>0.31590400380113387</v>
      </c>
    </row>
    <row r="12" spans="1:21" ht="21" x14ac:dyDescent="0.65">
      <c r="A12" s="47" t="s">
        <v>170</v>
      </c>
      <c r="C12" s="48">
        <v>0</v>
      </c>
      <c r="E12" s="48">
        <v>-796044</v>
      </c>
      <c r="G12" s="48">
        <v>490230</v>
      </c>
      <c r="I12" s="48">
        <v>-305814</v>
      </c>
      <c r="K12" s="49">
        <v>-8.408435487590135E-6</v>
      </c>
      <c r="M12" s="48">
        <v>0</v>
      </c>
      <c r="O12" s="48">
        <v>-796044</v>
      </c>
      <c r="Q12" s="48">
        <v>-2457557470</v>
      </c>
      <c r="S12" s="48">
        <v>-2458353514</v>
      </c>
      <c r="U12" s="49">
        <v>-0.13891845121311971</v>
      </c>
    </row>
    <row r="13" spans="1:21" ht="21" x14ac:dyDescent="0.65">
      <c r="A13" s="47" t="s">
        <v>169</v>
      </c>
      <c r="C13" s="48">
        <v>2200000000</v>
      </c>
      <c r="E13" s="48">
        <v>218691000</v>
      </c>
      <c r="G13" s="48">
        <v>0</v>
      </c>
      <c r="I13" s="48">
        <v>2418691000</v>
      </c>
      <c r="K13" s="49">
        <v>6.6502538268080835E-2</v>
      </c>
      <c r="M13" s="48">
        <v>2200000000</v>
      </c>
      <c r="O13" s="48">
        <v>-5592330342</v>
      </c>
      <c r="Q13" s="48">
        <v>-3087240096</v>
      </c>
      <c r="S13" s="48">
        <v>-6479570438</v>
      </c>
      <c r="U13" s="49">
        <v>-0.36615233921693646</v>
      </c>
    </row>
    <row r="14" spans="1:21" ht="21" x14ac:dyDescent="0.65">
      <c r="A14" s="47" t="s">
        <v>98</v>
      </c>
      <c r="C14" s="48">
        <v>0</v>
      </c>
      <c r="E14" s="48">
        <v>1117588161</v>
      </c>
      <c r="G14" s="48">
        <v>-2720783</v>
      </c>
      <c r="I14" s="48">
        <v>1114867378</v>
      </c>
      <c r="K14" s="49">
        <v>3.065356859114287E-2</v>
      </c>
      <c r="M14" s="48">
        <v>0</v>
      </c>
      <c r="O14" s="48">
        <v>-4855361281</v>
      </c>
      <c r="Q14" s="48">
        <v>-5931247280</v>
      </c>
      <c r="S14" s="48">
        <v>-10786608561</v>
      </c>
      <c r="U14" s="49">
        <v>-0.60953762207215978</v>
      </c>
    </row>
    <row r="15" spans="1:21" ht="21" x14ac:dyDescent="0.65">
      <c r="A15" s="47" t="s">
        <v>168</v>
      </c>
      <c r="C15" s="48">
        <v>0</v>
      </c>
      <c r="E15" s="48">
        <v>89365095</v>
      </c>
      <c r="G15" s="48">
        <v>0</v>
      </c>
      <c r="I15" s="48">
        <v>89365095</v>
      </c>
      <c r="K15" s="49">
        <v>2.4571165353772678E-3</v>
      </c>
      <c r="M15" s="48">
        <v>646000000</v>
      </c>
      <c r="O15" s="48">
        <v>-1659126106</v>
      </c>
      <c r="Q15" s="48">
        <v>-6846862313</v>
      </c>
      <c r="S15" s="48">
        <v>-7859988419</v>
      </c>
      <c r="U15" s="49">
        <v>-0.44415801531485416</v>
      </c>
    </row>
    <row r="16" spans="1:21" ht="21" x14ac:dyDescent="0.65">
      <c r="A16" s="47" t="s">
        <v>97</v>
      </c>
      <c r="C16" s="48">
        <v>1330000000</v>
      </c>
      <c r="E16" s="48">
        <v>-1040273325</v>
      </c>
      <c r="G16" s="48">
        <v>0</v>
      </c>
      <c r="I16" s="48">
        <v>289726675</v>
      </c>
      <c r="K16" s="49">
        <v>7.966110301593431E-3</v>
      </c>
      <c r="M16" s="48">
        <v>1330000000</v>
      </c>
      <c r="O16" s="48">
        <v>-1667731662</v>
      </c>
      <c r="Q16" s="48">
        <v>1293559138</v>
      </c>
      <c r="S16" s="48">
        <v>955827476</v>
      </c>
      <c r="U16" s="49">
        <v>5.4012603084417646E-2</v>
      </c>
    </row>
    <row r="17" spans="1:21" ht="21" x14ac:dyDescent="0.65">
      <c r="A17" s="47" t="s">
        <v>96</v>
      </c>
      <c r="C17" s="48">
        <v>1705000000</v>
      </c>
      <c r="E17" s="48">
        <v>-1671274336</v>
      </c>
      <c r="G17" s="48">
        <v>0</v>
      </c>
      <c r="I17" s="48">
        <v>33725664</v>
      </c>
      <c r="K17" s="49">
        <v>9.2729590542009542E-4</v>
      </c>
      <c r="M17" s="48">
        <v>1705000000</v>
      </c>
      <c r="O17" s="48">
        <v>-4275898805</v>
      </c>
      <c r="Q17" s="48">
        <v>0</v>
      </c>
      <c r="S17" s="48">
        <v>-2570898805</v>
      </c>
      <c r="U17" s="49">
        <v>-0.14527824341876175</v>
      </c>
    </row>
    <row r="18" spans="1:21" ht="21" x14ac:dyDescent="0.65">
      <c r="A18" s="47" t="s">
        <v>167</v>
      </c>
      <c r="C18" s="48">
        <v>0</v>
      </c>
      <c r="E18" s="48">
        <v>-504308449</v>
      </c>
      <c r="G18" s="48">
        <v>0</v>
      </c>
      <c r="I18" s="48">
        <v>-504308449</v>
      </c>
      <c r="K18" s="49">
        <v>-1.3866092001226692E-2</v>
      </c>
      <c r="M18" s="48">
        <v>1553500000</v>
      </c>
      <c r="O18" s="48">
        <v>-4449692899</v>
      </c>
      <c r="Q18" s="48">
        <v>-1181765226</v>
      </c>
      <c r="S18" s="48">
        <v>-4077958125</v>
      </c>
      <c r="U18" s="49">
        <v>-0.23044026158597372</v>
      </c>
    </row>
    <row r="19" spans="1:21" ht="21" x14ac:dyDescent="0.65">
      <c r="A19" s="47" t="s">
        <v>166</v>
      </c>
      <c r="C19" s="48">
        <v>0</v>
      </c>
      <c r="E19" s="48">
        <v>2088419364</v>
      </c>
      <c r="G19" s="48">
        <v>0</v>
      </c>
      <c r="I19" s="48">
        <v>2088419364</v>
      </c>
      <c r="K19" s="49">
        <v>5.7421633716010452E-2</v>
      </c>
      <c r="M19" s="48">
        <v>5006486160</v>
      </c>
      <c r="O19" s="48">
        <v>-7309028483</v>
      </c>
      <c r="Q19" s="48">
        <v>-4220285512</v>
      </c>
      <c r="S19" s="48">
        <v>-6522827835</v>
      </c>
      <c r="U19" s="49">
        <v>-0.36859676007037728</v>
      </c>
    </row>
    <row r="20" spans="1:21" ht="21" x14ac:dyDescent="0.65">
      <c r="A20" s="47" t="s">
        <v>94</v>
      </c>
      <c r="C20" s="48">
        <v>0</v>
      </c>
      <c r="E20" s="48">
        <v>27919950</v>
      </c>
      <c r="G20" s="48">
        <v>-146157600</v>
      </c>
      <c r="I20" s="48">
        <v>-118237650</v>
      </c>
      <c r="K20" s="49">
        <v>-3.2509749463048186E-3</v>
      </c>
      <c r="M20" s="48">
        <v>0</v>
      </c>
      <c r="O20" s="48">
        <v>0</v>
      </c>
      <c r="Q20" s="48">
        <v>402934800</v>
      </c>
      <c r="S20" s="48">
        <v>402934800</v>
      </c>
      <c r="U20" s="49">
        <v>2.2769336483584417E-2</v>
      </c>
    </row>
    <row r="21" spans="1:21" ht="21" x14ac:dyDescent="0.65">
      <c r="A21" s="47" t="s">
        <v>93</v>
      </c>
      <c r="C21" s="48">
        <v>0</v>
      </c>
      <c r="E21" s="48">
        <v>366043763</v>
      </c>
      <c r="G21" s="48">
        <v>-651337154</v>
      </c>
      <c r="I21" s="48">
        <v>-285293391</v>
      </c>
      <c r="K21" s="49">
        <v>-7.8442160046934672E-3</v>
      </c>
      <c r="M21" s="48">
        <v>0</v>
      </c>
      <c r="O21" s="48">
        <v>0</v>
      </c>
      <c r="Q21" s="48">
        <v>229043646</v>
      </c>
      <c r="S21" s="48">
        <v>229043646</v>
      </c>
      <c r="U21" s="49">
        <v>1.2942967063656437E-2</v>
      </c>
    </row>
    <row r="22" spans="1:21" ht="21" x14ac:dyDescent="0.65">
      <c r="A22" s="47" t="s">
        <v>92</v>
      </c>
      <c r="C22" s="48">
        <v>0</v>
      </c>
      <c r="E22" s="48">
        <v>1483182304</v>
      </c>
      <c r="G22" s="48">
        <v>-642820804</v>
      </c>
      <c r="I22" s="48">
        <v>840361500</v>
      </c>
      <c r="K22" s="49">
        <v>2.3105958062758662E-2</v>
      </c>
      <c r="M22" s="48">
        <v>2100000000</v>
      </c>
      <c r="O22" s="48">
        <v>-3149389220</v>
      </c>
      <c r="Q22" s="48">
        <v>998010902</v>
      </c>
      <c r="S22" s="48">
        <v>-51378318</v>
      </c>
      <c r="U22" s="49">
        <v>-2.9033238392479426E-3</v>
      </c>
    </row>
    <row r="23" spans="1:21" ht="21" x14ac:dyDescent="0.65">
      <c r="A23" s="47" t="s">
        <v>165</v>
      </c>
      <c r="C23" s="48">
        <v>0</v>
      </c>
      <c r="E23" s="48">
        <v>1405586700</v>
      </c>
      <c r="G23" s="48">
        <v>0</v>
      </c>
      <c r="I23" s="48">
        <v>1405586700</v>
      </c>
      <c r="K23" s="49">
        <v>3.864697198023867E-2</v>
      </c>
      <c r="M23" s="48">
        <v>1310400000</v>
      </c>
      <c r="O23" s="48">
        <v>-190335699</v>
      </c>
      <c r="Q23" s="48">
        <v>44473593</v>
      </c>
      <c r="S23" s="48">
        <v>1164537894</v>
      </c>
      <c r="U23" s="49">
        <v>6.5806565122622229E-2</v>
      </c>
    </row>
    <row r="24" spans="1:21" ht="21" x14ac:dyDescent="0.65">
      <c r="A24" s="47" t="s">
        <v>164</v>
      </c>
      <c r="C24" s="48">
        <v>0</v>
      </c>
      <c r="E24" s="48">
        <v>1993820240</v>
      </c>
      <c r="G24" s="48">
        <v>0</v>
      </c>
      <c r="I24" s="48">
        <v>1993820240</v>
      </c>
      <c r="K24" s="49">
        <v>5.4820606191644201E-2</v>
      </c>
      <c r="M24" s="48">
        <v>4394680000</v>
      </c>
      <c r="O24" s="48">
        <v>-1586250834</v>
      </c>
      <c r="Q24" s="48">
        <v>-1308998245</v>
      </c>
      <c r="S24" s="48">
        <v>1499430921</v>
      </c>
      <c r="U24" s="49">
        <v>8.4730946977376695E-2</v>
      </c>
    </row>
    <row r="25" spans="1:21" ht="21" x14ac:dyDescent="0.65">
      <c r="A25" s="47" t="s">
        <v>91</v>
      </c>
      <c r="C25" s="48">
        <v>0</v>
      </c>
      <c r="E25" s="48">
        <v>-355994156</v>
      </c>
      <c r="G25" s="48">
        <v>0</v>
      </c>
      <c r="I25" s="48">
        <v>-355994156</v>
      </c>
      <c r="K25" s="49">
        <v>-9.7881519311905241E-3</v>
      </c>
      <c r="M25" s="48">
        <v>562500000</v>
      </c>
      <c r="O25" s="48">
        <v>-416086304</v>
      </c>
      <c r="Q25" s="48">
        <v>598442884</v>
      </c>
      <c r="S25" s="48">
        <v>744856580</v>
      </c>
      <c r="U25" s="49">
        <v>4.2090904290301843E-2</v>
      </c>
    </row>
    <row r="26" spans="1:21" ht="21" x14ac:dyDescent="0.65">
      <c r="A26" s="47" t="s">
        <v>90</v>
      </c>
      <c r="C26" s="48">
        <v>0</v>
      </c>
      <c r="E26" s="48">
        <v>1537795350</v>
      </c>
      <c r="G26" s="48">
        <v>0</v>
      </c>
      <c r="I26" s="48">
        <v>1537795350</v>
      </c>
      <c r="K26" s="49">
        <v>4.2282083206102709E-2</v>
      </c>
      <c r="M26" s="48">
        <v>0</v>
      </c>
      <c r="O26" s="48">
        <v>262476321</v>
      </c>
      <c r="Q26" s="48">
        <v>4884647069</v>
      </c>
      <c r="S26" s="48">
        <v>5147123390</v>
      </c>
      <c r="U26" s="49">
        <v>0.29085743993677809</v>
      </c>
    </row>
    <row r="27" spans="1:21" ht="21" x14ac:dyDescent="0.65">
      <c r="A27" s="47" t="s">
        <v>163</v>
      </c>
      <c r="C27" s="48">
        <v>0</v>
      </c>
      <c r="E27" s="48">
        <v>1431432000</v>
      </c>
      <c r="G27" s="48">
        <v>0</v>
      </c>
      <c r="I27" s="48">
        <v>1431432000</v>
      </c>
      <c r="K27" s="49">
        <v>3.9357595227400059E-2</v>
      </c>
      <c r="M27" s="48">
        <v>4760000000</v>
      </c>
      <c r="O27" s="48">
        <v>-28212648282</v>
      </c>
      <c r="Q27" s="48">
        <v>-8146271391</v>
      </c>
      <c r="S27" s="48">
        <v>-31598919673</v>
      </c>
      <c r="U27" s="49">
        <v>-1.7856150289135917</v>
      </c>
    </row>
    <row r="28" spans="1:21" ht="21" x14ac:dyDescent="0.65">
      <c r="A28" s="47" t="s">
        <v>87</v>
      </c>
      <c r="C28" s="48">
        <v>0</v>
      </c>
      <c r="E28" s="48">
        <v>136185525</v>
      </c>
      <c r="G28" s="48">
        <v>-124824600</v>
      </c>
      <c r="I28" s="48">
        <v>11360925</v>
      </c>
      <c r="K28" s="49">
        <v>3.1237158842253773E-4</v>
      </c>
      <c r="M28" s="48">
        <v>262500000</v>
      </c>
      <c r="O28" s="48">
        <v>0</v>
      </c>
      <c r="Q28" s="48">
        <v>808314250</v>
      </c>
      <c r="S28" s="48">
        <v>1070814250</v>
      </c>
      <c r="U28" s="49">
        <v>6.0510360409840709E-2</v>
      </c>
    </row>
    <row r="29" spans="1:21" ht="21" x14ac:dyDescent="0.65">
      <c r="A29" s="47" t="s">
        <v>162</v>
      </c>
      <c r="C29" s="48">
        <v>0</v>
      </c>
      <c r="E29" s="48">
        <v>92294918</v>
      </c>
      <c r="G29" s="48">
        <v>0</v>
      </c>
      <c r="I29" s="48">
        <v>92294918</v>
      </c>
      <c r="K29" s="49">
        <v>2.5376727809564687E-3</v>
      </c>
      <c r="M29" s="48">
        <v>1976000000</v>
      </c>
      <c r="O29" s="48">
        <v>-7291121628</v>
      </c>
      <c r="Q29" s="48">
        <v>-1626775972</v>
      </c>
      <c r="S29" s="48">
        <v>-6941897600</v>
      </c>
      <c r="U29" s="49">
        <v>-0.3922778630413335</v>
      </c>
    </row>
    <row r="30" spans="1:21" ht="21" x14ac:dyDescent="0.65">
      <c r="A30" s="47" t="s">
        <v>161</v>
      </c>
      <c r="C30" s="48">
        <v>0</v>
      </c>
      <c r="E30" s="48">
        <v>-7157160</v>
      </c>
      <c r="G30" s="48">
        <v>0</v>
      </c>
      <c r="I30" s="48">
        <v>-7157160</v>
      </c>
      <c r="K30" s="49">
        <v>-1.967879761370003E-4</v>
      </c>
      <c r="M30" s="48">
        <v>1612000000</v>
      </c>
      <c r="O30" s="48">
        <v>-2917194249</v>
      </c>
      <c r="Q30" s="48">
        <v>-6999131137</v>
      </c>
      <c r="S30" s="48">
        <v>-8304325386</v>
      </c>
      <c r="U30" s="49">
        <v>-0.46926693594846125</v>
      </c>
    </row>
    <row r="31" spans="1:21" ht="21" x14ac:dyDescent="0.65">
      <c r="A31" s="47" t="s">
        <v>160</v>
      </c>
      <c r="C31" s="48">
        <v>0</v>
      </c>
      <c r="E31" s="48">
        <v>4592511000</v>
      </c>
      <c r="G31" s="48">
        <v>0</v>
      </c>
      <c r="I31" s="48">
        <v>4592511000</v>
      </c>
      <c r="K31" s="49">
        <v>0.12627228468790852</v>
      </c>
      <c r="M31" s="48">
        <v>4440000000</v>
      </c>
      <c r="O31" s="48">
        <v>96846607</v>
      </c>
      <c r="Q31" s="48">
        <v>2388053323</v>
      </c>
      <c r="S31" s="48">
        <v>6924899930</v>
      </c>
      <c r="U31" s="49">
        <v>0.39131734618434588</v>
      </c>
    </row>
    <row r="32" spans="1:21" ht="21" x14ac:dyDescent="0.65">
      <c r="A32" s="47" t="s">
        <v>79</v>
      </c>
      <c r="C32" s="48">
        <v>0</v>
      </c>
      <c r="E32" s="48">
        <v>1151408115</v>
      </c>
      <c r="G32" s="48">
        <v>0</v>
      </c>
      <c r="I32" s="48">
        <v>1151408115</v>
      </c>
      <c r="K32" s="49">
        <v>3.1658265661039922E-2</v>
      </c>
      <c r="M32" s="48">
        <v>1891500000</v>
      </c>
      <c r="O32" s="48">
        <v>-1750047148</v>
      </c>
      <c r="Q32" s="48">
        <v>488588020</v>
      </c>
      <c r="S32" s="48">
        <v>630040872</v>
      </c>
      <c r="U32" s="49">
        <v>3.5602813688415447E-2</v>
      </c>
    </row>
    <row r="33" spans="1:21" ht="21" x14ac:dyDescent="0.65">
      <c r="A33" s="47" t="s">
        <v>159</v>
      </c>
      <c r="C33" s="48">
        <v>0</v>
      </c>
      <c r="E33" s="48">
        <v>2887218225</v>
      </c>
      <c r="G33" s="48">
        <v>0</v>
      </c>
      <c r="I33" s="48">
        <v>2887218225</v>
      </c>
      <c r="K33" s="49">
        <v>7.9384816206932968E-2</v>
      </c>
      <c r="M33" s="48">
        <v>3330000000</v>
      </c>
      <c r="O33" s="48">
        <v>675479377</v>
      </c>
      <c r="Q33" s="48">
        <v>1386090593</v>
      </c>
      <c r="S33" s="48">
        <v>5391569970</v>
      </c>
      <c r="U33" s="49">
        <v>0.30467080734083812</v>
      </c>
    </row>
    <row r="34" spans="1:21" ht="21" x14ac:dyDescent="0.65">
      <c r="A34" s="47" t="s">
        <v>158</v>
      </c>
      <c r="C34" s="48">
        <v>0</v>
      </c>
      <c r="E34" s="48">
        <v>721680300</v>
      </c>
      <c r="G34" s="48">
        <v>0</v>
      </c>
      <c r="I34" s="48">
        <v>721680300</v>
      </c>
      <c r="K34" s="49">
        <v>1.98427875938142E-2</v>
      </c>
      <c r="M34" s="48">
        <v>1298050000</v>
      </c>
      <c r="O34" s="48">
        <v>519596458</v>
      </c>
      <c r="Q34" s="48">
        <v>5602455</v>
      </c>
      <c r="S34" s="48">
        <v>1823248913</v>
      </c>
      <c r="U34" s="49">
        <v>0.10302949259638663</v>
      </c>
    </row>
    <row r="35" spans="1:21" ht="21" x14ac:dyDescent="0.65">
      <c r="A35" s="47" t="s">
        <v>157</v>
      </c>
      <c r="C35" s="48">
        <v>0</v>
      </c>
      <c r="E35" s="48">
        <v>973373760</v>
      </c>
      <c r="G35" s="48">
        <v>0</v>
      </c>
      <c r="I35" s="48">
        <v>973373760</v>
      </c>
      <c r="K35" s="49">
        <v>2.6763164754632043E-2</v>
      </c>
      <c r="M35" s="48">
        <v>1080336390</v>
      </c>
      <c r="O35" s="48">
        <v>178415124</v>
      </c>
      <c r="Q35" s="48">
        <v>153751056</v>
      </c>
      <c r="S35" s="48">
        <v>1412502570</v>
      </c>
      <c r="U35" s="49">
        <v>7.9818735686909517E-2</v>
      </c>
    </row>
    <row r="36" spans="1:21" ht="21" x14ac:dyDescent="0.65">
      <c r="A36" s="47" t="s">
        <v>156</v>
      </c>
      <c r="C36" s="48">
        <v>220000</v>
      </c>
      <c r="E36" s="48">
        <v>0</v>
      </c>
      <c r="G36" s="48">
        <v>0</v>
      </c>
      <c r="I36" s="48">
        <v>220000</v>
      </c>
      <c r="K36" s="49">
        <v>6.0489572330561382E-6</v>
      </c>
      <c r="M36" s="48">
        <v>1839860000</v>
      </c>
      <c r="O36" s="48">
        <v>0</v>
      </c>
      <c r="Q36" s="48">
        <v>-2090606228</v>
      </c>
      <c r="S36" s="48">
        <v>-250746228</v>
      </c>
      <c r="U36" s="49">
        <v>-1.4169352553618045E-2</v>
      </c>
    </row>
    <row r="37" spans="1:21" ht="21" x14ac:dyDescent="0.65">
      <c r="A37" s="47" t="s">
        <v>78</v>
      </c>
      <c r="C37" s="48">
        <v>0</v>
      </c>
      <c r="E37" s="48">
        <v>-586489500</v>
      </c>
      <c r="G37" s="48">
        <v>0</v>
      </c>
      <c r="I37" s="48">
        <v>-586489500</v>
      </c>
      <c r="K37" s="49">
        <v>-1.6125681377893081E-2</v>
      </c>
      <c r="M37" s="48">
        <v>953521800</v>
      </c>
      <c r="O37" s="48">
        <v>-3161079000</v>
      </c>
      <c r="Q37" s="48">
        <v>564872035</v>
      </c>
      <c r="S37" s="48">
        <v>-1642685165</v>
      </c>
      <c r="U37" s="49">
        <v>-9.282606331961743E-2</v>
      </c>
    </row>
    <row r="38" spans="1:21" ht="21" x14ac:dyDescent="0.65">
      <c r="A38" s="47" t="s">
        <v>77</v>
      </c>
      <c r="C38" s="48">
        <v>0</v>
      </c>
      <c r="E38" s="48">
        <v>2045754900</v>
      </c>
      <c r="G38" s="48">
        <v>0</v>
      </c>
      <c r="I38" s="48">
        <v>2045754900</v>
      </c>
      <c r="K38" s="49">
        <v>5.6248563179159258E-2</v>
      </c>
      <c r="M38" s="48">
        <v>2492000000</v>
      </c>
      <c r="O38" s="48">
        <v>-1792883780</v>
      </c>
      <c r="Q38" s="48">
        <v>0</v>
      </c>
      <c r="S38" s="48">
        <v>699116220</v>
      </c>
      <c r="U38" s="49">
        <v>3.9506174334685486E-2</v>
      </c>
    </row>
    <row r="39" spans="1:21" ht="21" x14ac:dyDescent="0.65">
      <c r="A39" s="47" t="s">
        <v>76</v>
      </c>
      <c r="C39" s="48">
        <v>0</v>
      </c>
      <c r="E39" s="48">
        <v>-710748078</v>
      </c>
      <c r="G39" s="48">
        <v>-33319</v>
      </c>
      <c r="I39" s="48">
        <v>-710781397</v>
      </c>
      <c r="K39" s="49">
        <v>-1.95431194204768E-2</v>
      </c>
      <c r="M39" s="48">
        <v>2380003400</v>
      </c>
      <c r="O39" s="48">
        <v>802511821</v>
      </c>
      <c r="Q39" s="48">
        <v>2790422977</v>
      </c>
      <c r="S39" s="48">
        <v>5972938198</v>
      </c>
      <c r="U39" s="49">
        <v>0.33752319140942</v>
      </c>
    </row>
    <row r="40" spans="1:21" ht="21" x14ac:dyDescent="0.65">
      <c r="A40" s="47" t="s">
        <v>75</v>
      </c>
      <c r="C40" s="48">
        <v>0</v>
      </c>
      <c r="E40" s="48">
        <v>-360840150</v>
      </c>
      <c r="G40" s="48">
        <v>0</v>
      </c>
      <c r="I40" s="48">
        <v>-360840150</v>
      </c>
      <c r="K40" s="49">
        <v>-9.9213937969070999E-3</v>
      </c>
      <c r="M40" s="48">
        <v>864000000</v>
      </c>
      <c r="O40" s="48">
        <v>-2234685064</v>
      </c>
      <c r="Q40" s="48">
        <v>-262326308</v>
      </c>
      <c r="S40" s="48">
        <v>-1633011372</v>
      </c>
      <c r="U40" s="49">
        <v>-9.2279409498975618E-2</v>
      </c>
    </row>
    <row r="41" spans="1:21" ht="21" x14ac:dyDescent="0.65">
      <c r="A41" s="47" t="s">
        <v>155</v>
      </c>
      <c r="C41" s="48">
        <v>4560000000</v>
      </c>
      <c r="E41" s="48">
        <v>-1910961720</v>
      </c>
      <c r="G41" s="48">
        <v>0</v>
      </c>
      <c r="I41" s="48">
        <v>2649038280</v>
      </c>
      <c r="K41" s="49">
        <v>7.2835996656584509E-2</v>
      </c>
      <c r="M41" s="48">
        <v>4560000000</v>
      </c>
      <c r="O41" s="48">
        <v>4392573942</v>
      </c>
      <c r="Q41" s="48">
        <v>778763390</v>
      </c>
      <c r="S41" s="48">
        <v>9731337332</v>
      </c>
      <c r="U41" s="49">
        <v>0.54990557814210794</v>
      </c>
    </row>
    <row r="42" spans="1:21" ht="21" x14ac:dyDescent="0.65">
      <c r="A42" s="47" t="s">
        <v>72</v>
      </c>
      <c r="C42" s="48">
        <v>0</v>
      </c>
      <c r="E42" s="48">
        <v>3177422</v>
      </c>
      <c r="G42" s="48">
        <v>-4098656</v>
      </c>
      <c r="I42" s="48">
        <v>-921234</v>
      </c>
      <c r="K42" s="49">
        <v>-2.5329568489260174E-5</v>
      </c>
      <c r="M42" s="48">
        <v>1865500000</v>
      </c>
      <c r="O42" s="48">
        <v>0</v>
      </c>
      <c r="Q42" s="48">
        <v>433500928</v>
      </c>
      <c r="S42" s="48">
        <v>2299000928</v>
      </c>
      <c r="U42" s="49">
        <v>0.129913637902968</v>
      </c>
    </row>
    <row r="43" spans="1:21" ht="21" x14ac:dyDescent="0.65">
      <c r="A43" s="47" t="s">
        <v>71</v>
      </c>
      <c r="C43" s="48">
        <v>0</v>
      </c>
      <c r="E43" s="48">
        <v>-278334000</v>
      </c>
      <c r="G43" s="48">
        <v>0</v>
      </c>
      <c r="I43" s="48">
        <v>-278334000</v>
      </c>
      <c r="K43" s="49">
        <v>-7.6528657386611236E-3</v>
      </c>
      <c r="M43" s="48">
        <v>3248000000</v>
      </c>
      <c r="O43" s="48">
        <v>974169000</v>
      </c>
      <c r="Q43" s="48">
        <v>3233980000</v>
      </c>
      <c r="S43" s="48">
        <v>7456149000</v>
      </c>
      <c r="U43" s="49">
        <v>0.4213375599544677</v>
      </c>
    </row>
    <row r="44" spans="1:21" ht="21" x14ac:dyDescent="0.65">
      <c r="A44" s="47" t="s">
        <v>70</v>
      </c>
      <c r="C44" s="48">
        <v>0</v>
      </c>
      <c r="E44" s="48">
        <v>-283304250</v>
      </c>
      <c r="G44" s="48">
        <v>0</v>
      </c>
      <c r="I44" s="48">
        <v>-283304250</v>
      </c>
      <c r="K44" s="49">
        <v>-7.7895240554229292E-3</v>
      </c>
      <c r="M44" s="48">
        <v>235000000</v>
      </c>
      <c r="O44" s="48">
        <v>310497600</v>
      </c>
      <c r="Q44" s="48">
        <v>560334700</v>
      </c>
      <c r="S44" s="48">
        <v>1105832300</v>
      </c>
      <c r="U44" s="49">
        <v>6.2489186173832756E-2</v>
      </c>
    </row>
    <row r="45" spans="1:21" ht="21" x14ac:dyDescent="0.65">
      <c r="A45" s="47" t="s">
        <v>69</v>
      </c>
      <c r="C45" s="48">
        <v>0</v>
      </c>
      <c r="E45" s="48">
        <v>2061847399</v>
      </c>
      <c r="G45" s="48">
        <v>4314371873</v>
      </c>
      <c r="I45" s="48">
        <v>6376219272</v>
      </c>
      <c r="K45" s="49">
        <v>0.17531580765871066</v>
      </c>
      <c r="M45" s="48">
        <v>0</v>
      </c>
      <c r="O45" s="48">
        <v>10838320380</v>
      </c>
      <c r="Q45" s="48">
        <v>6669674075</v>
      </c>
      <c r="S45" s="48">
        <v>17507994455</v>
      </c>
      <c r="U45" s="49">
        <v>0.98935464720005606</v>
      </c>
    </row>
    <row r="46" spans="1:21" ht="21" x14ac:dyDescent="0.65">
      <c r="A46" s="47" t="s">
        <v>154</v>
      </c>
      <c r="C46" s="48">
        <v>0</v>
      </c>
      <c r="E46" s="48">
        <v>80385753</v>
      </c>
      <c r="G46" s="48">
        <v>-313371103</v>
      </c>
      <c r="I46" s="48">
        <v>-232985350</v>
      </c>
      <c r="K46" s="49">
        <v>-6.4059928094482542E-3</v>
      </c>
      <c r="M46" s="48">
        <v>0</v>
      </c>
      <c r="O46" s="48">
        <v>-1787369868</v>
      </c>
      <c r="Q46" s="48">
        <v>-153952245</v>
      </c>
      <c r="S46" s="48">
        <v>-1941322113</v>
      </c>
      <c r="U46" s="49">
        <v>-0.10970165995570522</v>
      </c>
    </row>
    <row r="47" spans="1:21" ht="21" x14ac:dyDescent="0.65">
      <c r="A47" s="47" t="s">
        <v>153</v>
      </c>
      <c r="C47" s="48">
        <v>0</v>
      </c>
      <c r="E47" s="48">
        <v>0</v>
      </c>
      <c r="G47" s="48">
        <v>0</v>
      </c>
      <c r="I47" s="48">
        <v>0</v>
      </c>
      <c r="K47" s="49">
        <v>0</v>
      </c>
      <c r="L47" s="50"/>
      <c r="M47" s="48">
        <v>0</v>
      </c>
      <c r="O47" s="48">
        <v>0</v>
      </c>
      <c r="Q47" s="48">
        <v>410312059</v>
      </c>
      <c r="S47" s="48">
        <v>410312059</v>
      </c>
      <c r="U47" s="49">
        <v>2.3186216069307843E-2</v>
      </c>
    </row>
    <row r="48" spans="1:21" ht="21" x14ac:dyDescent="0.65">
      <c r="A48" s="47" t="s">
        <v>152</v>
      </c>
      <c r="C48" s="48">
        <v>0</v>
      </c>
      <c r="E48" s="48">
        <v>0</v>
      </c>
      <c r="G48" s="48">
        <v>0</v>
      </c>
      <c r="I48" s="48">
        <v>0</v>
      </c>
      <c r="K48" s="49">
        <v>0</v>
      </c>
      <c r="L48" s="50"/>
      <c r="M48" s="48">
        <v>0</v>
      </c>
      <c r="O48" s="48">
        <v>0</v>
      </c>
      <c r="Q48" s="48">
        <v>191025600</v>
      </c>
      <c r="S48" s="48">
        <v>191025600</v>
      </c>
      <c r="U48" s="49">
        <v>1.079461531587394E-2</v>
      </c>
    </row>
    <row r="49" spans="1:21" ht="21" x14ac:dyDescent="0.65">
      <c r="A49" s="47" t="s">
        <v>151</v>
      </c>
      <c r="C49" s="48">
        <v>0</v>
      </c>
      <c r="E49" s="48">
        <v>0</v>
      </c>
      <c r="G49" s="48">
        <v>0</v>
      </c>
      <c r="I49" s="48">
        <v>0</v>
      </c>
      <c r="K49" s="49">
        <v>0</v>
      </c>
      <c r="L49" s="50"/>
      <c r="M49" s="48">
        <v>0</v>
      </c>
      <c r="O49" s="48">
        <v>0</v>
      </c>
      <c r="Q49" s="48">
        <v>-1476525993</v>
      </c>
      <c r="S49" s="48">
        <v>-1476525993</v>
      </c>
      <c r="U49" s="49">
        <v>-8.3436618433988849E-2</v>
      </c>
    </row>
    <row r="50" spans="1:21" ht="21" x14ac:dyDescent="0.65">
      <c r="A50" s="47" t="s">
        <v>150</v>
      </c>
      <c r="C50" s="48">
        <v>0</v>
      </c>
      <c r="E50" s="48">
        <v>0</v>
      </c>
      <c r="G50" s="48">
        <v>0</v>
      </c>
      <c r="I50" s="48">
        <v>0</v>
      </c>
      <c r="K50" s="49">
        <v>0</v>
      </c>
      <c r="L50" s="50"/>
      <c r="M50" s="48">
        <v>291128585</v>
      </c>
      <c r="O50" s="48">
        <v>0</v>
      </c>
      <c r="Q50" s="48">
        <v>820651110</v>
      </c>
      <c r="S50" s="48">
        <v>1111779695</v>
      </c>
      <c r="U50" s="49">
        <v>6.282526595139426E-2</v>
      </c>
    </row>
    <row r="51" spans="1:21" ht="21" x14ac:dyDescent="0.65">
      <c r="A51" s="47" t="s">
        <v>149</v>
      </c>
      <c r="C51" s="48">
        <v>0</v>
      </c>
      <c r="E51" s="48">
        <v>0</v>
      </c>
      <c r="G51" s="48">
        <v>0</v>
      </c>
      <c r="I51" s="48">
        <v>0</v>
      </c>
      <c r="K51" s="49">
        <v>0</v>
      </c>
      <c r="L51" s="50"/>
      <c r="M51" s="48">
        <v>0</v>
      </c>
      <c r="O51" s="48">
        <v>0</v>
      </c>
      <c r="Q51" s="48">
        <v>-2841925362</v>
      </c>
      <c r="S51" s="48">
        <v>-2841925362</v>
      </c>
      <c r="U51" s="49">
        <v>-0.16059361174217379</v>
      </c>
    </row>
    <row r="52" spans="1:21" ht="21" x14ac:dyDescent="0.65">
      <c r="A52" s="47" t="s">
        <v>148</v>
      </c>
      <c r="C52" s="48">
        <v>0</v>
      </c>
      <c r="E52" s="48">
        <v>0</v>
      </c>
      <c r="G52" s="48">
        <v>0</v>
      </c>
      <c r="I52" s="48">
        <v>0</v>
      </c>
      <c r="K52" s="49">
        <v>0</v>
      </c>
      <c r="L52" s="50"/>
      <c r="M52" s="48">
        <v>952000000</v>
      </c>
      <c r="O52" s="48">
        <v>0</v>
      </c>
      <c r="Q52" s="48">
        <v>-2453485900</v>
      </c>
      <c r="S52" s="48">
        <v>-1501485900</v>
      </c>
      <c r="U52" s="49">
        <v>-8.4847071244423616E-2</v>
      </c>
    </row>
    <row r="53" spans="1:21" ht="21" x14ac:dyDescent="0.65">
      <c r="A53" s="47" t="s">
        <v>147</v>
      </c>
      <c r="C53" s="48">
        <v>0</v>
      </c>
      <c r="E53" s="48">
        <v>0</v>
      </c>
      <c r="G53" s="48">
        <v>0</v>
      </c>
      <c r="I53" s="48">
        <v>0</v>
      </c>
      <c r="K53" s="49">
        <v>0</v>
      </c>
      <c r="L53" s="50"/>
      <c r="M53" s="48">
        <v>0</v>
      </c>
      <c r="O53" s="48">
        <v>0</v>
      </c>
      <c r="Q53" s="48">
        <v>-707351562</v>
      </c>
      <c r="S53" s="48">
        <v>-707351562</v>
      </c>
      <c r="U53" s="49">
        <v>-3.9971543106644115E-2</v>
      </c>
    </row>
    <row r="54" spans="1:21" ht="21" x14ac:dyDescent="0.65">
      <c r="A54" s="47" t="s">
        <v>146</v>
      </c>
      <c r="C54" s="48">
        <v>0</v>
      </c>
      <c r="E54" s="48">
        <v>0</v>
      </c>
      <c r="G54" s="48">
        <v>0</v>
      </c>
      <c r="I54" s="48">
        <v>0</v>
      </c>
      <c r="K54" s="49">
        <v>0</v>
      </c>
      <c r="L54" s="50"/>
      <c r="M54" s="48">
        <v>0</v>
      </c>
      <c r="O54" s="48">
        <v>0</v>
      </c>
      <c r="Q54" s="48">
        <v>-136788503</v>
      </c>
      <c r="S54" s="48">
        <v>-136788503</v>
      </c>
      <c r="U54" s="49">
        <v>-7.7297454870931884E-3</v>
      </c>
    </row>
    <row r="55" spans="1:21" ht="21" x14ac:dyDescent="0.65">
      <c r="A55" s="47" t="s">
        <v>145</v>
      </c>
      <c r="C55" s="48">
        <v>0</v>
      </c>
      <c r="E55" s="48">
        <v>0</v>
      </c>
      <c r="G55" s="48">
        <v>0</v>
      </c>
      <c r="I55" s="48">
        <v>0</v>
      </c>
      <c r="K55" s="49">
        <v>0</v>
      </c>
      <c r="L55" s="50"/>
      <c r="M55" s="48">
        <v>0</v>
      </c>
      <c r="O55" s="48">
        <v>0</v>
      </c>
      <c r="Q55" s="48">
        <v>-2314315880</v>
      </c>
      <c r="S55" s="48">
        <v>-2314315880</v>
      </c>
      <c r="U55" s="49">
        <v>-0.13077906649170729</v>
      </c>
    </row>
    <row r="56" spans="1:21" ht="21" x14ac:dyDescent="0.65">
      <c r="A56" s="47" t="s">
        <v>144</v>
      </c>
      <c r="C56" s="48">
        <v>0</v>
      </c>
      <c r="E56" s="48">
        <v>0</v>
      </c>
      <c r="G56" s="48">
        <v>0</v>
      </c>
      <c r="I56" s="48">
        <v>0</v>
      </c>
      <c r="K56" s="49">
        <v>0</v>
      </c>
      <c r="L56" s="50"/>
      <c r="M56" s="48">
        <v>1257300000</v>
      </c>
      <c r="O56" s="48">
        <v>0</v>
      </c>
      <c r="Q56" s="48">
        <v>2831026152</v>
      </c>
      <c r="S56" s="48">
        <v>4088326152</v>
      </c>
      <c r="U56" s="49">
        <v>0.23102614569286617</v>
      </c>
    </row>
    <row r="57" spans="1:21" ht="21" x14ac:dyDescent="0.65">
      <c r="A57" s="47" t="s">
        <v>143</v>
      </c>
      <c r="C57" s="48">
        <v>0</v>
      </c>
      <c r="E57" s="48">
        <v>0</v>
      </c>
      <c r="G57" s="48">
        <v>0</v>
      </c>
      <c r="I57" s="48">
        <v>0</v>
      </c>
      <c r="K57" s="49">
        <v>0</v>
      </c>
      <c r="L57" s="50"/>
      <c r="M57" s="48">
        <v>292500000</v>
      </c>
      <c r="O57" s="48">
        <v>0</v>
      </c>
      <c r="Q57" s="48">
        <v>1119306895</v>
      </c>
      <c r="S57" s="48">
        <v>1411806895</v>
      </c>
      <c r="U57" s="49">
        <v>7.9779423971569424E-2</v>
      </c>
    </row>
    <row r="58" spans="1:21" ht="21" x14ac:dyDescent="0.65">
      <c r="A58" s="47" t="s">
        <v>142</v>
      </c>
      <c r="C58" s="48">
        <v>0</v>
      </c>
      <c r="E58" s="48">
        <v>0</v>
      </c>
      <c r="G58" s="48">
        <v>0</v>
      </c>
      <c r="I58" s="48">
        <v>0</v>
      </c>
      <c r="K58" s="49">
        <v>0</v>
      </c>
      <c r="L58" s="50"/>
      <c r="M58" s="48">
        <v>0</v>
      </c>
      <c r="O58" s="48">
        <v>0</v>
      </c>
      <c r="Q58" s="48">
        <v>-201510906</v>
      </c>
      <c r="S58" s="48">
        <v>-201510906</v>
      </c>
      <c r="U58" s="49">
        <v>-1.1387126710887097E-2</v>
      </c>
    </row>
    <row r="59" spans="1:21" ht="21" x14ac:dyDescent="0.65">
      <c r="A59" s="47" t="s">
        <v>141</v>
      </c>
      <c r="C59" s="48">
        <v>0</v>
      </c>
      <c r="E59" s="48">
        <v>0</v>
      </c>
      <c r="G59" s="48">
        <v>0</v>
      </c>
      <c r="I59" s="48">
        <v>0</v>
      </c>
      <c r="K59" s="49">
        <v>0</v>
      </c>
      <c r="L59" s="50"/>
      <c r="M59" s="48">
        <v>0</v>
      </c>
      <c r="O59" s="48">
        <v>0</v>
      </c>
      <c r="Q59" s="48">
        <v>694641600</v>
      </c>
      <c r="S59" s="48">
        <v>694641600</v>
      </c>
      <c r="U59" s="49">
        <v>3.9253319211682514E-2</v>
      </c>
    </row>
    <row r="60" spans="1:21" ht="21" x14ac:dyDescent="0.65">
      <c r="A60" s="47" t="s">
        <v>140</v>
      </c>
      <c r="C60" s="48">
        <v>0</v>
      </c>
      <c r="E60" s="48">
        <v>0</v>
      </c>
      <c r="G60" s="48">
        <v>0</v>
      </c>
      <c r="I60" s="48">
        <v>0</v>
      </c>
      <c r="K60" s="49">
        <v>0</v>
      </c>
      <c r="L60" s="50"/>
      <c r="M60" s="48">
        <v>0</v>
      </c>
      <c r="O60" s="48">
        <v>0</v>
      </c>
      <c r="Q60" s="48">
        <v>6310789540</v>
      </c>
      <c r="S60" s="48">
        <v>6310789540</v>
      </c>
      <c r="U60" s="49">
        <v>0.35661474390731435</v>
      </c>
    </row>
    <row r="61" spans="1:21" ht="21" x14ac:dyDescent="0.65">
      <c r="A61" s="47" t="s">
        <v>139</v>
      </c>
      <c r="C61" s="48">
        <v>0</v>
      </c>
      <c r="E61" s="48">
        <v>0</v>
      </c>
      <c r="G61" s="48">
        <v>0</v>
      </c>
      <c r="I61" s="48">
        <v>0</v>
      </c>
      <c r="K61" s="49">
        <v>0</v>
      </c>
      <c r="L61" s="50"/>
      <c r="M61" s="48">
        <v>0</v>
      </c>
      <c r="O61" s="48">
        <v>0</v>
      </c>
      <c r="Q61" s="48">
        <v>1736288324</v>
      </c>
      <c r="S61" s="48">
        <v>1736288324</v>
      </c>
      <c r="U61" s="49">
        <v>9.8115459577268679E-2</v>
      </c>
    </row>
    <row r="62" spans="1:21" ht="21" x14ac:dyDescent="0.65">
      <c r="A62" s="47" t="s">
        <v>138</v>
      </c>
      <c r="C62" s="48">
        <v>0</v>
      </c>
      <c r="E62" s="48">
        <v>0</v>
      </c>
      <c r="G62" s="48">
        <v>0</v>
      </c>
      <c r="I62" s="48">
        <v>0</v>
      </c>
      <c r="K62" s="49">
        <v>0</v>
      </c>
      <c r="L62" s="50"/>
      <c r="M62" s="48">
        <v>0</v>
      </c>
      <c r="O62" s="48">
        <v>0</v>
      </c>
      <c r="Q62" s="48">
        <v>-436957507</v>
      </c>
      <c r="S62" s="48">
        <v>-436957507</v>
      </c>
      <c r="U62" s="49">
        <v>-2.4691916672154385E-2</v>
      </c>
    </row>
    <row r="63" spans="1:21" ht="21" x14ac:dyDescent="0.65">
      <c r="A63" s="47" t="s">
        <v>137</v>
      </c>
      <c r="C63" s="48">
        <v>0</v>
      </c>
      <c r="E63" s="48">
        <v>0</v>
      </c>
      <c r="G63" s="48">
        <v>0</v>
      </c>
      <c r="I63" s="48">
        <v>0</v>
      </c>
      <c r="K63" s="49">
        <v>0</v>
      </c>
      <c r="L63" s="50"/>
      <c r="M63" s="48">
        <v>642857000</v>
      </c>
      <c r="O63" s="48">
        <v>0</v>
      </c>
      <c r="Q63" s="48">
        <v>901828280</v>
      </c>
      <c r="S63" s="48">
        <v>1544685280</v>
      </c>
      <c r="U63" s="49">
        <v>8.7288213630492592E-2</v>
      </c>
    </row>
    <row r="64" spans="1:21" ht="21" x14ac:dyDescent="0.65">
      <c r="A64" s="47" t="s">
        <v>136</v>
      </c>
      <c r="C64" s="48">
        <v>0</v>
      </c>
      <c r="E64" s="48">
        <v>0</v>
      </c>
      <c r="G64" s="48">
        <v>0</v>
      </c>
      <c r="I64" s="48">
        <v>0</v>
      </c>
      <c r="K64" s="49">
        <v>0</v>
      </c>
      <c r="L64" s="50"/>
      <c r="M64" s="48">
        <v>0</v>
      </c>
      <c r="O64" s="48">
        <v>0</v>
      </c>
      <c r="Q64" s="48">
        <v>2814038028</v>
      </c>
      <c r="S64" s="48">
        <v>2814038028</v>
      </c>
      <c r="U64" s="49">
        <v>0.1590177337304555</v>
      </c>
    </row>
    <row r="65" spans="1:21" ht="21" x14ac:dyDescent="0.65">
      <c r="A65" s="47" t="s">
        <v>135</v>
      </c>
      <c r="C65" s="48">
        <v>0</v>
      </c>
      <c r="E65" s="48">
        <v>0</v>
      </c>
      <c r="G65" s="48">
        <v>0</v>
      </c>
      <c r="I65" s="48">
        <v>0</v>
      </c>
      <c r="K65" s="49">
        <v>0</v>
      </c>
      <c r="L65" s="50"/>
      <c r="M65" s="48">
        <v>637000000</v>
      </c>
      <c r="O65" s="48">
        <v>0</v>
      </c>
      <c r="Q65" s="48">
        <v>-714788246</v>
      </c>
      <c r="S65" s="48">
        <v>-77788246</v>
      </c>
      <c r="U65" s="49">
        <v>-4.3957155044484601E-3</v>
      </c>
    </row>
    <row r="66" spans="1:21" ht="21" x14ac:dyDescent="0.65">
      <c r="A66" s="47" t="s">
        <v>134</v>
      </c>
      <c r="C66" s="48">
        <v>0</v>
      </c>
      <c r="E66" s="48">
        <v>0</v>
      </c>
      <c r="G66" s="48">
        <v>0</v>
      </c>
      <c r="I66" s="48">
        <v>0</v>
      </c>
      <c r="K66" s="49">
        <v>0</v>
      </c>
      <c r="L66" s="50"/>
      <c r="M66" s="48">
        <v>1160426080</v>
      </c>
      <c r="O66" s="48">
        <v>0</v>
      </c>
      <c r="Q66" s="48">
        <v>-2799209091</v>
      </c>
      <c r="S66" s="48">
        <v>-1638783011</v>
      </c>
      <c r="U66" s="49">
        <v>-9.2605557527025761E-2</v>
      </c>
    </row>
    <row r="67" spans="1:21" ht="21" x14ac:dyDescent="0.65">
      <c r="A67" s="47" t="s">
        <v>133</v>
      </c>
      <c r="C67" s="48">
        <v>0</v>
      </c>
      <c r="E67" s="48">
        <v>0</v>
      </c>
      <c r="G67" s="48">
        <v>0</v>
      </c>
      <c r="I67" s="48">
        <v>0</v>
      </c>
      <c r="K67" s="49">
        <v>0</v>
      </c>
      <c r="L67" s="50"/>
      <c r="M67" s="48">
        <v>1344000000</v>
      </c>
      <c r="O67" s="48">
        <v>0</v>
      </c>
      <c r="Q67" s="48">
        <v>-4634389748</v>
      </c>
      <c r="S67" s="48">
        <v>-3290389748</v>
      </c>
      <c r="U67" s="49">
        <v>-0.18593576760892466</v>
      </c>
    </row>
    <row r="68" spans="1:21" ht="21" x14ac:dyDescent="0.65">
      <c r="A68" s="47" t="s">
        <v>132</v>
      </c>
      <c r="C68" s="48">
        <v>0</v>
      </c>
      <c r="E68" s="48">
        <v>0</v>
      </c>
      <c r="G68" s="48">
        <v>0</v>
      </c>
      <c r="I68" s="48">
        <v>0</v>
      </c>
      <c r="K68" s="49">
        <v>0</v>
      </c>
      <c r="L68" s="50"/>
      <c r="M68" s="48">
        <v>0</v>
      </c>
      <c r="O68" s="48">
        <v>0</v>
      </c>
      <c r="Q68" s="48">
        <v>597495097</v>
      </c>
      <c r="S68" s="48">
        <v>597495097</v>
      </c>
      <c r="U68" s="49">
        <v>3.3763693061222087E-2</v>
      </c>
    </row>
    <row r="69" spans="1:21" ht="21" x14ac:dyDescent="0.65">
      <c r="A69" s="47" t="s">
        <v>131</v>
      </c>
      <c r="C69" s="48">
        <v>0</v>
      </c>
      <c r="E69" s="48">
        <v>0</v>
      </c>
      <c r="G69" s="48">
        <v>0</v>
      </c>
      <c r="I69" s="48">
        <v>0</v>
      </c>
      <c r="K69" s="49">
        <v>0</v>
      </c>
      <c r="L69" s="50"/>
      <c r="M69" s="48">
        <v>225000000</v>
      </c>
      <c r="O69" s="48">
        <v>0</v>
      </c>
      <c r="Q69" s="48">
        <v>2133705317</v>
      </c>
      <c r="S69" s="48">
        <v>2358705317</v>
      </c>
      <c r="U69" s="49">
        <v>0.13328745749533832</v>
      </c>
    </row>
    <row r="70" spans="1:21" ht="21" x14ac:dyDescent="0.65">
      <c r="A70" s="47" t="s">
        <v>130</v>
      </c>
      <c r="C70" s="48">
        <v>0</v>
      </c>
      <c r="E70" s="48">
        <v>0</v>
      </c>
      <c r="G70" s="48">
        <v>0</v>
      </c>
      <c r="I70" s="48">
        <v>0</v>
      </c>
      <c r="K70" s="49">
        <v>0</v>
      </c>
      <c r="L70" s="50"/>
      <c r="M70" s="48">
        <v>0</v>
      </c>
      <c r="O70" s="48">
        <v>0</v>
      </c>
      <c r="Q70" s="48">
        <v>1447873382</v>
      </c>
      <c r="S70" s="48">
        <v>1447873382</v>
      </c>
      <c r="U70" s="49">
        <v>8.1817495585845043E-2</v>
      </c>
    </row>
    <row r="71" spans="1:21" ht="21" x14ac:dyDescent="0.65">
      <c r="A71" s="47" t="s">
        <v>129</v>
      </c>
      <c r="C71" s="48">
        <v>0</v>
      </c>
      <c r="E71" s="48">
        <v>0</v>
      </c>
      <c r="G71" s="48">
        <v>0</v>
      </c>
      <c r="I71" s="48">
        <v>0</v>
      </c>
      <c r="K71" s="49">
        <v>0</v>
      </c>
      <c r="L71" s="50"/>
      <c r="M71" s="48">
        <v>0</v>
      </c>
      <c r="O71" s="48">
        <v>0</v>
      </c>
      <c r="Q71" s="48">
        <v>-2220221191</v>
      </c>
      <c r="S71" s="48">
        <v>-2220221191</v>
      </c>
      <c r="U71" s="49">
        <v>-0.12546189449475087</v>
      </c>
    </row>
    <row r="72" spans="1:21" ht="21" x14ac:dyDescent="0.65">
      <c r="A72" s="47" t="s">
        <v>128</v>
      </c>
      <c r="C72" s="48">
        <v>0</v>
      </c>
      <c r="E72" s="48">
        <v>0</v>
      </c>
      <c r="G72" s="48">
        <v>0</v>
      </c>
      <c r="I72" s="48">
        <v>0</v>
      </c>
      <c r="K72" s="49">
        <v>0</v>
      </c>
      <c r="L72" s="50"/>
      <c r="M72" s="48">
        <v>0</v>
      </c>
      <c r="O72" s="48">
        <v>0</v>
      </c>
      <c r="Q72" s="48">
        <v>157727</v>
      </c>
      <c r="S72" s="48">
        <v>157727</v>
      </c>
      <c r="U72" s="49">
        <v>8.9129534990433173E-6</v>
      </c>
    </row>
    <row r="73" spans="1:21" ht="21" x14ac:dyDescent="0.65">
      <c r="A73" s="47" t="s">
        <v>127</v>
      </c>
      <c r="C73" s="48">
        <v>0</v>
      </c>
      <c r="E73" s="48">
        <v>0</v>
      </c>
      <c r="G73" s="48">
        <v>0</v>
      </c>
      <c r="I73" s="48">
        <v>0</v>
      </c>
      <c r="K73" s="49">
        <v>0</v>
      </c>
      <c r="L73" s="50"/>
      <c r="M73" s="48">
        <v>0</v>
      </c>
      <c r="O73" s="48">
        <v>0</v>
      </c>
      <c r="Q73" s="48">
        <v>-364180561</v>
      </c>
      <c r="S73" s="48">
        <v>-364180561</v>
      </c>
      <c r="U73" s="49">
        <v>-2.0579383399471924E-2</v>
      </c>
    </row>
    <row r="74" spans="1:21" ht="21" x14ac:dyDescent="0.65">
      <c r="A74" s="47" t="s">
        <v>126</v>
      </c>
      <c r="C74" s="48">
        <v>0</v>
      </c>
      <c r="E74" s="48">
        <v>0</v>
      </c>
      <c r="G74" s="48">
        <v>0</v>
      </c>
      <c r="I74" s="48">
        <v>0</v>
      </c>
      <c r="K74" s="49">
        <v>0</v>
      </c>
      <c r="L74" s="50"/>
      <c r="M74" s="48">
        <v>0</v>
      </c>
      <c r="O74" s="48">
        <v>0</v>
      </c>
      <c r="Q74" s="48">
        <v>-7535029565</v>
      </c>
      <c r="S74" s="48">
        <v>-7535029565</v>
      </c>
      <c r="U74" s="49">
        <v>-0.4257950010255796</v>
      </c>
    </row>
    <row r="75" spans="1:21" ht="21" x14ac:dyDescent="0.65">
      <c r="A75" s="47" t="s">
        <v>125</v>
      </c>
      <c r="C75" s="48">
        <v>0</v>
      </c>
      <c r="E75" s="48">
        <v>0</v>
      </c>
      <c r="G75" s="48">
        <v>0</v>
      </c>
      <c r="I75" s="48">
        <v>0</v>
      </c>
      <c r="K75" s="49">
        <v>0</v>
      </c>
      <c r="L75" s="50"/>
      <c r="M75" s="48">
        <v>296000000</v>
      </c>
      <c r="O75" s="48">
        <v>0</v>
      </c>
      <c r="Q75" s="48">
        <v>-1418258700</v>
      </c>
      <c r="S75" s="48">
        <v>-1122258700</v>
      </c>
      <c r="U75" s="49">
        <v>-6.3417421284858042E-2</v>
      </c>
    </row>
    <row r="76" spans="1:21" ht="21" x14ac:dyDescent="0.65">
      <c r="A76" s="47" t="s">
        <v>124</v>
      </c>
      <c r="C76" s="48">
        <v>0</v>
      </c>
      <c r="E76" s="48">
        <v>0</v>
      </c>
      <c r="G76" s="48">
        <v>0</v>
      </c>
      <c r="I76" s="48">
        <v>0</v>
      </c>
      <c r="K76" s="49">
        <v>0</v>
      </c>
      <c r="L76" s="50"/>
      <c r="M76" s="48">
        <v>0</v>
      </c>
      <c r="O76" s="48">
        <v>0</v>
      </c>
      <c r="Q76" s="48">
        <v>-2474802263</v>
      </c>
      <c r="S76" s="48">
        <v>-2474802263</v>
      </c>
      <c r="U76" s="49">
        <v>-0.13984794923789948</v>
      </c>
    </row>
    <row r="77" spans="1:21" ht="21" x14ac:dyDescent="0.65">
      <c r="A77" s="47" t="s">
        <v>123</v>
      </c>
      <c r="C77" s="48">
        <v>0</v>
      </c>
      <c r="E77" s="48">
        <v>0</v>
      </c>
      <c r="G77" s="48">
        <v>0</v>
      </c>
      <c r="I77" s="48">
        <v>0</v>
      </c>
      <c r="K77" s="49">
        <v>0</v>
      </c>
      <c r="L77" s="50"/>
      <c r="M77" s="48">
        <v>0</v>
      </c>
      <c r="O77" s="48">
        <v>0</v>
      </c>
      <c r="Q77" s="48">
        <v>99830342</v>
      </c>
      <c r="S77" s="48">
        <v>99830342</v>
      </c>
      <c r="U77" s="49">
        <v>5.6412865016109547E-3</v>
      </c>
    </row>
    <row r="78" spans="1:21" ht="21" x14ac:dyDescent="0.65">
      <c r="A78" s="47" t="s">
        <v>122</v>
      </c>
      <c r="C78" s="48">
        <v>0</v>
      </c>
      <c r="E78" s="48">
        <v>0</v>
      </c>
      <c r="G78" s="48">
        <v>0</v>
      </c>
      <c r="I78" s="48">
        <v>0</v>
      </c>
      <c r="K78" s="49">
        <v>0</v>
      </c>
      <c r="L78" s="50"/>
      <c r="M78" s="48">
        <v>0</v>
      </c>
      <c r="O78" s="48">
        <v>0</v>
      </c>
      <c r="Q78" s="48">
        <v>1102917532</v>
      </c>
      <c r="S78" s="48">
        <v>1102917532</v>
      </c>
      <c r="U78" s="49">
        <v>6.2324476316645977E-2</v>
      </c>
    </row>
    <row r="79" spans="1:21" ht="21" x14ac:dyDescent="0.65">
      <c r="A79" s="47" t="s">
        <v>121</v>
      </c>
      <c r="C79" s="48">
        <v>0</v>
      </c>
      <c r="E79" s="48">
        <v>0</v>
      </c>
      <c r="G79" s="48">
        <v>0</v>
      </c>
      <c r="I79" s="48">
        <v>0</v>
      </c>
      <c r="K79" s="49">
        <v>0</v>
      </c>
      <c r="L79" s="50"/>
      <c r="M79" s="48">
        <v>0</v>
      </c>
      <c r="O79" s="48">
        <v>0</v>
      </c>
      <c r="Q79" s="48">
        <v>2697705400</v>
      </c>
      <c r="S79" s="48">
        <v>2697705400</v>
      </c>
      <c r="U79" s="49">
        <v>0.152443923895833</v>
      </c>
    </row>
    <row r="80" spans="1:21" ht="21" x14ac:dyDescent="0.65">
      <c r="A80" s="47" t="s">
        <v>120</v>
      </c>
      <c r="C80" s="48">
        <v>0</v>
      </c>
      <c r="E80" s="48">
        <v>0</v>
      </c>
      <c r="G80" s="48">
        <v>0</v>
      </c>
      <c r="I80" s="48">
        <v>0</v>
      </c>
      <c r="K80" s="49">
        <v>0</v>
      </c>
      <c r="L80" s="50"/>
      <c r="M80" s="48">
        <v>420000000</v>
      </c>
      <c r="O80" s="48">
        <v>0</v>
      </c>
      <c r="Q80" s="48">
        <v>-1983363651</v>
      </c>
      <c r="S80" s="48">
        <v>-1563363651</v>
      </c>
      <c r="U80" s="49">
        <v>-8.834370477760678E-2</v>
      </c>
    </row>
    <row r="81" spans="1:21" ht="21" x14ac:dyDescent="0.65">
      <c r="A81" s="47" t="s">
        <v>119</v>
      </c>
      <c r="C81" s="48">
        <v>0</v>
      </c>
      <c r="E81" s="48">
        <v>0</v>
      </c>
      <c r="G81" s="48">
        <v>0</v>
      </c>
      <c r="I81" s="48">
        <v>0</v>
      </c>
      <c r="K81" s="49">
        <v>0</v>
      </c>
      <c r="L81" s="50"/>
      <c r="M81" s="48">
        <v>0</v>
      </c>
      <c r="O81" s="48">
        <v>0</v>
      </c>
      <c r="Q81" s="48">
        <v>-2496132153</v>
      </c>
      <c r="S81" s="48">
        <v>-2496132153</v>
      </c>
      <c r="U81" s="49">
        <v>-0.141053274373797</v>
      </c>
    </row>
    <row r="82" spans="1:21" ht="21" x14ac:dyDescent="0.65">
      <c r="A82" s="47" t="s">
        <v>118</v>
      </c>
      <c r="C82" s="48">
        <v>0</v>
      </c>
      <c r="E82" s="48">
        <v>0</v>
      </c>
      <c r="G82" s="48">
        <v>0</v>
      </c>
      <c r="I82" s="48">
        <v>0</v>
      </c>
      <c r="K82" s="49">
        <v>0</v>
      </c>
      <c r="L82" s="50"/>
      <c r="M82" s="48">
        <v>0</v>
      </c>
      <c r="O82" s="48">
        <v>0</v>
      </c>
      <c r="Q82" s="48">
        <v>1118081095</v>
      </c>
      <c r="S82" s="48">
        <v>1118081095</v>
      </c>
      <c r="U82" s="49">
        <v>6.3181350104258835E-2</v>
      </c>
    </row>
    <row r="83" spans="1:21" ht="21" x14ac:dyDescent="0.65">
      <c r="A83" s="47" t="s">
        <v>117</v>
      </c>
      <c r="C83" s="48">
        <v>0</v>
      </c>
      <c r="E83" s="48">
        <v>0</v>
      </c>
      <c r="G83" s="48">
        <v>0</v>
      </c>
      <c r="I83" s="48">
        <v>0</v>
      </c>
      <c r="K83" s="49">
        <v>0</v>
      </c>
      <c r="L83" s="50"/>
      <c r="M83" s="48">
        <v>0</v>
      </c>
      <c r="O83" s="48">
        <v>0</v>
      </c>
      <c r="Q83" s="48">
        <v>-1517070806</v>
      </c>
      <c r="S83" s="48">
        <v>-1517070806</v>
      </c>
      <c r="U83" s="49">
        <v>-8.5727754592645297E-2</v>
      </c>
    </row>
    <row r="84" spans="1:21" ht="21.6" thickBot="1" x14ac:dyDescent="0.7">
      <c r="A84" s="51" t="s">
        <v>9</v>
      </c>
      <c r="C84" s="51">
        <f>SUM(C9:$C$83)</f>
        <v>9795220000</v>
      </c>
      <c r="E84" s="51">
        <f>SUM(E9:$E$83)</f>
        <v>21074726773</v>
      </c>
      <c r="G84" s="51">
        <f>SUM(G9:$G$83)</f>
        <v>2776359793</v>
      </c>
      <c r="I84" s="51">
        <f>SUM(I9:$I$83)</f>
        <v>33646306566</v>
      </c>
      <c r="K84" s="52">
        <f>SUM(K9:$K$83)</f>
        <v>0.92511395212740888</v>
      </c>
      <c r="M84" s="51">
        <f>SUM(M9:$M$83)</f>
        <v>70473138775</v>
      </c>
      <c r="O84" s="51">
        <f>SUM(O9:$O$83)</f>
        <v>-65475089378</v>
      </c>
      <c r="Q84" s="51">
        <f>SUM(Q9:$Q$83)</f>
        <v>-24630651197</v>
      </c>
      <c r="S84" s="51">
        <f>SUM(S9:$S$83)</f>
        <v>-19632601800</v>
      </c>
      <c r="U84" s="52">
        <f>SUM(U9:$U$83)</f>
        <v>-1.1094135240550713</v>
      </c>
    </row>
    <row r="85" spans="1:21" ht="21.6" thickTop="1" x14ac:dyDescent="0.65">
      <c r="C85" s="53"/>
      <c r="E85" s="53"/>
      <c r="G85" s="53"/>
      <c r="I85" s="53"/>
      <c r="K85" s="53"/>
      <c r="M85" s="53"/>
      <c r="O85" s="53"/>
      <c r="Q85" s="53"/>
      <c r="S85" s="53"/>
      <c r="U85" s="53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FB3C-4691-42CE-890B-578E2CE21596}">
  <sheetPr>
    <pageSetUpPr fitToPage="1"/>
  </sheetPr>
  <dimension ref="A1:Q123"/>
  <sheetViews>
    <sheetView rightToLeft="1" view="pageBreakPreview" topLeftCell="A105" zoomScaleNormal="82" zoomScaleSheetLayoutView="100" workbookViewId="0">
      <selection activeCell="C9" sqref="C9:C121"/>
    </sheetView>
  </sheetViews>
  <sheetFormatPr defaultRowHeight="18.600000000000001" x14ac:dyDescent="0.65"/>
  <cols>
    <col min="1" max="1" width="43.296875" style="1" customWidth="1"/>
    <col min="2" max="2" width="1.3984375" style="1" customWidth="1"/>
    <col min="3" max="3" width="17" style="1" customWidth="1"/>
    <col min="4" max="4" width="1.3984375" style="1" customWidth="1"/>
    <col min="5" max="5" width="17" style="1" customWidth="1"/>
    <col min="6" max="6" width="1.3984375" style="1" customWidth="1"/>
    <col min="7" max="7" width="17" style="1" customWidth="1"/>
    <col min="8" max="8" width="1.3984375" style="1" customWidth="1"/>
    <col min="9" max="9" width="10.59765625" style="1" customWidth="1"/>
    <col min="10" max="10" width="1.3984375" style="1" customWidth="1"/>
    <col min="11" max="11" width="17" style="1" customWidth="1"/>
    <col min="12" max="12" width="1.3984375" style="1" customWidth="1"/>
    <col min="13" max="13" width="17" style="1" customWidth="1"/>
    <col min="14" max="14" width="1.3984375" style="1" customWidth="1"/>
    <col min="15" max="15" width="17" style="1" customWidth="1"/>
    <col min="16" max="16" width="1.3984375" style="1" customWidth="1"/>
    <col min="17" max="17" width="10.59765625" style="1" customWidth="1"/>
    <col min="18" max="16384" width="8.796875" style="1"/>
  </cols>
  <sheetData>
    <row r="1" spans="1:17" ht="19.95" customHeight="1" x14ac:dyDescent="0.65">
      <c r="A1" s="41" t="s">
        <v>240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9.95" customHeight="1" x14ac:dyDescent="0.65">
      <c r="A2" s="41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9.95" customHeight="1" x14ac:dyDescent="0.65">
      <c r="A3" s="41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5" spans="1:17" ht="20.399999999999999" x14ac:dyDescent="0.65">
      <c r="A5" s="42" t="s">
        <v>177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7" spans="1:17" ht="20.399999999999999" x14ac:dyDescent="0.65">
      <c r="C7" s="54" t="s">
        <v>59</v>
      </c>
      <c r="D7" s="54"/>
      <c r="E7" s="54"/>
      <c r="F7" s="54"/>
      <c r="G7" s="54"/>
      <c r="H7" s="54"/>
      <c r="I7" s="54"/>
      <c r="K7" s="54" t="s">
        <v>60</v>
      </c>
      <c r="L7" s="54"/>
      <c r="M7" s="54"/>
      <c r="N7" s="54"/>
      <c r="O7" s="54"/>
      <c r="P7" s="54"/>
      <c r="Q7" s="54"/>
    </row>
    <row r="8" spans="1:17" ht="40.799999999999997" x14ac:dyDescent="0.65">
      <c r="A8" s="45" t="s">
        <v>178</v>
      </c>
      <c r="C8" s="46" t="s">
        <v>41</v>
      </c>
      <c r="E8" s="46" t="s">
        <v>42</v>
      </c>
      <c r="G8" s="46" t="s">
        <v>173</v>
      </c>
      <c r="I8" s="46" t="s">
        <v>172</v>
      </c>
      <c r="K8" s="46" t="s">
        <v>41</v>
      </c>
      <c r="M8" s="46" t="s">
        <v>42</v>
      </c>
      <c r="O8" s="46" t="s">
        <v>173</v>
      </c>
      <c r="Q8" s="46" t="s">
        <v>172</v>
      </c>
    </row>
    <row r="9" spans="1:17" ht="21" x14ac:dyDescent="0.65">
      <c r="A9" s="47" t="s">
        <v>241</v>
      </c>
      <c r="C9" s="48">
        <v>0</v>
      </c>
      <c r="E9" s="48">
        <v>0</v>
      </c>
      <c r="G9" s="48">
        <f>E9+C9</f>
        <v>0</v>
      </c>
      <c r="I9" s="49">
        <v>0</v>
      </c>
      <c r="K9" s="48">
        <v>0</v>
      </c>
      <c r="M9" s="48">
        <v>39994850</v>
      </c>
      <c r="O9" s="48">
        <f>M9+K9</f>
        <v>39994850</v>
      </c>
      <c r="Q9" s="49">
        <v>2.2600584443450557E-3</v>
      </c>
    </row>
    <row r="10" spans="1:17" ht="21" x14ac:dyDescent="0.65">
      <c r="A10" s="47" t="s">
        <v>242</v>
      </c>
      <c r="C10" s="48">
        <v>0</v>
      </c>
      <c r="E10" s="48">
        <v>0</v>
      </c>
      <c r="G10" s="48">
        <f t="shared" ref="G10:G76" si="0">E10+C10</f>
        <v>0</v>
      </c>
      <c r="I10" s="49">
        <v>0</v>
      </c>
      <c r="K10" s="48">
        <v>3399125</v>
      </c>
      <c r="M10" s="48">
        <v>165978980</v>
      </c>
      <c r="O10" s="48">
        <f>M10+K10</f>
        <v>169378105</v>
      </c>
      <c r="Q10" s="49">
        <v>9.5713427226858834E-3</v>
      </c>
    </row>
    <row r="11" spans="1:17" ht="21" x14ac:dyDescent="0.65">
      <c r="A11" s="47" t="s">
        <v>243</v>
      </c>
      <c r="C11" s="48">
        <v>0</v>
      </c>
      <c r="E11" s="48">
        <v>0</v>
      </c>
      <c r="G11" s="48">
        <f t="shared" si="0"/>
        <v>0</v>
      </c>
      <c r="I11" s="49">
        <v>0</v>
      </c>
      <c r="K11" s="48">
        <v>6998198</v>
      </c>
      <c r="M11" s="48">
        <v>153286869</v>
      </c>
      <c r="O11" s="48">
        <f t="shared" ref="O11:O79" si="1">M11+K11</f>
        <v>160285067</v>
      </c>
      <c r="Q11" s="49">
        <v>9.0575066333731229E-3</v>
      </c>
    </row>
    <row r="12" spans="1:17" ht="21" x14ac:dyDescent="0.65">
      <c r="A12" s="47" t="s">
        <v>244</v>
      </c>
      <c r="C12" s="48">
        <v>0</v>
      </c>
      <c r="E12" s="48">
        <v>0</v>
      </c>
      <c r="G12" s="48">
        <f t="shared" si="0"/>
        <v>0</v>
      </c>
      <c r="I12" s="49">
        <v>0</v>
      </c>
      <c r="K12" s="48">
        <v>0</v>
      </c>
      <c r="M12" s="48">
        <v>2571000</v>
      </c>
      <c r="O12" s="48">
        <f t="shared" si="1"/>
        <v>2571000</v>
      </c>
      <c r="Q12" s="49">
        <v>1.4528396182036284E-4</v>
      </c>
    </row>
    <row r="13" spans="1:17" ht="21" x14ac:dyDescent="0.65">
      <c r="A13" s="47" t="s">
        <v>245</v>
      </c>
      <c r="C13" s="48">
        <v>0</v>
      </c>
      <c r="E13" s="48">
        <v>0</v>
      </c>
      <c r="G13" s="48">
        <f t="shared" si="0"/>
        <v>0</v>
      </c>
      <c r="I13" s="49">
        <v>0</v>
      </c>
      <c r="K13" s="48">
        <v>-449884125</v>
      </c>
      <c r="M13" s="48">
        <v>643341293</v>
      </c>
      <c r="O13" s="48">
        <f t="shared" si="1"/>
        <v>193457168</v>
      </c>
      <c r="Q13" s="49">
        <v>1.0932020151531512E-2</v>
      </c>
    </row>
    <row r="14" spans="1:17" ht="21" x14ac:dyDescent="0.65">
      <c r="A14" s="47" t="s">
        <v>179</v>
      </c>
      <c r="C14" s="48">
        <v>0</v>
      </c>
      <c r="E14" s="48">
        <v>0</v>
      </c>
      <c r="G14" s="48">
        <f t="shared" si="0"/>
        <v>0</v>
      </c>
      <c r="I14" s="49">
        <v>0</v>
      </c>
      <c r="K14" s="48">
        <v>-132110973</v>
      </c>
      <c r="M14" s="48">
        <v>-987077134</v>
      </c>
      <c r="O14" s="48">
        <f t="shared" si="1"/>
        <v>-1119188107</v>
      </c>
      <c r="Q14" s="49">
        <v>-6.3243905953789245E-2</v>
      </c>
    </row>
    <row r="15" spans="1:17" ht="21" x14ac:dyDescent="0.65">
      <c r="A15" s="47" t="s">
        <v>246</v>
      </c>
      <c r="C15" s="48">
        <v>0</v>
      </c>
      <c r="E15" s="48">
        <v>0</v>
      </c>
      <c r="G15" s="48">
        <f t="shared" si="0"/>
        <v>0</v>
      </c>
      <c r="I15" s="49">
        <v>0</v>
      </c>
      <c r="K15" s="48">
        <v>18005293</v>
      </c>
      <c r="M15" s="48">
        <v>17872710</v>
      </c>
      <c r="O15" s="48">
        <f t="shared" si="1"/>
        <v>35878003</v>
      </c>
      <c r="Q15" s="49">
        <v>2.0274206215647075E-3</v>
      </c>
    </row>
    <row r="16" spans="1:17" ht="21" x14ac:dyDescent="0.65">
      <c r="A16" s="47" t="s">
        <v>180</v>
      </c>
      <c r="C16" s="48">
        <v>0</v>
      </c>
      <c r="E16" s="48">
        <v>0</v>
      </c>
      <c r="G16" s="48">
        <f t="shared" si="0"/>
        <v>0</v>
      </c>
      <c r="I16" s="49">
        <v>0</v>
      </c>
      <c r="K16" s="48">
        <v>2998</v>
      </c>
      <c r="M16" s="48">
        <v>-2600103280</v>
      </c>
      <c r="O16" s="48">
        <f t="shared" si="1"/>
        <v>-2600100282</v>
      </c>
      <c r="Q16" s="49">
        <v>-0.14692838199113287</v>
      </c>
    </row>
    <row r="17" spans="1:17" ht="21" x14ac:dyDescent="0.65">
      <c r="A17" s="47" t="s">
        <v>247</v>
      </c>
      <c r="C17" s="48">
        <v>0</v>
      </c>
      <c r="E17" s="48">
        <v>4000935</v>
      </c>
      <c r="G17" s="48">
        <f t="shared" si="0"/>
        <v>4000935</v>
      </c>
      <c r="I17" s="49">
        <v>1.1000674866926118E-4</v>
      </c>
      <c r="K17" s="48">
        <v>0</v>
      </c>
      <c r="M17" s="48">
        <v>4000935</v>
      </c>
      <c r="O17" s="48">
        <f t="shared" si="1"/>
        <v>4000935</v>
      </c>
      <c r="Q17" s="49">
        <v>2.2608778210258786E-4</v>
      </c>
    </row>
    <row r="18" spans="1:17" ht="21" x14ac:dyDescent="0.65">
      <c r="A18" s="47" t="s">
        <v>292</v>
      </c>
      <c r="C18" s="48">
        <v>5047638</v>
      </c>
      <c r="E18" s="48">
        <v>0</v>
      </c>
      <c r="G18" s="48"/>
      <c r="I18" s="49">
        <v>0</v>
      </c>
      <c r="K18" s="48">
        <v>5047638</v>
      </c>
      <c r="M18" s="48">
        <v>0</v>
      </c>
      <c r="O18" s="48">
        <f t="shared" si="1"/>
        <v>5047638</v>
      </c>
      <c r="Q18" s="49">
        <v>2.8523564623687771E-4</v>
      </c>
    </row>
    <row r="19" spans="1:17" ht="21" x14ac:dyDescent="0.65">
      <c r="A19" s="47" t="s">
        <v>181</v>
      </c>
      <c r="C19" s="48">
        <v>0</v>
      </c>
      <c r="E19" s="48">
        <v>0</v>
      </c>
      <c r="G19" s="48">
        <f t="shared" si="0"/>
        <v>0</v>
      </c>
      <c r="I19" s="49">
        <v>0</v>
      </c>
      <c r="K19" s="48">
        <v>552857603</v>
      </c>
      <c r="M19" s="48">
        <v>652987649</v>
      </c>
      <c r="O19" s="48">
        <f t="shared" si="1"/>
        <v>1205845252</v>
      </c>
      <c r="Q19" s="49">
        <v>6.8140791735835787E-2</v>
      </c>
    </row>
    <row r="20" spans="1:17" ht="21" x14ac:dyDescent="0.65">
      <c r="A20" s="47" t="s">
        <v>182</v>
      </c>
      <c r="C20" s="48">
        <v>0</v>
      </c>
      <c r="E20" s="48">
        <v>0</v>
      </c>
      <c r="G20" s="48">
        <f t="shared" si="0"/>
        <v>0</v>
      </c>
      <c r="I20" s="49">
        <v>0</v>
      </c>
      <c r="K20" s="48">
        <v>36052714</v>
      </c>
      <c r="M20" s="48">
        <v>-143352748</v>
      </c>
      <c r="O20" s="48">
        <f t="shared" si="1"/>
        <v>-107300034</v>
      </c>
      <c r="Q20" s="49">
        <v>-6.0633893593853103E-3</v>
      </c>
    </row>
    <row r="21" spans="1:17" ht="21" x14ac:dyDescent="0.65">
      <c r="A21" s="47" t="s">
        <v>183</v>
      </c>
      <c r="C21" s="48">
        <v>3999485</v>
      </c>
      <c r="E21" s="48">
        <v>7997948</v>
      </c>
      <c r="G21" s="48">
        <f t="shared" si="0"/>
        <v>11997433</v>
      </c>
      <c r="I21" s="49">
        <v>3.2987254147025637E-4</v>
      </c>
      <c r="K21" s="48">
        <v>515</v>
      </c>
      <c r="M21" s="48">
        <v>43634580</v>
      </c>
      <c r="O21" s="48">
        <f t="shared" si="1"/>
        <v>43635095</v>
      </c>
      <c r="Q21" s="49">
        <v>2.4657640902403365E-3</v>
      </c>
    </row>
    <row r="22" spans="1:17" ht="21" x14ac:dyDescent="0.65">
      <c r="A22" s="47" t="s">
        <v>184</v>
      </c>
      <c r="C22" s="48">
        <v>-21920177</v>
      </c>
      <c r="E22" s="48">
        <v>38792560</v>
      </c>
      <c r="G22" s="48">
        <f t="shared" si="0"/>
        <v>16872383</v>
      </c>
      <c r="I22" s="49">
        <v>4.6391055993974284E-4</v>
      </c>
      <c r="K22" s="48">
        <v>5046350</v>
      </c>
      <c r="M22" s="48">
        <v>38792560</v>
      </c>
      <c r="O22" s="48">
        <f t="shared" si="1"/>
        <v>43838910</v>
      </c>
      <c r="Q22" s="49">
        <v>2.4772814183921907E-3</v>
      </c>
    </row>
    <row r="23" spans="1:17" ht="21" x14ac:dyDescent="0.65">
      <c r="A23" s="47" t="s">
        <v>185</v>
      </c>
      <c r="C23" s="48">
        <v>0</v>
      </c>
      <c r="E23" s="48">
        <v>0</v>
      </c>
      <c r="G23" s="48">
        <f t="shared" si="0"/>
        <v>0</v>
      </c>
      <c r="I23" s="49">
        <v>0</v>
      </c>
      <c r="K23" s="48">
        <v>-3898996</v>
      </c>
      <c r="M23" s="48">
        <v>330679973</v>
      </c>
      <c r="O23" s="48">
        <f t="shared" si="1"/>
        <v>326780977</v>
      </c>
      <c r="Q23" s="49">
        <v>1.8465980157949771E-2</v>
      </c>
    </row>
    <row r="24" spans="1:17" ht="21" x14ac:dyDescent="0.65">
      <c r="A24" s="47" t="s">
        <v>186</v>
      </c>
      <c r="C24" s="48">
        <v>0</v>
      </c>
      <c r="E24" s="48">
        <v>0</v>
      </c>
      <c r="G24" s="48">
        <f t="shared" si="0"/>
        <v>0</v>
      </c>
      <c r="I24" s="49">
        <v>0</v>
      </c>
      <c r="K24" s="48">
        <v>0</v>
      </c>
      <c r="M24" s="48">
        <v>152611430</v>
      </c>
      <c r="O24" s="48">
        <f t="shared" si="1"/>
        <v>152611430</v>
      </c>
      <c r="Q24" s="49">
        <v>8.6238791013111531E-3</v>
      </c>
    </row>
    <row r="25" spans="1:17" ht="21" x14ac:dyDescent="0.65">
      <c r="A25" s="47" t="s">
        <v>187</v>
      </c>
      <c r="C25" s="48">
        <v>0</v>
      </c>
      <c r="E25" s="48">
        <v>0</v>
      </c>
      <c r="G25" s="48">
        <f t="shared" si="0"/>
        <v>0</v>
      </c>
      <c r="I25" s="49">
        <v>0</v>
      </c>
      <c r="K25" s="48">
        <v>-111971160</v>
      </c>
      <c r="M25" s="48">
        <v>486645713</v>
      </c>
      <c r="O25" s="48">
        <f t="shared" si="1"/>
        <v>374674553</v>
      </c>
      <c r="Q25" s="49">
        <v>2.1172385629371262E-2</v>
      </c>
    </row>
    <row r="26" spans="1:17" ht="21" x14ac:dyDescent="0.65">
      <c r="A26" s="47" t="s">
        <v>188</v>
      </c>
      <c r="C26" s="48">
        <v>0</v>
      </c>
      <c r="E26" s="48">
        <v>28953636</v>
      </c>
      <c r="G26" s="48">
        <f t="shared" si="0"/>
        <v>28953636</v>
      </c>
      <c r="I26" s="49">
        <v>7.9608775411579358E-4</v>
      </c>
      <c r="K26" s="48">
        <v>0</v>
      </c>
      <c r="M26" s="48">
        <v>28953636</v>
      </c>
      <c r="O26" s="48">
        <f t="shared" si="1"/>
        <v>28953636</v>
      </c>
      <c r="Q26" s="49">
        <v>1.6361333905813625E-3</v>
      </c>
    </row>
    <row r="27" spans="1:17" ht="21" x14ac:dyDescent="0.65">
      <c r="A27" s="47" t="s">
        <v>248</v>
      </c>
      <c r="C27" s="48">
        <v>0</v>
      </c>
      <c r="E27" s="48">
        <v>0</v>
      </c>
      <c r="G27" s="48">
        <f t="shared" si="0"/>
        <v>0</v>
      </c>
      <c r="I27" s="49">
        <v>0</v>
      </c>
      <c r="K27" s="48">
        <v>336473735</v>
      </c>
      <c r="M27" s="48">
        <v>450982632</v>
      </c>
      <c r="O27" s="48">
        <f t="shared" si="1"/>
        <v>787456367</v>
      </c>
      <c r="Q27" s="49">
        <v>4.4498164433461544E-2</v>
      </c>
    </row>
    <row r="28" spans="1:17" ht="21" x14ac:dyDescent="0.65">
      <c r="A28" s="47" t="s">
        <v>189</v>
      </c>
      <c r="C28" s="48">
        <v>0</v>
      </c>
      <c r="E28" s="48">
        <v>0</v>
      </c>
      <c r="G28" s="48">
        <f t="shared" si="0"/>
        <v>0</v>
      </c>
      <c r="I28" s="49">
        <v>0</v>
      </c>
      <c r="K28" s="48">
        <v>169936230</v>
      </c>
      <c r="M28" s="48">
        <v>815842743</v>
      </c>
      <c r="O28" s="48">
        <f t="shared" si="1"/>
        <v>985778973</v>
      </c>
      <c r="Q28" s="49">
        <v>5.5705124339419869E-2</v>
      </c>
    </row>
    <row r="29" spans="1:17" ht="21" x14ac:dyDescent="0.65">
      <c r="A29" s="47" t="s">
        <v>190</v>
      </c>
      <c r="C29" s="48">
        <v>-16079</v>
      </c>
      <c r="E29" s="48">
        <v>91444000</v>
      </c>
      <c r="G29" s="48">
        <f t="shared" si="0"/>
        <v>91427921</v>
      </c>
      <c r="I29" s="49">
        <v>2.5138344728919781E-3</v>
      </c>
      <c r="K29" s="48">
        <v>0</v>
      </c>
      <c r="M29" s="48">
        <v>91444000</v>
      </c>
      <c r="O29" s="48">
        <f t="shared" si="1"/>
        <v>91444000</v>
      </c>
      <c r="Q29" s="49">
        <v>5.1673849104244491E-3</v>
      </c>
    </row>
    <row r="30" spans="1:17" ht="21" x14ac:dyDescent="0.65">
      <c r="A30" s="47" t="s">
        <v>191</v>
      </c>
      <c r="C30" s="48">
        <v>0</v>
      </c>
      <c r="E30" s="48">
        <v>0</v>
      </c>
      <c r="G30" s="48">
        <f t="shared" si="0"/>
        <v>0</v>
      </c>
      <c r="I30" s="49">
        <v>0</v>
      </c>
      <c r="K30" s="48">
        <v>29992</v>
      </c>
      <c r="M30" s="48">
        <v>836739081</v>
      </c>
      <c r="O30" s="48">
        <f t="shared" si="1"/>
        <v>836769073</v>
      </c>
      <c r="Q30" s="49">
        <v>4.7284763148266198E-2</v>
      </c>
    </row>
    <row r="31" spans="1:17" ht="21" x14ac:dyDescent="0.65">
      <c r="A31" s="47" t="s">
        <v>192</v>
      </c>
      <c r="C31" s="48">
        <v>0</v>
      </c>
      <c r="E31" s="48">
        <v>0</v>
      </c>
      <c r="G31" s="48">
        <f t="shared" si="0"/>
        <v>0</v>
      </c>
      <c r="I31" s="49">
        <v>0</v>
      </c>
      <c r="K31" s="48">
        <v>26803097</v>
      </c>
      <c r="M31" s="48">
        <v>798978106</v>
      </c>
      <c r="O31" s="48">
        <f t="shared" si="1"/>
        <v>825781203</v>
      </c>
      <c r="Q31" s="49">
        <v>4.6663852496548149E-2</v>
      </c>
    </row>
    <row r="32" spans="1:17" ht="21" x14ac:dyDescent="0.65">
      <c r="A32" s="47" t="s">
        <v>193</v>
      </c>
      <c r="C32" s="48">
        <v>0</v>
      </c>
      <c r="E32" s="48">
        <v>0</v>
      </c>
      <c r="G32" s="48">
        <f t="shared" si="0"/>
        <v>0</v>
      </c>
      <c r="I32" s="49">
        <v>0</v>
      </c>
      <c r="K32" s="48">
        <v>25493434</v>
      </c>
      <c r="M32" s="48">
        <v>416670792</v>
      </c>
      <c r="O32" s="48">
        <f t="shared" si="1"/>
        <v>442164226</v>
      </c>
      <c r="Q32" s="49">
        <v>2.4986141784719675E-2</v>
      </c>
    </row>
    <row r="33" spans="1:17" ht="21" x14ac:dyDescent="0.65">
      <c r="A33" s="47" t="s">
        <v>249</v>
      </c>
      <c r="C33" s="48">
        <v>0</v>
      </c>
      <c r="E33" s="48">
        <v>0</v>
      </c>
      <c r="G33" s="48">
        <f t="shared" si="0"/>
        <v>0</v>
      </c>
      <c r="I33" s="49">
        <v>0</v>
      </c>
      <c r="K33" s="48">
        <v>0</v>
      </c>
      <c r="M33" s="48">
        <v>190746694</v>
      </c>
      <c r="O33" s="48">
        <f t="shared" si="1"/>
        <v>190746694</v>
      </c>
      <c r="Q33" s="49">
        <v>1.077885469018142E-2</v>
      </c>
    </row>
    <row r="34" spans="1:17" ht="21" x14ac:dyDescent="0.65">
      <c r="A34" s="47" t="s">
        <v>250</v>
      </c>
      <c r="C34" s="48">
        <v>0</v>
      </c>
      <c r="E34" s="48">
        <v>0</v>
      </c>
      <c r="G34" s="48">
        <f t="shared" si="0"/>
        <v>0</v>
      </c>
      <c r="I34" s="49">
        <v>0</v>
      </c>
      <c r="K34" s="48">
        <v>22627552</v>
      </c>
      <c r="M34" s="48">
        <v>65085425</v>
      </c>
      <c r="O34" s="48">
        <f t="shared" si="1"/>
        <v>87712977</v>
      </c>
      <c r="Q34" s="49">
        <v>4.9565495144373254E-3</v>
      </c>
    </row>
    <row r="35" spans="1:17" ht="21" x14ac:dyDescent="0.65">
      <c r="A35" s="47" t="s">
        <v>251</v>
      </c>
      <c r="C35" s="48">
        <v>0</v>
      </c>
      <c r="E35" s="48">
        <v>0</v>
      </c>
      <c r="G35" s="48">
        <f t="shared" si="0"/>
        <v>0</v>
      </c>
      <c r="I35" s="49">
        <v>0</v>
      </c>
      <c r="K35" s="48">
        <v>-22527198</v>
      </c>
      <c r="M35" s="48">
        <v>299720319</v>
      </c>
      <c r="O35" s="48">
        <f t="shared" si="1"/>
        <v>277193121</v>
      </c>
      <c r="Q35" s="49">
        <v>1.5663833064267295E-2</v>
      </c>
    </row>
    <row r="36" spans="1:17" ht="21" x14ac:dyDescent="0.65">
      <c r="A36" s="47" t="s">
        <v>194</v>
      </c>
      <c r="C36" s="48">
        <v>0</v>
      </c>
      <c r="E36" s="48">
        <v>0</v>
      </c>
      <c r="G36" s="48">
        <f t="shared" si="0"/>
        <v>0</v>
      </c>
      <c r="I36" s="49">
        <v>0</v>
      </c>
      <c r="K36" s="48">
        <v>-79979</v>
      </c>
      <c r="M36" s="48">
        <v>2313123597</v>
      </c>
      <c r="O36" s="48">
        <f t="shared" si="1"/>
        <v>2313043618</v>
      </c>
      <c r="Q36" s="49">
        <v>0.13070717257345232</v>
      </c>
    </row>
    <row r="37" spans="1:17" ht="21" x14ac:dyDescent="0.65">
      <c r="A37" s="47" t="s">
        <v>252</v>
      </c>
      <c r="C37" s="48">
        <v>0</v>
      </c>
      <c r="E37" s="48">
        <v>5000000</v>
      </c>
      <c r="G37" s="48">
        <f t="shared" si="0"/>
        <v>5000000</v>
      </c>
      <c r="I37" s="49">
        <v>1.3747630075127586E-4</v>
      </c>
      <c r="K37" s="48">
        <v>0</v>
      </c>
      <c r="M37" s="48">
        <v>5000000</v>
      </c>
      <c r="O37" s="48">
        <f t="shared" si="1"/>
        <v>5000000</v>
      </c>
      <c r="Q37" s="49">
        <v>2.8254368304232366E-4</v>
      </c>
    </row>
    <row r="38" spans="1:17" ht="21" x14ac:dyDescent="0.65">
      <c r="A38" s="47" t="s">
        <v>195</v>
      </c>
      <c r="C38" s="48">
        <v>-8755</v>
      </c>
      <c r="E38" s="48">
        <v>34000000</v>
      </c>
      <c r="G38" s="48">
        <f t="shared" si="0"/>
        <v>33991245</v>
      </c>
      <c r="I38" s="49">
        <v>9.3459812410606042E-4</v>
      </c>
      <c r="K38" s="48">
        <v>0</v>
      </c>
      <c r="M38" s="48">
        <v>34000000</v>
      </c>
      <c r="O38" s="48">
        <f t="shared" si="1"/>
        <v>34000000</v>
      </c>
      <c r="Q38" s="49">
        <v>1.921297044687801E-3</v>
      </c>
    </row>
    <row r="39" spans="1:17" ht="21" x14ac:dyDescent="0.65">
      <c r="A39" s="47" t="s">
        <v>196</v>
      </c>
      <c r="C39" s="48">
        <v>5003863</v>
      </c>
      <c r="E39" s="48">
        <v>0</v>
      </c>
      <c r="G39" s="48"/>
      <c r="I39" s="49">
        <v>0</v>
      </c>
      <c r="K39" s="48">
        <v>5003863</v>
      </c>
      <c r="M39" s="48">
        <v>0</v>
      </c>
      <c r="O39" s="48">
        <f t="shared" si="1"/>
        <v>5003863</v>
      </c>
      <c r="Q39" s="49">
        <v>2.8276197629184215E-4</v>
      </c>
    </row>
    <row r="40" spans="1:17" ht="21" x14ac:dyDescent="0.65">
      <c r="A40" s="47" t="s">
        <v>197</v>
      </c>
      <c r="C40" s="48">
        <v>0</v>
      </c>
      <c r="E40" s="48">
        <v>0</v>
      </c>
      <c r="G40" s="48">
        <f t="shared" si="0"/>
        <v>0</v>
      </c>
      <c r="I40" s="49">
        <v>0</v>
      </c>
      <c r="K40" s="48">
        <v>322177018</v>
      </c>
      <c r="M40" s="48">
        <v>2539867414</v>
      </c>
      <c r="O40" s="48">
        <f t="shared" si="1"/>
        <v>2862044432</v>
      </c>
      <c r="Q40" s="49">
        <v>0.16173051496961105</v>
      </c>
    </row>
    <row r="41" spans="1:17" ht="21" x14ac:dyDescent="0.65">
      <c r="A41" s="47" t="s">
        <v>253</v>
      </c>
      <c r="C41" s="48">
        <v>0</v>
      </c>
      <c r="E41" s="48">
        <v>0</v>
      </c>
      <c r="G41" s="48">
        <f t="shared" si="0"/>
        <v>0</v>
      </c>
      <c r="I41" s="49">
        <v>0</v>
      </c>
      <c r="K41" s="48">
        <v>1811533</v>
      </c>
      <c r="M41" s="48">
        <v>-1633923532</v>
      </c>
      <c r="O41" s="48">
        <f t="shared" si="1"/>
        <v>-1632111999</v>
      </c>
      <c r="Q41" s="49">
        <v>-9.222858706700586E-2</v>
      </c>
    </row>
    <row r="42" spans="1:17" ht="21" x14ac:dyDescent="0.65">
      <c r="A42" s="47" t="s">
        <v>254</v>
      </c>
      <c r="C42" s="48">
        <v>3927988</v>
      </c>
      <c r="E42" s="48">
        <v>37996928</v>
      </c>
      <c r="G42" s="48">
        <f t="shared" si="0"/>
        <v>41924916</v>
      </c>
      <c r="I42" s="49">
        <v>1.1527364721975956E-3</v>
      </c>
      <c r="K42" s="48">
        <v>3927988</v>
      </c>
      <c r="M42" s="48">
        <v>37996928</v>
      </c>
      <c r="O42" s="48">
        <f t="shared" si="1"/>
        <v>41924916</v>
      </c>
      <c r="Q42" s="49">
        <v>2.3691240355760089E-3</v>
      </c>
    </row>
    <row r="43" spans="1:17" ht="21" x14ac:dyDescent="0.65">
      <c r="A43" s="47" t="s">
        <v>198</v>
      </c>
      <c r="C43" s="48">
        <v>0</v>
      </c>
      <c r="E43" s="48">
        <v>0</v>
      </c>
      <c r="G43" s="48">
        <f t="shared" si="0"/>
        <v>0</v>
      </c>
      <c r="I43" s="49">
        <v>0</v>
      </c>
      <c r="K43" s="48">
        <v>136568824</v>
      </c>
      <c r="M43" s="48">
        <v>288880900</v>
      </c>
      <c r="O43" s="48">
        <f t="shared" si="1"/>
        <v>425449724</v>
      </c>
      <c r="Q43" s="49">
        <v>2.4041626393660018E-2</v>
      </c>
    </row>
    <row r="44" spans="1:17" ht="21" x14ac:dyDescent="0.65">
      <c r="A44" s="47" t="s">
        <v>199</v>
      </c>
      <c r="C44" s="48">
        <v>0</v>
      </c>
      <c r="E44" s="48">
        <v>0</v>
      </c>
      <c r="G44" s="48">
        <f t="shared" si="0"/>
        <v>0</v>
      </c>
      <c r="I44" s="49">
        <v>0</v>
      </c>
      <c r="K44" s="48">
        <v>-59984550</v>
      </c>
      <c r="M44" s="48">
        <v>64568918</v>
      </c>
      <c r="O44" s="48">
        <f t="shared" si="1"/>
        <v>4584368</v>
      </c>
      <c r="Q44" s="49">
        <v>2.5905684382827426E-4</v>
      </c>
    </row>
    <row r="45" spans="1:17" ht="21" x14ac:dyDescent="0.65">
      <c r="A45" s="47" t="s">
        <v>255</v>
      </c>
      <c r="C45" s="48">
        <v>0</v>
      </c>
      <c r="E45" s="48">
        <v>0</v>
      </c>
      <c r="G45" s="48">
        <f t="shared" si="0"/>
        <v>0</v>
      </c>
      <c r="I45" s="49">
        <v>0</v>
      </c>
      <c r="K45" s="48">
        <v>8135905</v>
      </c>
      <c r="M45" s="48">
        <v>76234671</v>
      </c>
      <c r="O45" s="48">
        <f t="shared" si="1"/>
        <v>84370576</v>
      </c>
      <c r="Q45" s="49">
        <v>4.7676746566884557E-3</v>
      </c>
    </row>
    <row r="46" spans="1:17" ht="21" x14ac:dyDescent="0.65">
      <c r="A46" s="47" t="s">
        <v>200</v>
      </c>
      <c r="C46" s="48">
        <v>3998970</v>
      </c>
      <c r="E46" s="48">
        <v>27996932</v>
      </c>
      <c r="G46" s="48">
        <f t="shared" si="0"/>
        <v>31995902</v>
      </c>
      <c r="I46" s="49">
        <v>8.7973564923206978E-4</v>
      </c>
      <c r="K46" s="48">
        <v>3998970</v>
      </c>
      <c r="M46" s="48">
        <v>27996932</v>
      </c>
      <c r="O46" s="48">
        <f t="shared" si="1"/>
        <v>31995902</v>
      </c>
      <c r="Q46" s="49">
        <v>1.80804799866825E-3</v>
      </c>
    </row>
    <row r="47" spans="1:17" ht="21" x14ac:dyDescent="0.65">
      <c r="A47" s="47" t="s">
        <v>256</v>
      </c>
      <c r="C47" s="48">
        <v>0</v>
      </c>
      <c r="E47" s="48">
        <v>0</v>
      </c>
      <c r="G47" s="48">
        <f t="shared" si="0"/>
        <v>0</v>
      </c>
      <c r="I47" s="49">
        <v>0</v>
      </c>
      <c r="K47" s="48">
        <v>-11996910</v>
      </c>
      <c r="M47" s="48">
        <v>818500907</v>
      </c>
      <c r="O47" s="48">
        <f t="shared" si="1"/>
        <v>806503997</v>
      </c>
      <c r="Q47" s="49">
        <v>4.5574521940147029E-2</v>
      </c>
    </row>
    <row r="48" spans="1:17" ht="21" x14ac:dyDescent="0.65">
      <c r="A48" s="47" t="s">
        <v>257</v>
      </c>
      <c r="C48" s="48">
        <v>0</v>
      </c>
      <c r="E48" s="48">
        <v>0</v>
      </c>
      <c r="G48" s="48">
        <f t="shared" si="0"/>
        <v>0</v>
      </c>
      <c r="I48" s="49">
        <v>0</v>
      </c>
      <c r="K48" s="48">
        <v>114210583</v>
      </c>
      <c r="M48" s="48">
        <v>379994939</v>
      </c>
      <c r="O48" s="48">
        <f t="shared" si="1"/>
        <v>494205522</v>
      </c>
      <c r="Q48" s="49">
        <v>2.7926929673146823E-2</v>
      </c>
    </row>
    <row r="49" spans="1:17" ht="21" x14ac:dyDescent="0.65">
      <c r="A49" s="47" t="s">
        <v>201</v>
      </c>
      <c r="C49" s="48">
        <v>0</v>
      </c>
      <c r="E49" s="48">
        <v>0</v>
      </c>
      <c r="G49" s="48">
        <f t="shared" si="0"/>
        <v>0</v>
      </c>
      <c r="I49" s="49">
        <v>0</v>
      </c>
      <c r="K49" s="48">
        <v>-1999485</v>
      </c>
      <c r="M49" s="48">
        <v>103932028</v>
      </c>
      <c r="O49" s="48">
        <f t="shared" si="1"/>
        <v>101932543</v>
      </c>
      <c r="Q49" s="49">
        <v>5.7600792242180057E-3</v>
      </c>
    </row>
    <row r="50" spans="1:17" ht="21" x14ac:dyDescent="0.65">
      <c r="A50" s="47" t="s">
        <v>202</v>
      </c>
      <c r="C50" s="48">
        <v>0</v>
      </c>
      <c r="E50" s="48">
        <v>0</v>
      </c>
      <c r="G50" s="48">
        <f t="shared" si="0"/>
        <v>0</v>
      </c>
      <c r="I50" s="49">
        <v>0</v>
      </c>
      <c r="K50" s="48">
        <v>-9760486</v>
      </c>
      <c r="M50" s="48">
        <v>853398759</v>
      </c>
      <c r="O50" s="48">
        <f t="shared" si="1"/>
        <v>843638273</v>
      </c>
      <c r="Q50" s="49">
        <v>4.7672932961777069E-2</v>
      </c>
    </row>
    <row r="51" spans="1:17" ht="21" x14ac:dyDescent="0.65">
      <c r="A51" s="47" t="s">
        <v>258</v>
      </c>
      <c r="C51" s="48">
        <v>0</v>
      </c>
      <c r="E51" s="48">
        <v>0</v>
      </c>
      <c r="G51" s="48">
        <f t="shared" si="0"/>
        <v>0</v>
      </c>
      <c r="I51" s="49">
        <v>0</v>
      </c>
      <c r="K51" s="48">
        <v>10997168</v>
      </c>
      <c r="M51" s="48">
        <v>130771169</v>
      </c>
      <c r="O51" s="48">
        <f t="shared" si="1"/>
        <v>141768337</v>
      </c>
      <c r="Q51" s="49">
        <v>8.0111496149530663E-3</v>
      </c>
    </row>
    <row r="52" spans="1:17" ht="21" x14ac:dyDescent="0.65">
      <c r="A52" s="47" t="s">
        <v>203</v>
      </c>
      <c r="C52" s="48">
        <v>12003090</v>
      </c>
      <c r="E52" s="48">
        <v>15997940</v>
      </c>
      <c r="G52" s="48">
        <f t="shared" si="0"/>
        <v>28001030</v>
      </c>
      <c r="I52" s="49">
        <v>7.6989560432509955E-4</v>
      </c>
      <c r="J52" s="50"/>
      <c r="K52" s="48">
        <v>12003090</v>
      </c>
      <c r="M52" s="48">
        <v>15997940</v>
      </c>
      <c r="O52" s="48">
        <f t="shared" si="1"/>
        <v>28001030</v>
      </c>
      <c r="Q52" s="49">
        <v>1.5823028290357193E-3</v>
      </c>
    </row>
    <row r="53" spans="1:17" ht="21" x14ac:dyDescent="0.65">
      <c r="A53" s="47" t="s">
        <v>259</v>
      </c>
      <c r="C53" s="48">
        <v>0</v>
      </c>
      <c r="E53" s="48">
        <v>0</v>
      </c>
      <c r="G53" s="48">
        <f t="shared" si="0"/>
        <v>0</v>
      </c>
      <c r="I53" s="49">
        <v>0</v>
      </c>
      <c r="J53" s="50"/>
      <c r="K53" s="48">
        <v>0</v>
      </c>
      <c r="M53" s="48">
        <v>41960571</v>
      </c>
      <c r="O53" s="48">
        <f t="shared" si="1"/>
        <v>41960571</v>
      </c>
      <c r="Q53" s="49">
        <v>2.3711388545797837E-3</v>
      </c>
    </row>
    <row r="54" spans="1:17" ht="21" x14ac:dyDescent="0.65">
      <c r="A54" s="47" t="s">
        <v>260</v>
      </c>
      <c r="C54" s="48">
        <v>0</v>
      </c>
      <c r="E54" s="48">
        <v>0</v>
      </c>
      <c r="G54" s="48">
        <f t="shared" si="0"/>
        <v>0</v>
      </c>
      <c r="I54" s="49">
        <v>0</v>
      </c>
      <c r="J54" s="50"/>
      <c r="K54" s="48">
        <v>-15082116</v>
      </c>
      <c r="M54" s="48">
        <v>478416987</v>
      </c>
      <c r="O54" s="48">
        <f t="shared" si="1"/>
        <v>463334871</v>
      </c>
      <c r="Q54" s="49">
        <v>2.6182468186855986E-2</v>
      </c>
    </row>
    <row r="55" spans="1:17" ht="21" x14ac:dyDescent="0.65">
      <c r="A55" s="47" t="s">
        <v>204</v>
      </c>
      <c r="C55" s="48">
        <v>0</v>
      </c>
      <c r="E55" s="48">
        <v>0</v>
      </c>
      <c r="G55" s="48">
        <f t="shared" si="0"/>
        <v>0</v>
      </c>
      <c r="I55" s="49">
        <v>0</v>
      </c>
      <c r="J55" s="50"/>
      <c r="K55" s="48">
        <v>0</v>
      </c>
      <c r="M55" s="48">
        <v>1377570353</v>
      </c>
      <c r="O55" s="48">
        <f t="shared" si="1"/>
        <v>1377570353</v>
      </c>
      <c r="Q55" s="49">
        <v>7.7844760237306784E-2</v>
      </c>
    </row>
    <row r="56" spans="1:17" ht="21" x14ac:dyDescent="0.65">
      <c r="A56" s="47" t="s">
        <v>205</v>
      </c>
      <c r="C56" s="48">
        <v>0</v>
      </c>
      <c r="E56" s="48">
        <v>0</v>
      </c>
      <c r="G56" s="48">
        <f t="shared" si="0"/>
        <v>0</v>
      </c>
      <c r="I56" s="49">
        <v>0</v>
      </c>
      <c r="J56" s="50"/>
      <c r="K56" s="48">
        <v>-15336050</v>
      </c>
      <c r="M56" s="48">
        <v>429981911</v>
      </c>
      <c r="O56" s="48">
        <f t="shared" si="1"/>
        <v>414645861</v>
      </c>
      <c r="Q56" s="49">
        <v>2.3431113745039079E-2</v>
      </c>
    </row>
    <row r="57" spans="1:17" ht="21" x14ac:dyDescent="0.65">
      <c r="A57" s="47" t="s">
        <v>261</v>
      </c>
      <c r="C57" s="48">
        <v>0</v>
      </c>
      <c r="E57" s="48">
        <v>0</v>
      </c>
      <c r="G57" s="48">
        <f t="shared" si="0"/>
        <v>0</v>
      </c>
      <c r="I57" s="49">
        <v>0</v>
      </c>
      <c r="J57" s="50"/>
      <c r="K57" s="48">
        <v>0</v>
      </c>
      <c r="M57" s="48">
        <v>37185668</v>
      </c>
      <c r="O57" s="48">
        <f t="shared" si="1"/>
        <v>37185668</v>
      </c>
      <c r="Q57" s="49">
        <v>2.1013151186218158E-3</v>
      </c>
    </row>
    <row r="58" spans="1:17" ht="21" x14ac:dyDescent="0.65">
      <c r="A58" s="47" t="s">
        <v>262</v>
      </c>
      <c r="C58" s="48">
        <v>0</v>
      </c>
      <c r="E58" s="48">
        <v>0</v>
      </c>
      <c r="G58" s="48">
        <f t="shared" si="0"/>
        <v>0</v>
      </c>
      <c r="I58" s="49">
        <v>0</v>
      </c>
      <c r="J58" s="50"/>
      <c r="K58" s="48">
        <v>12008907</v>
      </c>
      <c r="M58" s="48">
        <v>82079944</v>
      </c>
      <c r="O58" s="48">
        <f t="shared" si="1"/>
        <v>94088851</v>
      </c>
      <c r="Q58" s="49">
        <v>5.3168420989520839E-3</v>
      </c>
    </row>
    <row r="59" spans="1:17" ht="21" x14ac:dyDescent="0.65">
      <c r="A59" s="47" t="s">
        <v>206</v>
      </c>
      <c r="C59" s="48">
        <v>0</v>
      </c>
      <c r="E59" s="48">
        <v>0</v>
      </c>
      <c r="G59" s="48">
        <f t="shared" si="0"/>
        <v>0</v>
      </c>
      <c r="I59" s="49">
        <v>0</v>
      </c>
      <c r="J59" s="50"/>
      <c r="K59" s="48">
        <v>402706</v>
      </c>
      <c r="M59" s="48">
        <v>407621359</v>
      </c>
      <c r="O59" s="48">
        <f t="shared" si="1"/>
        <v>408024065</v>
      </c>
      <c r="Q59" s="49">
        <v>2.3056924419000095E-2</v>
      </c>
    </row>
    <row r="60" spans="1:17" ht="21" x14ac:dyDescent="0.65">
      <c r="A60" s="47" t="s">
        <v>263</v>
      </c>
      <c r="C60" s="48">
        <v>0</v>
      </c>
      <c r="E60" s="48">
        <v>0</v>
      </c>
      <c r="G60" s="48">
        <f t="shared" si="0"/>
        <v>0</v>
      </c>
      <c r="I60" s="49">
        <v>0</v>
      </c>
      <c r="J60" s="50"/>
      <c r="K60" s="48">
        <v>-15508006</v>
      </c>
      <c r="M60" s="48">
        <v>278569994</v>
      </c>
      <c r="O60" s="48">
        <f t="shared" si="1"/>
        <v>263061988</v>
      </c>
      <c r="Q60" s="49">
        <v>1.4865300591591111E-2</v>
      </c>
    </row>
    <row r="61" spans="1:17" ht="21" x14ac:dyDescent="0.65">
      <c r="A61" s="47" t="s">
        <v>264</v>
      </c>
      <c r="C61" s="48">
        <v>-1282578</v>
      </c>
      <c r="E61" s="48">
        <v>0</v>
      </c>
      <c r="G61" s="48">
        <f t="shared" si="0"/>
        <v>-1282578</v>
      </c>
      <c r="I61" s="49">
        <v>-3.5264815772993976E-5</v>
      </c>
      <c r="J61" s="50"/>
      <c r="K61" s="48">
        <v>0</v>
      </c>
      <c r="M61" s="48">
        <v>67514952</v>
      </c>
      <c r="O61" s="48">
        <f t="shared" si="1"/>
        <v>67514952</v>
      </c>
      <c r="Q61" s="49">
        <v>3.8151846397011394E-3</v>
      </c>
    </row>
    <row r="62" spans="1:17" ht="21" x14ac:dyDescent="0.65">
      <c r="A62" s="47" t="s">
        <v>265</v>
      </c>
      <c r="C62" s="48">
        <v>0</v>
      </c>
      <c r="E62" s="48">
        <v>0</v>
      </c>
      <c r="G62" s="48">
        <f t="shared" si="0"/>
        <v>0</v>
      </c>
      <c r="I62" s="49">
        <v>0</v>
      </c>
      <c r="J62" s="50"/>
      <c r="K62" s="48">
        <v>1519609</v>
      </c>
      <c r="M62" s="48">
        <v>1596292</v>
      </c>
      <c r="O62" s="48">
        <f t="shared" si="1"/>
        <v>3115901</v>
      </c>
      <c r="Q62" s="49">
        <v>1.7607562890705188E-4</v>
      </c>
    </row>
    <row r="63" spans="1:17" ht="21" x14ac:dyDescent="0.65">
      <c r="A63" s="47" t="s">
        <v>266</v>
      </c>
      <c r="C63" s="48">
        <v>0</v>
      </c>
      <c r="E63" s="48">
        <v>0</v>
      </c>
      <c r="G63" s="48">
        <f t="shared" si="0"/>
        <v>0</v>
      </c>
      <c r="I63" s="49">
        <v>0</v>
      </c>
      <c r="J63" s="50"/>
      <c r="K63" s="48">
        <v>6238393</v>
      </c>
      <c r="M63" s="48">
        <v>718657381</v>
      </c>
      <c r="O63" s="48">
        <f t="shared" si="1"/>
        <v>724895774</v>
      </c>
      <c r="Q63" s="49">
        <v>4.0962944361555176E-2</v>
      </c>
    </row>
    <row r="64" spans="1:17" ht="21" x14ac:dyDescent="0.65">
      <c r="A64" s="47" t="s">
        <v>207</v>
      </c>
      <c r="C64" s="48">
        <v>0</v>
      </c>
      <c r="E64" s="48">
        <v>0</v>
      </c>
      <c r="G64" s="48">
        <f t="shared" si="0"/>
        <v>0</v>
      </c>
      <c r="I64" s="49">
        <v>0</v>
      </c>
      <c r="J64" s="50"/>
      <c r="K64" s="48">
        <v>-3551085</v>
      </c>
      <c r="M64" s="48">
        <v>1027103692</v>
      </c>
      <c r="O64" s="48">
        <f t="shared" si="1"/>
        <v>1023552607</v>
      </c>
      <c r="Q64" s="49">
        <v>5.7839664673870417E-2</v>
      </c>
    </row>
    <row r="65" spans="1:17" ht="21" x14ac:dyDescent="0.65">
      <c r="A65" s="47" t="s">
        <v>208</v>
      </c>
      <c r="C65" s="48">
        <v>0</v>
      </c>
      <c r="E65" s="48">
        <v>0</v>
      </c>
      <c r="G65" s="48">
        <f t="shared" si="0"/>
        <v>0</v>
      </c>
      <c r="I65" s="49">
        <v>0</v>
      </c>
      <c r="J65" s="50"/>
      <c r="K65" s="48">
        <v>-2469364</v>
      </c>
      <c r="M65" s="48">
        <v>394213597</v>
      </c>
      <c r="O65" s="48">
        <f t="shared" si="1"/>
        <v>391744233</v>
      </c>
      <c r="Q65" s="49">
        <v>2.2136971680482037E-2</v>
      </c>
    </row>
    <row r="66" spans="1:17" ht="21" x14ac:dyDescent="0.65">
      <c r="A66" s="47" t="s">
        <v>267</v>
      </c>
      <c r="C66" s="48">
        <v>0</v>
      </c>
      <c r="E66" s="48">
        <v>0</v>
      </c>
      <c r="G66" s="48">
        <f t="shared" si="0"/>
        <v>0</v>
      </c>
      <c r="I66" s="49">
        <v>0</v>
      </c>
      <c r="J66" s="50"/>
      <c r="K66" s="48">
        <v>0</v>
      </c>
      <c r="M66" s="48">
        <v>27846437</v>
      </c>
      <c r="O66" s="48">
        <f t="shared" si="1"/>
        <v>27846437</v>
      </c>
      <c r="Q66" s="49">
        <v>1.5735669739172068E-3</v>
      </c>
    </row>
    <row r="67" spans="1:17" ht="21" x14ac:dyDescent="0.65">
      <c r="A67" s="47" t="s">
        <v>209</v>
      </c>
      <c r="C67" s="48">
        <v>0</v>
      </c>
      <c r="E67" s="48">
        <v>0</v>
      </c>
      <c r="G67" s="48">
        <f t="shared" si="0"/>
        <v>0</v>
      </c>
      <c r="I67" s="49">
        <v>0</v>
      </c>
      <c r="J67" s="50"/>
      <c r="K67" s="48">
        <v>69981974</v>
      </c>
      <c r="M67" s="48">
        <v>-207613744</v>
      </c>
      <c r="O67" s="48">
        <f t="shared" si="1"/>
        <v>-137631770</v>
      </c>
      <c r="Q67" s="49">
        <v>-7.7773974398867981E-3</v>
      </c>
    </row>
    <row r="68" spans="1:17" ht="21" x14ac:dyDescent="0.65">
      <c r="A68" s="47" t="s">
        <v>210</v>
      </c>
      <c r="C68" s="48">
        <v>0</v>
      </c>
      <c r="E68" s="48">
        <v>0</v>
      </c>
      <c r="G68" s="48">
        <f t="shared" si="0"/>
        <v>0</v>
      </c>
      <c r="I68" s="49">
        <v>0</v>
      </c>
      <c r="J68" s="50"/>
      <c r="K68" s="48">
        <v>-15995880</v>
      </c>
      <c r="M68" s="48">
        <v>542264460</v>
      </c>
      <c r="O68" s="48">
        <f t="shared" si="1"/>
        <v>526268580</v>
      </c>
      <c r="Q68" s="49">
        <v>2.9738772572530752E-2</v>
      </c>
    </row>
    <row r="69" spans="1:17" ht="21" x14ac:dyDescent="0.65">
      <c r="A69" s="47" t="s">
        <v>211</v>
      </c>
      <c r="C69" s="48">
        <v>0</v>
      </c>
      <c r="E69" s="48">
        <v>0</v>
      </c>
      <c r="G69" s="48">
        <f t="shared" si="0"/>
        <v>0</v>
      </c>
      <c r="I69" s="49">
        <v>0</v>
      </c>
      <c r="J69" s="50"/>
      <c r="K69" s="48">
        <v>53986095</v>
      </c>
      <c r="M69" s="48">
        <v>762470285</v>
      </c>
      <c r="O69" s="48">
        <f t="shared" si="1"/>
        <v>816456380</v>
      </c>
      <c r="Q69" s="49">
        <v>4.6136918529720593E-2</v>
      </c>
    </row>
    <row r="70" spans="1:17" ht="21" x14ac:dyDescent="0.65">
      <c r="A70" s="47" t="s">
        <v>212</v>
      </c>
      <c r="C70" s="48">
        <v>0</v>
      </c>
      <c r="E70" s="48">
        <v>0</v>
      </c>
      <c r="G70" s="48">
        <f t="shared" si="0"/>
        <v>0</v>
      </c>
      <c r="I70" s="49">
        <v>0</v>
      </c>
      <c r="J70" s="50"/>
      <c r="K70" s="48">
        <v>0</v>
      </c>
      <c r="M70" s="48">
        <v>134416530</v>
      </c>
      <c r="O70" s="48">
        <f t="shared" si="1"/>
        <v>134416530</v>
      </c>
      <c r="Q70" s="49">
        <v>7.5957082895937982E-3</v>
      </c>
    </row>
    <row r="71" spans="1:17" ht="21" x14ac:dyDescent="0.65">
      <c r="A71" s="47" t="s">
        <v>213</v>
      </c>
      <c r="C71" s="48">
        <v>0</v>
      </c>
      <c r="E71" s="48">
        <v>0</v>
      </c>
      <c r="G71" s="48">
        <f t="shared" si="0"/>
        <v>0</v>
      </c>
      <c r="I71" s="49">
        <v>0</v>
      </c>
      <c r="J71" s="50"/>
      <c r="K71" s="48">
        <v>-24993562</v>
      </c>
      <c r="M71" s="48">
        <v>292147825</v>
      </c>
      <c r="O71" s="48">
        <f t="shared" si="1"/>
        <v>267154263</v>
      </c>
      <c r="Q71" s="49">
        <v>1.5096549881695516E-2</v>
      </c>
    </row>
    <row r="72" spans="1:17" ht="21" x14ac:dyDescent="0.65">
      <c r="A72" s="47" t="s">
        <v>268</v>
      </c>
      <c r="C72" s="48">
        <v>0</v>
      </c>
      <c r="E72" s="48">
        <v>0</v>
      </c>
      <c r="G72" s="48">
        <f t="shared" si="0"/>
        <v>0</v>
      </c>
      <c r="I72" s="49">
        <v>0</v>
      </c>
      <c r="J72" s="50"/>
      <c r="K72" s="48">
        <v>29482407</v>
      </c>
      <c r="M72" s="48">
        <v>-49213200</v>
      </c>
      <c r="O72" s="48">
        <f t="shared" si="1"/>
        <v>-19730793</v>
      </c>
      <c r="Q72" s="49">
        <v>-1.1149621847131397E-3</v>
      </c>
    </row>
    <row r="73" spans="1:17" ht="21" x14ac:dyDescent="0.65">
      <c r="A73" s="47" t="s">
        <v>269</v>
      </c>
      <c r="C73" s="48">
        <v>178859932</v>
      </c>
      <c r="E73" s="48">
        <v>70772500</v>
      </c>
      <c r="G73" s="48">
        <f t="shared" si="0"/>
        <v>249632432</v>
      </c>
      <c r="I73" s="49">
        <v>6.8637086597808841E-3</v>
      </c>
      <c r="J73" s="50"/>
      <c r="K73" s="48">
        <v>178859932</v>
      </c>
      <c r="M73" s="48">
        <v>70772500</v>
      </c>
      <c r="O73" s="48">
        <f t="shared" si="1"/>
        <v>249632432</v>
      </c>
      <c r="Q73" s="49">
        <v>1.4106413348818483E-2</v>
      </c>
    </row>
    <row r="74" spans="1:17" ht="21" x14ac:dyDescent="0.65">
      <c r="A74" s="47" t="s">
        <v>291</v>
      </c>
      <c r="C74" s="48">
        <v>13787312</v>
      </c>
      <c r="E74" s="48">
        <v>0</v>
      </c>
      <c r="G74" s="48"/>
      <c r="I74" s="49">
        <v>0</v>
      </c>
      <c r="J74" s="50"/>
      <c r="K74" s="48">
        <v>13787312</v>
      </c>
      <c r="M74" s="48">
        <v>0</v>
      </c>
      <c r="O74" s="48">
        <f t="shared" si="1"/>
        <v>13787312</v>
      </c>
      <c r="Q74" s="49">
        <v>7.7910358234672516E-4</v>
      </c>
    </row>
    <row r="75" spans="1:17" ht="21" x14ac:dyDescent="0.65">
      <c r="A75" s="47" t="s">
        <v>270</v>
      </c>
      <c r="C75" s="48">
        <v>0</v>
      </c>
      <c r="E75" s="48">
        <v>0</v>
      </c>
      <c r="G75" s="48">
        <f t="shared" si="0"/>
        <v>0</v>
      </c>
      <c r="I75" s="49">
        <v>0</v>
      </c>
      <c r="J75" s="50"/>
      <c r="K75" s="48">
        <v>0</v>
      </c>
      <c r="M75" s="48">
        <v>174158979</v>
      </c>
      <c r="O75" s="48">
        <f t="shared" si="1"/>
        <v>174158979</v>
      </c>
      <c r="Q75" s="49">
        <v>9.8415038723101405E-3</v>
      </c>
    </row>
    <row r="76" spans="1:17" ht="21" x14ac:dyDescent="0.65">
      <c r="A76" s="47" t="s">
        <v>271</v>
      </c>
      <c r="C76" s="48">
        <v>0</v>
      </c>
      <c r="E76" s="48">
        <v>0</v>
      </c>
      <c r="G76" s="48">
        <f t="shared" si="0"/>
        <v>0</v>
      </c>
      <c r="I76" s="49">
        <v>0</v>
      </c>
      <c r="J76" s="50"/>
      <c r="K76" s="48">
        <v>-6289548</v>
      </c>
      <c r="M76" s="48">
        <v>246240351</v>
      </c>
      <c r="O76" s="48">
        <f t="shared" si="1"/>
        <v>239950803</v>
      </c>
      <c r="Q76" s="49">
        <v>1.355931672571661E-2</v>
      </c>
    </row>
    <row r="77" spans="1:17" ht="21" x14ac:dyDescent="0.65">
      <c r="A77" s="47" t="s">
        <v>272</v>
      </c>
      <c r="C77" s="48">
        <v>0</v>
      </c>
      <c r="E77" s="48">
        <v>0</v>
      </c>
      <c r="G77" s="48">
        <f t="shared" ref="G77:G121" si="2">E77+C77</f>
        <v>0</v>
      </c>
      <c r="I77" s="49">
        <v>0</v>
      </c>
      <c r="J77" s="50"/>
      <c r="K77" s="48">
        <v>0</v>
      </c>
      <c r="M77" s="48">
        <v>171732364</v>
      </c>
      <c r="O77" s="48">
        <f t="shared" si="1"/>
        <v>171732364</v>
      </c>
      <c r="Q77" s="49">
        <v>9.704378924424991E-3</v>
      </c>
    </row>
    <row r="78" spans="1:17" ht="21" x14ac:dyDescent="0.65">
      <c r="A78" s="47" t="s">
        <v>214</v>
      </c>
      <c r="C78" s="48">
        <v>0</v>
      </c>
      <c r="E78" s="48">
        <v>0</v>
      </c>
      <c r="G78" s="48">
        <f t="shared" si="2"/>
        <v>0</v>
      </c>
      <c r="I78" s="49">
        <v>0</v>
      </c>
      <c r="J78" s="50"/>
      <c r="K78" s="48">
        <v>26575555</v>
      </c>
      <c r="M78" s="48">
        <v>903156644</v>
      </c>
      <c r="O78" s="48">
        <f t="shared" si="1"/>
        <v>929732199</v>
      </c>
      <c r="Q78" s="49">
        <v>5.2537991949699721E-2</v>
      </c>
    </row>
    <row r="79" spans="1:17" ht="21" x14ac:dyDescent="0.65">
      <c r="A79" s="47" t="s">
        <v>215</v>
      </c>
      <c r="C79" s="48">
        <v>0</v>
      </c>
      <c r="E79" s="48">
        <v>0</v>
      </c>
      <c r="G79" s="48">
        <f t="shared" si="2"/>
        <v>0</v>
      </c>
      <c r="I79" s="49">
        <v>0</v>
      </c>
      <c r="J79" s="50"/>
      <c r="K79" s="48">
        <v>1769544</v>
      </c>
      <c r="M79" s="48">
        <v>1500319978</v>
      </c>
      <c r="O79" s="48">
        <f t="shared" si="1"/>
        <v>1502089522</v>
      </c>
      <c r="Q79" s="49">
        <v>8.4881181161032701E-2</v>
      </c>
    </row>
    <row r="80" spans="1:17" ht="21" x14ac:dyDescent="0.65">
      <c r="A80" s="47" t="s">
        <v>273</v>
      </c>
      <c r="C80" s="48">
        <v>0</v>
      </c>
      <c r="E80" s="48">
        <v>0</v>
      </c>
      <c r="G80" s="48">
        <f t="shared" si="2"/>
        <v>0</v>
      </c>
      <c r="I80" s="49">
        <v>0</v>
      </c>
      <c r="J80" s="50"/>
      <c r="K80" s="48">
        <v>2603330</v>
      </c>
      <c r="M80" s="48">
        <v>50435522</v>
      </c>
      <c r="O80" s="48">
        <f t="shared" ref="O80:O121" si="3">M80+K80</f>
        <v>53038852</v>
      </c>
      <c r="Q80" s="49">
        <v>2.997158517683343E-3</v>
      </c>
    </row>
    <row r="81" spans="1:17" ht="21" x14ac:dyDescent="0.65">
      <c r="A81" s="47" t="s">
        <v>274</v>
      </c>
      <c r="C81" s="48">
        <v>0</v>
      </c>
      <c r="E81" s="48">
        <v>0</v>
      </c>
      <c r="G81" s="48">
        <f t="shared" si="2"/>
        <v>0</v>
      </c>
      <c r="I81" s="49">
        <v>0</v>
      </c>
      <c r="J81" s="50"/>
      <c r="K81" s="48">
        <v>32176865</v>
      </c>
      <c r="M81" s="48">
        <v>365668940</v>
      </c>
      <c r="O81" s="48">
        <f t="shared" si="3"/>
        <v>397845805</v>
      </c>
      <c r="Q81" s="49">
        <v>2.2481763805527622E-2</v>
      </c>
    </row>
    <row r="82" spans="1:17" ht="21" x14ac:dyDescent="0.65">
      <c r="A82" s="47" t="s">
        <v>216</v>
      </c>
      <c r="C82" s="48">
        <v>0</v>
      </c>
      <c r="E82" s="48">
        <v>0</v>
      </c>
      <c r="G82" s="48">
        <f t="shared" si="2"/>
        <v>0</v>
      </c>
      <c r="I82" s="49">
        <v>0</v>
      </c>
      <c r="J82" s="50"/>
      <c r="K82" s="48">
        <v>-85859485</v>
      </c>
      <c r="M82" s="48">
        <v>388881313</v>
      </c>
      <c r="O82" s="48">
        <f t="shared" si="3"/>
        <v>303021828</v>
      </c>
      <c r="Q82" s="49">
        <v>1.7123380665067505E-2</v>
      </c>
    </row>
    <row r="83" spans="1:17" ht="21" x14ac:dyDescent="0.65">
      <c r="A83" s="47" t="s">
        <v>217</v>
      </c>
      <c r="C83" s="48">
        <v>0</v>
      </c>
      <c r="E83" s="48">
        <v>0</v>
      </c>
      <c r="G83" s="48">
        <f t="shared" si="2"/>
        <v>0</v>
      </c>
      <c r="I83" s="49">
        <v>0</v>
      </c>
      <c r="J83" s="50"/>
      <c r="K83" s="48">
        <v>0</v>
      </c>
      <c r="M83" s="48">
        <v>169892337</v>
      </c>
      <c r="O83" s="48">
        <f t="shared" si="3"/>
        <v>169892337</v>
      </c>
      <c r="Q83" s="49">
        <v>9.6004013233295278E-3</v>
      </c>
    </row>
    <row r="84" spans="1:17" ht="21" x14ac:dyDescent="0.65">
      <c r="A84" s="47" t="s">
        <v>275</v>
      </c>
      <c r="C84" s="48">
        <v>0</v>
      </c>
      <c r="E84" s="48">
        <v>0</v>
      </c>
      <c r="G84" s="48">
        <f t="shared" si="2"/>
        <v>0</v>
      </c>
      <c r="I84" s="49">
        <v>0</v>
      </c>
      <c r="J84" s="50"/>
      <c r="K84" s="48">
        <v>-20820926</v>
      </c>
      <c r="M84" s="48">
        <v>-1836545797</v>
      </c>
      <c r="O84" s="48">
        <f t="shared" si="3"/>
        <v>-1857366723</v>
      </c>
      <c r="Q84" s="49">
        <v>-0.10495744693533428</v>
      </c>
    </row>
    <row r="85" spans="1:17" ht="21" x14ac:dyDescent="0.65">
      <c r="A85" s="47" t="s">
        <v>276</v>
      </c>
      <c r="C85" s="48">
        <v>0</v>
      </c>
      <c r="E85" s="48">
        <v>0</v>
      </c>
      <c r="G85" s="48">
        <f t="shared" si="2"/>
        <v>0</v>
      </c>
      <c r="I85" s="49">
        <v>0</v>
      </c>
      <c r="J85" s="50"/>
      <c r="K85" s="48">
        <v>-2397382</v>
      </c>
      <c r="M85" s="48">
        <v>27528204</v>
      </c>
      <c r="O85" s="48">
        <f t="shared" si="3"/>
        <v>25130822</v>
      </c>
      <c r="Q85" s="49">
        <v>1.4201110011522109E-3</v>
      </c>
    </row>
    <row r="86" spans="1:17" ht="21" x14ac:dyDescent="0.65">
      <c r="A86" s="47" t="s">
        <v>277</v>
      </c>
      <c r="C86" s="48">
        <v>0</v>
      </c>
      <c r="E86" s="48">
        <v>0</v>
      </c>
      <c r="G86" s="48">
        <f t="shared" si="2"/>
        <v>0</v>
      </c>
      <c r="I86" s="49">
        <v>0</v>
      </c>
      <c r="J86" s="50"/>
      <c r="K86" s="48">
        <v>180993382</v>
      </c>
      <c r="M86" s="48">
        <v>294439966</v>
      </c>
      <c r="O86" s="48">
        <f t="shared" si="3"/>
        <v>475433348</v>
      </c>
      <c r="Q86" s="49">
        <v>2.6866137837012555E-2</v>
      </c>
    </row>
    <row r="87" spans="1:17" ht="21" x14ac:dyDescent="0.65">
      <c r="A87" s="47" t="s">
        <v>278</v>
      </c>
      <c r="C87" s="48">
        <v>0</v>
      </c>
      <c r="E87" s="48">
        <v>0</v>
      </c>
      <c r="G87" s="48">
        <f t="shared" si="2"/>
        <v>0</v>
      </c>
      <c r="I87" s="49">
        <v>0</v>
      </c>
      <c r="J87" s="50"/>
      <c r="K87" s="48">
        <v>-2499356</v>
      </c>
      <c r="M87" s="48">
        <v>593579598</v>
      </c>
      <c r="O87" s="48">
        <f t="shared" si="3"/>
        <v>591080242</v>
      </c>
      <c r="Q87" s="49">
        <v>3.3401197709645593E-2</v>
      </c>
    </row>
    <row r="88" spans="1:17" ht="21" x14ac:dyDescent="0.65">
      <c r="A88" s="47" t="s">
        <v>279</v>
      </c>
      <c r="C88" s="48">
        <v>0</v>
      </c>
      <c r="E88" s="48">
        <v>0</v>
      </c>
      <c r="G88" s="48">
        <f t="shared" si="2"/>
        <v>0</v>
      </c>
      <c r="I88" s="49">
        <v>0</v>
      </c>
      <c r="J88" s="50"/>
      <c r="K88" s="48">
        <v>0</v>
      </c>
      <c r="M88" s="48">
        <v>-4999124626</v>
      </c>
      <c r="O88" s="48">
        <f t="shared" si="3"/>
        <v>-4999124626</v>
      </c>
      <c r="Q88" s="49">
        <v>-0.28249421676352376</v>
      </c>
    </row>
    <row r="89" spans="1:17" ht="21" x14ac:dyDescent="0.65">
      <c r="A89" s="47" t="s">
        <v>280</v>
      </c>
      <c r="C89" s="48">
        <v>0</v>
      </c>
      <c r="E89" s="48">
        <v>0</v>
      </c>
      <c r="G89" s="48">
        <f t="shared" si="2"/>
        <v>0</v>
      </c>
      <c r="I89" s="49">
        <v>0</v>
      </c>
      <c r="J89" s="50"/>
      <c r="K89" s="48">
        <v>13496524</v>
      </c>
      <c r="M89" s="48">
        <v>161556937</v>
      </c>
      <c r="O89" s="48">
        <f t="shared" si="3"/>
        <v>175053461</v>
      </c>
      <c r="Q89" s="49">
        <v>9.8920499200491532E-3</v>
      </c>
    </row>
    <row r="90" spans="1:17" ht="21" x14ac:dyDescent="0.65">
      <c r="A90" s="47" t="s">
        <v>281</v>
      </c>
      <c r="C90" s="48">
        <v>0</v>
      </c>
      <c r="E90" s="48">
        <v>0</v>
      </c>
      <c r="G90" s="48">
        <f t="shared" si="2"/>
        <v>0</v>
      </c>
      <c r="I90" s="49">
        <v>0</v>
      </c>
      <c r="J90" s="50"/>
      <c r="K90" s="48">
        <v>1</v>
      </c>
      <c r="M90" s="48">
        <v>139779875</v>
      </c>
      <c r="O90" s="48">
        <f t="shared" si="3"/>
        <v>139779876</v>
      </c>
      <c r="Q90" s="49">
        <v>7.8987841960478609E-3</v>
      </c>
    </row>
    <row r="91" spans="1:17" ht="21" x14ac:dyDescent="0.65">
      <c r="A91" s="47" t="s">
        <v>218</v>
      </c>
      <c r="C91" s="48">
        <v>4998713</v>
      </c>
      <c r="E91" s="48">
        <v>24996190</v>
      </c>
      <c r="G91" s="48">
        <f t="shared" si="2"/>
        <v>29994903</v>
      </c>
      <c r="I91" s="49">
        <v>8.2471766116666936E-4</v>
      </c>
      <c r="J91" s="50"/>
      <c r="K91" s="48">
        <v>4998713</v>
      </c>
      <c r="M91" s="48">
        <v>24996190</v>
      </c>
      <c r="O91" s="48">
        <f t="shared" si="3"/>
        <v>29994903</v>
      </c>
      <c r="Q91" s="49">
        <v>1.6949740732234487E-3</v>
      </c>
    </row>
    <row r="92" spans="1:17" ht="21" x14ac:dyDescent="0.65">
      <c r="A92" s="47" t="s">
        <v>219</v>
      </c>
      <c r="C92" s="48">
        <v>0</v>
      </c>
      <c r="E92" s="48">
        <v>0</v>
      </c>
      <c r="G92" s="48">
        <f t="shared" si="2"/>
        <v>0</v>
      </c>
      <c r="I92" s="49">
        <v>0</v>
      </c>
      <c r="J92" s="50"/>
      <c r="K92" s="48">
        <v>6839138</v>
      </c>
      <c r="M92" s="48">
        <v>314113740</v>
      </c>
      <c r="O92" s="48">
        <f t="shared" si="3"/>
        <v>320952878</v>
      </c>
      <c r="Q92" s="49">
        <v>1.8136641646630716E-2</v>
      </c>
    </row>
    <row r="93" spans="1:17" ht="21" x14ac:dyDescent="0.65">
      <c r="A93" s="47" t="s">
        <v>220</v>
      </c>
      <c r="C93" s="48">
        <v>0</v>
      </c>
      <c r="E93" s="48">
        <v>7989736</v>
      </c>
      <c r="G93" s="48">
        <f t="shared" si="2"/>
        <v>7989736</v>
      </c>
      <c r="I93" s="49">
        <v>2.1967986985185916E-4</v>
      </c>
      <c r="J93" s="50"/>
      <c r="K93" s="48">
        <v>0</v>
      </c>
      <c r="M93" s="48">
        <v>7989736</v>
      </c>
      <c r="O93" s="48">
        <f t="shared" si="3"/>
        <v>7989736</v>
      </c>
      <c r="Q93" s="49">
        <v>4.5148988719516858E-4</v>
      </c>
    </row>
    <row r="94" spans="1:17" ht="21" x14ac:dyDescent="0.65">
      <c r="A94" s="47" t="s">
        <v>282</v>
      </c>
      <c r="C94" s="48">
        <v>0</v>
      </c>
      <c r="E94" s="48">
        <v>0</v>
      </c>
      <c r="G94" s="48">
        <f t="shared" si="2"/>
        <v>0</v>
      </c>
      <c r="I94" s="49">
        <v>0</v>
      </c>
      <c r="J94" s="50"/>
      <c r="K94" s="48">
        <v>0</v>
      </c>
      <c r="M94" s="48">
        <v>-1001</v>
      </c>
      <c r="O94" s="48">
        <f t="shared" si="3"/>
        <v>-1001</v>
      </c>
      <c r="Q94" s="49">
        <v>-5.6565245345073202E-8</v>
      </c>
    </row>
    <row r="95" spans="1:17" ht="21" x14ac:dyDescent="0.65">
      <c r="A95" s="47" t="s">
        <v>221</v>
      </c>
      <c r="C95" s="48">
        <v>0</v>
      </c>
      <c r="E95" s="48">
        <v>0</v>
      </c>
      <c r="G95" s="48">
        <f t="shared" si="2"/>
        <v>0</v>
      </c>
      <c r="I95" s="49">
        <v>0</v>
      </c>
      <c r="J95" s="50"/>
      <c r="K95" s="48">
        <v>-24993562</v>
      </c>
      <c r="M95" s="48">
        <v>2635614794</v>
      </c>
      <c r="O95" s="48">
        <f t="shared" si="3"/>
        <v>2610621232</v>
      </c>
      <c r="Q95" s="49">
        <v>0.14752290758355371</v>
      </c>
    </row>
    <row r="96" spans="1:17" ht="21" x14ac:dyDescent="0.65">
      <c r="A96" s="47" t="s">
        <v>222</v>
      </c>
      <c r="C96" s="48">
        <v>0</v>
      </c>
      <c r="E96" s="48">
        <v>0</v>
      </c>
      <c r="G96" s="48">
        <f t="shared" si="2"/>
        <v>0</v>
      </c>
      <c r="I96" s="49">
        <v>0</v>
      </c>
      <c r="J96" s="50"/>
      <c r="K96" s="48">
        <v>51986610</v>
      </c>
      <c r="M96" s="48">
        <v>220595472</v>
      </c>
      <c r="O96" s="48">
        <f t="shared" si="3"/>
        <v>272582082</v>
      </c>
      <c r="Q96" s="49">
        <v>1.5403269075924935E-2</v>
      </c>
    </row>
    <row r="97" spans="1:17" ht="21" x14ac:dyDescent="0.65">
      <c r="A97" s="47" t="s">
        <v>223</v>
      </c>
      <c r="C97" s="48">
        <v>0</v>
      </c>
      <c r="E97" s="48">
        <v>0</v>
      </c>
      <c r="G97" s="48">
        <f t="shared" si="2"/>
        <v>0</v>
      </c>
      <c r="I97" s="49">
        <v>0</v>
      </c>
      <c r="J97" s="50"/>
      <c r="K97" s="48">
        <v>-998</v>
      </c>
      <c r="M97" s="48">
        <v>769032514</v>
      </c>
      <c r="O97" s="48">
        <f t="shared" si="3"/>
        <v>769031516</v>
      </c>
      <c r="Q97" s="49">
        <v>4.3456999381252331E-2</v>
      </c>
    </row>
    <row r="98" spans="1:17" ht="21" x14ac:dyDescent="0.65">
      <c r="A98" s="47" t="s">
        <v>283</v>
      </c>
      <c r="C98" s="48">
        <v>0</v>
      </c>
      <c r="E98" s="48">
        <v>0</v>
      </c>
      <c r="G98" s="48">
        <f t="shared" si="2"/>
        <v>0</v>
      </c>
      <c r="I98" s="49">
        <v>0</v>
      </c>
      <c r="J98" s="50"/>
      <c r="K98" s="48">
        <v>0</v>
      </c>
      <c r="M98" s="48">
        <v>2823802</v>
      </c>
      <c r="O98" s="48">
        <f t="shared" si="3"/>
        <v>2823802</v>
      </c>
      <c r="Q98" s="49">
        <v>1.5956948345245594E-4</v>
      </c>
    </row>
    <row r="99" spans="1:17" ht="21" x14ac:dyDescent="0.65">
      <c r="A99" s="47" t="s">
        <v>224</v>
      </c>
      <c r="C99" s="48">
        <v>0</v>
      </c>
      <c r="E99" s="48">
        <v>0</v>
      </c>
      <c r="G99" s="48">
        <f t="shared" si="2"/>
        <v>0</v>
      </c>
      <c r="I99" s="49">
        <v>0</v>
      </c>
      <c r="J99" s="50"/>
      <c r="K99" s="48">
        <v>24667646</v>
      </c>
      <c r="M99" s="48">
        <v>137838676</v>
      </c>
      <c r="O99" s="48">
        <f t="shared" si="3"/>
        <v>162506322</v>
      </c>
      <c r="Q99" s="49">
        <v>9.1830269471083574E-3</v>
      </c>
    </row>
    <row r="100" spans="1:17" ht="21" x14ac:dyDescent="0.65">
      <c r="A100" s="47" t="s">
        <v>225</v>
      </c>
      <c r="C100" s="48">
        <v>0</v>
      </c>
      <c r="E100" s="48">
        <v>0</v>
      </c>
      <c r="G100" s="48">
        <f t="shared" si="2"/>
        <v>0</v>
      </c>
      <c r="I100" s="49">
        <v>0</v>
      </c>
      <c r="J100" s="50"/>
      <c r="K100" s="48">
        <v>2000</v>
      </c>
      <c r="M100" s="48">
        <v>1604128594</v>
      </c>
      <c r="O100" s="48">
        <f t="shared" si="3"/>
        <v>1604130594</v>
      </c>
      <c r="Q100" s="49">
        <v>9.0647393221926081E-2</v>
      </c>
    </row>
    <row r="101" spans="1:17" ht="21" x14ac:dyDescent="0.65">
      <c r="A101" s="47" t="s">
        <v>226</v>
      </c>
      <c r="C101" s="48">
        <v>0</v>
      </c>
      <c r="E101" s="48">
        <v>0</v>
      </c>
      <c r="G101" s="48">
        <f t="shared" si="2"/>
        <v>0</v>
      </c>
      <c r="I101" s="49">
        <v>0</v>
      </c>
      <c r="J101" s="50"/>
      <c r="K101" s="48">
        <v>50986</v>
      </c>
      <c r="M101" s="48">
        <v>1173724363</v>
      </c>
      <c r="O101" s="48">
        <f t="shared" si="3"/>
        <v>1173775349</v>
      </c>
      <c r="Q101" s="49">
        <v>6.6328562034149774E-2</v>
      </c>
    </row>
    <row r="102" spans="1:17" ht="21" x14ac:dyDescent="0.65">
      <c r="A102" s="47" t="s">
        <v>227</v>
      </c>
      <c r="C102" s="48">
        <v>0</v>
      </c>
      <c r="E102" s="48">
        <v>0</v>
      </c>
      <c r="G102" s="48">
        <f t="shared" si="2"/>
        <v>0</v>
      </c>
      <c r="I102" s="49">
        <v>0</v>
      </c>
      <c r="J102" s="50"/>
      <c r="K102" s="48">
        <v>7210143</v>
      </c>
      <c r="M102" s="48">
        <v>15820222</v>
      </c>
      <c r="O102" s="48">
        <f t="shared" si="3"/>
        <v>23030365</v>
      </c>
      <c r="Q102" s="49">
        <v>1.301416829781805E-3</v>
      </c>
    </row>
    <row r="103" spans="1:17" ht="21" x14ac:dyDescent="0.65">
      <c r="A103" s="47" t="s">
        <v>228</v>
      </c>
      <c r="C103" s="48">
        <v>0</v>
      </c>
      <c r="E103" s="48">
        <v>0</v>
      </c>
      <c r="G103" s="48">
        <f t="shared" si="2"/>
        <v>0</v>
      </c>
      <c r="I103" s="49">
        <v>0</v>
      </c>
      <c r="J103" s="50"/>
      <c r="K103" s="48">
        <v>0</v>
      </c>
      <c r="M103" s="48">
        <v>1217020000</v>
      </c>
      <c r="O103" s="48">
        <f t="shared" si="3"/>
        <v>1217020000</v>
      </c>
      <c r="Q103" s="49">
        <v>6.8772262627233752E-2</v>
      </c>
    </row>
    <row r="104" spans="1:17" ht="21" x14ac:dyDescent="0.65">
      <c r="A104" s="47" t="s">
        <v>229</v>
      </c>
      <c r="C104" s="48">
        <v>0</v>
      </c>
      <c r="E104" s="48">
        <v>0</v>
      </c>
      <c r="G104" s="48">
        <f t="shared" si="2"/>
        <v>0</v>
      </c>
      <c r="I104" s="49">
        <v>0</v>
      </c>
      <c r="J104" s="50"/>
      <c r="K104" s="48">
        <v>662751298</v>
      </c>
      <c r="M104" s="48">
        <v>-890035553</v>
      </c>
      <c r="O104" s="48">
        <f t="shared" si="3"/>
        <v>-227284255</v>
      </c>
      <c r="Q104" s="49">
        <v>-1.2843546101046134E-2</v>
      </c>
    </row>
    <row r="105" spans="1:17" ht="21" x14ac:dyDescent="0.65">
      <c r="A105" s="47" t="s">
        <v>284</v>
      </c>
      <c r="C105" s="48">
        <v>0</v>
      </c>
      <c r="E105" s="48">
        <v>0</v>
      </c>
      <c r="G105" s="48">
        <f t="shared" si="2"/>
        <v>0</v>
      </c>
      <c r="I105" s="49">
        <v>0</v>
      </c>
      <c r="J105" s="50"/>
      <c r="K105" s="48">
        <v>2413378</v>
      </c>
      <c r="M105" s="48">
        <v>-9841314</v>
      </c>
      <c r="O105" s="48">
        <f t="shared" si="3"/>
        <v>-7427936</v>
      </c>
      <c r="Q105" s="49">
        <v>-4.197432789685331E-4</v>
      </c>
    </row>
    <row r="106" spans="1:17" ht="21" x14ac:dyDescent="0.65">
      <c r="A106" s="47" t="s">
        <v>230</v>
      </c>
      <c r="C106" s="48">
        <v>0</v>
      </c>
      <c r="E106" s="48">
        <v>0</v>
      </c>
      <c r="G106" s="48">
        <f t="shared" si="2"/>
        <v>0</v>
      </c>
      <c r="I106" s="49">
        <v>0</v>
      </c>
      <c r="J106" s="50"/>
      <c r="K106" s="48">
        <v>-20994592</v>
      </c>
      <c r="M106" s="48">
        <v>97524246</v>
      </c>
      <c r="O106" s="48">
        <f t="shared" si="3"/>
        <v>76529654</v>
      </c>
      <c r="Q106" s="49">
        <v>4.32459406062294E-3</v>
      </c>
    </row>
    <row r="107" spans="1:17" ht="21" x14ac:dyDescent="0.65">
      <c r="A107" s="47" t="s">
        <v>285</v>
      </c>
      <c r="C107" s="48">
        <v>0</v>
      </c>
      <c r="E107" s="48">
        <v>0</v>
      </c>
      <c r="G107" s="48">
        <f t="shared" si="2"/>
        <v>0</v>
      </c>
      <c r="I107" s="49">
        <v>0</v>
      </c>
      <c r="J107" s="50"/>
      <c r="K107" s="48">
        <v>0</v>
      </c>
      <c r="M107" s="48">
        <v>228052331</v>
      </c>
      <c r="O107" s="48">
        <f t="shared" si="3"/>
        <v>228052331</v>
      </c>
      <c r="Q107" s="49">
        <v>1.2886949105425417E-2</v>
      </c>
    </row>
    <row r="108" spans="1:17" ht="21" x14ac:dyDescent="0.65">
      <c r="A108" s="47" t="s">
        <v>231</v>
      </c>
      <c r="C108" s="48">
        <v>0</v>
      </c>
      <c r="E108" s="48">
        <v>0</v>
      </c>
      <c r="G108" s="48">
        <f t="shared" si="2"/>
        <v>0</v>
      </c>
      <c r="I108" s="49">
        <v>0</v>
      </c>
      <c r="J108" s="50"/>
      <c r="K108" s="48">
        <v>186951848</v>
      </c>
      <c r="M108" s="48">
        <v>1327034090</v>
      </c>
      <c r="O108" s="48">
        <f t="shared" si="3"/>
        <v>1513985938</v>
      </c>
      <c r="Q108" s="49">
        <v>8.555343259936142E-2</v>
      </c>
    </row>
    <row r="109" spans="1:17" ht="21" x14ac:dyDescent="0.65">
      <c r="A109" s="47" t="s">
        <v>286</v>
      </c>
      <c r="C109" s="48">
        <v>0</v>
      </c>
      <c r="E109" s="48">
        <v>0</v>
      </c>
      <c r="G109" s="48">
        <f t="shared" si="2"/>
        <v>0</v>
      </c>
      <c r="I109" s="49">
        <v>0</v>
      </c>
      <c r="J109" s="50"/>
      <c r="K109" s="48">
        <v>239938200</v>
      </c>
      <c r="M109" s="48">
        <v>315434648</v>
      </c>
      <c r="O109" s="48">
        <f t="shared" si="3"/>
        <v>555372848</v>
      </c>
      <c r="Q109" s="49">
        <v>3.138341798712492E-2</v>
      </c>
    </row>
    <row r="110" spans="1:17" ht="21" x14ac:dyDescent="0.65">
      <c r="A110" s="47" t="s">
        <v>232</v>
      </c>
      <c r="C110" s="48">
        <v>0</v>
      </c>
      <c r="E110" s="48">
        <v>0</v>
      </c>
      <c r="G110" s="48">
        <f t="shared" si="2"/>
        <v>0</v>
      </c>
      <c r="I110" s="49">
        <v>0</v>
      </c>
      <c r="J110" s="50"/>
      <c r="K110" s="48">
        <v>19187058</v>
      </c>
      <c r="M110" s="48">
        <v>292526296</v>
      </c>
      <c r="O110" s="48">
        <f t="shared" si="3"/>
        <v>311713354</v>
      </c>
      <c r="Q110" s="49">
        <v>1.7614527818527126E-2</v>
      </c>
    </row>
    <row r="111" spans="1:17" ht="21" x14ac:dyDescent="0.65">
      <c r="A111" s="47" t="s">
        <v>233</v>
      </c>
      <c r="C111" s="48">
        <v>0</v>
      </c>
      <c r="E111" s="48">
        <v>0</v>
      </c>
      <c r="G111" s="48">
        <f t="shared" si="2"/>
        <v>0</v>
      </c>
      <c r="I111" s="49">
        <v>0</v>
      </c>
      <c r="J111" s="50"/>
      <c r="K111" s="48">
        <v>-99619341</v>
      </c>
      <c r="M111" s="48">
        <v>-1296705566</v>
      </c>
      <c r="O111" s="48">
        <f t="shared" si="3"/>
        <v>-1396324907</v>
      </c>
      <c r="Q111" s="49">
        <v>-7.8904556389502015E-2</v>
      </c>
    </row>
    <row r="112" spans="1:17" ht="21" x14ac:dyDescent="0.65">
      <c r="A112" s="47" t="s">
        <v>287</v>
      </c>
      <c r="C112" s="48">
        <v>0</v>
      </c>
      <c r="E112" s="48">
        <v>0</v>
      </c>
      <c r="G112" s="48">
        <f t="shared" si="2"/>
        <v>0</v>
      </c>
      <c r="I112" s="49">
        <v>0</v>
      </c>
      <c r="J112" s="50"/>
      <c r="K112" s="48">
        <v>0</v>
      </c>
      <c r="M112" s="48">
        <v>39885150</v>
      </c>
      <c r="O112" s="48">
        <f t="shared" si="3"/>
        <v>39885150</v>
      </c>
      <c r="Q112" s="49">
        <v>2.2538594359391073E-3</v>
      </c>
    </row>
    <row r="113" spans="1:17" ht="21" x14ac:dyDescent="0.65">
      <c r="A113" s="47" t="s">
        <v>234</v>
      </c>
      <c r="C113" s="48">
        <v>0</v>
      </c>
      <c r="E113" s="48">
        <v>0</v>
      </c>
      <c r="G113" s="48">
        <f t="shared" si="2"/>
        <v>0</v>
      </c>
      <c r="I113" s="49">
        <v>0</v>
      </c>
      <c r="J113" s="50"/>
      <c r="K113" s="48">
        <v>-17246938</v>
      </c>
      <c r="M113" s="48">
        <v>-5922</v>
      </c>
      <c r="O113" s="48">
        <f t="shared" si="3"/>
        <v>-17252860</v>
      </c>
      <c r="Q113" s="49">
        <v>-9.7493732148271691E-4</v>
      </c>
    </row>
    <row r="114" spans="1:17" ht="21" x14ac:dyDescent="0.65">
      <c r="A114" s="47" t="s">
        <v>288</v>
      </c>
      <c r="C114" s="48">
        <v>0</v>
      </c>
      <c r="E114" s="48">
        <v>0</v>
      </c>
      <c r="G114" s="48">
        <f t="shared" si="2"/>
        <v>0</v>
      </c>
      <c r="I114" s="49">
        <v>0</v>
      </c>
      <c r="J114" s="50"/>
      <c r="K114" s="48">
        <v>-1058727</v>
      </c>
      <c r="M114" s="48">
        <v>2056806</v>
      </c>
      <c r="O114" s="48">
        <f t="shared" si="3"/>
        <v>998079</v>
      </c>
      <c r="Q114" s="49">
        <v>5.6400183325439873E-5</v>
      </c>
    </row>
    <row r="115" spans="1:17" ht="21" x14ac:dyDescent="0.65">
      <c r="A115" s="47" t="s">
        <v>289</v>
      </c>
      <c r="C115" s="48">
        <v>0</v>
      </c>
      <c r="E115" s="48">
        <v>0</v>
      </c>
      <c r="G115" s="48">
        <f t="shared" si="2"/>
        <v>0</v>
      </c>
      <c r="I115" s="49">
        <v>0</v>
      </c>
      <c r="J115" s="50"/>
      <c r="K115" s="48">
        <v>17717036</v>
      </c>
      <c r="M115" s="48">
        <v>798792798</v>
      </c>
      <c r="O115" s="48">
        <f t="shared" si="3"/>
        <v>816509834</v>
      </c>
      <c r="Q115" s="49">
        <v>4.6139939147727266E-2</v>
      </c>
    </row>
    <row r="116" spans="1:17" ht="21" x14ac:dyDescent="0.65">
      <c r="A116" s="47" t="s">
        <v>235</v>
      </c>
      <c r="C116" s="48">
        <v>0</v>
      </c>
      <c r="E116" s="48">
        <v>0</v>
      </c>
      <c r="G116" s="48">
        <f t="shared" si="2"/>
        <v>0</v>
      </c>
      <c r="I116" s="49">
        <v>0</v>
      </c>
      <c r="J116" s="50"/>
      <c r="K116" s="48">
        <v>57921</v>
      </c>
      <c r="M116" s="48">
        <v>1155071</v>
      </c>
      <c r="O116" s="48">
        <f t="shared" si="3"/>
        <v>1212992</v>
      </c>
      <c r="Q116" s="49">
        <v>6.8544645436174857E-5</v>
      </c>
    </row>
    <row r="117" spans="1:17" ht="21" x14ac:dyDescent="0.65">
      <c r="A117" s="47" t="s">
        <v>236</v>
      </c>
      <c r="C117" s="48">
        <v>0</v>
      </c>
      <c r="E117" s="48">
        <v>0</v>
      </c>
      <c r="G117" s="48">
        <f t="shared" si="2"/>
        <v>0</v>
      </c>
      <c r="I117" s="49">
        <v>0</v>
      </c>
      <c r="J117" s="50"/>
      <c r="K117" s="48">
        <v>3478672</v>
      </c>
      <c r="M117" s="48">
        <v>140314108</v>
      </c>
      <c r="O117" s="48">
        <f t="shared" si="3"/>
        <v>143792780</v>
      </c>
      <c r="Q117" s="49">
        <v>8.1255483312189149E-3</v>
      </c>
    </row>
    <row r="118" spans="1:17" ht="21" x14ac:dyDescent="0.65">
      <c r="A118" s="47" t="s">
        <v>237</v>
      </c>
      <c r="C118" s="48">
        <v>0</v>
      </c>
      <c r="E118" s="48">
        <v>0</v>
      </c>
      <c r="G118" s="48">
        <f t="shared" si="2"/>
        <v>0</v>
      </c>
      <c r="I118" s="49">
        <v>0</v>
      </c>
      <c r="J118" s="50"/>
      <c r="K118" s="48">
        <v>851781</v>
      </c>
      <c r="M118" s="48">
        <v>603719549</v>
      </c>
      <c r="O118" s="48">
        <f t="shared" si="3"/>
        <v>604571330</v>
      </c>
      <c r="Q118" s="49">
        <v>3.4163562047999217E-2</v>
      </c>
    </row>
    <row r="119" spans="1:17" ht="21" x14ac:dyDescent="0.65">
      <c r="A119" s="47" t="s">
        <v>238</v>
      </c>
      <c r="C119" s="48">
        <v>0</v>
      </c>
      <c r="E119" s="48">
        <v>0</v>
      </c>
      <c r="G119" s="48">
        <f t="shared" si="2"/>
        <v>0</v>
      </c>
      <c r="I119" s="49">
        <v>0</v>
      </c>
      <c r="J119" s="50"/>
      <c r="K119" s="48">
        <v>2659259</v>
      </c>
      <c r="M119" s="48">
        <v>4658928</v>
      </c>
      <c r="O119" s="48">
        <f t="shared" si="3"/>
        <v>7318187</v>
      </c>
      <c r="Q119" s="49">
        <v>4.1354150163449069E-4</v>
      </c>
    </row>
    <row r="120" spans="1:17" ht="21" x14ac:dyDescent="0.65">
      <c r="A120" s="47" t="s">
        <v>239</v>
      </c>
      <c r="C120" s="48">
        <v>0</v>
      </c>
      <c r="E120" s="48">
        <v>0</v>
      </c>
      <c r="G120" s="48">
        <f t="shared" si="2"/>
        <v>0</v>
      </c>
      <c r="I120" s="49">
        <v>0</v>
      </c>
      <c r="J120" s="50"/>
      <c r="K120" s="48">
        <v>-1887514</v>
      </c>
      <c r="M120" s="48">
        <v>250998754</v>
      </c>
      <c r="O120" s="48">
        <f t="shared" si="3"/>
        <v>249111240</v>
      </c>
      <c r="Q120" s="49">
        <v>1.4076961447368044E-2</v>
      </c>
    </row>
    <row r="121" spans="1:17" ht="21" x14ac:dyDescent="0.65">
      <c r="A121" s="47" t="s">
        <v>290</v>
      </c>
      <c r="C121" s="48">
        <v>0</v>
      </c>
      <c r="E121" s="48">
        <v>0</v>
      </c>
      <c r="G121" s="48">
        <f t="shared" si="2"/>
        <v>0</v>
      </c>
      <c r="I121" s="49">
        <v>0</v>
      </c>
      <c r="J121" s="50"/>
      <c r="K121" s="48">
        <v>0</v>
      </c>
      <c r="M121" s="48">
        <v>-2697975</v>
      </c>
      <c r="O121" s="48">
        <f t="shared" si="3"/>
        <v>-2697975</v>
      </c>
      <c r="Q121" s="49">
        <v>-1.5245915865122264E-4</v>
      </c>
    </row>
    <row r="122" spans="1:17" ht="21.6" thickBot="1" x14ac:dyDescent="0.7">
      <c r="A122" s="51" t="s">
        <v>9</v>
      </c>
      <c r="C122" s="51">
        <f>SUM(C9:C121)</f>
        <v>208399402</v>
      </c>
      <c r="E122" s="51">
        <f>SUM(E9:E121)</f>
        <v>395939305</v>
      </c>
      <c r="G122" s="51">
        <f>SUM(G9:G121)</f>
        <v>580499894</v>
      </c>
      <c r="I122" s="55">
        <f>SUM(I9:I121)</f>
        <v>1.5960995602725552E-2</v>
      </c>
      <c r="K122" s="51">
        <f>SUM(K9:K121)</f>
        <v>2502435345</v>
      </c>
      <c r="M122" s="51">
        <f>SUM(M9:M121)</f>
        <v>24347198304</v>
      </c>
      <c r="O122" s="51">
        <f>SUM(O9:O121)</f>
        <v>26849633649</v>
      </c>
      <c r="Q122" s="55">
        <f>SUM(Q9:Q121)</f>
        <v>1.5172388759051119</v>
      </c>
    </row>
    <row r="123" spans="1:17" ht="21.6" thickTop="1" x14ac:dyDescent="0.65">
      <c r="C123" s="53"/>
      <c r="E123" s="53"/>
      <c r="G123" s="53"/>
      <c r="I123" s="53"/>
      <c r="K123" s="53"/>
      <c r="M123" s="53"/>
      <c r="O123" s="53"/>
      <c r="Q123" s="53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BE2C-A7A3-4C9D-B7C9-ED7CF98389F2}">
  <sheetPr>
    <pageSetUpPr fitToPage="1"/>
  </sheetPr>
  <dimension ref="A1:K12"/>
  <sheetViews>
    <sheetView rightToLeft="1" view="pageBreakPreview" zoomScaleNormal="100" zoomScaleSheetLayoutView="100" workbookViewId="0">
      <selection activeCell="K11" sqref="K11"/>
    </sheetView>
  </sheetViews>
  <sheetFormatPr defaultRowHeight="18.600000000000001" x14ac:dyDescent="0.65"/>
  <cols>
    <col min="1" max="1" width="25.59765625" style="58" customWidth="1"/>
    <col min="2" max="2" width="1.3984375" style="58" customWidth="1"/>
    <col min="3" max="3" width="17" style="58" customWidth="1"/>
    <col min="4" max="4" width="1.3984375" style="58" customWidth="1"/>
    <col min="5" max="5" width="17" style="58" customWidth="1"/>
    <col min="6" max="6" width="1.3984375" style="58" customWidth="1"/>
    <col min="7" max="7" width="14.19921875" style="58" customWidth="1"/>
    <col min="8" max="8" width="1.3984375" style="58" customWidth="1"/>
    <col min="9" max="9" width="17" style="58" customWidth="1"/>
    <col min="10" max="10" width="1.3984375" style="58" customWidth="1"/>
    <col min="11" max="11" width="14.19921875" style="58" customWidth="1"/>
    <col min="12" max="16384" width="8.796875" style="58"/>
  </cols>
  <sheetData>
    <row r="1" spans="1:11" ht="19.95" customHeight="1" x14ac:dyDescent="0.65">
      <c r="A1" s="56" t="s">
        <v>108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9.95" customHeight="1" x14ac:dyDescent="0.65">
      <c r="A2" s="56" t="s">
        <v>23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19.95" customHeight="1" x14ac:dyDescent="0.65">
      <c r="A3" s="56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5" spans="1:11" ht="20.399999999999999" x14ac:dyDescent="0.65">
      <c r="A5" s="59" t="s">
        <v>293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7" spans="1:11" ht="20.399999999999999" x14ac:dyDescent="0.65">
      <c r="A7" s="60" t="s">
        <v>43</v>
      </c>
      <c r="B7" s="61"/>
      <c r="C7" s="61"/>
      <c r="E7" s="60" t="s">
        <v>59</v>
      </c>
      <c r="F7" s="61"/>
      <c r="G7" s="61"/>
      <c r="I7" s="60" t="s">
        <v>60</v>
      </c>
      <c r="J7" s="61"/>
      <c r="K7" s="61"/>
    </row>
    <row r="8" spans="1:11" ht="40.799999999999997" x14ac:dyDescent="0.65">
      <c r="A8" s="62" t="s">
        <v>44</v>
      </c>
      <c r="C8" s="62" t="s">
        <v>14</v>
      </c>
      <c r="E8" s="62" t="s">
        <v>45</v>
      </c>
      <c r="G8" s="62" t="s">
        <v>61</v>
      </c>
      <c r="I8" s="62" t="s">
        <v>45</v>
      </c>
      <c r="K8" s="62" t="s">
        <v>61</v>
      </c>
    </row>
    <row r="9" spans="1:11" ht="21" x14ac:dyDescent="0.65">
      <c r="A9" s="63" t="s">
        <v>46</v>
      </c>
      <c r="C9" s="64" t="s">
        <v>115</v>
      </c>
      <c r="E9" s="65">
        <v>3148515</v>
      </c>
      <c r="G9" s="66">
        <f>E9/$E$11</f>
        <v>1.4877853806196627E-3</v>
      </c>
      <c r="I9" s="65">
        <v>24190218</v>
      </c>
      <c r="K9" s="66">
        <f>I9/$I$11</f>
        <v>2.3404613086210509E-3</v>
      </c>
    </row>
    <row r="10" spans="1:11" ht="21" x14ac:dyDescent="0.65">
      <c r="A10" s="63" t="s">
        <v>47</v>
      </c>
      <c r="C10" s="64" t="s">
        <v>110</v>
      </c>
      <c r="E10" s="65">
        <v>2113094218</v>
      </c>
      <c r="G10" s="66">
        <f>E10/$E$11</f>
        <v>0.99851221461938033</v>
      </c>
      <c r="I10" s="65">
        <v>10311472205</v>
      </c>
      <c r="K10" s="66">
        <f>I10/$I$11</f>
        <v>0.99765953869137891</v>
      </c>
    </row>
    <row r="11" spans="1:11" ht="21.6" thickBot="1" x14ac:dyDescent="0.7">
      <c r="A11" s="67" t="s">
        <v>9</v>
      </c>
      <c r="E11" s="67">
        <f>SUM(E9:$E$10)</f>
        <v>2116242733</v>
      </c>
      <c r="G11" s="69">
        <f>SUM(G9:$G$10)</f>
        <v>1</v>
      </c>
      <c r="I11" s="67">
        <f>SUM(I9:$I$10)</f>
        <v>10335662423</v>
      </c>
      <c r="K11" s="69">
        <f>SUM(K9:$K$10)</f>
        <v>1</v>
      </c>
    </row>
    <row r="12" spans="1:11" ht="21.6" thickTop="1" x14ac:dyDescent="0.65">
      <c r="E12" s="68"/>
      <c r="G12" s="68"/>
      <c r="I12" s="68"/>
      <c r="K12" s="68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2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1D6E-BA36-4FF5-AA01-514EB8747158}">
  <sheetPr>
    <pageSetUpPr fitToPage="1"/>
  </sheetPr>
  <dimension ref="A1:E12"/>
  <sheetViews>
    <sheetView rightToLeft="1" view="pageBreakPreview" zoomScaleNormal="100" zoomScaleSheetLayoutView="100" workbookViewId="0">
      <selection activeCell="C10" sqref="C10"/>
    </sheetView>
  </sheetViews>
  <sheetFormatPr defaultRowHeight="18.600000000000001" x14ac:dyDescent="0.65"/>
  <cols>
    <col min="1" max="1" width="35.796875" style="72" customWidth="1"/>
    <col min="2" max="2" width="1.3984375" style="72" customWidth="1"/>
    <col min="3" max="3" width="25.796875" style="72" customWidth="1"/>
    <col min="4" max="4" width="1.3984375" style="72" customWidth="1"/>
    <col min="5" max="5" width="31.09765625" style="72" customWidth="1"/>
    <col min="6" max="16384" width="8.796875" style="72"/>
  </cols>
  <sheetData>
    <row r="1" spans="1:5" ht="19.95" customHeight="1" x14ac:dyDescent="0.65">
      <c r="A1" s="70" t="s">
        <v>108</v>
      </c>
      <c r="B1" s="71"/>
      <c r="C1" s="71"/>
      <c r="D1" s="71"/>
      <c r="E1" s="71"/>
    </row>
    <row r="2" spans="1:5" ht="19.95" customHeight="1" x14ac:dyDescent="0.65">
      <c r="A2" s="70" t="s">
        <v>23</v>
      </c>
      <c r="B2" s="71"/>
      <c r="C2" s="71"/>
      <c r="D2" s="71"/>
      <c r="E2" s="71"/>
    </row>
    <row r="3" spans="1:5" ht="19.95" customHeight="1" x14ac:dyDescent="0.65">
      <c r="A3" s="70" t="s">
        <v>1</v>
      </c>
      <c r="B3" s="71"/>
      <c r="C3" s="71"/>
      <c r="D3" s="71"/>
      <c r="E3" s="71"/>
    </row>
    <row r="5" spans="1:5" ht="20.399999999999999" x14ac:dyDescent="0.65">
      <c r="A5" s="73" t="s">
        <v>294</v>
      </c>
      <c r="B5" s="71"/>
      <c r="C5" s="71"/>
      <c r="D5" s="71"/>
      <c r="E5" s="71"/>
    </row>
    <row r="7" spans="1:5" ht="20.399999999999999" x14ac:dyDescent="0.65">
      <c r="C7" s="74" t="s">
        <v>59</v>
      </c>
      <c r="E7" s="74" t="s">
        <v>60</v>
      </c>
    </row>
    <row r="8" spans="1:5" ht="20.399999999999999" x14ac:dyDescent="0.65">
      <c r="A8" s="75" t="s">
        <v>30</v>
      </c>
      <c r="C8" s="75" t="s">
        <v>17</v>
      </c>
      <c r="E8" s="75" t="s">
        <v>17</v>
      </c>
    </row>
    <row r="9" spans="1:5" ht="21" x14ac:dyDescent="0.65">
      <c r="A9" s="76" t="s">
        <v>62</v>
      </c>
      <c r="C9" s="77">
        <v>4867182</v>
      </c>
      <c r="E9" s="77">
        <v>143632469</v>
      </c>
    </row>
    <row r="10" spans="1:5" ht="21" x14ac:dyDescent="0.65">
      <c r="A10" s="76" t="s">
        <v>295</v>
      </c>
      <c r="C10" s="77">
        <v>0</v>
      </c>
      <c r="E10" s="77">
        <v>51908</v>
      </c>
    </row>
    <row r="11" spans="1:5" ht="21.6" thickBot="1" x14ac:dyDescent="0.7">
      <c r="A11" s="78" t="s">
        <v>9</v>
      </c>
      <c r="C11" s="78">
        <f>SUM(C9:$C$10)</f>
        <v>4867182</v>
      </c>
      <c r="E11" s="78">
        <f>SUM(E9:$E$10)</f>
        <v>143684377</v>
      </c>
    </row>
    <row r="12" spans="1:5" ht="21.6" thickTop="1" x14ac:dyDescent="0.65">
      <c r="C12" s="79"/>
      <c r="E12" s="79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84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039C-3311-4161-B203-5B754E5CE06E}">
  <sheetPr>
    <pageSetUpPr fitToPage="1"/>
  </sheetPr>
  <dimension ref="A1:S51"/>
  <sheetViews>
    <sheetView rightToLeft="1" view="pageBreakPreview" zoomScale="60" zoomScaleNormal="100" workbookViewId="0">
      <selection sqref="A1:S1"/>
    </sheetView>
  </sheetViews>
  <sheetFormatPr defaultRowHeight="18.600000000000001" x14ac:dyDescent="0.65"/>
  <cols>
    <col min="1" max="1" width="32.296875" style="98" customWidth="1"/>
    <col min="2" max="2" width="1.3984375" style="98" customWidth="1"/>
    <col min="3" max="3" width="11.3984375" style="98" customWidth="1"/>
    <col min="4" max="4" width="1.3984375" style="98" customWidth="1"/>
    <col min="5" max="5" width="12.796875" style="98" customWidth="1"/>
    <col min="6" max="6" width="1.3984375" style="98" customWidth="1"/>
    <col min="7" max="7" width="11.3984375" style="98" customWidth="1"/>
    <col min="8" max="8" width="1.3984375" style="98" customWidth="1"/>
    <col min="9" max="9" width="18.5" style="98" customWidth="1"/>
    <col min="10" max="10" width="1.3984375" style="98" customWidth="1"/>
    <col min="11" max="11" width="14.19921875" style="98" customWidth="1"/>
    <col min="12" max="12" width="1.3984375" style="98" customWidth="1"/>
    <col min="13" max="13" width="18.5" style="98" customWidth="1"/>
    <col min="14" max="14" width="1.3984375" style="98" customWidth="1"/>
    <col min="15" max="15" width="18.5" style="98" customWidth="1"/>
    <col min="16" max="16" width="1.3984375" style="98" customWidth="1"/>
    <col min="17" max="17" width="14.19921875" style="98" customWidth="1"/>
    <col min="18" max="18" width="1.3984375" style="98" customWidth="1"/>
    <col min="19" max="19" width="18.5" style="98" customWidth="1"/>
    <col min="20" max="16384" width="8.796875" style="98"/>
  </cols>
  <sheetData>
    <row r="1" spans="1:19" ht="19.95" customHeight="1" x14ac:dyDescent="0.65">
      <c r="A1" s="96" t="s">
        <v>108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9.95" customHeight="1" x14ac:dyDescent="0.65">
      <c r="A2" s="96" t="s">
        <v>23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 ht="19.95" customHeight="1" x14ac:dyDescent="0.65">
      <c r="A3" s="96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</row>
    <row r="5" spans="1:19" ht="20.399999999999999" x14ac:dyDescent="0.65">
      <c r="A5" s="99" t="s">
        <v>174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7" spans="1:19" ht="20.399999999999999" x14ac:dyDescent="0.65">
      <c r="C7" s="100" t="s">
        <v>333</v>
      </c>
      <c r="D7" s="101"/>
      <c r="E7" s="101"/>
      <c r="F7" s="101"/>
      <c r="G7" s="101"/>
      <c r="I7" s="100" t="s">
        <v>59</v>
      </c>
      <c r="J7" s="101"/>
      <c r="K7" s="101"/>
      <c r="L7" s="101"/>
      <c r="M7" s="101"/>
      <c r="O7" s="100" t="s">
        <v>60</v>
      </c>
      <c r="P7" s="101"/>
      <c r="Q7" s="101"/>
      <c r="R7" s="101"/>
      <c r="S7" s="101"/>
    </row>
    <row r="8" spans="1:19" ht="61.2" x14ac:dyDescent="0.65">
      <c r="A8" s="102" t="s">
        <v>332</v>
      </c>
      <c r="C8" s="103" t="s">
        <v>331</v>
      </c>
      <c r="E8" s="103" t="s">
        <v>330</v>
      </c>
      <c r="G8" s="103" t="s">
        <v>329</v>
      </c>
      <c r="I8" s="103" t="s">
        <v>328</v>
      </c>
      <c r="K8" s="103" t="s">
        <v>31</v>
      </c>
      <c r="M8" s="103" t="s">
        <v>327</v>
      </c>
      <c r="O8" s="103" t="s">
        <v>328</v>
      </c>
      <c r="Q8" s="103" t="s">
        <v>31</v>
      </c>
      <c r="S8" s="103" t="s">
        <v>327</v>
      </c>
    </row>
    <row r="9" spans="1:19" ht="21" x14ac:dyDescent="0.65">
      <c r="A9" s="104" t="s">
        <v>326</v>
      </c>
      <c r="C9" s="105" t="s">
        <v>325</v>
      </c>
      <c r="E9" s="106">
        <v>1000000</v>
      </c>
      <c r="G9" s="106">
        <v>637</v>
      </c>
      <c r="I9" s="106">
        <v>0</v>
      </c>
      <c r="K9" s="106">
        <v>0</v>
      </c>
      <c r="M9" s="106">
        <v>0</v>
      </c>
      <c r="N9" s="105"/>
      <c r="O9" s="106">
        <v>637000000</v>
      </c>
      <c r="Q9" s="106">
        <v>0</v>
      </c>
      <c r="S9" s="106">
        <v>637000000</v>
      </c>
    </row>
    <row r="10" spans="1:19" ht="21" x14ac:dyDescent="0.65">
      <c r="A10" s="104" t="s">
        <v>103</v>
      </c>
      <c r="C10" s="105" t="s">
        <v>324</v>
      </c>
      <c r="E10" s="106">
        <v>5242039</v>
      </c>
      <c r="G10" s="106">
        <v>240</v>
      </c>
      <c r="I10" s="106">
        <v>0</v>
      </c>
      <c r="K10" s="106">
        <v>0</v>
      </c>
      <c r="M10" s="106">
        <v>0</v>
      </c>
      <c r="N10" s="105"/>
      <c r="O10" s="106">
        <v>1258089360</v>
      </c>
      <c r="Q10" s="106">
        <v>0</v>
      </c>
      <c r="S10" s="106">
        <v>1258089360</v>
      </c>
    </row>
    <row r="11" spans="1:19" ht="21" x14ac:dyDescent="0.65">
      <c r="A11" s="104" t="s">
        <v>150</v>
      </c>
      <c r="C11" s="105" t="s">
        <v>304</v>
      </c>
      <c r="E11" s="106">
        <v>26466235</v>
      </c>
      <c r="G11" s="106">
        <v>11</v>
      </c>
      <c r="I11" s="106">
        <v>0</v>
      </c>
      <c r="K11" s="106">
        <v>0</v>
      </c>
      <c r="M11" s="106">
        <v>0</v>
      </c>
      <c r="N11" s="105"/>
      <c r="O11" s="106">
        <v>291128585</v>
      </c>
      <c r="Q11" s="106">
        <v>0</v>
      </c>
      <c r="S11" s="106">
        <v>291128585</v>
      </c>
    </row>
    <row r="12" spans="1:19" ht="21" x14ac:dyDescent="0.65">
      <c r="A12" s="104" t="s">
        <v>101</v>
      </c>
      <c r="C12" s="105" t="s">
        <v>304</v>
      </c>
      <c r="E12" s="106">
        <v>20000000</v>
      </c>
      <c r="G12" s="106">
        <v>90</v>
      </c>
      <c r="I12" s="106">
        <v>0</v>
      </c>
      <c r="K12" s="106">
        <v>0</v>
      </c>
      <c r="M12" s="106">
        <v>0</v>
      </c>
      <c r="N12" s="105"/>
      <c r="O12" s="106">
        <v>1800000000</v>
      </c>
      <c r="Q12" s="106">
        <v>0</v>
      </c>
      <c r="S12" s="106">
        <v>1800000000</v>
      </c>
    </row>
    <row r="13" spans="1:19" ht="21" x14ac:dyDescent="0.65">
      <c r="A13" s="104" t="s">
        <v>148</v>
      </c>
      <c r="C13" s="105" t="s">
        <v>323</v>
      </c>
      <c r="E13" s="106">
        <v>1700000</v>
      </c>
      <c r="G13" s="106">
        <v>560</v>
      </c>
      <c r="I13" s="106">
        <v>0</v>
      </c>
      <c r="K13" s="106">
        <v>0</v>
      </c>
      <c r="M13" s="106">
        <v>0</v>
      </c>
      <c r="N13" s="105"/>
      <c r="O13" s="106">
        <v>952000000</v>
      </c>
      <c r="Q13" s="106">
        <v>0</v>
      </c>
      <c r="S13" s="106">
        <v>952000000</v>
      </c>
    </row>
    <row r="14" spans="1:19" ht="21" x14ac:dyDescent="0.65">
      <c r="A14" s="104" t="s">
        <v>144</v>
      </c>
      <c r="C14" s="105" t="s">
        <v>322</v>
      </c>
      <c r="E14" s="106">
        <v>285750</v>
      </c>
      <c r="G14" s="106">
        <v>4400</v>
      </c>
      <c r="I14" s="106">
        <v>0</v>
      </c>
      <c r="K14" s="106">
        <v>0</v>
      </c>
      <c r="M14" s="106">
        <v>0</v>
      </c>
      <c r="N14" s="105"/>
      <c r="O14" s="106">
        <v>1257300000</v>
      </c>
      <c r="Q14" s="106">
        <v>0</v>
      </c>
      <c r="S14" s="106">
        <v>1257300000</v>
      </c>
    </row>
    <row r="15" spans="1:19" ht="21" x14ac:dyDescent="0.65">
      <c r="A15" s="104" t="s">
        <v>100</v>
      </c>
      <c r="C15" s="105" t="s">
        <v>300</v>
      </c>
      <c r="E15" s="106">
        <v>3800000</v>
      </c>
      <c r="G15" s="106">
        <v>170</v>
      </c>
      <c r="I15" s="106">
        <v>0</v>
      </c>
      <c r="K15" s="106">
        <v>0</v>
      </c>
      <c r="M15" s="106">
        <v>0</v>
      </c>
      <c r="N15" s="105"/>
      <c r="O15" s="106">
        <v>646000000</v>
      </c>
      <c r="Q15" s="106">
        <v>-69496333</v>
      </c>
      <c r="S15" s="106">
        <v>576503667</v>
      </c>
    </row>
    <row r="16" spans="1:19" ht="21" x14ac:dyDescent="0.65">
      <c r="A16" s="104" t="s">
        <v>143</v>
      </c>
      <c r="C16" s="105" t="s">
        <v>321</v>
      </c>
      <c r="E16" s="106">
        <v>900000</v>
      </c>
      <c r="G16" s="106">
        <v>325</v>
      </c>
      <c r="I16" s="106">
        <v>0</v>
      </c>
      <c r="K16" s="106">
        <v>0</v>
      </c>
      <c r="M16" s="106">
        <v>0</v>
      </c>
      <c r="N16" s="105"/>
      <c r="O16" s="106">
        <v>292500000</v>
      </c>
      <c r="Q16" s="106">
        <v>0</v>
      </c>
      <c r="S16" s="106">
        <v>292500000</v>
      </c>
    </row>
    <row r="17" spans="1:19" ht="21" x14ac:dyDescent="0.65">
      <c r="A17" s="104" t="s">
        <v>97</v>
      </c>
      <c r="C17" s="105" t="s">
        <v>303</v>
      </c>
      <c r="E17" s="106">
        <v>350000</v>
      </c>
      <c r="G17" s="106">
        <v>3800</v>
      </c>
      <c r="I17" s="106">
        <v>1330000000</v>
      </c>
      <c r="K17" s="106">
        <v>-101012658</v>
      </c>
      <c r="M17" s="106">
        <v>1228987342</v>
      </c>
      <c r="O17" s="106">
        <v>1330000000</v>
      </c>
      <c r="Q17" s="106">
        <v>-21231819</v>
      </c>
      <c r="S17" s="106">
        <v>1308768181</v>
      </c>
    </row>
    <row r="18" spans="1:19" ht="21" x14ac:dyDescent="0.65">
      <c r="A18" s="104" t="s">
        <v>96</v>
      </c>
      <c r="C18" s="105" t="s">
        <v>320</v>
      </c>
      <c r="E18" s="106">
        <v>1550000</v>
      </c>
      <c r="G18" s="106">
        <v>1100</v>
      </c>
      <c r="I18" s="106">
        <v>1705000000</v>
      </c>
      <c r="K18" s="106">
        <v>-116423101</v>
      </c>
      <c r="M18" s="106">
        <v>1588576899</v>
      </c>
      <c r="O18" s="106">
        <v>1705000000</v>
      </c>
      <c r="Q18" s="106">
        <v>-116423101</v>
      </c>
      <c r="S18" s="106">
        <v>1588576899</v>
      </c>
    </row>
    <row r="19" spans="1:19" ht="21" x14ac:dyDescent="0.65">
      <c r="A19" s="104" t="s">
        <v>95</v>
      </c>
      <c r="C19" s="105" t="s">
        <v>319</v>
      </c>
      <c r="E19" s="106">
        <v>4279048</v>
      </c>
      <c r="G19" s="106">
        <v>1170</v>
      </c>
      <c r="I19" s="106">
        <v>0</v>
      </c>
      <c r="K19" s="106">
        <v>0</v>
      </c>
      <c r="M19" s="106">
        <v>0</v>
      </c>
      <c r="N19" s="105"/>
      <c r="O19" s="106">
        <v>5006486160</v>
      </c>
      <c r="Q19" s="106">
        <v>0</v>
      </c>
      <c r="S19" s="106">
        <v>5006486160</v>
      </c>
    </row>
    <row r="20" spans="1:19" ht="21" x14ac:dyDescent="0.65">
      <c r="A20" s="104" t="s">
        <v>137</v>
      </c>
      <c r="C20" s="105" t="s">
        <v>318</v>
      </c>
      <c r="E20" s="106">
        <v>1285714</v>
      </c>
      <c r="G20" s="106">
        <v>500</v>
      </c>
      <c r="I20" s="106">
        <v>0</v>
      </c>
      <c r="K20" s="106">
        <v>0</v>
      </c>
      <c r="M20" s="106">
        <v>0</v>
      </c>
      <c r="N20" s="105"/>
      <c r="O20" s="106">
        <v>642857000</v>
      </c>
      <c r="Q20" s="106">
        <v>0</v>
      </c>
      <c r="S20" s="106">
        <v>642857000</v>
      </c>
    </row>
    <row r="21" spans="1:19" ht="21" x14ac:dyDescent="0.65">
      <c r="A21" s="104" t="s">
        <v>92</v>
      </c>
      <c r="C21" s="105" t="s">
        <v>307</v>
      </c>
      <c r="E21" s="106">
        <v>2000000</v>
      </c>
      <c r="G21" s="106">
        <v>1050</v>
      </c>
      <c r="I21" s="106">
        <v>0</v>
      </c>
      <c r="K21" s="106">
        <v>0</v>
      </c>
      <c r="M21" s="106">
        <v>0</v>
      </c>
      <c r="N21" s="105"/>
      <c r="O21" s="106">
        <v>2100000000</v>
      </c>
      <c r="Q21" s="106">
        <v>-62790698</v>
      </c>
      <c r="S21" s="106">
        <v>2037209302</v>
      </c>
    </row>
    <row r="22" spans="1:19" ht="21" x14ac:dyDescent="0.65">
      <c r="A22" s="104" t="s">
        <v>133</v>
      </c>
      <c r="C22" s="105" t="s">
        <v>317</v>
      </c>
      <c r="E22" s="106">
        <v>2400000</v>
      </c>
      <c r="G22" s="106">
        <v>560</v>
      </c>
      <c r="I22" s="106">
        <v>0</v>
      </c>
      <c r="K22" s="106">
        <v>0</v>
      </c>
      <c r="M22" s="106">
        <v>0</v>
      </c>
      <c r="N22" s="105"/>
      <c r="O22" s="106">
        <v>1344000000</v>
      </c>
      <c r="Q22" s="106">
        <v>0</v>
      </c>
      <c r="S22" s="106">
        <v>1344000000</v>
      </c>
    </row>
    <row r="23" spans="1:19" ht="21" x14ac:dyDescent="0.65">
      <c r="A23" s="104" t="s">
        <v>131</v>
      </c>
      <c r="C23" s="105" t="s">
        <v>316</v>
      </c>
      <c r="E23" s="106">
        <v>1500000</v>
      </c>
      <c r="G23" s="106">
        <v>150</v>
      </c>
      <c r="I23" s="106">
        <v>0</v>
      </c>
      <c r="K23" s="106">
        <v>0</v>
      </c>
      <c r="M23" s="106">
        <v>0</v>
      </c>
      <c r="N23" s="105"/>
      <c r="O23" s="106">
        <v>225000000</v>
      </c>
      <c r="Q23" s="106">
        <v>-1073620</v>
      </c>
      <c r="S23" s="106">
        <v>223926380</v>
      </c>
    </row>
    <row r="24" spans="1:19" ht="21" x14ac:dyDescent="0.65">
      <c r="A24" s="104" t="s">
        <v>91</v>
      </c>
      <c r="C24" s="105" t="s">
        <v>307</v>
      </c>
      <c r="E24" s="106">
        <v>1875000</v>
      </c>
      <c r="G24" s="106">
        <v>300</v>
      </c>
      <c r="I24" s="106">
        <v>0</v>
      </c>
      <c r="K24" s="106">
        <v>0</v>
      </c>
      <c r="M24" s="106">
        <v>0</v>
      </c>
      <c r="N24" s="105"/>
      <c r="O24" s="106">
        <v>562500000</v>
      </c>
      <c r="Q24" s="106">
        <v>-22203947</v>
      </c>
      <c r="S24" s="106">
        <v>540296053</v>
      </c>
    </row>
    <row r="25" spans="1:19" ht="21" x14ac:dyDescent="0.65">
      <c r="A25" s="104" t="s">
        <v>89</v>
      </c>
      <c r="C25" s="105" t="s">
        <v>310</v>
      </c>
      <c r="E25" s="106">
        <v>650000</v>
      </c>
      <c r="G25" s="106">
        <v>2390</v>
      </c>
      <c r="I25" s="106">
        <v>0</v>
      </c>
      <c r="K25" s="106">
        <v>0</v>
      </c>
      <c r="M25" s="106">
        <v>0</v>
      </c>
      <c r="N25" s="105"/>
      <c r="O25" s="106">
        <v>1553500000</v>
      </c>
      <c r="Q25" s="106">
        <v>0</v>
      </c>
      <c r="S25" s="106">
        <v>1553500000</v>
      </c>
    </row>
    <row r="26" spans="1:19" ht="21" x14ac:dyDescent="0.65">
      <c r="A26" s="104" t="s">
        <v>88</v>
      </c>
      <c r="C26" s="105" t="s">
        <v>315</v>
      </c>
      <c r="E26" s="106">
        <v>17000000</v>
      </c>
      <c r="G26" s="106">
        <v>280</v>
      </c>
      <c r="I26" s="106">
        <v>0</v>
      </c>
      <c r="K26" s="106">
        <v>0</v>
      </c>
      <c r="M26" s="106">
        <v>0</v>
      </c>
      <c r="N26" s="105"/>
      <c r="O26" s="106">
        <v>4760000000</v>
      </c>
      <c r="Q26" s="106">
        <v>-29162696</v>
      </c>
      <c r="S26" s="106">
        <v>4730837304</v>
      </c>
    </row>
    <row r="27" spans="1:19" ht="21" x14ac:dyDescent="0.65">
      <c r="A27" s="104" t="s">
        <v>125</v>
      </c>
      <c r="C27" s="105" t="s">
        <v>314</v>
      </c>
      <c r="E27" s="106">
        <v>200000</v>
      </c>
      <c r="G27" s="106">
        <v>1480</v>
      </c>
      <c r="I27" s="106">
        <v>0</v>
      </c>
      <c r="K27" s="106">
        <v>0</v>
      </c>
      <c r="M27" s="106">
        <v>0</v>
      </c>
      <c r="N27" s="105"/>
      <c r="O27" s="106">
        <v>296000000</v>
      </c>
      <c r="Q27" s="106">
        <v>-5569892</v>
      </c>
      <c r="S27" s="106">
        <v>290430108</v>
      </c>
    </row>
    <row r="28" spans="1:19" ht="21" x14ac:dyDescent="0.65">
      <c r="A28" s="104" t="s">
        <v>313</v>
      </c>
      <c r="C28" s="105" t="s">
        <v>312</v>
      </c>
      <c r="E28" s="106">
        <v>29010652</v>
      </c>
      <c r="G28" s="106">
        <v>40</v>
      </c>
      <c r="I28" s="106">
        <v>0</v>
      </c>
      <c r="K28" s="106">
        <v>0</v>
      </c>
      <c r="M28" s="106">
        <v>0</v>
      </c>
      <c r="N28" s="105"/>
      <c r="O28" s="106">
        <v>1160426080</v>
      </c>
      <c r="Q28" s="106">
        <v>-31697181</v>
      </c>
      <c r="S28" s="106">
        <v>1128728899</v>
      </c>
    </row>
    <row r="29" spans="1:19" ht="21" x14ac:dyDescent="0.65">
      <c r="A29" s="104" t="s">
        <v>87</v>
      </c>
      <c r="C29" s="105" t="s">
        <v>305</v>
      </c>
      <c r="E29" s="106">
        <v>175000</v>
      </c>
      <c r="G29" s="106">
        <v>1500</v>
      </c>
      <c r="I29" s="106">
        <v>0</v>
      </c>
      <c r="K29" s="106">
        <v>0</v>
      </c>
      <c r="M29" s="106">
        <v>0</v>
      </c>
      <c r="N29" s="105"/>
      <c r="O29" s="106">
        <v>262500000</v>
      </c>
      <c r="Q29" s="106">
        <v>0</v>
      </c>
      <c r="S29" s="106">
        <v>262500000</v>
      </c>
    </row>
    <row r="30" spans="1:19" ht="21" x14ac:dyDescent="0.65">
      <c r="A30" s="104" t="s">
        <v>86</v>
      </c>
      <c r="C30" s="105" t="s">
        <v>304</v>
      </c>
      <c r="E30" s="106">
        <v>12000000</v>
      </c>
      <c r="G30" s="106">
        <v>370</v>
      </c>
      <c r="I30" s="106">
        <v>0</v>
      </c>
      <c r="K30" s="106">
        <v>0</v>
      </c>
      <c r="M30" s="106">
        <v>0</v>
      </c>
      <c r="N30" s="105"/>
      <c r="O30" s="106">
        <v>4440000000</v>
      </c>
      <c r="Q30" s="106">
        <v>0</v>
      </c>
      <c r="S30" s="106">
        <v>4440000000</v>
      </c>
    </row>
    <row r="31" spans="1:19" ht="21" x14ac:dyDescent="0.65">
      <c r="A31" s="104" t="s">
        <v>84</v>
      </c>
      <c r="C31" s="105" t="s">
        <v>311</v>
      </c>
      <c r="E31" s="106">
        <v>9250000</v>
      </c>
      <c r="G31" s="106">
        <v>360</v>
      </c>
      <c r="I31" s="106">
        <v>0</v>
      </c>
      <c r="K31" s="106">
        <v>0</v>
      </c>
      <c r="M31" s="106">
        <v>0</v>
      </c>
      <c r="N31" s="105"/>
      <c r="O31" s="106">
        <v>3330000000</v>
      </c>
      <c r="Q31" s="106">
        <v>0</v>
      </c>
      <c r="S31" s="106">
        <v>3330000000</v>
      </c>
    </row>
    <row r="32" spans="1:19" ht="21" x14ac:dyDescent="0.65">
      <c r="A32" s="104" t="s">
        <v>83</v>
      </c>
      <c r="C32" s="105" t="s">
        <v>305</v>
      </c>
      <c r="E32" s="106">
        <v>1400000</v>
      </c>
      <c r="G32" s="106">
        <v>936</v>
      </c>
      <c r="I32" s="106">
        <v>0</v>
      </c>
      <c r="K32" s="106">
        <v>0</v>
      </c>
      <c r="M32" s="106">
        <v>0</v>
      </c>
      <c r="N32" s="105"/>
      <c r="O32" s="106">
        <v>1310400000</v>
      </c>
      <c r="Q32" s="106">
        <v>-52553846</v>
      </c>
      <c r="S32" s="106">
        <v>1257846154</v>
      </c>
    </row>
    <row r="33" spans="1:19" ht="21" x14ac:dyDescent="0.65">
      <c r="A33" s="104" t="s">
        <v>120</v>
      </c>
      <c r="C33" s="105" t="s">
        <v>311</v>
      </c>
      <c r="E33" s="106">
        <v>400000</v>
      </c>
      <c r="G33" s="106">
        <v>1050</v>
      </c>
      <c r="I33" s="106">
        <v>0</v>
      </c>
      <c r="K33" s="106">
        <v>0</v>
      </c>
      <c r="M33" s="106">
        <v>0</v>
      </c>
      <c r="N33" s="105"/>
      <c r="O33" s="106">
        <v>420000000</v>
      </c>
      <c r="Q33" s="106">
        <v>0</v>
      </c>
      <c r="S33" s="106">
        <v>420000000</v>
      </c>
    </row>
    <row r="34" spans="1:19" ht="21" x14ac:dyDescent="0.65">
      <c r="A34" s="104" t="s">
        <v>82</v>
      </c>
      <c r="C34" s="105" t="s">
        <v>307</v>
      </c>
      <c r="E34" s="106">
        <v>650000</v>
      </c>
      <c r="G34" s="106">
        <v>1997</v>
      </c>
      <c r="I34" s="106">
        <v>0</v>
      </c>
      <c r="K34" s="106">
        <v>0</v>
      </c>
      <c r="M34" s="106">
        <v>0</v>
      </c>
      <c r="N34" s="105"/>
      <c r="O34" s="106">
        <v>1298050000</v>
      </c>
      <c r="Q34" s="106">
        <v>-34614667</v>
      </c>
      <c r="S34" s="106">
        <v>1263435333</v>
      </c>
    </row>
    <row r="35" spans="1:19" ht="21" x14ac:dyDescent="0.65">
      <c r="A35" s="104" t="s">
        <v>81</v>
      </c>
      <c r="C35" s="105" t="s">
        <v>310</v>
      </c>
      <c r="E35" s="106">
        <v>5685981</v>
      </c>
      <c r="G35" s="106">
        <v>190</v>
      </c>
      <c r="I35" s="106">
        <v>0</v>
      </c>
      <c r="K35" s="106">
        <v>0</v>
      </c>
      <c r="M35" s="106">
        <v>0</v>
      </c>
      <c r="N35" s="105"/>
      <c r="O35" s="106">
        <v>1080336390</v>
      </c>
      <c r="Q35" s="106">
        <v>0</v>
      </c>
      <c r="S35" s="106">
        <v>1080336390</v>
      </c>
    </row>
    <row r="36" spans="1:19" ht="21" x14ac:dyDescent="0.65">
      <c r="A36" s="104" t="s">
        <v>80</v>
      </c>
      <c r="C36" s="105" t="s">
        <v>309</v>
      </c>
      <c r="E36" s="106">
        <v>607000</v>
      </c>
      <c r="G36" s="106">
        <v>7240</v>
      </c>
      <c r="I36" s="106">
        <v>0</v>
      </c>
      <c r="K36" s="106">
        <v>0</v>
      </c>
      <c r="M36" s="106">
        <v>0</v>
      </c>
      <c r="N36" s="105"/>
      <c r="O36" s="106">
        <v>4394680000</v>
      </c>
      <c r="Q36" s="106">
        <v>0</v>
      </c>
      <c r="S36" s="106">
        <v>4394680000</v>
      </c>
    </row>
    <row r="37" spans="1:19" ht="21" x14ac:dyDescent="0.65">
      <c r="A37" s="104" t="s">
        <v>79</v>
      </c>
      <c r="C37" s="105" t="s">
        <v>308</v>
      </c>
      <c r="E37" s="106">
        <v>4850000</v>
      </c>
      <c r="G37" s="106">
        <v>390</v>
      </c>
      <c r="I37" s="106">
        <v>0</v>
      </c>
      <c r="K37" s="106">
        <v>0</v>
      </c>
      <c r="M37" s="106">
        <v>0</v>
      </c>
      <c r="N37" s="105"/>
      <c r="O37" s="106">
        <v>1891500000</v>
      </c>
      <c r="Q37" s="106">
        <v>0</v>
      </c>
      <c r="S37" s="106">
        <v>1891500000</v>
      </c>
    </row>
    <row r="38" spans="1:19" ht="21" x14ac:dyDescent="0.65">
      <c r="A38" s="104" t="s">
        <v>156</v>
      </c>
      <c r="C38" s="105" t="s">
        <v>300</v>
      </c>
      <c r="E38" s="106">
        <v>219974</v>
      </c>
      <c r="G38" s="106">
        <v>8363</v>
      </c>
      <c r="I38" s="106">
        <v>220000</v>
      </c>
      <c r="J38" s="106"/>
      <c r="K38" s="106">
        <v>0</v>
      </c>
      <c r="L38" s="106"/>
      <c r="M38" s="106">
        <v>220000</v>
      </c>
      <c r="N38" s="105"/>
      <c r="O38" s="106">
        <v>1839860000</v>
      </c>
      <c r="Q38" s="106">
        <v>0</v>
      </c>
      <c r="S38" s="106">
        <v>1839860000</v>
      </c>
    </row>
    <row r="39" spans="1:19" ht="21" x14ac:dyDescent="0.65">
      <c r="A39" s="104" t="s">
        <v>78</v>
      </c>
      <c r="C39" s="105" t="s">
        <v>307</v>
      </c>
      <c r="E39" s="106">
        <v>227029</v>
      </c>
      <c r="G39" s="106">
        <v>4200</v>
      </c>
      <c r="I39" s="106">
        <v>0</v>
      </c>
      <c r="K39" s="106">
        <v>0</v>
      </c>
      <c r="M39" s="106">
        <v>0</v>
      </c>
      <c r="N39" s="105"/>
      <c r="O39" s="106">
        <v>953521800</v>
      </c>
      <c r="Q39" s="106">
        <v>-3254341</v>
      </c>
      <c r="S39" s="106">
        <v>950267459</v>
      </c>
    </row>
    <row r="40" spans="1:19" ht="21" x14ac:dyDescent="0.65">
      <c r="A40" s="104" t="s">
        <v>77</v>
      </c>
      <c r="C40" s="105" t="s">
        <v>306</v>
      </c>
      <c r="E40" s="106">
        <v>500000</v>
      </c>
      <c r="G40" s="106">
        <v>4984</v>
      </c>
      <c r="I40" s="106">
        <v>0</v>
      </c>
      <c r="K40" s="106">
        <v>0</v>
      </c>
      <c r="M40" s="106">
        <v>0</v>
      </c>
      <c r="N40" s="105"/>
      <c r="O40" s="106">
        <v>2492000000</v>
      </c>
      <c r="Q40" s="106">
        <v>-72904255</v>
      </c>
      <c r="S40" s="106">
        <v>2419095745</v>
      </c>
    </row>
    <row r="41" spans="1:19" ht="21" x14ac:dyDescent="0.65">
      <c r="A41" s="104" t="s">
        <v>76</v>
      </c>
      <c r="C41" s="105" t="s">
        <v>305</v>
      </c>
      <c r="E41" s="106">
        <v>700001</v>
      </c>
      <c r="G41" s="106">
        <v>3400</v>
      </c>
      <c r="I41" s="106">
        <v>0</v>
      </c>
      <c r="K41" s="106">
        <v>0</v>
      </c>
      <c r="M41" s="106">
        <v>0</v>
      </c>
      <c r="N41" s="105"/>
      <c r="O41" s="106">
        <v>2380003400</v>
      </c>
      <c r="Q41" s="106">
        <v>0</v>
      </c>
      <c r="S41" s="106">
        <v>2380003400</v>
      </c>
    </row>
    <row r="42" spans="1:19" ht="21" x14ac:dyDescent="0.65">
      <c r="A42" s="104" t="s">
        <v>75</v>
      </c>
      <c r="C42" s="105" t="s">
        <v>304</v>
      </c>
      <c r="E42" s="106">
        <v>5400000</v>
      </c>
      <c r="G42" s="106">
        <v>160</v>
      </c>
      <c r="I42" s="106">
        <v>0</v>
      </c>
      <c r="K42" s="106">
        <v>0</v>
      </c>
      <c r="M42" s="106">
        <v>0</v>
      </c>
      <c r="N42" s="105"/>
      <c r="O42" s="106">
        <v>864000000</v>
      </c>
      <c r="Q42" s="106">
        <v>0</v>
      </c>
      <c r="S42" s="106">
        <v>864000000</v>
      </c>
    </row>
    <row r="43" spans="1:19" ht="21" x14ac:dyDescent="0.65">
      <c r="A43" s="104" t="s">
        <v>74</v>
      </c>
      <c r="C43" s="105" t="s">
        <v>303</v>
      </c>
      <c r="E43" s="106">
        <v>120000</v>
      </c>
      <c r="G43" s="106">
        <v>38000</v>
      </c>
      <c r="I43" s="106">
        <v>4560000000</v>
      </c>
      <c r="K43" s="106">
        <v>-303222506</v>
      </c>
      <c r="M43" s="106">
        <v>4256777494</v>
      </c>
      <c r="O43" s="106">
        <v>4560000000</v>
      </c>
      <c r="Q43" s="106">
        <v>-303222506</v>
      </c>
      <c r="S43" s="106">
        <v>4256777494</v>
      </c>
    </row>
    <row r="44" spans="1:19" ht="21" x14ac:dyDescent="0.65">
      <c r="A44" s="104" t="s">
        <v>73</v>
      </c>
      <c r="C44" s="105" t="s">
        <v>302</v>
      </c>
      <c r="E44" s="106">
        <v>1100000</v>
      </c>
      <c r="G44" s="106">
        <v>2000</v>
      </c>
      <c r="I44" s="106">
        <v>2200000000</v>
      </c>
      <c r="K44" s="106">
        <v>-42847549</v>
      </c>
      <c r="M44" s="106">
        <v>2157152451</v>
      </c>
      <c r="O44" s="106">
        <v>2200000000</v>
      </c>
      <c r="Q44" s="106">
        <v>-42847549</v>
      </c>
      <c r="S44" s="106">
        <v>2157152451</v>
      </c>
    </row>
    <row r="45" spans="1:19" ht="21" x14ac:dyDescent="0.65">
      <c r="A45" s="104" t="s">
        <v>72</v>
      </c>
      <c r="C45" s="105" t="s">
        <v>301</v>
      </c>
      <c r="E45" s="106">
        <v>350000</v>
      </c>
      <c r="G45" s="106">
        <v>5330</v>
      </c>
      <c r="I45" s="106">
        <v>0</v>
      </c>
      <c r="K45" s="106">
        <v>0</v>
      </c>
      <c r="M45" s="106">
        <v>0</v>
      </c>
      <c r="N45" s="105"/>
      <c r="O45" s="106">
        <v>1865500000</v>
      </c>
      <c r="Q45" s="106">
        <v>-108319355</v>
      </c>
      <c r="S45" s="106">
        <v>1757180645</v>
      </c>
    </row>
    <row r="46" spans="1:19" ht="21" x14ac:dyDescent="0.65">
      <c r="A46" s="104" t="s">
        <v>71</v>
      </c>
      <c r="C46" s="105" t="s">
        <v>300</v>
      </c>
      <c r="E46" s="106">
        <v>2000000</v>
      </c>
      <c r="G46" s="106">
        <v>1624</v>
      </c>
      <c r="I46" s="106">
        <v>0</v>
      </c>
      <c r="K46" s="106">
        <v>0</v>
      </c>
      <c r="M46" s="106">
        <v>0</v>
      </c>
      <c r="N46" s="105"/>
      <c r="O46" s="106">
        <v>3248000000</v>
      </c>
      <c r="Q46" s="106">
        <v>0</v>
      </c>
      <c r="S46" s="106">
        <v>3248000000</v>
      </c>
    </row>
    <row r="47" spans="1:19" ht="21" x14ac:dyDescent="0.65">
      <c r="A47" s="104" t="s">
        <v>70</v>
      </c>
      <c r="C47" s="105" t="s">
        <v>299</v>
      </c>
      <c r="E47" s="106">
        <v>100000</v>
      </c>
      <c r="G47" s="106">
        <v>2350</v>
      </c>
      <c r="I47" s="106">
        <v>0</v>
      </c>
      <c r="K47" s="106">
        <v>0</v>
      </c>
      <c r="M47" s="106">
        <v>0</v>
      </c>
      <c r="N47" s="105"/>
      <c r="O47" s="106">
        <v>235000000</v>
      </c>
      <c r="Q47" s="106">
        <v>0</v>
      </c>
      <c r="S47" s="106">
        <v>235000000</v>
      </c>
    </row>
    <row r="48" spans="1:19" ht="21" x14ac:dyDescent="0.65">
      <c r="A48" s="104" t="s">
        <v>68</v>
      </c>
      <c r="C48" s="105" t="s">
        <v>298</v>
      </c>
      <c r="E48" s="106">
        <v>5200000</v>
      </c>
      <c r="G48" s="106">
        <v>380</v>
      </c>
      <c r="I48" s="106">
        <v>0</v>
      </c>
      <c r="K48" s="106">
        <v>0</v>
      </c>
      <c r="M48" s="106">
        <v>0</v>
      </c>
      <c r="N48" s="105"/>
      <c r="O48" s="106">
        <v>1976000000</v>
      </c>
      <c r="Q48" s="106">
        <v>-52693333</v>
      </c>
      <c r="S48" s="106">
        <v>1923306667</v>
      </c>
    </row>
    <row r="49" spans="1:19" ht="21" x14ac:dyDescent="0.65">
      <c r="A49" s="104" t="s">
        <v>67</v>
      </c>
      <c r="C49" s="105" t="s">
        <v>298</v>
      </c>
      <c r="E49" s="106">
        <v>5200000</v>
      </c>
      <c r="G49" s="106">
        <v>310</v>
      </c>
      <c r="I49" s="106">
        <v>0</v>
      </c>
      <c r="K49" s="106">
        <v>0</v>
      </c>
      <c r="M49" s="106">
        <v>0</v>
      </c>
      <c r="N49" s="105"/>
      <c r="O49" s="106">
        <v>1612000000</v>
      </c>
      <c r="Q49" s="106">
        <v>0</v>
      </c>
      <c r="S49" s="106">
        <v>1612000000</v>
      </c>
    </row>
    <row r="50" spans="1:19" ht="21.6" thickBot="1" x14ac:dyDescent="0.7">
      <c r="A50" s="107" t="s">
        <v>9</v>
      </c>
      <c r="I50" s="107">
        <f>SUM(I9:$I$49)</f>
        <v>9795220000</v>
      </c>
      <c r="K50" s="107">
        <f>SUM(K9:$K$49)</f>
        <v>-563505814</v>
      </c>
      <c r="M50" s="107">
        <f>SUM(M9:$M$49)</f>
        <v>9231714186</v>
      </c>
      <c r="O50" s="107">
        <f>SUM(O9:$O$49)</f>
        <v>70473138775</v>
      </c>
      <c r="Q50" s="107">
        <f>SUM(Q9:$Q$49)</f>
        <v>-1030059139</v>
      </c>
      <c r="S50" s="107">
        <f>SUM(S9:$S$49)</f>
        <v>69443079636</v>
      </c>
    </row>
    <row r="51" spans="1:19" ht="21.6" thickTop="1" x14ac:dyDescent="0.65">
      <c r="I51" s="108"/>
      <c r="K51" s="108"/>
      <c r="M51" s="108"/>
      <c r="O51" s="108"/>
      <c r="Q51" s="108"/>
      <c r="S51" s="108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66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3875-EC46-4F9E-9B08-DCBB65F4BF52}">
  <sheetPr>
    <pageSetUpPr fitToPage="1"/>
  </sheetPr>
  <dimension ref="A1:Q12"/>
  <sheetViews>
    <sheetView rightToLeft="1" view="pageBreakPreview" zoomScaleNormal="100" zoomScaleSheetLayoutView="100" workbookViewId="0">
      <selection activeCell="K8" sqref="K8"/>
    </sheetView>
  </sheetViews>
  <sheetFormatPr defaultRowHeight="18.600000000000001" x14ac:dyDescent="0.65"/>
  <cols>
    <col min="1" max="1" width="30.796875" style="111" customWidth="1"/>
    <col min="2" max="2" width="1.3984375" style="111" customWidth="1"/>
    <col min="3" max="3" width="11.3984375" style="111" customWidth="1"/>
    <col min="4" max="4" width="1.3984375" style="111" customWidth="1"/>
    <col min="5" max="5" width="11.3984375" style="111" customWidth="1"/>
    <col min="6" max="6" width="1.3984375" style="111" customWidth="1"/>
    <col min="7" max="7" width="18.5" style="111" customWidth="1"/>
    <col min="8" max="8" width="1.3984375" style="111" customWidth="1"/>
    <col min="9" max="9" width="14.19921875" style="111" customWidth="1"/>
    <col min="10" max="10" width="1.3984375" style="111" customWidth="1"/>
    <col min="11" max="11" width="18.5" style="111" customWidth="1"/>
    <col min="12" max="12" width="1.3984375" style="111" customWidth="1"/>
    <col min="13" max="13" width="18.5" style="111" customWidth="1"/>
    <col min="14" max="14" width="1.3984375" style="111" customWidth="1"/>
    <col min="15" max="15" width="14.19921875" style="111" customWidth="1"/>
    <col min="16" max="16" width="1.3984375" style="111" customWidth="1"/>
    <col min="17" max="17" width="18.5" style="111" customWidth="1"/>
    <col min="18" max="16384" width="8.796875" style="111"/>
  </cols>
  <sheetData>
    <row r="1" spans="1:17" ht="19.95" customHeight="1" x14ac:dyDescent="0.65">
      <c r="A1" s="109" t="s">
        <v>108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17" ht="19.95" customHeight="1" x14ac:dyDescent="0.65">
      <c r="A2" s="109" t="s">
        <v>23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spans="1:17" ht="19.95" customHeight="1" x14ac:dyDescent="0.65">
      <c r="A3" s="109" t="s">
        <v>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5" spans="1:17" ht="20.399999999999999" x14ac:dyDescent="0.65">
      <c r="A5" s="112" t="s">
        <v>337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7" spans="1:17" ht="20.399999999999999" x14ac:dyDescent="0.65">
      <c r="G7" s="113" t="s">
        <v>59</v>
      </c>
      <c r="H7" s="114"/>
      <c r="I7" s="114"/>
      <c r="J7" s="114"/>
      <c r="K7" s="114"/>
      <c r="M7" s="113" t="s">
        <v>60</v>
      </c>
      <c r="N7" s="114"/>
      <c r="O7" s="114"/>
      <c r="P7" s="114"/>
      <c r="Q7" s="114"/>
    </row>
    <row r="8" spans="1:17" ht="40.799999999999997" x14ac:dyDescent="0.65">
      <c r="A8" s="121" t="s">
        <v>25</v>
      </c>
      <c r="C8" s="115" t="s">
        <v>32</v>
      </c>
      <c r="E8" s="115" t="s">
        <v>10</v>
      </c>
      <c r="G8" s="115" t="s">
        <v>33</v>
      </c>
      <c r="I8" s="115" t="s">
        <v>31</v>
      </c>
      <c r="K8" s="115" t="s">
        <v>34</v>
      </c>
      <c r="M8" s="115" t="s">
        <v>33</v>
      </c>
      <c r="O8" s="115" t="s">
        <v>31</v>
      </c>
      <c r="Q8" s="115" t="s">
        <v>34</v>
      </c>
    </row>
    <row r="9" spans="1:17" ht="21" x14ac:dyDescent="0.65">
      <c r="A9" s="116" t="s">
        <v>336</v>
      </c>
      <c r="C9" s="117" t="s">
        <v>335</v>
      </c>
      <c r="E9" s="117" t="s">
        <v>11</v>
      </c>
      <c r="G9" s="118">
        <v>2113094218</v>
      </c>
      <c r="I9" s="118">
        <v>-8637661</v>
      </c>
      <c r="K9" s="118">
        <v>2104456557</v>
      </c>
      <c r="M9" s="118">
        <v>10311472205</v>
      </c>
      <c r="O9" s="118">
        <v>-174406</v>
      </c>
      <c r="Q9" s="118">
        <v>10311297799</v>
      </c>
    </row>
    <row r="10" spans="1:17" ht="21" x14ac:dyDescent="0.65">
      <c r="A10" s="116" t="s">
        <v>334</v>
      </c>
      <c r="C10" s="117" t="s">
        <v>35</v>
      </c>
      <c r="E10" s="117" t="s">
        <v>11</v>
      </c>
      <c r="G10" s="118">
        <v>3148515</v>
      </c>
      <c r="I10" s="118">
        <v>0</v>
      </c>
      <c r="K10" s="118">
        <v>3148515</v>
      </c>
      <c r="M10" s="118">
        <v>24190218</v>
      </c>
      <c r="O10" s="118">
        <v>0</v>
      </c>
      <c r="Q10" s="118">
        <v>24190218</v>
      </c>
    </row>
    <row r="11" spans="1:17" ht="21.6" thickBot="1" x14ac:dyDescent="0.7">
      <c r="A11" s="119" t="s">
        <v>9</v>
      </c>
      <c r="G11" s="119">
        <f>SUM(G9:$G$10)</f>
        <v>2116242733</v>
      </c>
      <c r="I11" s="119">
        <f>SUM(I9:$I$10)</f>
        <v>-8637661</v>
      </c>
      <c r="K11" s="119">
        <f>SUM(K9:$K$10)</f>
        <v>2107605072</v>
      </c>
      <c r="M11" s="119">
        <f>SUM(M9:$M$10)</f>
        <v>10335662423</v>
      </c>
      <c r="O11" s="119">
        <f>SUM(O9:$O$10)</f>
        <v>-174406</v>
      </c>
      <c r="Q11" s="119">
        <f>SUM(Q9:$Q$10)</f>
        <v>10335488017</v>
      </c>
    </row>
    <row r="12" spans="1:17" ht="21.6" thickTop="1" x14ac:dyDescent="0.65">
      <c r="G12" s="120"/>
      <c r="I12" s="120"/>
      <c r="K12" s="120"/>
      <c r="M12" s="120"/>
      <c r="O12" s="120"/>
      <c r="Q12" s="120"/>
    </row>
  </sheetData>
  <mergeCells count="6">
    <mergeCell ref="A1:Q1"/>
    <mergeCell ref="A2:Q2"/>
    <mergeCell ref="A3:Q3"/>
    <mergeCell ref="A5:Q5"/>
    <mergeCell ref="G7:K7"/>
    <mergeCell ref="M7:Q7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6F7A-5B60-4943-A0E1-315DCA34E5C5}">
  <sheetPr>
    <pageSetUpPr fitToPage="1"/>
  </sheetPr>
  <dimension ref="A1:Q193"/>
  <sheetViews>
    <sheetView rightToLeft="1" view="pageBreakPreview" zoomScale="60" zoomScaleNormal="100" workbookViewId="0">
      <selection activeCell="I197" sqref="I197"/>
    </sheetView>
  </sheetViews>
  <sheetFormatPr defaultRowHeight="18.600000000000001" x14ac:dyDescent="0.65"/>
  <cols>
    <col min="1" max="1" width="39.296875" style="124" customWidth="1"/>
    <col min="2" max="2" width="1.3984375" style="124" customWidth="1"/>
    <col min="3" max="3" width="12.796875" style="124" customWidth="1"/>
    <col min="4" max="4" width="1.3984375" style="124" customWidth="1"/>
    <col min="5" max="5" width="17" style="124" customWidth="1"/>
    <col min="6" max="6" width="1.3984375" style="124" customWidth="1"/>
    <col min="7" max="7" width="17" style="124" customWidth="1"/>
    <col min="8" max="8" width="1.3984375" style="124" customWidth="1"/>
    <col min="9" max="9" width="17" style="124" customWidth="1"/>
    <col min="10" max="10" width="1.3984375" style="124" customWidth="1"/>
    <col min="11" max="11" width="12.796875" style="124" customWidth="1"/>
    <col min="12" max="12" width="1.3984375" style="124" customWidth="1"/>
    <col min="13" max="13" width="17" style="124" customWidth="1"/>
    <col min="14" max="14" width="1.3984375" style="124" customWidth="1"/>
    <col min="15" max="15" width="17" style="124" customWidth="1"/>
    <col min="16" max="16" width="1.3984375" style="124" customWidth="1"/>
    <col min="17" max="17" width="17" style="124" customWidth="1"/>
    <col min="18" max="16384" width="8.796875" style="124"/>
  </cols>
  <sheetData>
    <row r="1" spans="1:17" ht="19.95" customHeight="1" x14ac:dyDescent="0.65">
      <c r="A1" s="122" t="s">
        <v>108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spans="1:17" ht="19.95" customHeight="1" x14ac:dyDescent="0.65">
      <c r="A2" s="122" t="s">
        <v>23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</row>
    <row r="3" spans="1:17" ht="19.95" customHeight="1" x14ac:dyDescent="0.65">
      <c r="A3" s="122" t="s">
        <v>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</row>
    <row r="5" spans="1:17" ht="20.399999999999999" x14ac:dyDescent="0.65">
      <c r="A5" s="125" t="s">
        <v>36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7" spans="1:17" ht="20.399999999999999" x14ac:dyDescent="0.65">
      <c r="C7" s="126" t="s">
        <v>59</v>
      </c>
      <c r="D7" s="127"/>
      <c r="E7" s="127"/>
      <c r="F7" s="127"/>
      <c r="G7" s="127"/>
      <c r="H7" s="127"/>
      <c r="I7" s="127"/>
      <c r="K7" s="126" t="s">
        <v>60</v>
      </c>
      <c r="L7" s="127"/>
      <c r="M7" s="127"/>
      <c r="N7" s="127"/>
      <c r="O7" s="127"/>
      <c r="P7" s="127"/>
      <c r="Q7" s="127"/>
    </row>
    <row r="8" spans="1:17" ht="40.799999999999997" x14ac:dyDescent="0.65">
      <c r="A8" s="134" t="s">
        <v>25</v>
      </c>
      <c r="C8" s="128" t="s">
        <v>4</v>
      </c>
      <c r="E8" s="128" t="s">
        <v>6</v>
      </c>
      <c r="G8" s="128" t="s">
        <v>37</v>
      </c>
      <c r="I8" s="128" t="s">
        <v>38</v>
      </c>
      <c r="K8" s="128" t="s">
        <v>4</v>
      </c>
      <c r="M8" s="128" t="s">
        <v>6</v>
      </c>
      <c r="O8" s="128" t="s">
        <v>37</v>
      </c>
      <c r="Q8" s="128" t="s">
        <v>38</v>
      </c>
    </row>
    <row r="9" spans="1:17" ht="21" x14ac:dyDescent="0.65">
      <c r="A9" s="129" t="s">
        <v>153</v>
      </c>
      <c r="C9" s="131">
        <v>0</v>
      </c>
      <c r="D9" s="131"/>
      <c r="E9" s="131">
        <v>0</v>
      </c>
      <c r="F9" s="131"/>
      <c r="G9" s="131">
        <v>0</v>
      </c>
      <c r="H9" s="131"/>
      <c r="I9" s="131">
        <v>0</v>
      </c>
      <c r="J9" s="130"/>
      <c r="K9" s="131">
        <v>579887</v>
      </c>
      <c r="M9" s="131">
        <v>3249801158</v>
      </c>
      <c r="O9" s="131">
        <v>2839489099</v>
      </c>
      <c r="Q9" s="131">
        <v>410312059</v>
      </c>
    </row>
    <row r="10" spans="1:17" ht="21" x14ac:dyDescent="0.65">
      <c r="A10" s="129" t="s">
        <v>241</v>
      </c>
      <c r="C10" s="131">
        <v>0</v>
      </c>
      <c r="D10" s="131"/>
      <c r="E10" s="131">
        <v>0</v>
      </c>
      <c r="F10" s="131"/>
      <c r="G10" s="131">
        <v>0</v>
      </c>
      <c r="H10" s="131"/>
      <c r="I10" s="131">
        <v>0</v>
      </c>
      <c r="J10" s="130"/>
      <c r="K10" s="131"/>
      <c r="M10" s="131"/>
      <c r="O10" s="131"/>
      <c r="Q10" s="131">
        <v>39994850</v>
      </c>
    </row>
    <row r="11" spans="1:17" ht="21" x14ac:dyDescent="0.65">
      <c r="A11" s="129" t="s">
        <v>242</v>
      </c>
      <c r="C11" s="131">
        <v>0</v>
      </c>
      <c r="D11" s="131"/>
      <c r="E11" s="131">
        <v>0</v>
      </c>
      <c r="F11" s="131"/>
      <c r="G11" s="131">
        <v>0</v>
      </c>
      <c r="H11" s="131"/>
      <c r="I11" s="131">
        <v>0</v>
      </c>
      <c r="J11" s="130"/>
      <c r="K11" s="131"/>
      <c r="M11" s="131"/>
      <c r="O11" s="131"/>
      <c r="Q11" s="131">
        <v>165978980</v>
      </c>
    </row>
    <row r="12" spans="1:17" ht="21" x14ac:dyDescent="0.65">
      <c r="A12" s="129" t="s">
        <v>243</v>
      </c>
      <c r="C12" s="131">
        <v>0</v>
      </c>
      <c r="D12" s="131"/>
      <c r="E12" s="131">
        <v>0</v>
      </c>
      <c r="F12" s="131"/>
      <c r="G12" s="131">
        <v>0</v>
      </c>
      <c r="H12" s="131"/>
      <c r="I12" s="131">
        <v>0</v>
      </c>
      <c r="J12" s="130"/>
      <c r="K12" s="131"/>
      <c r="M12" s="131"/>
      <c r="O12" s="131"/>
      <c r="Q12" s="131">
        <v>153286869</v>
      </c>
    </row>
    <row r="13" spans="1:17" ht="21" x14ac:dyDescent="0.65">
      <c r="A13" s="129" t="s">
        <v>244</v>
      </c>
      <c r="C13" s="131">
        <v>0</v>
      </c>
      <c r="D13" s="131"/>
      <c r="E13" s="131">
        <v>0</v>
      </c>
      <c r="F13" s="131"/>
      <c r="G13" s="131">
        <v>0</v>
      </c>
      <c r="H13" s="131"/>
      <c r="I13" s="131">
        <v>0</v>
      </c>
      <c r="J13" s="130"/>
      <c r="K13" s="131"/>
      <c r="M13" s="131"/>
      <c r="O13" s="131"/>
      <c r="Q13" s="131">
        <v>2571000</v>
      </c>
    </row>
    <row r="14" spans="1:17" ht="21" x14ac:dyDescent="0.65">
      <c r="A14" s="129" t="s">
        <v>245</v>
      </c>
      <c r="C14" s="131">
        <v>0</v>
      </c>
      <c r="D14" s="131"/>
      <c r="E14" s="131">
        <v>0</v>
      </c>
      <c r="F14" s="131"/>
      <c r="G14" s="131">
        <v>0</v>
      </c>
      <c r="H14" s="131"/>
      <c r="I14" s="131">
        <v>0</v>
      </c>
      <c r="J14" s="130"/>
      <c r="K14" s="131"/>
      <c r="M14" s="131"/>
      <c r="O14" s="131"/>
      <c r="Q14" s="131">
        <v>643341293</v>
      </c>
    </row>
    <row r="15" spans="1:17" ht="21" x14ac:dyDescent="0.65">
      <c r="A15" s="129" t="s">
        <v>179</v>
      </c>
      <c r="C15" s="131">
        <v>0</v>
      </c>
      <c r="D15" s="131"/>
      <c r="E15" s="131">
        <v>0</v>
      </c>
      <c r="F15" s="131"/>
      <c r="G15" s="131">
        <v>0</v>
      </c>
      <c r="H15" s="131"/>
      <c r="I15" s="131">
        <v>0</v>
      </c>
      <c r="J15" s="130"/>
      <c r="K15" s="131"/>
      <c r="M15" s="131"/>
      <c r="O15" s="131"/>
      <c r="Q15" s="131">
        <v>-987077134</v>
      </c>
    </row>
    <row r="16" spans="1:17" ht="21" x14ac:dyDescent="0.65">
      <c r="A16" s="129" t="s">
        <v>246</v>
      </c>
      <c r="C16" s="131">
        <v>0</v>
      </c>
      <c r="D16" s="131"/>
      <c r="E16" s="131">
        <v>0</v>
      </c>
      <c r="F16" s="131"/>
      <c r="G16" s="131">
        <v>0</v>
      </c>
      <c r="H16" s="131"/>
      <c r="I16" s="131">
        <v>0</v>
      </c>
      <c r="J16" s="130"/>
      <c r="K16" s="131"/>
      <c r="M16" s="131"/>
      <c r="O16" s="131"/>
      <c r="Q16" s="131">
        <v>17872710</v>
      </c>
    </row>
    <row r="17" spans="1:17" ht="21" x14ac:dyDescent="0.65">
      <c r="A17" s="129" t="s">
        <v>180</v>
      </c>
      <c r="C17" s="131">
        <v>0</v>
      </c>
      <c r="D17" s="131"/>
      <c r="E17" s="131">
        <v>0</v>
      </c>
      <c r="F17" s="131"/>
      <c r="G17" s="131">
        <v>0</v>
      </c>
      <c r="H17" s="131"/>
      <c r="I17" s="131">
        <v>0</v>
      </c>
      <c r="J17" s="130"/>
      <c r="K17" s="131"/>
      <c r="M17" s="131"/>
      <c r="O17" s="131"/>
      <c r="Q17" s="131">
        <v>-2600103280</v>
      </c>
    </row>
    <row r="18" spans="1:17" ht="21" x14ac:dyDescent="0.65">
      <c r="A18" s="129" t="s">
        <v>247</v>
      </c>
      <c r="C18" s="131"/>
      <c r="D18" s="131"/>
      <c r="E18" s="131"/>
      <c r="F18" s="131"/>
      <c r="G18" s="131"/>
      <c r="H18" s="131"/>
      <c r="I18" s="131">
        <v>4000935</v>
      </c>
      <c r="J18" s="130"/>
      <c r="K18" s="131"/>
      <c r="M18" s="131"/>
      <c r="O18" s="131"/>
      <c r="Q18" s="131">
        <v>4000935</v>
      </c>
    </row>
    <row r="19" spans="1:17" ht="21" x14ac:dyDescent="0.65">
      <c r="A19" s="129" t="s">
        <v>181</v>
      </c>
      <c r="C19" s="131">
        <v>0</v>
      </c>
      <c r="D19" s="131"/>
      <c r="E19" s="131">
        <v>0</v>
      </c>
      <c r="F19" s="131"/>
      <c r="G19" s="131">
        <v>0</v>
      </c>
      <c r="H19" s="131"/>
      <c r="I19" s="131">
        <v>0</v>
      </c>
      <c r="J19" s="130"/>
      <c r="K19" s="131"/>
      <c r="M19" s="131"/>
      <c r="O19" s="131"/>
      <c r="Q19" s="131">
        <v>652987649</v>
      </c>
    </row>
    <row r="20" spans="1:17" ht="21" x14ac:dyDescent="0.65">
      <c r="A20" s="129" t="s">
        <v>182</v>
      </c>
      <c r="C20" s="131">
        <v>0</v>
      </c>
      <c r="D20" s="131"/>
      <c r="E20" s="131">
        <v>0</v>
      </c>
      <c r="F20" s="131"/>
      <c r="G20" s="131">
        <v>0</v>
      </c>
      <c r="H20" s="131"/>
      <c r="I20" s="131">
        <v>0</v>
      </c>
      <c r="J20" s="130"/>
      <c r="K20" s="131"/>
      <c r="M20" s="131"/>
      <c r="O20" s="131"/>
      <c r="Q20" s="131">
        <v>-143352748</v>
      </c>
    </row>
    <row r="21" spans="1:17" ht="21" x14ac:dyDescent="0.65">
      <c r="A21" s="129" t="s">
        <v>183</v>
      </c>
      <c r="C21" s="131"/>
      <c r="D21" s="131"/>
      <c r="E21" s="131"/>
      <c r="F21" s="131"/>
      <c r="G21" s="131"/>
      <c r="H21" s="131"/>
      <c r="I21" s="131">
        <v>7997948</v>
      </c>
      <c r="J21" s="130"/>
      <c r="K21" s="131"/>
      <c r="M21" s="131"/>
      <c r="O21" s="131"/>
      <c r="Q21" s="131">
        <v>43634580</v>
      </c>
    </row>
    <row r="22" spans="1:17" ht="21" x14ac:dyDescent="0.65">
      <c r="A22" s="129" t="s">
        <v>184</v>
      </c>
      <c r="C22" s="131"/>
      <c r="D22" s="131"/>
      <c r="E22" s="131"/>
      <c r="F22" s="131"/>
      <c r="G22" s="131"/>
      <c r="H22" s="131"/>
      <c r="I22" s="131">
        <v>38792560</v>
      </c>
      <c r="J22" s="130"/>
      <c r="K22" s="131"/>
      <c r="M22" s="131"/>
      <c r="O22" s="131"/>
      <c r="Q22" s="131">
        <v>38792560</v>
      </c>
    </row>
    <row r="23" spans="1:17" ht="21" x14ac:dyDescent="0.65">
      <c r="A23" s="129" t="s">
        <v>185</v>
      </c>
      <c r="C23" s="131">
        <v>0</v>
      </c>
      <c r="D23" s="131"/>
      <c r="E23" s="131">
        <v>0</v>
      </c>
      <c r="F23" s="131"/>
      <c r="G23" s="131">
        <v>0</v>
      </c>
      <c r="H23" s="131"/>
      <c r="I23" s="131">
        <v>0</v>
      </c>
      <c r="J23" s="130"/>
      <c r="K23" s="131"/>
      <c r="M23" s="131"/>
      <c r="O23" s="131"/>
      <c r="Q23" s="131">
        <v>330679973</v>
      </c>
    </row>
    <row r="24" spans="1:17" ht="21" x14ac:dyDescent="0.65">
      <c r="A24" s="129" t="s">
        <v>186</v>
      </c>
      <c r="C24" s="131">
        <v>0</v>
      </c>
      <c r="D24" s="131"/>
      <c r="E24" s="131">
        <v>0</v>
      </c>
      <c r="F24" s="131"/>
      <c r="G24" s="131">
        <v>0</v>
      </c>
      <c r="H24" s="131"/>
      <c r="I24" s="131">
        <v>0</v>
      </c>
      <c r="J24" s="130"/>
      <c r="K24" s="131"/>
      <c r="M24" s="131"/>
      <c r="O24" s="131"/>
      <c r="Q24" s="131">
        <v>152611430</v>
      </c>
    </row>
    <row r="25" spans="1:17" ht="21" x14ac:dyDescent="0.65">
      <c r="A25" s="129" t="s">
        <v>187</v>
      </c>
      <c r="C25" s="131">
        <v>0</v>
      </c>
      <c r="D25" s="131"/>
      <c r="E25" s="131">
        <v>0</v>
      </c>
      <c r="F25" s="131"/>
      <c r="G25" s="131">
        <v>0</v>
      </c>
      <c r="H25" s="131"/>
      <c r="I25" s="131">
        <v>0</v>
      </c>
      <c r="J25" s="130"/>
      <c r="K25" s="131"/>
      <c r="M25" s="131"/>
      <c r="O25" s="131"/>
      <c r="Q25" s="131">
        <v>486645713</v>
      </c>
    </row>
    <row r="26" spans="1:17" ht="21" x14ac:dyDescent="0.65">
      <c r="A26" s="129" t="s">
        <v>188</v>
      </c>
      <c r="C26" s="131"/>
      <c r="D26" s="131"/>
      <c r="E26" s="131"/>
      <c r="F26" s="131"/>
      <c r="G26" s="131"/>
      <c r="H26" s="131"/>
      <c r="I26" s="131">
        <v>28953636</v>
      </c>
      <c r="J26" s="130"/>
      <c r="K26" s="131"/>
      <c r="M26" s="131"/>
      <c r="O26" s="131"/>
      <c r="Q26" s="131">
        <v>28953636</v>
      </c>
    </row>
    <row r="27" spans="1:17" ht="21" x14ac:dyDescent="0.65">
      <c r="A27" s="129" t="s">
        <v>248</v>
      </c>
      <c r="C27" s="131">
        <v>0</v>
      </c>
      <c r="D27" s="131"/>
      <c r="E27" s="131">
        <v>0</v>
      </c>
      <c r="F27" s="131"/>
      <c r="G27" s="131">
        <v>0</v>
      </c>
      <c r="H27" s="131"/>
      <c r="I27" s="131">
        <v>0</v>
      </c>
      <c r="J27" s="130"/>
      <c r="K27" s="131"/>
      <c r="M27" s="131"/>
      <c r="O27" s="131"/>
      <c r="Q27" s="131">
        <v>450982632</v>
      </c>
    </row>
    <row r="28" spans="1:17" ht="21" x14ac:dyDescent="0.65">
      <c r="A28" s="129" t="s">
        <v>189</v>
      </c>
      <c r="C28" s="131">
        <v>0</v>
      </c>
      <c r="D28" s="131"/>
      <c r="E28" s="131">
        <v>0</v>
      </c>
      <c r="F28" s="131"/>
      <c r="G28" s="131">
        <v>0</v>
      </c>
      <c r="H28" s="131"/>
      <c r="I28" s="131">
        <v>0</v>
      </c>
      <c r="J28" s="130"/>
      <c r="K28" s="131"/>
      <c r="M28" s="131"/>
      <c r="O28" s="131"/>
      <c r="Q28" s="131">
        <v>815842743</v>
      </c>
    </row>
    <row r="29" spans="1:17" ht="21" x14ac:dyDescent="0.65">
      <c r="A29" s="129" t="s">
        <v>190</v>
      </c>
      <c r="C29" s="131"/>
      <c r="D29" s="131"/>
      <c r="E29" s="131"/>
      <c r="F29" s="131"/>
      <c r="G29" s="131"/>
      <c r="H29" s="131"/>
      <c r="I29" s="131">
        <v>91444000</v>
      </c>
      <c r="J29" s="130"/>
      <c r="K29" s="131"/>
      <c r="M29" s="131"/>
      <c r="O29" s="131"/>
      <c r="Q29" s="131">
        <v>91444000</v>
      </c>
    </row>
    <row r="30" spans="1:17" ht="21" x14ac:dyDescent="0.65">
      <c r="A30" s="129" t="s">
        <v>191</v>
      </c>
      <c r="C30" s="131">
        <v>0</v>
      </c>
      <c r="D30" s="131"/>
      <c r="E30" s="131">
        <v>0</v>
      </c>
      <c r="F30" s="131"/>
      <c r="G30" s="131">
        <v>0</v>
      </c>
      <c r="H30" s="131"/>
      <c r="I30" s="131">
        <v>0</v>
      </c>
      <c r="J30" s="130"/>
      <c r="K30" s="131"/>
      <c r="M30" s="131"/>
      <c r="O30" s="131"/>
      <c r="Q30" s="131">
        <v>836739081</v>
      </c>
    </row>
    <row r="31" spans="1:17" ht="21" x14ac:dyDescent="0.65">
      <c r="A31" s="129" t="s">
        <v>192</v>
      </c>
      <c r="C31" s="131">
        <v>0</v>
      </c>
      <c r="D31" s="131"/>
      <c r="E31" s="131">
        <v>0</v>
      </c>
      <c r="F31" s="131"/>
      <c r="G31" s="131">
        <v>0</v>
      </c>
      <c r="H31" s="131"/>
      <c r="I31" s="131">
        <v>0</v>
      </c>
      <c r="J31" s="130"/>
      <c r="K31" s="131"/>
      <c r="M31" s="131"/>
      <c r="O31" s="131"/>
      <c r="Q31" s="131">
        <v>798978106</v>
      </c>
    </row>
    <row r="32" spans="1:17" ht="21" x14ac:dyDescent="0.65">
      <c r="A32" s="129" t="s">
        <v>193</v>
      </c>
      <c r="C32" s="131">
        <v>0</v>
      </c>
      <c r="D32" s="131"/>
      <c r="E32" s="131">
        <v>0</v>
      </c>
      <c r="F32" s="131"/>
      <c r="G32" s="131">
        <v>0</v>
      </c>
      <c r="H32" s="131"/>
      <c r="I32" s="131">
        <v>0</v>
      </c>
      <c r="J32" s="130"/>
      <c r="K32" s="131"/>
      <c r="M32" s="131"/>
      <c r="O32" s="131"/>
      <c r="Q32" s="131">
        <v>416670792</v>
      </c>
    </row>
    <row r="33" spans="1:17" ht="21" x14ac:dyDescent="0.65">
      <c r="A33" s="129" t="s">
        <v>249</v>
      </c>
      <c r="C33" s="131">
        <v>0</v>
      </c>
      <c r="D33" s="131"/>
      <c r="E33" s="131">
        <v>0</v>
      </c>
      <c r="F33" s="131"/>
      <c r="G33" s="131">
        <v>0</v>
      </c>
      <c r="H33" s="131"/>
      <c r="I33" s="131">
        <v>0</v>
      </c>
      <c r="J33" s="130"/>
      <c r="K33" s="131"/>
      <c r="M33" s="131"/>
      <c r="O33" s="131"/>
      <c r="Q33" s="131">
        <v>190746694</v>
      </c>
    </row>
    <row r="34" spans="1:17" ht="21" x14ac:dyDescent="0.65">
      <c r="A34" s="129" t="s">
        <v>250</v>
      </c>
      <c r="C34" s="131">
        <v>0</v>
      </c>
      <c r="D34" s="131"/>
      <c r="E34" s="131">
        <v>0</v>
      </c>
      <c r="F34" s="131"/>
      <c r="G34" s="131">
        <v>0</v>
      </c>
      <c r="H34" s="131"/>
      <c r="I34" s="131">
        <v>0</v>
      </c>
      <c r="J34" s="130"/>
      <c r="K34" s="131"/>
      <c r="M34" s="131"/>
      <c r="O34" s="131"/>
      <c r="Q34" s="131">
        <v>65085425</v>
      </c>
    </row>
    <row r="35" spans="1:17" ht="21" x14ac:dyDescent="0.65">
      <c r="A35" s="129" t="s">
        <v>251</v>
      </c>
      <c r="C35" s="131">
        <v>0</v>
      </c>
      <c r="D35" s="131"/>
      <c r="E35" s="131">
        <v>0</v>
      </c>
      <c r="F35" s="131"/>
      <c r="G35" s="131">
        <v>0</v>
      </c>
      <c r="H35" s="131"/>
      <c r="I35" s="131">
        <v>0</v>
      </c>
      <c r="J35" s="130"/>
      <c r="K35" s="131"/>
      <c r="M35" s="131"/>
      <c r="O35" s="131"/>
      <c r="Q35" s="131">
        <v>299720319</v>
      </c>
    </row>
    <row r="36" spans="1:17" ht="21" x14ac:dyDescent="0.65">
      <c r="A36" s="129" t="s">
        <v>194</v>
      </c>
      <c r="C36" s="131">
        <v>0</v>
      </c>
      <c r="D36" s="131"/>
      <c r="E36" s="131">
        <v>0</v>
      </c>
      <c r="F36" s="131"/>
      <c r="G36" s="131">
        <v>0</v>
      </c>
      <c r="H36" s="131"/>
      <c r="I36" s="131">
        <v>0</v>
      </c>
      <c r="J36" s="130"/>
      <c r="K36" s="131"/>
      <c r="M36" s="131"/>
      <c r="O36" s="131"/>
      <c r="Q36" s="131">
        <v>2313123597</v>
      </c>
    </row>
    <row r="37" spans="1:17" ht="21" x14ac:dyDescent="0.65">
      <c r="A37" s="129" t="s">
        <v>252</v>
      </c>
      <c r="C37" s="131"/>
      <c r="D37" s="131"/>
      <c r="E37" s="131"/>
      <c r="F37" s="131"/>
      <c r="G37" s="131"/>
      <c r="H37" s="131"/>
      <c r="I37" s="131">
        <v>5000000</v>
      </c>
      <c r="J37" s="130"/>
      <c r="K37" s="131"/>
      <c r="M37" s="131"/>
      <c r="O37" s="131"/>
      <c r="Q37" s="131">
        <v>5000000</v>
      </c>
    </row>
    <row r="38" spans="1:17" ht="21" x14ac:dyDescent="0.65">
      <c r="A38" s="129" t="s">
        <v>195</v>
      </c>
      <c r="C38" s="131"/>
      <c r="D38" s="131"/>
      <c r="E38" s="131"/>
      <c r="F38" s="131"/>
      <c r="G38" s="131"/>
      <c r="H38" s="131"/>
      <c r="I38" s="131">
        <v>34000000</v>
      </c>
      <c r="J38" s="130"/>
      <c r="K38" s="131"/>
      <c r="M38" s="131"/>
      <c r="O38" s="131"/>
      <c r="Q38" s="131">
        <v>34000000</v>
      </c>
    </row>
    <row r="39" spans="1:17" ht="21" x14ac:dyDescent="0.65">
      <c r="A39" s="129" t="s">
        <v>197</v>
      </c>
      <c r="C39" s="131">
        <v>0</v>
      </c>
      <c r="D39" s="131"/>
      <c r="E39" s="131">
        <v>0</v>
      </c>
      <c r="F39" s="131"/>
      <c r="G39" s="131">
        <v>0</v>
      </c>
      <c r="H39" s="131"/>
      <c r="I39" s="131">
        <v>0</v>
      </c>
      <c r="J39" s="130"/>
      <c r="K39" s="131"/>
      <c r="M39" s="131"/>
      <c r="O39" s="131"/>
      <c r="Q39" s="131">
        <v>2539867414</v>
      </c>
    </row>
    <row r="40" spans="1:17" ht="21" x14ac:dyDescent="0.65">
      <c r="A40" s="129" t="s">
        <v>253</v>
      </c>
      <c r="C40" s="131">
        <v>0</v>
      </c>
      <c r="D40" s="131"/>
      <c r="E40" s="131">
        <v>0</v>
      </c>
      <c r="F40" s="131"/>
      <c r="G40" s="131">
        <v>0</v>
      </c>
      <c r="H40" s="131"/>
      <c r="I40" s="131">
        <v>0</v>
      </c>
      <c r="J40" s="130"/>
      <c r="K40" s="131"/>
      <c r="M40" s="131"/>
      <c r="O40" s="131"/>
      <c r="Q40" s="131">
        <v>-1633923532</v>
      </c>
    </row>
    <row r="41" spans="1:17" ht="21" x14ac:dyDescent="0.65">
      <c r="A41" s="129" t="s">
        <v>254</v>
      </c>
      <c r="C41" s="131"/>
      <c r="D41" s="131"/>
      <c r="E41" s="131"/>
      <c r="F41" s="131"/>
      <c r="G41" s="131"/>
      <c r="H41" s="131"/>
      <c r="I41" s="131">
        <v>37996928</v>
      </c>
      <c r="J41" s="130"/>
      <c r="K41" s="131"/>
      <c r="M41" s="131"/>
      <c r="O41" s="131"/>
      <c r="Q41" s="131">
        <v>37996928</v>
      </c>
    </row>
    <row r="42" spans="1:17" ht="21" x14ac:dyDescent="0.65">
      <c r="A42" s="129" t="s">
        <v>198</v>
      </c>
      <c r="C42" s="131">
        <v>0</v>
      </c>
      <c r="D42" s="131"/>
      <c r="E42" s="131">
        <v>0</v>
      </c>
      <c r="F42" s="131"/>
      <c r="G42" s="131">
        <v>0</v>
      </c>
      <c r="H42" s="131"/>
      <c r="I42" s="131">
        <v>0</v>
      </c>
      <c r="J42" s="130"/>
      <c r="K42" s="131"/>
      <c r="M42" s="131"/>
      <c r="O42" s="131"/>
      <c r="Q42" s="131">
        <v>288880900</v>
      </c>
    </row>
    <row r="43" spans="1:17" ht="21" x14ac:dyDescent="0.65">
      <c r="A43" s="129" t="s">
        <v>199</v>
      </c>
      <c r="C43" s="131">
        <v>0</v>
      </c>
      <c r="D43" s="131"/>
      <c r="E43" s="131">
        <v>0</v>
      </c>
      <c r="F43" s="131"/>
      <c r="G43" s="131">
        <v>0</v>
      </c>
      <c r="H43" s="131"/>
      <c r="I43" s="131">
        <v>0</v>
      </c>
      <c r="J43" s="130"/>
      <c r="K43" s="131"/>
      <c r="M43" s="131"/>
      <c r="O43" s="131"/>
      <c r="Q43" s="131">
        <v>64568918</v>
      </c>
    </row>
    <row r="44" spans="1:17" ht="21" x14ac:dyDescent="0.65">
      <c r="A44" s="129" t="s">
        <v>255</v>
      </c>
      <c r="C44" s="131">
        <v>0</v>
      </c>
      <c r="D44" s="131"/>
      <c r="E44" s="131">
        <v>0</v>
      </c>
      <c r="F44" s="131"/>
      <c r="G44" s="131">
        <v>0</v>
      </c>
      <c r="H44" s="131"/>
      <c r="I44" s="131">
        <v>0</v>
      </c>
      <c r="J44" s="130"/>
      <c r="K44" s="131"/>
      <c r="M44" s="131"/>
      <c r="O44" s="131"/>
      <c r="Q44" s="131">
        <v>76234671</v>
      </c>
    </row>
    <row r="45" spans="1:17" ht="21" x14ac:dyDescent="0.65">
      <c r="A45" s="129" t="s">
        <v>200</v>
      </c>
      <c r="C45" s="131"/>
      <c r="D45" s="131"/>
      <c r="E45" s="131"/>
      <c r="F45" s="131"/>
      <c r="G45" s="131"/>
      <c r="H45" s="131"/>
      <c r="I45" s="131">
        <v>27996932</v>
      </c>
      <c r="J45" s="130"/>
      <c r="K45" s="131"/>
      <c r="M45" s="131"/>
      <c r="O45" s="131"/>
      <c r="Q45" s="131">
        <v>27996932</v>
      </c>
    </row>
    <row r="46" spans="1:17" ht="21" x14ac:dyDescent="0.65">
      <c r="A46" s="129" t="s">
        <v>256</v>
      </c>
      <c r="C46" s="131">
        <v>0</v>
      </c>
      <c r="D46" s="131"/>
      <c r="E46" s="131">
        <v>0</v>
      </c>
      <c r="F46" s="131"/>
      <c r="G46" s="131">
        <v>0</v>
      </c>
      <c r="H46" s="131"/>
      <c r="I46" s="131">
        <v>0</v>
      </c>
      <c r="J46" s="130"/>
      <c r="K46" s="131"/>
      <c r="M46" s="131"/>
      <c r="O46" s="131"/>
      <c r="Q46" s="131">
        <v>818500907</v>
      </c>
    </row>
    <row r="47" spans="1:17" ht="21" x14ac:dyDescent="0.65">
      <c r="A47" s="129" t="s">
        <v>257</v>
      </c>
      <c r="C47" s="131">
        <v>0</v>
      </c>
      <c r="D47" s="131"/>
      <c r="E47" s="131">
        <v>0</v>
      </c>
      <c r="F47" s="131"/>
      <c r="G47" s="131">
        <v>0</v>
      </c>
      <c r="H47" s="131"/>
      <c r="I47" s="131">
        <v>0</v>
      </c>
      <c r="J47" s="130"/>
      <c r="K47" s="131"/>
      <c r="M47" s="131"/>
      <c r="O47" s="131"/>
      <c r="Q47" s="131">
        <v>379994939</v>
      </c>
    </row>
    <row r="48" spans="1:17" ht="21" x14ac:dyDescent="0.65">
      <c r="A48" s="129" t="s">
        <v>201</v>
      </c>
      <c r="C48" s="131">
        <v>0</v>
      </c>
      <c r="D48" s="131"/>
      <c r="E48" s="131">
        <v>0</v>
      </c>
      <c r="F48" s="131"/>
      <c r="G48" s="131">
        <v>0</v>
      </c>
      <c r="H48" s="131"/>
      <c r="I48" s="131">
        <v>0</v>
      </c>
      <c r="J48" s="130"/>
      <c r="K48" s="131"/>
      <c r="M48" s="131"/>
      <c r="O48" s="131"/>
      <c r="Q48" s="131">
        <v>103932028</v>
      </c>
    </row>
    <row r="49" spans="1:17" ht="21" x14ac:dyDescent="0.65">
      <c r="A49" s="129" t="s">
        <v>202</v>
      </c>
      <c r="C49" s="131">
        <v>0</v>
      </c>
      <c r="D49" s="131"/>
      <c r="E49" s="131">
        <v>0</v>
      </c>
      <c r="F49" s="131"/>
      <c r="G49" s="131">
        <v>0</v>
      </c>
      <c r="H49" s="131"/>
      <c r="I49" s="131">
        <v>0</v>
      </c>
      <c r="J49" s="130"/>
      <c r="K49" s="131"/>
      <c r="M49" s="131"/>
      <c r="O49" s="131"/>
      <c r="Q49" s="131">
        <v>853398759</v>
      </c>
    </row>
    <row r="50" spans="1:17" ht="21" x14ac:dyDescent="0.65">
      <c r="A50" s="129" t="s">
        <v>258</v>
      </c>
      <c r="C50" s="131">
        <v>0</v>
      </c>
      <c r="D50" s="131"/>
      <c r="E50" s="131">
        <v>0</v>
      </c>
      <c r="F50" s="131"/>
      <c r="G50" s="131">
        <v>0</v>
      </c>
      <c r="H50" s="131"/>
      <c r="I50" s="131">
        <v>0</v>
      </c>
      <c r="J50" s="130"/>
      <c r="K50" s="131"/>
      <c r="M50" s="131"/>
      <c r="O50" s="131"/>
      <c r="Q50" s="131">
        <v>130771169</v>
      </c>
    </row>
    <row r="51" spans="1:17" ht="21" x14ac:dyDescent="0.65">
      <c r="A51" s="129" t="s">
        <v>203</v>
      </c>
      <c r="C51" s="131"/>
      <c r="D51" s="131"/>
      <c r="E51" s="131"/>
      <c r="F51" s="131"/>
      <c r="G51" s="131"/>
      <c r="H51" s="131"/>
      <c r="I51" s="131">
        <v>15997940</v>
      </c>
      <c r="J51" s="130"/>
      <c r="K51" s="131"/>
      <c r="M51" s="131"/>
      <c r="O51" s="131"/>
      <c r="Q51" s="131">
        <v>15997940</v>
      </c>
    </row>
    <row r="52" spans="1:17" ht="21" x14ac:dyDescent="0.65">
      <c r="A52" s="129" t="s">
        <v>259</v>
      </c>
      <c r="C52" s="131">
        <v>0</v>
      </c>
      <c r="D52" s="131"/>
      <c r="E52" s="131">
        <v>0</v>
      </c>
      <c r="F52" s="131"/>
      <c r="G52" s="131">
        <v>0</v>
      </c>
      <c r="H52" s="131"/>
      <c r="I52" s="131">
        <v>0</v>
      </c>
      <c r="J52" s="130"/>
      <c r="K52" s="131"/>
      <c r="M52" s="131"/>
      <c r="O52" s="131"/>
      <c r="Q52" s="131">
        <v>41960571</v>
      </c>
    </row>
    <row r="53" spans="1:17" ht="21" x14ac:dyDescent="0.65">
      <c r="A53" s="129" t="s">
        <v>260</v>
      </c>
      <c r="C53" s="131">
        <v>0</v>
      </c>
      <c r="D53" s="131"/>
      <c r="E53" s="131">
        <v>0</v>
      </c>
      <c r="F53" s="131"/>
      <c r="G53" s="131">
        <v>0</v>
      </c>
      <c r="H53" s="131"/>
      <c r="I53" s="131">
        <v>0</v>
      </c>
      <c r="J53" s="130"/>
      <c r="K53" s="131"/>
      <c r="M53" s="131"/>
      <c r="O53" s="131"/>
      <c r="Q53" s="131">
        <v>478416987</v>
      </c>
    </row>
    <row r="54" spans="1:17" ht="21" x14ac:dyDescent="0.65">
      <c r="A54" s="129" t="s">
        <v>204</v>
      </c>
      <c r="C54" s="131">
        <v>0</v>
      </c>
      <c r="D54" s="131"/>
      <c r="E54" s="131">
        <v>0</v>
      </c>
      <c r="F54" s="131"/>
      <c r="G54" s="131">
        <v>0</v>
      </c>
      <c r="H54" s="131"/>
      <c r="I54" s="131">
        <v>0</v>
      </c>
      <c r="J54" s="130"/>
      <c r="K54" s="131"/>
      <c r="M54" s="131"/>
      <c r="O54" s="131"/>
      <c r="Q54" s="131">
        <v>1377570353</v>
      </c>
    </row>
    <row r="55" spans="1:17" ht="21" x14ac:dyDescent="0.65">
      <c r="A55" s="129" t="s">
        <v>205</v>
      </c>
      <c r="C55" s="131">
        <v>0</v>
      </c>
      <c r="D55" s="131"/>
      <c r="E55" s="131">
        <v>0</v>
      </c>
      <c r="F55" s="131"/>
      <c r="G55" s="131">
        <v>0</v>
      </c>
      <c r="H55" s="131"/>
      <c r="I55" s="131">
        <v>0</v>
      </c>
      <c r="J55" s="130"/>
      <c r="K55" s="131"/>
      <c r="M55" s="131"/>
      <c r="O55" s="131"/>
      <c r="Q55" s="131">
        <v>429981911</v>
      </c>
    </row>
    <row r="56" spans="1:17" ht="21" x14ac:dyDescent="0.65">
      <c r="A56" s="129" t="s">
        <v>261</v>
      </c>
      <c r="C56" s="131">
        <v>0</v>
      </c>
      <c r="D56" s="131"/>
      <c r="E56" s="131">
        <v>0</v>
      </c>
      <c r="F56" s="131"/>
      <c r="G56" s="131">
        <v>0</v>
      </c>
      <c r="H56" s="131"/>
      <c r="I56" s="131">
        <v>0</v>
      </c>
      <c r="J56" s="130"/>
      <c r="K56" s="131"/>
      <c r="M56" s="131"/>
      <c r="O56" s="131"/>
      <c r="Q56" s="131">
        <v>37185668</v>
      </c>
    </row>
    <row r="57" spans="1:17" ht="21" x14ac:dyDescent="0.65">
      <c r="A57" s="129" t="s">
        <v>262</v>
      </c>
      <c r="C57" s="131">
        <v>0</v>
      </c>
      <c r="D57" s="131"/>
      <c r="E57" s="131">
        <v>0</v>
      </c>
      <c r="F57" s="131"/>
      <c r="G57" s="131">
        <v>0</v>
      </c>
      <c r="H57" s="131"/>
      <c r="I57" s="131">
        <v>0</v>
      </c>
      <c r="J57" s="130"/>
      <c r="K57" s="131"/>
      <c r="M57" s="131"/>
      <c r="O57" s="131"/>
      <c r="Q57" s="131">
        <v>82079944</v>
      </c>
    </row>
    <row r="58" spans="1:17" ht="21" x14ac:dyDescent="0.65">
      <c r="A58" s="129" t="s">
        <v>206</v>
      </c>
      <c r="C58" s="131">
        <v>0</v>
      </c>
      <c r="D58" s="131"/>
      <c r="E58" s="131">
        <v>0</v>
      </c>
      <c r="F58" s="131"/>
      <c r="G58" s="131">
        <v>0</v>
      </c>
      <c r="H58" s="131"/>
      <c r="I58" s="131">
        <v>0</v>
      </c>
      <c r="J58" s="130"/>
      <c r="K58" s="131"/>
      <c r="M58" s="131"/>
      <c r="O58" s="131"/>
      <c r="Q58" s="131">
        <v>407621359</v>
      </c>
    </row>
    <row r="59" spans="1:17" ht="21" x14ac:dyDescent="0.65">
      <c r="A59" s="129" t="s">
        <v>263</v>
      </c>
      <c r="C59" s="131">
        <v>0</v>
      </c>
      <c r="D59" s="131"/>
      <c r="E59" s="131">
        <v>0</v>
      </c>
      <c r="F59" s="131"/>
      <c r="G59" s="131">
        <v>0</v>
      </c>
      <c r="H59" s="131"/>
      <c r="I59" s="131">
        <v>0</v>
      </c>
      <c r="J59" s="130"/>
      <c r="K59" s="131"/>
      <c r="M59" s="131"/>
      <c r="O59" s="131"/>
      <c r="Q59" s="131">
        <v>278569994</v>
      </c>
    </row>
    <row r="60" spans="1:17" ht="21" x14ac:dyDescent="0.65">
      <c r="A60" s="129" t="s">
        <v>264</v>
      </c>
      <c r="C60" s="131">
        <v>0</v>
      </c>
      <c r="D60" s="131"/>
      <c r="E60" s="131">
        <v>0</v>
      </c>
      <c r="F60" s="131"/>
      <c r="G60" s="131">
        <v>0</v>
      </c>
      <c r="H60" s="131"/>
      <c r="I60" s="131">
        <v>0</v>
      </c>
      <c r="J60" s="130"/>
      <c r="K60" s="131"/>
      <c r="M60" s="131"/>
      <c r="O60" s="131"/>
      <c r="Q60" s="131">
        <v>67514952</v>
      </c>
    </row>
    <row r="61" spans="1:17" ht="21" x14ac:dyDescent="0.65">
      <c r="A61" s="129" t="s">
        <v>265</v>
      </c>
      <c r="C61" s="131">
        <v>0</v>
      </c>
      <c r="D61" s="131"/>
      <c r="E61" s="131">
        <v>0</v>
      </c>
      <c r="F61" s="131"/>
      <c r="G61" s="131">
        <v>0</v>
      </c>
      <c r="H61" s="131"/>
      <c r="I61" s="131">
        <v>0</v>
      </c>
      <c r="J61" s="130"/>
      <c r="K61" s="131"/>
      <c r="M61" s="131"/>
      <c r="O61" s="131"/>
      <c r="Q61" s="131">
        <v>1596292</v>
      </c>
    </row>
    <row r="62" spans="1:17" ht="21" x14ac:dyDescent="0.65">
      <c r="A62" s="129" t="s">
        <v>266</v>
      </c>
      <c r="C62" s="131">
        <v>0</v>
      </c>
      <c r="D62" s="131"/>
      <c r="E62" s="131">
        <v>0</v>
      </c>
      <c r="F62" s="131"/>
      <c r="G62" s="131">
        <v>0</v>
      </c>
      <c r="H62" s="131"/>
      <c r="I62" s="131">
        <v>0</v>
      </c>
      <c r="J62" s="130"/>
      <c r="K62" s="131"/>
      <c r="M62" s="131"/>
      <c r="O62" s="131"/>
      <c r="Q62" s="131">
        <v>718657381</v>
      </c>
    </row>
    <row r="63" spans="1:17" ht="21" x14ac:dyDescent="0.65">
      <c r="A63" s="129" t="s">
        <v>207</v>
      </c>
      <c r="C63" s="131">
        <v>0</v>
      </c>
      <c r="D63" s="131"/>
      <c r="E63" s="131">
        <v>0</v>
      </c>
      <c r="F63" s="131"/>
      <c r="G63" s="131">
        <v>0</v>
      </c>
      <c r="H63" s="131"/>
      <c r="I63" s="131">
        <v>0</v>
      </c>
      <c r="J63" s="130"/>
      <c r="K63" s="131"/>
      <c r="M63" s="131"/>
      <c r="O63" s="131"/>
      <c r="Q63" s="131">
        <v>1027103692</v>
      </c>
    </row>
    <row r="64" spans="1:17" ht="21" x14ac:dyDescent="0.65">
      <c r="A64" s="129" t="s">
        <v>208</v>
      </c>
      <c r="C64" s="131">
        <v>0</v>
      </c>
      <c r="D64" s="131"/>
      <c r="E64" s="131">
        <v>0</v>
      </c>
      <c r="F64" s="131"/>
      <c r="G64" s="131">
        <v>0</v>
      </c>
      <c r="H64" s="131"/>
      <c r="I64" s="131">
        <v>0</v>
      </c>
      <c r="J64" s="130"/>
      <c r="K64" s="131"/>
      <c r="M64" s="131"/>
      <c r="O64" s="131"/>
      <c r="Q64" s="131">
        <v>394213597</v>
      </c>
    </row>
    <row r="65" spans="1:17" ht="21" x14ac:dyDescent="0.65">
      <c r="A65" s="129" t="s">
        <v>267</v>
      </c>
      <c r="C65" s="131">
        <v>0</v>
      </c>
      <c r="D65" s="131"/>
      <c r="E65" s="131">
        <v>0</v>
      </c>
      <c r="F65" s="131"/>
      <c r="G65" s="131">
        <v>0</v>
      </c>
      <c r="H65" s="131"/>
      <c r="I65" s="131">
        <v>0</v>
      </c>
      <c r="J65" s="130"/>
      <c r="K65" s="131"/>
      <c r="M65" s="131"/>
      <c r="O65" s="131"/>
      <c r="Q65" s="131">
        <v>27846437</v>
      </c>
    </row>
    <row r="66" spans="1:17" ht="21" x14ac:dyDescent="0.65">
      <c r="A66" s="129" t="s">
        <v>209</v>
      </c>
      <c r="C66" s="131">
        <v>0</v>
      </c>
      <c r="D66" s="131"/>
      <c r="E66" s="131">
        <v>0</v>
      </c>
      <c r="F66" s="131"/>
      <c r="G66" s="131">
        <v>0</v>
      </c>
      <c r="H66" s="131"/>
      <c r="I66" s="131">
        <v>0</v>
      </c>
      <c r="J66" s="130"/>
      <c r="K66" s="131"/>
      <c r="M66" s="131"/>
      <c r="O66" s="131"/>
      <c r="Q66" s="131">
        <v>-207613744</v>
      </c>
    </row>
    <row r="67" spans="1:17" ht="21" x14ac:dyDescent="0.65">
      <c r="A67" s="129" t="s">
        <v>210</v>
      </c>
      <c r="C67" s="131">
        <v>0</v>
      </c>
      <c r="D67" s="131"/>
      <c r="E67" s="131">
        <v>0</v>
      </c>
      <c r="F67" s="131"/>
      <c r="G67" s="131">
        <v>0</v>
      </c>
      <c r="H67" s="131"/>
      <c r="I67" s="131">
        <v>0</v>
      </c>
      <c r="J67" s="130"/>
      <c r="K67" s="131"/>
      <c r="M67" s="131"/>
      <c r="O67" s="131"/>
      <c r="Q67" s="131">
        <v>542264460</v>
      </c>
    </row>
    <row r="68" spans="1:17" ht="21" x14ac:dyDescent="0.65">
      <c r="A68" s="129" t="s">
        <v>211</v>
      </c>
      <c r="C68" s="131">
        <v>0</v>
      </c>
      <c r="D68" s="131"/>
      <c r="E68" s="131">
        <v>0</v>
      </c>
      <c r="F68" s="131"/>
      <c r="G68" s="131">
        <v>0</v>
      </c>
      <c r="H68" s="131"/>
      <c r="I68" s="131">
        <v>0</v>
      </c>
      <c r="J68" s="130"/>
      <c r="K68" s="131"/>
      <c r="M68" s="131"/>
      <c r="O68" s="131"/>
      <c r="Q68" s="131">
        <v>762470285</v>
      </c>
    </row>
    <row r="69" spans="1:17" ht="21" x14ac:dyDescent="0.65">
      <c r="A69" s="129" t="s">
        <v>212</v>
      </c>
      <c r="C69" s="131">
        <v>0</v>
      </c>
      <c r="D69" s="131"/>
      <c r="E69" s="131">
        <v>0</v>
      </c>
      <c r="F69" s="131"/>
      <c r="G69" s="131">
        <v>0</v>
      </c>
      <c r="H69" s="131"/>
      <c r="I69" s="131">
        <v>0</v>
      </c>
      <c r="J69" s="130"/>
      <c r="K69" s="131"/>
      <c r="M69" s="131"/>
      <c r="O69" s="131"/>
      <c r="Q69" s="131">
        <v>134416530</v>
      </c>
    </row>
    <row r="70" spans="1:17" ht="21" x14ac:dyDescent="0.65">
      <c r="A70" s="129" t="s">
        <v>213</v>
      </c>
      <c r="C70" s="131">
        <v>0</v>
      </c>
      <c r="D70" s="131"/>
      <c r="E70" s="131">
        <v>0</v>
      </c>
      <c r="F70" s="131"/>
      <c r="G70" s="131">
        <v>0</v>
      </c>
      <c r="H70" s="131"/>
      <c r="I70" s="131">
        <v>0</v>
      </c>
      <c r="J70" s="130"/>
      <c r="K70" s="131"/>
      <c r="M70" s="131"/>
      <c r="O70" s="131"/>
      <c r="Q70" s="131">
        <v>292147825</v>
      </c>
    </row>
    <row r="71" spans="1:17" ht="21" x14ac:dyDescent="0.65">
      <c r="A71" s="129" t="s">
        <v>268</v>
      </c>
      <c r="C71" s="131">
        <v>0</v>
      </c>
      <c r="D71" s="131"/>
      <c r="E71" s="131">
        <v>0</v>
      </c>
      <c r="F71" s="131"/>
      <c r="G71" s="131">
        <v>0</v>
      </c>
      <c r="H71" s="131"/>
      <c r="I71" s="131">
        <v>0</v>
      </c>
      <c r="J71" s="130"/>
      <c r="K71" s="131"/>
      <c r="M71" s="131"/>
      <c r="O71" s="131"/>
      <c r="Q71" s="131">
        <v>-49213200</v>
      </c>
    </row>
    <row r="72" spans="1:17" ht="21" x14ac:dyDescent="0.65">
      <c r="A72" s="129" t="s">
        <v>269</v>
      </c>
      <c r="C72" s="131"/>
      <c r="D72" s="131"/>
      <c r="E72" s="131"/>
      <c r="F72" s="131"/>
      <c r="G72" s="131"/>
      <c r="H72" s="131"/>
      <c r="I72" s="131">
        <v>70772500</v>
      </c>
      <c r="J72" s="130"/>
      <c r="K72" s="131"/>
      <c r="M72" s="131"/>
      <c r="O72" s="131"/>
      <c r="Q72" s="131">
        <v>70772500</v>
      </c>
    </row>
    <row r="73" spans="1:17" ht="21" x14ac:dyDescent="0.65">
      <c r="A73" s="129" t="s">
        <v>270</v>
      </c>
      <c r="C73" s="131">
        <v>0</v>
      </c>
      <c r="D73" s="131"/>
      <c r="E73" s="131">
        <v>0</v>
      </c>
      <c r="F73" s="131"/>
      <c r="G73" s="131">
        <v>0</v>
      </c>
      <c r="H73" s="131"/>
      <c r="I73" s="131">
        <v>0</v>
      </c>
      <c r="J73" s="130"/>
      <c r="K73" s="131"/>
      <c r="M73" s="131"/>
      <c r="O73" s="131"/>
      <c r="Q73" s="131">
        <v>174158979</v>
      </c>
    </row>
    <row r="74" spans="1:17" ht="21" x14ac:dyDescent="0.65">
      <c r="A74" s="129" t="s">
        <v>271</v>
      </c>
      <c r="C74" s="131">
        <v>0</v>
      </c>
      <c r="D74" s="131"/>
      <c r="E74" s="131">
        <v>0</v>
      </c>
      <c r="F74" s="131"/>
      <c r="G74" s="131">
        <v>0</v>
      </c>
      <c r="H74" s="131"/>
      <c r="I74" s="131">
        <v>0</v>
      </c>
      <c r="J74" s="130"/>
      <c r="K74" s="131"/>
      <c r="M74" s="131"/>
      <c r="O74" s="131"/>
      <c r="Q74" s="131">
        <v>246240351</v>
      </c>
    </row>
    <row r="75" spans="1:17" ht="21" x14ac:dyDescent="0.65">
      <c r="A75" s="129" t="s">
        <v>272</v>
      </c>
      <c r="C75" s="131">
        <v>0</v>
      </c>
      <c r="D75" s="131"/>
      <c r="E75" s="131">
        <v>0</v>
      </c>
      <c r="F75" s="131"/>
      <c r="G75" s="131">
        <v>0</v>
      </c>
      <c r="H75" s="131"/>
      <c r="I75" s="131">
        <v>0</v>
      </c>
      <c r="J75" s="130"/>
      <c r="K75" s="131"/>
      <c r="M75" s="131"/>
      <c r="O75" s="131"/>
      <c r="Q75" s="131">
        <v>171732364</v>
      </c>
    </row>
    <row r="76" spans="1:17" ht="21" x14ac:dyDescent="0.65">
      <c r="A76" s="129" t="s">
        <v>214</v>
      </c>
      <c r="C76" s="131">
        <v>0</v>
      </c>
      <c r="D76" s="131"/>
      <c r="E76" s="131">
        <v>0</v>
      </c>
      <c r="F76" s="131"/>
      <c r="G76" s="131">
        <v>0</v>
      </c>
      <c r="H76" s="131"/>
      <c r="I76" s="131">
        <v>0</v>
      </c>
      <c r="J76" s="130"/>
      <c r="K76" s="131"/>
      <c r="M76" s="131"/>
      <c r="O76" s="131"/>
      <c r="Q76" s="131">
        <v>903156644</v>
      </c>
    </row>
    <row r="77" spans="1:17" ht="21" x14ac:dyDescent="0.65">
      <c r="A77" s="129" t="s">
        <v>215</v>
      </c>
      <c r="C77" s="131">
        <v>0</v>
      </c>
      <c r="D77" s="131"/>
      <c r="E77" s="131">
        <v>0</v>
      </c>
      <c r="F77" s="131"/>
      <c r="G77" s="131">
        <v>0</v>
      </c>
      <c r="H77" s="131"/>
      <c r="I77" s="131">
        <v>0</v>
      </c>
      <c r="J77" s="130"/>
      <c r="K77" s="131"/>
      <c r="M77" s="131"/>
      <c r="O77" s="131"/>
      <c r="Q77" s="131">
        <v>1500319978</v>
      </c>
    </row>
    <row r="78" spans="1:17" ht="21" x14ac:dyDescent="0.65">
      <c r="A78" s="129" t="s">
        <v>273</v>
      </c>
      <c r="C78" s="131">
        <v>0</v>
      </c>
      <c r="D78" s="131"/>
      <c r="E78" s="131">
        <v>0</v>
      </c>
      <c r="F78" s="131"/>
      <c r="G78" s="131">
        <v>0</v>
      </c>
      <c r="H78" s="131"/>
      <c r="I78" s="131">
        <v>0</v>
      </c>
      <c r="J78" s="130"/>
      <c r="K78" s="131"/>
      <c r="M78" s="131"/>
      <c r="O78" s="131"/>
      <c r="Q78" s="131">
        <v>50435522</v>
      </c>
    </row>
    <row r="79" spans="1:17" ht="21" x14ac:dyDescent="0.65">
      <c r="A79" s="129" t="s">
        <v>274</v>
      </c>
      <c r="C79" s="131">
        <v>0</v>
      </c>
      <c r="D79" s="131"/>
      <c r="E79" s="131">
        <v>0</v>
      </c>
      <c r="F79" s="131"/>
      <c r="G79" s="131">
        <v>0</v>
      </c>
      <c r="H79" s="131"/>
      <c r="I79" s="131">
        <v>0</v>
      </c>
      <c r="J79" s="130"/>
      <c r="K79" s="131"/>
      <c r="M79" s="131"/>
      <c r="O79" s="131"/>
      <c r="Q79" s="131">
        <v>365668940</v>
      </c>
    </row>
    <row r="80" spans="1:17" ht="21" x14ac:dyDescent="0.65">
      <c r="A80" s="129" t="s">
        <v>216</v>
      </c>
      <c r="C80" s="131">
        <v>0</v>
      </c>
      <c r="D80" s="131"/>
      <c r="E80" s="131">
        <v>0</v>
      </c>
      <c r="F80" s="131"/>
      <c r="G80" s="131">
        <v>0</v>
      </c>
      <c r="H80" s="131"/>
      <c r="I80" s="131">
        <v>0</v>
      </c>
      <c r="J80" s="130"/>
      <c r="K80" s="131"/>
      <c r="M80" s="131"/>
      <c r="O80" s="131"/>
      <c r="Q80" s="131">
        <v>388881313</v>
      </c>
    </row>
    <row r="81" spans="1:17" ht="21" x14ac:dyDescent="0.65">
      <c r="A81" s="129" t="s">
        <v>217</v>
      </c>
      <c r="C81" s="131">
        <v>0</v>
      </c>
      <c r="D81" s="131"/>
      <c r="E81" s="131">
        <v>0</v>
      </c>
      <c r="F81" s="131"/>
      <c r="G81" s="131">
        <v>0</v>
      </c>
      <c r="H81" s="131"/>
      <c r="I81" s="131">
        <v>0</v>
      </c>
      <c r="J81" s="130"/>
      <c r="K81" s="131"/>
      <c r="M81" s="131"/>
      <c r="O81" s="131"/>
      <c r="Q81" s="131">
        <v>169892337</v>
      </c>
    </row>
    <row r="82" spans="1:17" ht="21" x14ac:dyDescent="0.65">
      <c r="A82" s="129" t="s">
        <v>275</v>
      </c>
      <c r="C82" s="131">
        <v>0</v>
      </c>
      <c r="D82" s="131"/>
      <c r="E82" s="131">
        <v>0</v>
      </c>
      <c r="F82" s="131"/>
      <c r="G82" s="131">
        <v>0</v>
      </c>
      <c r="H82" s="131"/>
      <c r="I82" s="131">
        <v>0</v>
      </c>
      <c r="J82" s="130"/>
      <c r="K82" s="131"/>
      <c r="M82" s="131"/>
      <c r="O82" s="131"/>
      <c r="Q82" s="131">
        <v>-1836545797</v>
      </c>
    </row>
    <row r="83" spans="1:17" ht="21" x14ac:dyDescent="0.65">
      <c r="A83" s="129" t="s">
        <v>276</v>
      </c>
      <c r="C83" s="131">
        <v>0</v>
      </c>
      <c r="D83" s="131"/>
      <c r="E83" s="131">
        <v>0</v>
      </c>
      <c r="F83" s="131"/>
      <c r="G83" s="131">
        <v>0</v>
      </c>
      <c r="H83" s="131"/>
      <c r="I83" s="131">
        <v>0</v>
      </c>
      <c r="J83" s="130"/>
      <c r="K83" s="131"/>
      <c r="M83" s="131"/>
      <c r="O83" s="131"/>
      <c r="Q83" s="131">
        <v>27528204</v>
      </c>
    </row>
    <row r="84" spans="1:17" ht="21" x14ac:dyDescent="0.65">
      <c r="A84" s="129" t="s">
        <v>277</v>
      </c>
      <c r="C84" s="131">
        <v>0</v>
      </c>
      <c r="D84" s="131"/>
      <c r="E84" s="131">
        <v>0</v>
      </c>
      <c r="F84" s="131"/>
      <c r="G84" s="131">
        <v>0</v>
      </c>
      <c r="H84" s="131"/>
      <c r="I84" s="131">
        <v>0</v>
      </c>
      <c r="J84" s="130"/>
      <c r="K84" s="131"/>
      <c r="M84" s="131"/>
      <c r="O84" s="131"/>
      <c r="Q84" s="131">
        <v>294439966</v>
      </c>
    </row>
    <row r="85" spans="1:17" ht="21" x14ac:dyDescent="0.65">
      <c r="A85" s="129" t="s">
        <v>278</v>
      </c>
      <c r="C85" s="131">
        <v>0</v>
      </c>
      <c r="D85" s="131"/>
      <c r="E85" s="131">
        <v>0</v>
      </c>
      <c r="F85" s="131"/>
      <c r="G85" s="131">
        <v>0</v>
      </c>
      <c r="H85" s="131"/>
      <c r="I85" s="131">
        <v>0</v>
      </c>
      <c r="J85" s="130"/>
      <c r="K85" s="131"/>
      <c r="M85" s="131"/>
      <c r="O85" s="131"/>
      <c r="Q85" s="131">
        <v>593579598</v>
      </c>
    </row>
    <row r="86" spans="1:17" ht="21" x14ac:dyDescent="0.65">
      <c r="A86" s="129" t="s">
        <v>279</v>
      </c>
      <c r="C86" s="131">
        <v>0</v>
      </c>
      <c r="D86" s="131"/>
      <c r="E86" s="131">
        <v>0</v>
      </c>
      <c r="F86" s="131"/>
      <c r="G86" s="131">
        <v>0</v>
      </c>
      <c r="H86" s="131"/>
      <c r="I86" s="131">
        <v>0</v>
      </c>
      <c r="J86" s="130"/>
      <c r="K86" s="131"/>
      <c r="M86" s="131"/>
      <c r="O86" s="131"/>
      <c r="Q86" s="131">
        <v>-4999124626</v>
      </c>
    </row>
    <row r="87" spans="1:17" ht="21" x14ac:dyDescent="0.65">
      <c r="A87" s="129" t="s">
        <v>280</v>
      </c>
      <c r="C87" s="131">
        <v>0</v>
      </c>
      <c r="D87" s="131"/>
      <c r="E87" s="131">
        <v>0</v>
      </c>
      <c r="F87" s="131"/>
      <c r="G87" s="131">
        <v>0</v>
      </c>
      <c r="H87" s="131"/>
      <c r="I87" s="131">
        <v>0</v>
      </c>
      <c r="J87" s="130"/>
      <c r="K87" s="131"/>
      <c r="M87" s="131"/>
      <c r="O87" s="131"/>
      <c r="Q87" s="131">
        <v>161556937</v>
      </c>
    </row>
    <row r="88" spans="1:17" ht="21" x14ac:dyDescent="0.65">
      <c r="A88" s="129" t="s">
        <v>281</v>
      </c>
      <c r="C88" s="131">
        <v>0</v>
      </c>
      <c r="D88" s="131"/>
      <c r="E88" s="131">
        <v>0</v>
      </c>
      <c r="F88" s="131"/>
      <c r="G88" s="131">
        <v>0</v>
      </c>
      <c r="H88" s="131"/>
      <c r="I88" s="131">
        <v>0</v>
      </c>
      <c r="J88" s="130"/>
      <c r="K88" s="131"/>
      <c r="M88" s="131"/>
      <c r="O88" s="131"/>
      <c r="Q88" s="131">
        <v>139779875</v>
      </c>
    </row>
    <row r="89" spans="1:17" ht="21" x14ac:dyDescent="0.65">
      <c r="A89" s="129" t="s">
        <v>218</v>
      </c>
      <c r="C89" s="131"/>
      <c r="D89" s="131"/>
      <c r="E89" s="131"/>
      <c r="F89" s="131"/>
      <c r="G89" s="131"/>
      <c r="H89" s="131"/>
      <c r="I89" s="131">
        <v>24996190</v>
      </c>
      <c r="J89" s="130"/>
      <c r="K89" s="131"/>
      <c r="M89" s="131"/>
      <c r="O89" s="131"/>
      <c r="Q89" s="131">
        <v>24996190</v>
      </c>
    </row>
    <row r="90" spans="1:17" ht="21" x14ac:dyDescent="0.65">
      <c r="A90" s="129" t="s">
        <v>219</v>
      </c>
      <c r="C90" s="131">
        <v>0</v>
      </c>
      <c r="D90" s="131"/>
      <c r="E90" s="131">
        <v>0</v>
      </c>
      <c r="F90" s="131"/>
      <c r="G90" s="131">
        <v>0</v>
      </c>
      <c r="H90" s="131"/>
      <c r="I90" s="131">
        <v>0</v>
      </c>
      <c r="J90" s="130"/>
      <c r="K90" s="131"/>
      <c r="M90" s="131"/>
      <c r="O90" s="131"/>
      <c r="Q90" s="131">
        <v>314113740</v>
      </c>
    </row>
    <row r="91" spans="1:17" ht="21" x14ac:dyDescent="0.65">
      <c r="A91" s="129" t="s">
        <v>220</v>
      </c>
      <c r="C91" s="131"/>
      <c r="D91" s="131"/>
      <c r="E91" s="131"/>
      <c r="F91" s="131"/>
      <c r="G91" s="131"/>
      <c r="H91" s="131"/>
      <c r="I91" s="131">
        <v>7989736</v>
      </c>
      <c r="J91" s="130"/>
      <c r="K91" s="131"/>
      <c r="M91" s="131"/>
      <c r="O91" s="131"/>
      <c r="Q91" s="131">
        <v>7989736</v>
      </c>
    </row>
    <row r="92" spans="1:17" ht="21" x14ac:dyDescent="0.65">
      <c r="A92" s="129" t="s">
        <v>282</v>
      </c>
      <c r="C92" s="131">
        <v>0</v>
      </c>
      <c r="D92" s="131"/>
      <c r="E92" s="131">
        <v>0</v>
      </c>
      <c r="F92" s="131"/>
      <c r="G92" s="131">
        <v>0</v>
      </c>
      <c r="H92" s="131"/>
      <c r="I92" s="131">
        <v>0</v>
      </c>
      <c r="J92" s="130"/>
      <c r="K92" s="131"/>
      <c r="M92" s="131"/>
      <c r="O92" s="131"/>
      <c r="Q92" s="131">
        <v>-1001</v>
      </c>
    </row>
    <row r="93" spans="1:17" ht="21" x14ac:dyDescent="0.65">
      <c r="A93" s="129" t="s">
        <v>221</v>
      </c>
      <c r="C93" s="131">
        <v>0</v>
      </c>
      <c r="D93" s="131"/>
      <c r="E93" s="131">
        <v>0</v>
      </c>
      <c r="F93" s="131"/>
      <c r="G93" s="131">
        <v>0</v>
      </c>
      <c r="H93" s="131"/>
      <c r="I93" s="131">
        <v>0</v>
      </c>
      <c r="J93" s="130"/>
      <c r="K93" s="131"/>
      <c r="M93" s="131"/>
      <c r="O93" s="131"/>
      <c r="Q93" s="131">
        <v>2635614794</v>
      </c>
    </row>
    <row r="94" spans="1:17" ht="21" x14ac:dyDescent="0.65">
      <c r="A94" s="129" t="s">
        <v>222</v>
      </c>
      <c r="C94" s="131">
        <v>0</v>
      </c>
      <c r="D94" s="131"/>
      <c r="E94" s="131">
        <v>0</v>
      </c>
      <c r="F94" s="131"/>
      <c r="G94" s="131">
        <v>0</v>
      </c>
      <c r="H94" s="131"/>
      <c r="I94" s="131">
        <v>0</v>
      </c>
      <c r="J94" s="130"/>
      <c r="K94" s="131"/>
      <c r="M94" s="131"/>
      <c r="O94" s="131"/>
      <c r="Q94" s="131">
        <v>220595472</v>
      </c>
    </row>
    <row r="95" spans="1:17" ht="21" x14ac:dyDescent="0.65">
      <c r="A95" s="129" t="s">
        <v>223</v>
      </c>
      <c r="C95" s="131">
        <v>0</v>
      </c>
      <c r="D95" s="131"/>
      <c r="E95" s="131">
        <v>0</v>
      </c>
      <c r="F95" s="131"/>
      <c r="G95" s="131">
        <v>0</v>
      </c>
      <c r="H95" s="131"/>
      <c r="I95" s="131">
        <v>0</v>
      </c>
      <c r="J95" s="130"/>
      <c r="K95" s="131"/>
      <c r="M95" s="131"/>
      <c r="O95" s="131"/>
      <c r="Q95" s="131">
        <v>769032514</v>
      </c>
    </row>
    <row r="96" spans="1:17" ht="21" x14ac:dyDescent="0.65">
      <c r="A96" s="129" t="s">
        <v>283</v>
      </c>
      <c r="C96" s="131">
        <v>0</v>
      </c>
      <c r="D96" s="131"/>
      <c r="E96" s="131">
        <v>0</v>
      </c>
      <c r="F96" s="131"/>
      <c r="G96" s="131">
        <v>0</v>
      </c>
      <c r="H96" s="131"/>
      <c r="I96" s="131">
        <v>0</v>
      </c>
      <c r="J96" s="130"/>
      <c r="K96" s="131"/>
      <c r="M96" s="131"/>
      <c r="O96" s="131"/>
      <c r="Q96" s="131">
        <v>2823802</v>
      </c>
    </row>
    <row r="97" spans="1:17" ht="21" x14ac:dyDescent="0.65">
      <c r="A97" s="129" t="s">
        <v>224</v>
      </c>
      <c r="C97" s="131">
        <v>0</v>
      </c>
      <c r="D97" s="131"/>
      <c r="E97" s="131">
        <v>0</v>
      </c>
      <c r="F97" s="131"/>
      <c r="G97" s="131">
        <v>0</v>
      </c>
      <c r="H97" s="131"/>
      <c r="I97" s="131">
        <v>0</v>
      </c>
      <c r="J97" s="130"/>
      <c r="K97" s="131"/>
      <c r="M97" s="131"/>
      <c r="O97" s="131"/>
      <c r="Q97" s="131">
        <v>137838676</v>
      </c>
    </row>
    <row r="98" spans="1:17" ht="21" x14ac:dyDescent="0.65">
      <c r="A98" s="129" t="s">
        <v>225</v>
      </c>
      <c r="C98" s="131">
        <v>0</v>
      </c>
      <c r="D98" s="131"/>
      <c r="E98" s="131">
        <v>0</v>
      </c>
      <c r="F98" s="131"/>
      <c r="G98" s="131">
        <v>0</v>
      </c>
      <c r="H98" s="131"/>
      <c r="I98" s="131">
        <v>0</v>
      </c>
      <c r="J98" s="130"/>
      <c r="K98" s="131"/>
      <c r="M98" s="131"/>
      <c r="O98" s="131"/>
      <c r="Q98" s="131">
        <v>1604128594</v>
      </c>
    </row>
    <row r="99" spans="1:17" ht="21" x14ac:dyDescent="0.65">
      <c r="A99" s="129" t="s">
        <v>226</v>
      </c>
      <c r="C99" s="131">
        <v>0</v>
      </c>
      <c r="D99" s="131"/>
      <c r="E99" s="131">
        <v>0</v>
      </c>
      <c r="F99" s="131"/>
      <c r="G99" s="131">
        <v>0</v>
      </c>
      <c r="H99" s="131"/>
      <c r="I99" s="131">
        <v>0</v>
      </c>
      <c r="J99" s="130"/>
      <c r="K99" s="131"/>
      <c r="M99" s="131"/>
      <c r="O99" s="131"/>
      <c r="Q99" s="131">
        <v>1173724363</v>
      </c>
    </row>
    <row r="100" spans="1:17" ht="21" x14ac:dyDescent="0.65">
      <c r="A100" s="129" t="s">
        <v>227</v>
      </c>
      <c r="C100" s="131">
        <v>0</v>
      </c>
      <c r="D100" s="131"/>
      <c r="E100" s="131">
        <v>0</v>
      </c>
      <c r="F100" s="131"/>
      <c r="G100" s="131">
        <v>0</v>
      </c>
      <c r="H100" s="131"/>
      <c r="I100" s="131">
        <v>0</v>
      </c>
      <c r="J100" s="130"/>
      <c r="K100" s="131"/>
      <c r="M100" s="131"/>
      <c r="O100" s="131"/>
      <c r="Q100" s="131">
        <v>15820222</v>
      </c>
    </row>
    <row r="101" spans="1:17" ht="21" x14ac:dyDescent="0.65">
      <c r="A101" s="129" t="s">
        <v>228</v>
      </c>
      <c r="C101" s="131">
        <v>0</v>
      </c>
      <c r="D101" s="131"/>
      <c r="E101" s="131">
        <v>0</v>
      </c>
      <c r="F101" s="131"/>
      <c r="G101" s="131">
        <v>0</v>
      </c>
      <c r="H101" s="131"/>
      <c r="I101" s="131">
        <v>0</v>
      </c>
      <c r="J101" s="130"/>
      <c r="K101" s="131"/>
      <c r="M101" s="131"/>
      <c r="O101" s="131"/>
      <c r="Q101" s="131">
        <v>1217020000</v>
      </c>
    </row>
    <row r="102" spans="1:17" ht="21" x14ac:dyDescent="0.65">
      <c r="A102" s="129" t="s">
        <v>229</v>
      </c>
      <c r="C102" s="131">
        <v>0</v>
      </c>
      <c r="D102" s="131"/>
      <c r="E102" s="131">
        <v>0</v>
      </c>
      <c r="F102" s="131"/>
      <c r="G102" s="131">
        <v>0</v>
      </c>
      <c r="H102" s="131"/>
      <c r="I102" s="131">
        <v>0</v>
      </c>
      <c r="J102" s="130"/>
      <c r="K102" s="131"/>
      <c r="M102" s="131"/>
      <c r="O102" s="131"/>
      <c r="Q102" s="131">
        <v>-890035553</v>
      </c>
    </row>
    <row r="103" spans="1:17" ht="21" x14ac:dyDescent="0.65">
      <c r="A103" s="129" t="s">
        <v>284</v>
      </c>
      <c r="C103" s="131">
        <v>0</v>
      </c>
      <c r="D103" s="131"/>
      <c r="E103" s="131">
        <v>0</v>
      </c>
      <c r="F103" s="131"/>
      <c r="G103" s="131">
        <v>0</v>
      </c>
      <c r="H103" s="131"/>
      <c r="I103" s="131">
        <v>0</v>
      </c>
      <c r="J103" s="130"/>
      <c r="K103" s="131"/>
      <c r="M103" s="131"/>
      <c r="O103" s="131"/>
      <c r="Q103" s="131">
        <v>-9841314</v>
      </c>
    </row>
    <row r="104" spans="1:17" ht="21" x14ac:dyDescent="0.65">
      <c r="A104" s="129" t="s">
        <v>230</v>
      </c>
      <c r="C104" s="131">
        <v>0</v>
      </c>
      <c r="D104" s="131"/>
      <c r="E104" s="131">
        <v>0</v>
      </c>
      <c r="F104" s="131"/>
      <c r="G104" s="131">
        <v>0</v>
      </c>
      <c r="H104" s="131"/>
      <c r="I104" s="131">
        <v>0</v>
      </c>
      <c r="J104" s="130"/>
      <c r="K104" s="131"/>
      <c r="M104" s="131"/>
      <c r="O104" s="131"/>
      <c r="Q104" s="131">
        <v>97524246</v>
      </c>
    </row>
    <row r="105" spans="1:17" ht="21" x14ac:dyDescent="0.65">
      <c r="A105" s="129" t="s">
        <v>285</v>
      </c>
      <c r="C105" s="131">
        <v>0</v>
      </c>
      <c r="D105" s="131"/>
      <c r="E105" s="131">
        <v>0</v>
      </c>
      <c r="F105" s="131"/>
      <c r="G105" s="131">
        <v>0</v>
      </c>
      <c r="H105" s="131"/>
      <c r="I105" s="131">
        <v>0</v>
      </c>
      <c r="J105" s="130"/>
      <c r="K105" s="131"/>
      <c r="M105" s="131"/>
      <c r="O105" s="131"/>
      <c r="Q105" s="131">
        <v>228052331</v>
      </c>
    </row>
    <row r="106" spans="1:17" ht="21" x14ac:dyDescent="0.65">
      <c r="A106" s="129" t="s">
        <v>231</v>
      </c>
      <c r="C106" s="131">
        <v>0</v>
      </c>
      <c r="D106" s="131"/>
      <c r="E106" s="131">
        <v>0</v>
      </c>
      <c r="F106" s="131"/>
      <c r="G106" s="131">
        <v>0</v>
      </c>
      <c r="H106" s="131"/>
      <c r="I106" s="131">
        <v>0</v>
      </c>
      <c r="J106" s="130"/>
      <c r="K106" s="131"/>
      <c r="M106" s="131"/>
      <c r="O106" s="131"/>
      <c r="Q106" s="131">
        <v>1327034090</v>
      </c>
    </row>
    <row r="107" spans="1:17" ht="21" x14ac:dyDescent="0.65">
      <c r="A107" s="129" t="s">
        <v>286</v>
      </c>
      <c r="C107" s="131">
        <v>0</v>
      </c>
      <c r="D107" s="131"/>
      <c r="E107" s="131">
        <v>0</v>
      </c>
      <c r="F107" s="131"/>
      <c r="G107" s="131">
        <v>0</v>
      </c>
      <c r="H107" s="131"/>
      <c r="I107" s="131">
        <v>0</v>
      </c>
      <c r="J107" s="130"/>
      <c r="K107" s="131"/>
      <c r="M107" s="131"/>
      <c r="O107" s="131"/>
      <c r="Q107" s="131">
        <v>315434648</v>
      </c>
    </row>
    <row r="108" spans="1:17" ht="21" x14ac:dyDescent="0.65">
      <c r="A108" s="129" t="s">
        <v>232</v>
      </c>
      <c r="C108" s="131">
        <v>0</v>
      </c>
      <c r="D108" s="131"/>
      <c r="E108" s="131">
        <v>0</v>
      </c>
      <c r="F108" s="131"/>
      <c r="G108" s="131">
        <v>0</v>
      </c>
      <c r="H108" s="131"/>
      <c r="I108" s="131">
        <v>0</v>
      </c>
      <c r="J108" s="130"/>
      <c r="K108" s="131"/>
      <c r="M108" s="131"/>
      <c r="O108" s="131"/>
      <c r="Q108" s="131">
        <v>292526296</v>
      </c>
    </row>
    <row r="109" spans="1:17" ht="21" x14ac:dyDescent="0.65">
      <c r="A109" s="129" t="s">
        <v>233</v>
      </c>
      <c r="C109" s="131">
        <v>0</v>
      </c>
      <c r="D109" s="131"/>
      <c r="E109" s="131">
        <v>0</v>
      </c>
      <c r="F109" s="131"/>
      <c r="G109" s="131">
        <v>0</v>
      </c>
      <c r="H109" s="131"/>
      <c r="I109" s="131">
        <v>0</v>
      </c>
      <c r="J109" s="130"/>
      <c r="K109" s="131"/>
      <c r="M109" s="131"/>
      <c r="O109" s="131"/>
      <c r="Q109" s="131">
        <v>-1296705566</v>
      </c>
    </row>
    <row r="110" spans="1:17" ht="21" x14ac:dyDescent="0.65">
      <c r="A110" s="129" t="s">
        <v>287</v>
      </c>
      <c r="C110" s="131">
        <v>0</v>
      </c>
      <c r="D110" s="131"/>
      <c r="E110" s="131">
        <v>0</v>
      </c>
      <c r="F110" s="131"/>
      <c r="G110" s="131">
        <v>0</v>
      </c>
      <c r="H110" s="131"/>
      <c r="I110" s="131">
        <v>0</v>
      </c>
      <c r="J110" s="130"/>
      <c r="K110" s="131"/>
      <c r="M110" s="131"/>
      <c r="O110" s="131"/>
      <c r="Q110" s="131">
        <v>39885150</v>
      </c>
    </row>
    <row r="111" spans="1:17" ht="21" x14ac:dyDescent="0.65">
      <c r="A111" s="129" t="s">
        <v>234</v>
      </c>
      <c r="C111" s="131">
        <v>0</v>
      </c>
      <c r="D111" s="131"/>
      <c r="E111" s="131">
        <v>0</v>
      </c>
      <c r="F111" s="131"/>
      <c r="G111" s="131">
        <v>0</v>
      </c>
      <c r="H111" s="131"/>
      <c r="I111" s="131">
        <v>0</v>
      </c>
      <c r="J111" s="130"/>
      <c r="K111" s="131"/>
      <c r="M111" s="131"/>
      <c r="O111" s="131"/>
      <c r="Q111" s="131">
        <v>-5922</v>
      </c>
    </row>
    <row r="112" spans="1:17" ht="21" x14ac:dyDescent="0.65">
      <c r="A112" s="129" t="s">
        <v>288</v>
      </c>
      <c r="C112" s="131">
        <v>0</v>
      </c>
      <c r="D112" s="131"/>
      <c r="E112" s="131">
        <v>0</v>
      </c>
      <c r="F112" s="131"/>
      <c r="G112" s="131">
        <v>0</v>
      </c>
      <c r="H112" s="131"/>
      <c r="I112" s="131">
        <v>0</v>
      </c>
      <c r="J112" s="130"/>
      <c r="K112" s="131"/>
      <c r="M112" s="131"/>
      <c r="O112" s="131"/>
      <c r="Q112" s="131">
        <v>2056806</v>
      </c>
    </row>
    <row r="113" spans="1:17" ht="21" x14ac:dyDescent="0.65">
      <c r="A113" s="129" t="s">
        <v>289</v>
      </c>
      <c r="C113" s="131">
        <v>0</v>
      </c>
      <c r="D113" s="131"/>
      <c r="E113" s="131">
        <v>0</v>
      </c>
      <c r="F113" s="131"/>
      <c r="G113" s="131">
        <v>0</v>
      </c>
      <c r="H113" s="131"/>
      <c r="I113" s="131">
        <v>0</v>
      </c>
      <c r="J113" s="130"/>
      <c r="K113" s="131"/>
      <c r="M113" s="131"/>
      <c r="O113" s="131"/>
      <c r="Q113" s="131">
        <v>798792798</v>
      </c>
    </row>
    <row r="114" spans="1:17" ht="21" x14ac:dyDescent="0.65">
      <c r="A114" s="129" t="s">
        <v>235</v>
      </c>
      <c r="C114" s="131">
        <v>0</v>
      </c>
      <c r="D114" s="131"/>
      <c r="E114" s="131">
        <v>0</v>
      </c>
      <c r="F114" s="131"/>
      <c r="G114" s="131">
        <v>0</v>
      </c>
      <c r="H114" s="131"/>
      <c r="I114" s="131">
        <v>0</v>
      </c>
      <c r="J114" s="130"/>
      <c r="K114" s="131"/>
      <c r="M114" s="131"/>
      <c r="O114" s="131"/>
      <c r="Q114" s="131">
        <v>1155071</v>
      </c>
    </row>
    <row r="115" spans="1:17" ht="21" x14ac:dyDescent="0.65">
      <c r="A115" s="129" t="s">
        <v>236</v>
      </c>
      <c r="C115" s="131">
        <v>0</v>
      </c>
      <c r="D115" s="131"/>
      <c r="E115" s="131">
        <v>0</v>
      </c>
      <c r="F115" s="131"/>
      <c r="G115" s="131">
        <v>0</v>
      </c>
      <c r="H115" s="131"/>
      <c r="I115" s="131">
        <v>0</v>
      </c>
      <c r="J115" s="130"/>
      <c r="K115" s="131"/>
      <c r="M115" s="131"/>
      <c r="O115" s="131"/>
      <c r="Q115" s="131">
        <v>140314108</v>
      </c>
    </row>
    <row r="116" spans="1:17" ht="21" x14ac:dyDescent="0.65">
      <c r="A116" s="129" t="s">
        <v>237</v>
      </c>
      <c r="C116" s="131">
        <v>0</v>
      </c>
      <c r="D116" s="131"/>
      <c r="E116" s="131">
        <v>0</v>
      </c>
      <c r="F116" s="131"/>
      <c r="G116" s="131">
        <v>0</v>
      </c>
      <c r="H116" s="131"/>
      <c r="I116" s="131">
        <v>0</v>
      </c>
      <c r="J116" s="130"/>
      <c r="K116" s="131"/>
      <c r="M116" s="131"/>
      <c r="O116" s="131"/>
      <c r="Q116" s="131">
        <v>603719549</v>
      </c>
    </row>
    <row r="117" spans="1:17" ht="21" x14ac:dyDescent="0.65">
      <c r="A117" s="129" t="s">
        <v>238</v>
      </c>
      <c r="C117" s="131">
        <v>0</v>
      </c>
      <c r="D117" s="131"/>
      <c r="E117" s="131">
        <v>0</v>
      </c>
      <c r="F117" s="131"/>
      <c r="G117" s="131">
        <v>0</v>
      </c>
      <c r="H117" s="131"/>
      <c r="I117" s="131">
        <v>0</v>
      </c>
      <c r="J117" s="130"/>
      <c r="K117" s="131"/>
      <c r="M117" s="131"/>
      <c r="O117" s="131"/>
      <c r="Q117" s="131">
        <v>4658928</v>
      </c>
    </row>
    <row r="118" spans="1:17" ht="21" x14ac:dyDescent="0.65">
      <c r="A118" s="129" t="s">
        <v>239</v>
      </c>
      <c r="C118" s="131">
        <v>0</v>
      </c>
      <c r="D118" s="131"/>
      <c r="E118" s="131">
        <v>0</v>
      </c>
      <c r="F118" s="131"/>
      <c r="G118" s="131">
        <v>0</v>
      </c>
      <c r="H118" s="131"/>
      <c r="I118" s="131">
        <v>0</v>
      </c>
      <c r="J118" s="130"/>
      <c r="K118" s="131"/>
      <c r="M118" s="131"/>
      <c r="O118" s="131"/>
      <c r="Q118" s="131">
        <v>250998754</v>
      </c>
    </row>
    <row r="119" spans="1:17" ht="21" x14ac:dyDescent="0.65">
      <c r="A119" s="129" t="s">
        <v>290</v>
      </c>
      <c r="C119" s="131">
        <v>0</v>
      </c>
      <c r="D119" s="131"/>
      <c r="E119" s="131">
        <v>0</v>
      </c>
      <c r="F119" s="131"/>
      <c r="G119" s="131">
        <v>0</v>
      </c>
      <c r="H119" s="131"/>
      <c r="I119" s="131">
        <v>0</v>
      </c>
      <c r="J119" s="130"/>
      <c r="K119" s="131"/>
      <c r="M119" s="131"/>
      <c r="O119" s="131"/>
      <c r="Q119" s="131">
        <v>-2697975</v>
      </c>
    </row>
    <row r="120" spans="1:17" ht="21" x14ac:dyDescent="0.65">
      <c r="A120" s="129" t="s">
        <v>152</v>
      </c>
      <c r="C120" s="131">
        <v>0</v>
      </c>
      <c r="D120" s="131"/>
      <c r="E120" s="131">
        <v>0</v>
      </c>
      <c r="F120" s="131"/>
      <c r="G120" s="131">
        <v>0</v>
      </c>
      <c r="H120" s="131"/>
      <c r="I120" s="131">
        <v>0</v>
      </c>
      <c r="J120" s="130"/>
      <c r="K120" s="131">
        <v>150000</v>
      </c>
      <c r="M120" s="131">
        <v>1234610146</v>
      </c>
      <c r="O120" s="131">
        <v>1043584546</v>
      </c>
      <c r="Q120" s="131">
        <v>191025600</v>
      </c>
    </row>
    <row r="121" spans="1:17" ht="21" x14ac:dyDescent="0.65">
      <c r="A121" s="129" t="s">
        <v>326</v>
      </c>
      <c r="C121" s="131">
        <v>0</v>
      </c>
      <c r="D121" s="131"/>
      <c r="E121" s="131">
        <v>0</v>
      </c>
      <c r="F121" s="131"/>
      <c r="G121" s="131">
        <v>0</v>
      </c>
      <c r="H121" s="131"/>
      <c r="I121" s="131">
        <v>0</v>
      </c>
      <c r="J121" s="130"/>
      <c r="K121" s="131">
        <v>2000000</v>
      </c>
      <c r="M121" s="131">
        <v>8317069944</v>
      </c>
      <c r="O121" s="131">
        <v>9031858190</v>
      </c>
      <c r="Q121" s="131">
        <v>-714788246</v>
      </c>
    </row>
    <row r="122" spans="1:17" ht="21" x14ac:dyDescent="0.65">
      <c r="A122" s="129" t="s">
        <v>103</v>
      </c>
      <c r="C122" s="131">
        <v>800000</v>
      </c>
      <c r="E122" s="131">
        <v>3014854272</v>
      </c>
      <c r="G122" s="131">
        <v>2667607028</v>
      </c>
      <c r="I122" s="131">
        <v>347247244</v>
      </c>
      <c r="K122" s="131">
        <v>2042039</v>
      </c>
      <c r="M122" s="131">
        <v>7407057219</v>
      </c>
      <c r="O122" s="131">
        <v>6068103471</v>
      </c>
      <c r="Q122" s="131">
        <v>1338953748</v>
      </c>
    </row>
    <row r="123" spans="1:17" ht="21" x14ac:dyDescent="0.65">
      <c r="A123" s="129" t="s">
        <v>151</v>
      </c>
      <c r="C123" s="131">
        <v>0</v>
      </c>
      <c r="D123" s="131"/>
      <c r="E123" s="131">
        <v>0</v>
      </c>
      <c r="F123" s="131"/>
      <c r="G123" s="131">
        <v>0</v>
      </c>
      <c r="H123" s="131"/>
      <c r="I123" s="131">
        <v>0</v>
      </c>
      <c r="J123" s="130"/>
      <c r="K123" s="131">
        <v>2700000</v>
      </c>
      <c r="M123" s="131">
        <v>10139193638</v>
      </c>
      <c r="O123" s="131">
        <v>11615719631</v>
      </c>
      <c r="Q123" s="131">
        <v>-1476525993</v>
      </c>
    </row>
    <row r="124" spans="1:17" ht="21" x14ac:dyDescent="0.65">
      <c r="A124" s="129" t="s">
        <v>102</v>
      </c>
      <c r="C124" s="131">
        <v>9000</v>
      </c>
      <c r="E124" s="131">
        <v>3580200</v>
      </c>
      <c r="G124" s="131">
        <v>3965735</v>
      </c>
      <c r="I124" s="131">
        <v>-385535</v>
      </c>
      <c r="K124" s="131">
        <v>21668591</v>
      </c>
      <c r="M124" s="131">
        <v>8591136458</v>
      </c>
      <c r="O124" s="131">
        <v>9544236077</v>
      </c>
      <c r="Q124" s="131">
        <v>-953099619</v>
      </c>
    </row>
    <row r="125" spans="1:17" ht="21" x14ac:dyDescent="0.65">
      <c r="A125" s="129" t="s">
        <v>150</v>
      </c>
      <c r="C125" s="131">
        <v>0</v>
      </c>
      <c r="D125" s="131"/>
      <c r="E125" s="131">
        <v>0</v>
      </c>
      <c r="F125" s="131"/>
      <c r="G125" s="131">
        <v>0</v>
      </c>
      <c r="H125" s="131"/>
      <c r="I125" s="131">
        <v>0</v>
      </c>
      <c r="J125" s="130"/>
      <c r="K125" s="131">
        <v>44066235</v>
      </c>
      <c r="M125" s="131">
        <v>19886782173</v>
      </c>
      <c r="O125" s="131">
        <v>19066131063</v>
      </c>
      <c r="Q125" s="131">
        <v>820651110</v>
      </c>
    </row>
    <row r="126" spans="1:17" ht="21" x14ac:dyDescent="0.65">
      <c r="A126" s="129" t="s">
        <v>346</v>
      </c>
      <c r="C126" s="131">
        <v>0</v>
      </c>
      <c r="D126" s="131"/>
      <c r="E126" s="131">
        <v>0</v>
      </c>
      <c r="F126" s="131"/>
      <c r="G126" s="131">
        <v>0</v>
      </c>
      <c r="H126" s="131"/>
      <c r="I126" s="131">
        <v>0</v>
      </c>
      <c r="J126" s="130"/>
      <c r="K126" s="131">
        <v>53560926</v>
      </c>
      <c r="M126" s="131">
        <v>31923712893</v>
      </c>
      <c r="O126" s="131">
        <v>34765638255</v>
      </c>
      <c r="Q126" s="131">
        <v>-2841925362</v>
      </c>
    </row>
    <row r="127" spans="1:17" ht="21" x14ac:dyDescent="0.65">
      <c r="A127" s="129" t="s">
        <v>101</v>
      </c>
      <c r="C127" s="131">
        <v>0</v>
      </c>
      <c r="D127" s="131"/>
      <c r="E127" s="131">
        <v>0</v>
      </c>
      <c r="F127" s="131"/>
      <c r="G127" s="131">
        <v>0</v>
      </c>
      <c r="H127" s="131"/>
      <c r="I127" s="131">
        <v>0</v>
      </c>
      <c r="J127" s="130"/>
      <c r="K127" s="131">
        <v>5392957</v>
      </c>
      <c r="M127" s="131">
        <v>12405976149</v>
      </c>
      <c r="O127" s="131">
        <v>10123887778</v>
      </c>
      <c r="Q127" s="131">
        <v>2282088371</v>
      </c>
    </row>
    <row r="128" spans="1:17" ht="21" x14ac:dyDescent="0.65">
      <c r="A128" s="129" t="s">
        <v>148</v>
      </c>
      <c r="C128" s="131">
        <v>0</v>
      </c>
      <c r="D128" s="131"/>
      <c r="E128" s="131">
        <v>0</v>
      </c>
      <c r="F128" s="131"/>
      <c r="G128" s="131">
        <v>0</v>
      </c>
      <c r="H128" s="131"/>
      <c r="I128" s="131">
        <v>0</v>
      </c>
      <c r="J128" s="130"/>
      <c r="K128" s="131">
        <v>1700000</v>
      </c>
      <c r="M128" s="131">
        <v>6531405579</v>
      </c>
      <c r="O128" s="131">
        <v>8984891479</v>
      </c>
      <c r="Q128" s="131">
        <v>-2453485900</v>
      </c>
    </row>
    <row r="129" spans="1:17" ht="21" x14ac:dyDescent="0.65">
      <c r="A129" s="129" t="s">
        <v>146</v>
      </c>
      <c r="C129" s="131">
        <v>0</v>
      </c>
      <c r="D129" s="131"/>
      <c r="E129" s="131">
        <v>0</v>
      </c>
      <c r="F129" s="131"/>
      <c r="G129" s="131">
        <v>0</v>
      </c>
      <c r="H129" s="131"/>
      <c r="I129" s="131">
        <v>0</v>
      </c>
      <c r="J129" s="130"/>
      <c r="K129" s="131">
        <v>491813</v>
      </c>
      <c r="M129" s="131">
        <v>2682696973</v>
      </c>
      <c r="O129" s="131">
        <v>2819485476</v>
      </c>
      <c r="Q129" s="131">
        <v>-136788503</v>
      </c>
    </row>
    <row r="130" spans="1:17" ht="21" x14ac:dyDescent="0.65">
      <c r="A130" s="129" t="s">
        <v>144</v>
      </c>
      <c r="C130" s="131">
        <v>0</v>
      </c>
      <c r="D130" s="131"/>
      <c r="E130" s="131">
        <v>0</v>
      </c>
      <c r="F130" s="131"/>
      <c r="G130" s="131">
        <v>0</v>
      </c>
      <c r="H130" s="131"/>
      <c r="I130" s="131">
        <v>0</v>
      </c>
      <c r="J130" s="130"/>
      <c r="K130" s="131">
        <v>571500</v>
      </c>
      <c r="M130" s="131">
        <v>28686183282</v>
      </c>
      <c r="O130" s="131">
        <v>25855157130</v>
      </c>
      <c r="Q130" s="131">
        <v>2831026152</v>
      </c>
    </row>
    <row r="131" spans="1:17" ht="21" x14ac:dyDescent="0.65">
      <c r="A131" s="129" t="s">
        <v>100</v>
      </c>
      <c r="C131" s="131">
        <v>0</v>
      </c>
      <c r="D131" s="131"/>
      <c r="E131" s="131">
        <v>0</v>
      </c>
      <c r="F131" s="131"/>
      <c r="G131" s="131">
        <v>0</v>
      </c>
      <c r="H131" s="131"/>
      <c r="I131" s="131">
        <v>0</v>
      </c>
      <c r="J131" s="130"/>
      <c r="K131" s="131">
        <v>7153333</v>
      </c>
      <c r="M131" s="131">
        <v>13179826386</v>
      </c>
      <c r="O131" s="131">
        <v>20026688699</v>
      </c>
      <c r="Q131" s="131">
        <v>-6846862313</v>
      </c>
    </row>
    <row r="132" spans="1:17" ht="21" x14ac:dyDescent="0.65">
      <c r="A132" s="129" t="s">
        <v>143</v>
      </c>
      <c r="C132" s="131">
        <v>0</v>
      </c>
      <c r="D132" s="131"/>
      <c r="E132" s="131">
        <v>0</v>
      </c>
      <c r="F132" s="131"/>
      <c r="G132" s="131">
        <v>0</v>
      </c>
      <c r="H132" s="131"/>
      <c r="I132" s="131">
        <v>0</v>
      </c>
      <c r="J132" s="130"/>
      <c r="K132" s="131">
        <v>1800000</v>
      </c>
      <c r="M132" s="131">
        <v>6943185870</v>
      </c>
      <c r="O132" s="131">
        <v>5823878975</v>
      </c>
      <c r="Q132" s="131">
        <v>1119306895</v>
      </c>
    </row>
    <row r="133" spans="1:17" ht="21" x14ac:dyDescent="0.65">
      <c r="A133" s="129" t="s">
        <v>141</v>
      </c>
      <c r="C133" s="131">
        <v>0</v>
      </c>
      <c r="D133" s="131"/>
      <c r="E133" s="131">
        <v>0</v>
      </c>
      <c r="F133" s="131"/>
      <c r="G133" s="131">
        <v>0</v>
      </c>
      <c r="H133" s="131"/>
      <c r="I133" s="131">
        <v>0</v>
      </c>
      <c r="J133" s="130"/>
      <c r="K133" s="131">
        <v>1600000</v>
      </c>
      <c r="M133" s="131">
        <v>11093598204</v>
      </c>
      <c r="O133" s="131">
        <v>10398956604</v>
      </c>
      <c r="Q133" s="131">
        <v>694641600</v>
      </c>
    </row>
    <row r="134" spans="1:17" ht="21" x14ac:dyDescent="0.65">
      <c r="A134" s="129" t="s">
        <v>345</v>
      </c>
      <c r="C134" s="131">
        <v>0</v>
      </c>
      <c r="D134" s="131"/>
      <c r="E134" s="131">
        <v>0</v>
      </c>
      <c r="F134" s="131"/>
      <c r="G134" s="131">
        <v>0</v>
      </c>
      <c r="H134" s="131"/>
      <c r="I134" s="131">
        <v>0</v>
      </c>
      <c r="J134" s="130"/>
      <c r="K134" s="131">
        <v>200000</v>
      </c>
      <c r="M134" s="131">
        <v>1455289206</v>
      </c>
      <c r="O134" s="131">
        <v>1656800112</v>
      </c>
      <c r="Q134" s="131">
        <v>-201510906</v>
      </c>
    </row>
    <row r="135" spans="1:17" ht="21" x14ac:dyDescent="0.65">
      <c r="A135" s="129" t="s">
        <v>140</v>
      </c>
      <c r="C135" s="131">
        <v>0</v>
      </c>
      <c r="D135" s="131"/>
      <c r="E135" s="131">
        <v>0</v>
      </c>
      <c r="F135" s="131"/>
      <c r="G135" s="131">
        <v>0</v>
      </c>
      <c r="H135" s="131"/>
      <c r="I135" s="131">
        <v>0</v>
      </c>
      <c r="J135" s="130"/>
      <c r="K135" s="131">
        <v>595000</v>
      </c>
      <c r="M135" s="131">
        <v>17461482461</v>
      </c>
      <c r="O135" s="131">
        <v>11150692921</v>
      </c>
      <c r="Q135" s="131">
        <v>6310789540</v>
      </c>
    </row>
    <row r="136" spans="1:17" ht="21" x14ac:dyDescent="0.65">
      <c r="A136" s="129" t="s">
        <v>99</v>
      </c>
      <c r="C136" s="131">
        <v>6000</v>
      </c>
      <c r="E136" s="131">
        <v>2386800</v>
      </c>
      <c r="G136" s="131">
        <v>1896570</v>
      </c>
      <c r="I136" s="131">
        <v>490230</v>
      </c>
      <c r="K136" s="131">
        <v>24506000</v>
      </c>
      <c r="M136" s="131">
        <v>10438321806</v>
      </c>
      <c r="O136" s="131">
        <v>12895879276</v>
      </c>
      <c r="Q136" s="131">
        <v>-2457557470</v>
      </c>
    </row>
    <row r="137" spans="1:17" ht="21" x14ac:dyDescent="0.65">
      <c r="A137" s="129" t="s">
        <v>139</v>
      </c>
      <c r="C137" s="131">
        <v>0</v>
      </c>
      <c r="D137" s="131"/>
      <c r="E137" s="131">
        <v>0</v>
      </c>
      <c r="F137" s="131"/>
      <c r="G137" s="131">
        <v>0</v>
      </c>
      <c r="H137" s="131"/>
      <c r="I137" s="131">
        <v>0</v>
      </c>
      <c r="J137" s="130"/>
      <c r="K137" s="131">
        <v>28192301</v>
      </c>
      <c r="M137" s="131">
        <v>11377970441</v>
      </c>
      <c r="O137" s="131">
        <v>9641682117</v>
      </c>
      <c r="Q137" s="131">
        <v>1736288324</v>
      </c>
    </row>
    <row r="138" spans="1:17" ht="21" x14ac:dyDescent="0.65">
      <c r="A138" s="129" t="s">
        <v>344</v>
      </c>
      <c r="C138" s="131">
        <v>0</v>
      </c>
      <c r="D138" s="131"/>
      <c r="E138" s="131">
        <v>0</v>
      </c>
      <c r="F138" s="131"/>
      <c r="G138" s="131">
        <v>0</v>
      </c>
      <c r="H138" s="131"/>
      <c r="I138" s="131">
        <v>0</v>
      </c>
      <c r="J138" s="130"/>
      <c r="K138" s="131">
        <v>700000</v>
      </c>
      <c r="M138" s="131">
        <v>13113781594</v>
      </c>
      <c r="O138" s="131">
        <v>11995700499</v>
      </c>
      <c r="Q138" s="131">
        <v>1118081095</v>
      </c>
    </row>
    <row r="139" spans="1:17" ht="21" x14ac:dyDescent="0.65">
      <c r="A139" s="129" t="s">
        <v>98</v>
      </c>
      <c r="C139" s="131">
        <v>14000</v>
      </c>
      <c r="E139" s="131">
        <v>17702100</v>
      </c>
      <c r="G139" s="131">
        <v>20422883</v>
      </c>
      <c r="I139" s="131">
        <v>-2720783</v>
      </c>
      <c r="K139" s="131">
        <v>31214000</v>
      </c>
      <c r="M139" s="131">
        <v>39228660333</v>
      </c>
      <c r="O139" s="131">
        <v>45159907613</v>
      </c>
      <c r="Q139" s="131">
        <v>-5931247280</v>
      </c>
    </row>
    <row r="140" spans="1:17" ht="21" x14ac:dyDescent="0.65">
      <c r="A140" s="129" t="s">
        <v>138</v>
      </c>
      <c r="C140" s="131">
        <v>0</v>
      </c>
      <c r="D140" s="131"/>
      <c r="E140" s="131">
        <v>0</v>
      </c>
      <c r="F140" s="131"/>
      <c r="G140" s="131">
        <v>0</v>
      </c>
      <c r="H140" s="131"/>
      <c r="I140" s="131">
        <v>0</v>
      </c>
      <c r="J140" s="130"/>
      <c r="K140" s="131">
        <v>24869520</v>
      </c>
      <c r="M140" s="131">
        <v>29276157072</v>
      </c>
      <c r="O140" s="131">
        <v>29713114579</v>
      </c>
      <c r="Q140" s="131">
        <v>-436957507</v>
      </c>
    </row>
    <row r="141" spans="1:17" ht="21" x14ac:dyDescent="0.65">
      <c r="A141" s="129" t="s">
        <v>97</v>
      </c>
      <c r="C141" s="131">
        <v>0</v>
      </c>
      <c r="D141" s="131"/>
      <c r="E141" s="131">
        <v>0</v>
      </c>
      <c r="F141" s="131"/>
      <c r="G141" s="131">
        <v>0</v>
      </c>
      <c r="H141" s="131"/>
      <c r="I141" s="131">
        <v>0</v>
      </c>
      <c r="J141" s="130"/>
      <c r="K141" s="131">
        <v>550000</v>
      </c>
      <c r="M141" s="131">
        <v>15746941656</v>
      </c>
      <c r="O141" s="131">
        <v>14453382518</v>
      </c>
      <c r="Q141" s="131">
        <v>1293559138</v>
      </c>
    </row>
    <row r="142" spans="1:17" ht="21" x14ac:dyDescent="0.65">
      <c r="A142" s="129" t="s">
        <v>95</v>
      </c>
      <c r="C142" s="131">
        <v>0</v>
      </c>
      <c r="D142" s="131"/>
      <c r="E142" s="131">
        <v>0</v>
      </c>
      <c r="F142" s="131"/>
      <c r="G142" s="131">
        <v>0</v>
      </c>
      <c r="H142" s="131"/>
      <c r="I142" s="131">
        <v>0</v>
      </c>
      <c r="J142" s="130"/>
      <c r="K142" s="131">
        <v>2479048</v>
      </c>
      <c r="M142" s="131">
        <v>22153354852</v>
      </c>
      <c r="O142" s="131">
        <v>26373640364</v>
      </c>
      <c r="Q142" s="131">
        <v>-4220285512</v>
      </c>
    </row>
    <row r="143" spans="1:17" ht="21" x14ac:dyDescent="0.65">
      <c r="A143" s="129" t="s">
        <v>137</v>
      </c>
      <c r="C143" s="131">
        <v>0</v>
      </c>
      <c r="D143" s="131"/>
      <c r="E143" s="131">
        <v>0</v>
      </c>
      <c r="F143" s="131"/>
      <c r="G143" s="131">
        <v>0</v>
      </c>
      <c r="H143" s="131"/>
      <c r="I143" s="131">
        <v>0</v>
      </c>
      <c r="J143" s="130"/>
      <c r="K143" s="131">
        <v>2785714</v>
      </c>
      <c r="M143" s="131">
        <v>14503087056</v>
      </c>
      <c r="O143" s="131">
        <v>13601258776</v>
      </c>
      <c r="Q143" s="131">
        <v>901828280</v>
      </c>
    </row>
    <row r="144" spans="1:17" ht="21" x14ac:dyDescent="0.65">
      <c r="A144" s="129" t="s">
        <v>94</v>
      </c>
      <c r="C144" s="131">
        <v>750000</v>
      </c>
      <c r="E144" s="131">
        <v>2168023077</v>
      </c>
      <c r="G144" s="131">
        <v>2314180677</v>
      </c>
      <c r="I144" s="131">
        <v>-146157600</v>
      </c>
      <c r="K144" s="131">
        <v>1500000</v>
      </c>
      <c r="M144" s="131">
        <v>5027159397</v>
      </c>
      <c r="O144" s="131">
        <v>4624224597</v>
      </c>
      <c r="Q144" s="131">
        <v>402934800</v>
      </c>
    </row>
    <row r="145" spans="1:17" ht="21" x14ac:dyDescent="0.65">
      <c r="A145" s="129" t="s">
        <v>93</v>
      </c>
      <c r="C145" s="131">
        <v>3250000</v>
      </c>
      <c r="E145" s="131">
        <v>3232931104</v>
      </c>
      <c r="G145" s="131">
        <v>3884268258</v>
      </c>
      <c r="I145" s="131">
        <v>-651337154</v>
      </c>
      <c r="K145" s="131">
        <v>6500000</v>
      </c>
      <c r="M145" s="131">
        <v>7988466469</v>
      </c>
      <c r="O145" s="131">
        <v>7759422823</v>
      </c>
      <c r="Q145" s="131">
        <v>229043646</v>
      </c>
    </row>
    <row r="146" spans="1:17" ht="21" x14ac:dyDescent="0.65">
      <c r="A146" s="129" t="s">
        <v>92</v>
      </c>
      <c r="C146" s="131">
        <v>500000</v>
      </c>
      <c r="E146" s="131">
        <v>3967750612</v>
      </c>
      <c r="G146" s="131">
        <v>4610571416</v>
      </c>
      <c r="I146" s="131">
        <v>-642820804</v>
      </c>
      <c r="K146" s="131">
        <v>1000000</v>
      </c>
      <c r="M146" s="131">
        <v>10453071423</v>
      </c>
      <c r="O146" s="131">
        <v>9455060521</v>
      </c>
      <c r="Q146" s="131">
        <v>998010902</v>
      </c>
    </row>
    <row r="147" spans="1:17" ht="21" x14ac:dyDescent="0.65">
      <c r="A147" s="129" t="s">
        <v>136</v>
      </c>
      <c r="C147" s="131">
        <v>0</v>
      </c>
      <c r="D147" s="131"/>
      <c r="E147" s="131">
        <v>0</v>
      </c>
      <c r="F147" s="131"/>
      <c r="G147" s="131">
        <v>0</v>
      </c>
      <c r="H147" s="131"/>
      <c r="I147" s="131">
        <v>0</v>
      </c>
      <c r="J147" s="130"/>
      <c r="K147" s="131">
        <v>1383146</v>
      </c>
      <c r="M147" s="131">
        <v>16041014404</v>
      </c>
      <c r="O147" s="131">
        <v>13226976376</v>
      </c>
      <c r="Q147" s="131">
        <v>2814038028</v>
      </c>
    </row>
    <row r="148" spans="1:17" ht="21" x14ac:dyDescent="0.65">
      <c r="A148" s="129" t="s">
        <v>133</v>
      </c>
      <c r="C148" s="131">
        <v>0</v>
      </c>
      <c r="D148" s="131"/>
      <c r="E148" s="131">
        <v>0</v>
      </c>
      <c r="F148" s="131"/>
      <c r="G148" s="131">
        <v>0</v>
      </c>
      <c r="H148" s="131"/>
      <c r="I148" s="131">
        <v>0</v>
      </c>
      <c r="J148" s="130"/>
      <c r="K148" s="131">
        <v>2400000</v>
      </c>
      <c r="M148" s="131">
        <v>7129862097</v>
      </c>
      <c r="O148" s="131">
        <v>11764251845</v>
      </c>
      <c r="Q148" s="131">
        <v>-4634389748</v>
      </c>
    </row>
    <row r="149" spans="1:17" ht="21" x14ac:dyDescent="0.65">
      <c r="A149" s="129" t="s">
        <v>132</v>
      </c>
      <c r="C149" s="131">
        <v>0</v>
      </c>
      <c r="D149" s="131"/>
      <c r="E149" s="131">
        <v>0</v>
      </c>
      <c r="F149" s="131"/>
      <c r="G149" s="131">
        <v>0</v>
      </c>
      <c r="H149" s="131"/>
      <c r="I149" s="131">
        <v>0</v>
      </c>
      <c r="J149" s="130"/>
      <c r="K149" s="131">
        <v>750000</v>
      </c>
      <c r="M149" s="131">
        <v>6006550068</v>
      </c>
      <c r="O149" s="131">
        <v>5409054971</v>
      </c>
      <c r="Q149" s="131">
        <v>597495097</v>
      </c>
    </row>
    <row r="150" spans="1:17" ht="21" x14ac:dyDescent="0.65">
      <c r="A150" s="129" t="s">
        <v>131</v>
      </c>
      <c r="C150" s="131">
        <v>0</v>
      </c>
      <c r="D150" s="131"/>
      <c r="E150" s="131">
        <v>0</v>
      </c>
      <c r="F150" s="131"/>
      <c r="G150" s="131">
        <v>0</v>
      </c>
      <c r="H150" s="131"/>
      <c r="I150" s="131">
        <v>0</v>
      </c>
      <c r="J150" s="130"/>
      <c r="K150" s="131">
        <v>3000000</v>
      </c>
      <c r="M150" s="131">
        <v>11374254037</v>
      </c>
      <c r="O150" s="131">
        <v>9240548720</v>
      </c>
      <c r="Q150" s="131">
        <v>2133705317</v>
      </c>
    </row>
    <row r="151" spans="1:17" ht="21" x14ac:dyDescent="0.65">
      <c r="A151" s="129" t="s">
        <v>130</v>
      </c>
      <c r="C151" s="131">
        <v>0</v>
      </c>
      <c r="D151" s="131"/>
      <c r="E151" s="131">
        <v>0</v>
      </c>
      <c r="F151" s="131"/>
      <c r="G151" s="131">
        <v>0</v>
      </c>
      <c r="H151" s="131"/>
      <c r="I151" s="131">
        <v>0</v>
      </c>
      <c r="J151" s="130"/>
      <c r="K151" s="131">
        <v>9506493</v>
      </c>
      <c r="M151" s="131">
        <v>25599861319</v>
      </c>
      <c r="O151" s="131">
        <v>24151987937</v>
      </c>
      <c r="Q151" s="131">
        <v>1447873382</v>
      </c>
    </row>
    <row r="152" spans="1:17" ht="21" x14ac:dyDescent="0.65">
      <c r="A152" s="129" t="s">
        <v>91</v>
      </c>
      <c r="C152" s="131">
        <v>0</v>
      </c>
      <c r="D152" s="131"/>
      <c r="E152" s="131">
        <v>0</v>
      </c>
      <c r="F152" s="131"/>
      <c r="G152" s="131">
        <v>0</v>
      </c>
      <c r="H152" s="131"/>
      <c r="I152" s="131">
        <v>0</v>
      </c>
      <c r="J152" s="130"/>
      <c r="K152" s="131">
        <v>1875000</v>
      </c>
      <c r="M152" s="131">
        <v>6657539463</v>
      </c>
      <c r="O152" s="131">
        <v>6059096579</v>
      </c>
      <c r="Q152" s="131">
        <v>598442884</v>
      </c>
    </row>
    <row r="153" spans="1:17" ht="21" x14ac:dyDescent="0.65">
      <c r="A153" s="129" t="s">
        <v>90</v>
      </c>
      <c r="C153" s="131">
        <v>0</v>
      </c>
      <c r="D153" s="131"/>
      <c r="E153" s="131">
        <v>0</v>
      </c>
      <c r="F153" s="131"/>
      <c r="G153" s="131">
        <v>0</v>
      </c>
      <c r="H153" s="131"/>
      <c r="I153" s="131">
        <v>0</v>
      </c>
      <c r="J153" s="130"/>
      <c r="K153" s="131">
        <v>6065870</v>
      </c>
      <c r="M153" s="131">
        <v>50481232214</v>
      </c>
      <c r="O153" s="131">
        <v>45596585145</v>
      </c>
      <c r="Q153" s="131">
        <v>4884647069</v>
      </c>
    </row>
    <row r="154" spans="1:17" ht="21" x14ac:dyDescent="0.65">
      <c r="A154" s="129" t="s">
        <v>89</v>
      </c>
      <c r="C154" s="131">
        <v>0</v>
      </c>
      <c r="D154" s="131"/>
      <c r="E154" s="131">
        <v>0</v>
      </c>
      <c r="F154" s="131"/>
      <c r="G154" s="131">
        <v>0</v>
      </c>
      <c r="H154" s="131"/>
      <c r="I154" s="131">
        <v>0</v>
      </c>
      <c r="J154" s="130"/>
      <c r="K154" s="131">
        <v>642665</v>
      </c>
      <c r="M154" s="131">
        <v>13393084960</v>
      </c>
      <c r="O154" s="131">
        <v>14574850186</v>
      </c>
      <c r="Q154" s="131">
        <v>-1181765226</v>
      </c>
    </row>
    <row r="155" spans="1:17" ht="21" x14ac:dyDescent="0.65">
      <c r="A155" s="129" t="s">
        <v>343</v>
      </c>
      <c r="C155" s="131">
        <v>0</v>
      </c>
      <c r="D155" s="131"/>
      <c r="E155" s="131">
        <v>0</v>
      </c>
      <c r="F155" s="131"/>
      <c r="G155" s="131">
        <v>0</v>
      </c>
      <c r="H155" s="131"/>
      <c r="I155" s="131">
        <v>0</v>
      </c>
      <c r="J155" s="130"/>
      <c r="K155" s="131">
        <v>3800000</v>
      </c>
      <c r="M155" s="131">
        <v>23683463035</v>
      </c>
      <c r="O155" s="131">
        <v>25997778915</v>
      </c>
      <c r="Q155" s="131">
        <v>-2314315880</v>
      </c>
    </row>
    <row r="156" spans="1:17" ht="21" x14ac:dyDescent="0.65">
      <c r="A156" s="129" t="s">
        <v>128</v>
      </c>
      <c r="C156" s="131">
        <v>0</v>
      </c>
      <c r="D156" s="131"/>
      <c r="E156" s="131">
        <v>0</v>
      </c>
      <c r="F156" s="131"/>
      <c r="G156" s="131">
        <v>0</v>
      </c>
      <c r="H156" s="131"/>
      <c r="I156" s="131">
        <v>0</v>
      </c>
      <c r="J156" s="130"/>
      <c r="K156" s="131">
        <v>265</v>
      </c>
      <c r="M156" s="131">
        <v>5023485</v>
      </c>
      <c r="O156" s="131">
        <v>4865758</v>
      </c>
      <c r="Q156" s="131">
        <v>157727</v>
      </c>
    </row>
    <row r="157" spans="1:17" ht="21" x14ac:dyDescent="0.65">
      <c r="A157" s="129" t="s">
        <v>342</v>
      </c>
      <c r="C157" s="131">
        <v>0</v>
      </c>
      <c r="D157" s="131"/>
      <c r="E157" s="131">
        <v>0</v>
      </c>
      <c r="F157" s="131"/>
      <c r="G157" s="131">
        <v>0</v>
      </c>
      <c r="H157" s="131"/>
      <c r="I157" s="131">
        <v>0</v>
      </c>
      <c r="J157" s="130"/>
      <c r="K157" s="131">
        <v>800000</v>
      </c>
      <c r="M157" s="131">
        <v>2926501004</v>
      </c>
      <c r="O157" s="131">
        <v>3290681565</v>
      </c>
      <c r="Q157" s="131">
        <v>-364180561</v>
      </c>
    </row>
    <row r="158" spans="1:17" ht="21" x14ac:dyDescent="0.65">
      <c r="A158" s="129" t="s">
        <v>126</v>
      </c>
      <c r="C158" s="131">
        <v>0</v>
      </c>
      <c r="D158" s="131"/>
      <c r="E158" s="131">
        <v>0</v>
      </c>
      <c r="F158" s="131"/>
      <c r="G158" s="131">
        <v>0</v>
      </c>
      <c r="H158" s="131"/>
      <c r="I158" s="131">
        <v>0</v>
      </c>
      <c r="J158" s="130"/>
      <c r="K158" s="131">
        <v>16214566</v>
      </c>
      <c r="M158" s="131">
        <v>32438711144</v>
      </c>
      <c r="O158" s="131">
        <v>39973740709</v>
      </c>
      <c r="Q158" s="131">
        <v>-7535029565</v>
      </c>
    </row>
    <row r="159" spans="1:17" ht="21" x14ac:dyDescent="0.65">
      <c r="A159" s="129" t="s">
        <v>88</v>
      </c>
      <c r="C159" s="131">
        <v>0</v>
      </c>
      <c r="D159" s="131"/>
      <c r="E159" s="131">
        <v>0</v>
      </c>
      <c r="F159" s="131"/>
      <c r="G159" s="131">
        <v>0</v>
      </c>
      <c r="H159" s="131"/>
      <c r="I159" s="131">
        <v>0</v>
      </c>
      <c r="J159" s="130"/>
      <c r="K159" s="131">
        <v>6366211</v>
      </c>
      <c r="M159" s="131">
        <v>18328954183</v>
      </c>
      <c r="O159" s="131">
        <v>26475225574</v>
      </c>
      <c r="Q159" s="131">
        <v>-8146271391</v>
      </c>
    </row>
    <row r="160" spans="1:17" ht="21" x14ac:dyDescent="0.65">
      <c r="A160" s="129" t="s">
        <v>341</v>
      </c>
      <c r="C160" s="131">
        <v>0</v>
      </c>
      <c r="D160" s="131"/>
      <c r="E160" s="131">
        <v>0</v>
      </c>
      <c r="F160" s="131"/>
      <c r="G160" s="131">
        <v>0</v>
      </c>
      <c r="H160" s="131"/>
      <c r="I160" s="131">
        <v>0</v>
      </c>
      <c r="J160" s="130"/>
      <c r="K160" s="131">
        <v>1900000</v>
      </c>
      <c r="M160" s="131">
        <v>6041239517</v>
      </c>
      <c r="O160" s="131">
        <v>8261460708</v>
      </c>
      <c r="Q160" s="131">
        <v>-2220221191</v>
      </c>
    </row>
    <row r="161" spans="1:17" ht="21" x14ac:dyDescent="0.65">
      <c r="A161" s="129" t="s">
        <v>125</v>
      </c>
      <c r="C161" s="131">
        <v>0</v>
      </c>
      <c r="D161" s="131"/>
      <c r="E161" s="131">
        <v>0</v>
      </c>
      <c r="F161" s="131"/>
      <c r="G161" s="131">
        <v>0</v>
      </c>
      <c r="H161" s="131"/>
      <c r="I161" s="131">
        <v>0</v>
      </c>
      <c r="J161" s="130"/>
      <c r="K161" s="131">
        <v>200000</v>
      </c>
      <c r="M161" s="131">
        <v>2200826700</v>
      </c>
      <c r="O161" s="131">
        <v>3619085400</v>
      </c>
      <c r="Q161" s="131">
        <v>-1418258700</v>
      </c>
    </row>
    <row r="162" spans="1:17" ht="21" x14ac:dyDescent="0.65">
      <c r="A162" s="129" t="s">
        <v>340</v>
      </c>
      <c r="C162" s="131">
        <v>0</v>
      </c>
      <c r="D162" s="131"/>
      <c r="E162" s="131">
        <v>0</v>
      </c>
      <c r="F162" s="131"/>
      <c r="G162" s="131">
        <v>0</v>
      </c>
      <c r="H162" s="131"/>
      <c r="I162" s="131">
        <v>0</v>
      </c>
      <c r="J162" s="130"/>
      <c r="K162" s="131">
        <v>2308532</v>
      </c>
      <c r="M162" s="131">
        <v>16092601741</v>
      </c>
      <c r="O162" s="131">
        <v>18567404004</v>
      </c>
      <c r="Q162" s="131">
        <v>-2474802263</v>
      </c>
    </row>
    <row r="163" spans="1:17" ht="21" x14ac:dyDescent="0.65">
      <c r="A163" s="129" t="s">
        <v>123</v>
      </c>
      <c r="C163" s="131">
        <v>0</v>
      </c>
      <c r="D163" s="131"/>
      <c r="E163" s="131">
        <v>0</v>
      </c>
      <c r="F163" s="131"/>
      <c r="G163" s="131">
        <v>0</v>
      </c>
      <c r="H163" s="131"/>
      <c r="I163" s="131">
        <v>0</v>
      </c>
      <c r="J163" s="130"/>
      <c r="K163" s="131">
        <v>200000</v>
      </c>
      <c r="M163" s="131">
        <v>2425482010</v>
      </c>
      <c r="O163" s="131">
        <v>2325651668</v>
      </c>
      <c r="Q163" s="131">
        <v>99830342</v>
      </c>
    </row>
    <row r="164" spans="1:17" ht="21" x14ac:dyDescent="0.65">
      <c r="A164" s="129" t="s">
        <v>313</v>
      </c>
      <c r="C164" s="131">
        <v>0</v>
      </c>
      <c r="D164" s="131"/>
      <c r="E164" s="131">
        <v>0</v>
      </c>
      <c r="F164" s="131"/>
      <c r="G164" s="131">
        <v>0</v>
      </c>
      <c r="H164" s="131"/>
      <c r="I164" s="131">
        <v>0</v>
      </c>
      <c r="J164" s="130"/>
      <c r="K164" s="131">
        <v>29010652</v>
      </c>
      <c r="M164" s="131">
        <v>14989091885</v>
      </c>
      <c r="O164" s="131">
        <v>17788300976</v>
      </c>
      <c r="Q164" s="131">
        <v>-2799209091</v>
      </c>
    </row>
    <row r="165" spans="1:17" ht="21" x14ac:dyDescent="0.65">
      <c r="A165" s="129" t="s">
        <v>122</v>
      </c>
      <c r="C165" s="131">
        <v>0</v>
      </c>
      <c r="D165" s="131"/>
      <c r="E165" s="131">
        <v>0</v>
      </c>
      <c r="F165" s="131"/>
      <c r="G165" s="131">
        <v>0</v>
      </c>
      <c r="H165" s="131"/>
      <c r="I165" s="131">
        <v>0</v>
      </c>
      <c r="J165" s="130"/>
      <c r="K165" s="131">
        <v>1800000</v>
      </c>
      <c r="M165" s="131">
        <v>30209179739</v>
      </c>
      <c r="O165" s="131">
        <v>29106262207</v>
      </c>
      <c r="Q165" s="131">
        <v>1102917532</v>
      </c>
    </row>
    <row r="166" spans="1:17" ht="21" x14ac:dyDescent="0.65">
      <c r="A166" s="129" t="s">
        <v>339</v>
      </c>
      <c r="C166" s="131">
        <v>0</v>
      </c>
      <c r="D166" s="131"/>
      <c r="E166" s="131">
        <v>0</v>
      </c>
      <c r="F166" s="131"/>
      <c r="G166" s="131">
        <v>0</v>
      </c>
      <c r="H166" s="131"/>
      <c r="I166" s="131">
        <v>0</v>
      </c>
      <c r="J166" s="130"/>
      <c r="K166" s="131">
        <v>2421626</v>
      </c>
      <c r="M166" s="131">
        <v>13863899230</v>
      </c>
      <c r="O166" s="131">
        <v>14571250792</v>
      </c>
      <c r="Q166" s="131">
        <v>-707351562</v>
      </c>
    </row>
    <row r="167" spans="1:17" ht="21" x14ac:dyDescent="0.65">
      <c r="A167" s="129" t="s">
        <v>87</v>
      </c>
      <c r="C167" s="131">
        <v>175000</v>
      </c>
      <c r="E167" s="131">
        <v>7014703095</v>
      </c>
      <c r="G167" s="131">
        <v>7139527695</v>
      </c>
      <c r="I167" s="131">
        <v>-124824600</v>
      </c>
      <c r="K167" s="131">
        <v>350000</v>
      </c>
      <c r="M167" s="131">
        <v>15081074811</v>
      </c>
      <c r="O167" s="131">
        <v>14272760561</v>
      </c>
      <c r="Q167" s="131">
        <v>808314250</v>
      </c>
    </row>
    <row r="168" spans="1:17" ht="21" x14ac:dyDescent="0.65">
      <c r="A168" s="129" t="s">
        <v>86</v>
      </c>
      <c r="C168" s="131">
        <v>0</v>
      </c>
      <c r="D168" s="131"/>
      <c r="E168" s="131">
        <v>0</v>
      </c>
      <c r="F168" s="131"/>
      <c r="G168" s="131">
        <v>0</v>
      </c>
      <c r="H168" s="131"/>
      <c r="I168" s="131">
        <v>0</v>
      </c>
      <c r="J168" s="130"/>
      <c r="K168" s="131">
        <v>5238461</v>
      </c>
      <c r="M168" s="131">
        <v>34717716562</v>
      </c>
      <c r="O168" s="131">
        <v>32329663239</v>
      </c>
      <c r="Q168" s="131">
        <v>2388053323</v>
      </c>
    </row>
    <row r="169" spans="1:17" ht="21" x14ac:dyDescent="0.65">
      <c r="A169" s="129" t="s">
        <v>85</v>
      </c>
      <c r="C169" s="131">
        <v>100000</v>
      </c>
      <c r="E169" s="131">
        <v>1099419300</v>
      </c>
      <c r="G169" s="131">
        <v>1412790403</v>
      </c>
      <c r="I169" s="131">
        <v>-313371103</v>
      </c>
      <c r="K169" s="131">
        <v>800000</v>
      </c>
      <c r="M169" s="131">
        <v>10662800069</v>
      </c>
      <c r="O169" s="131">
        <v>10816752314</v>
      </c>
      <c r="Q169" s="131">
        <v>-153952245</v>
      </c>
    </row>
    <row r="170" spans="1:17" ht="21" x14ac:dyDescent="0.65">
      <c r="A170" s="129" t="s">
        <v>121</v>
      </c>
      <c r="C170" s="131">
        <v>0</v>
      </c>
      <c r="D170" s="131"/>
      <c r="E170" s="131">
        <v>0</v>
      </c>
      <c r="F170" s="131"/>
      <c r="G170" s="131">
        <v>0</v>
      </c>
      <c r="H170" s="131"/>
      <c r="I170" s="131">
        <v>0</v>
      </c>
      <c r="J170" s="130"/>
      <c r="K170" s="131">
        <v>450000</v>
      </c>
      <c r="M170" s="131">
        <v>5159086050</v>
      </c>
      <c r="O170" s="131">
        <v>2461380650</v>
      </c>
      <c r="Q170" s="131">
        <v>2697705400</v>
      </c>
    </row>
    <row r="171" spans="1:17" ht="21" x14ac:dyDescent="0.65">
      <c r="A171" s="129" t="s">
        <v>84</v>
      </c>
      <c r="C171" s="131">
        <v>0</v>
      </c>
      <c r="D171" s="131"/>
      <c r="E171" s="131">
        <v>0</v>
      </c>
      <c r="F171" s="131"/>
      <c r="G171" s="131">
        <v>0</v>
      </c>
      <c r="H171" s="131"/>
      <c r="I171" s="131">
        <v>0</v>
      </c>
      <c r="J171" s="130"/>
      <c r="K171" s="131">
        <v>6350000</v>
      </c>
      <c r="M171" s="131">
        <v>22645405314</v>
      </c>
      <c r="O171" s="131">
        <v>21259314721</v>
      </c>
      <c r="Q171" s="131">
        <v>1386090593</v>
      </c>
    </row>
    <row r="172" spans="1:17" ht="21" x14ac:dyDescent="0.65">
      <c r="A172" s="129" t="s">
        <v>83</v>
      </c>
      <c r="C172" s="131">
        <v>0</v>
      </c>
      <c r="D172" s="131"/>
      <c r="E172" s="131">
        <v>0</v>
      </c>
      <c r="F172" s="131"/>
      <c r="G172" s="131">
        <v>0</v>
      </c>
      <c r="H172" s="131"/>
      <c r="I172" s="131">
        <v>0</v>
      </c>
      <c r="J172" s="130"/>
      <c r="K172" s="131">
        <v>100000</v>
      </c>
      <c r="M172" s="131">
        <v>1065621606</v>
      </c>
      <c r="O172" s="131">
        <v>1021148013</v>
      </c>
      <c r="Q172" s="131">
        <v>44473593</v>
      </c>
    </row>
    <row r="173" spans="1:17" ht="21" x14ac:dyDescent="0.65">
      <c r="A173" s="129" t="s">
        <v>120</v>
      </c>
      <c r="C173" s="131">
        <v>0</v>
      </c>
      <c r="D173" s="131"/>
      <c r="E173" s="131">
        <v>0</v>
      </c>
      <c r="F173" s="131"/>
      <c r="G173" s="131">
        <v>0</v>
      </c>
      <c r="H173" s="131"/>
      <c r="I173" s="131">
        <v>0</v>
      </c>
      <c r="J173" s="130"/>
      <c r="K173" s="131">
        <v>600000</v>
      </c>
      <c r="M173" s="131">
        <v>7733463755</v>
      </c>
      <c r="O173" s="131">
        <v>9716827406</v>
      </c>
      <c r="Q173" s="131">
        <v>-1983363651</v>
      </c>
    </row>
    <row r="174" spans="1:17" ht="21" x14ac:dyDescent="0.65">
      <c r="A174" s="129" t="s">
        <v>82</v>
      </c>
      <c r="C174" s="131">
        <v>0</v>
      </c>
      <c r="D174" s="131"/>
      <c r="E174" s="131">
        <v>0</v>
      </c>
      <c r="F174" s="131"/>
      <c r="G174" s="131">
        <v>0</v>
      </c>
      <c r="H174" s="131"/>
      <c r="I174" s="131">
        <v>0</v>
      </c>
      <c r="J174" s="130"/>
      <c r="K174" s="131">
        <v>50000</v>
      </c>
      <c r="M174" s="131">
        <v>832086211</v>
      </c>
      <c r="O174" s="131">
        <v>826483756</v>
      </c>
      <c r="Q174" s="131">
        <v>5602455</v>
      </c>
    </row>
    <row r="175" spans="1:17" ht="21" x14ac:dyDescent="0.65">
      <c r="A175" s="129" t="s">
        <v>81</v>
      </c>
      <c r="C175" s="131">
        <v>0</v>
      </c>
      <c r="D175" s="131"/>
      <c r="E175" s="131">
        <v>0</v>
      </c>
      <c r="F175" s="131"/>
      <c r="G175" s="131">
        <v>0</v>
      </c>
      <c r="H175" s="131"/>
      <c r="I175" s="131">
        <v>0</v>
      </c>
      <c r="J175" s="130"/>
      <c r="K175" s="131">
        <v>1385981</v>
      </c>
      <c r="M175" s="131">
        <v>3072424933</v>
      </c>
      <c r="O175" s="131">
        <v>2918673877</v>
      </c>
      <c r="Q175" s="131">
        <v>153751056</v>
      </c>
    </row>
    <row r="176" spans="1:17" ht="21" x14ac:dyDescent="0.65">
      <c r="A176" s="129" t="s">
        <v>80</v>
      </c>
      <c r="C176" s="131">
        <v>0</v>
      </c>
      <c r="D176" s="131"/>
      <c r="E176" s="131">
        <v>0</v>
      </c>
      <c r="F176" s="131"/>
      <c r="G176" s="131">
        <v>0</v>
      </c>
      <c r="H176" s="131"/>
      <c r="I176" s="131">
        <v>0</v>
      </c>
      <c r="J176" s="130"/>
      <c r="K176" s="131">
        <v>257000</v>
      </c>
      <c r="M176" s="131">
        <v>14029800109</v>
      </c>
      <c r="O176" s="131">
        <v>15338798354</v>
      </c>
      <c r="Q176" s="131">
        <v>-1308998245</v>
      </c>
    </row>
    <row r="177" spans="1:17" ht="21" x14ac:dyDescent="0.65">
      <c r="A177" s="129" t="s">
        <v>79</v>
      </c>
      <c r="C177" s="131">
        <v>0</v>
      </c>
      <c r="D177" s="131"/>
      <c r="E177" s="131">
        <v>0</v>
      </c>
      <c r="F177" s="131"/>
      <c r="G177" s="131">
        <v>0</v>
      </c>
      <c r="H177" s="131"/>
      <c r="I177" s="131">
        <v>0</v>
      </c>
      <c r="J177" s="130"/>
      <c r="K177" s="131">
        <v>1750000</v>
      </c>
      <c r="M177" s="131">
        <v>8269695874</v>
      </c>
      <c r="O177" s="131">
        <v>7781107854</v>
      </c>
      <c r="Q177" s="131">
        <v>488588020</v>
      </c>
    </row>
    <row r="178" spans="1:17" ht="21" x14ac:dyDescent="0.65">
      <c r="A178" s="129" t="s">
        <v>156</v>
      </c>
      <c r="C178" s="131">
        <v>0</v>
      </c>
      <c r="D178" s="131"/>
      <c r="E178" s="131">
        <v>0</v>
      </c>
      <c r="F178" s="131"/>
      <c r="G178" s="131">
        <v>0</v>
      </c>
      <c r="H178" s="131"/>
      <c r="I178" s="131">
        <v>0</v>
      </c>
      <c r="J178" s="130"/>
      <c r="K178" s="131">
        <v>300000</v>
      </c>
      <c r="M178" s="131">
        <v>17148228183</v>
      </c>
      <c r="O178" s="131">
        <v>19238834411</v>
      </c>
      <c r="Q178" s="131">
        <v>-2090606228</v>
      </c>
    </row>
    <row r="179" spans="1:17" ht="21" x14ac:dyDescent="0.65">
      <c r="A179" s="129" t="s">
        <v>78</v>
      </c>
      <c r="C179" s="131">
        <v>0</v>
      </c>
      <c r="D179" s="131"/>
      <c r="E179" s="131">
        <v>0</v>
      </c>
      <c r="F179" s="131"/>
      <c r="G179" s="131">
        <v>0</v>
      </c>
      <c r="H179" s="131"/>
      <c r="I179" s="131">
        <v>0</v>
      </c>
      <c r="J179" s="130"/>
      <c r="K179" s="131">
        <v>85000</v>
      </c>
      <c r="M179" s="131">
        <v>4870275581</v>
      </c>
      <c r="O179" s="131">
        <v>4305403546</v>
      </c>
      <c r="Q179" s="131">
        <v>564872035</v>
      </c>
    </row>
    <row r="180" spans="1:17" ht="21" x14ac:dyDescent="0.65">
      <c r="A180" s="129" t="s">
        <v>76</v>
      </c>
      <c r="C180" s="131">
        <v>1</v>
      </c>
      <c r="E180" s="131">
        <v>1</v>
      </c>
      <c r="G180" s="131">
        <v>33320</v>
      </c>
      <c r="I180" s="131">
        <v>-33319</v>
      </c>
      <c r="K180" s="131">
        <v>274900</v>
      </c>
      <c r="M180" s="131">
        <v>11878590310</v>
      </c>
      <c r="O180" s="131">
        <v>9088167333</v>
      </c>
      <c r="Q180" s="131">
        <v>2790422977</v>
      </c>
    </row>
    <row r="181" spans="1:17" ht="21" x14ac:dyDescent="0.65">
      <c r="A181" s="129" t="s">
        <v>75</v>
      </c>
      <c r="C181" s="131">
        <v>0</v>
      </c>
      <c r="D181" s="131"/>
      <c r="E181" s="131">
        <v>0</v>
      </c>
      <c r="F181" s="131"/>
      <c r="G181" s="131">
        <v>0</v>
      </c>
      <c r="H181" s="131"/>
      <c r="I181" s="131">
        <v>0</v>
      </c>
      <c r="J181" s="130"/>
      <c r="K181" s="131">
        <v>2400000</v>
      </c>
      <c r="M181" s="131">
        <v>7208005595</v>
      </c>
      <c r="O181" s="131">
        <v>7470331903</v>
      </c>
      <c r="Q181" s="131">
        <v>-262326308</v>
      </c>
    </row>
    <row r="182" spans="1:17" ht="21" x14ac:dyDescent="0.65">
      <c r="A182" s="129" t="s">
        <v>74</v>
      </c>
      <c r="C182" s="131">
        <v>0</v>
      </c>
      <c r="D182" s="131"/>
      <c r="E182" s="131">
        <v>0</v>
      </c>
      <c r="F182" s="131"/>
      <c r="G182" s="131">
        <v>0</v>
      </c>
      <c r="H182" s="131"/>
      <c r="I182" s="131">
        <v>0</v>
      </c>
      <c r="J182" s="130"/>
      <c r="K182" s="131">
        <v>20000</v>
      </c>
      <c r="M182" s="131">
        <v>4904535772</v>
      </c>
      <c r="O182" s="131">
        <v>4125772382</v>
      </c>
      <c r="Q182" s="131">
        <v>778763390</v>
      </c>
    </row>
    <row r="183" spans="1:17" ht="21" x14ac:dyDescent="0.65">
      <c r="A183" s="129" t="s">
        <v>73</v>
      </c>
      <c r="C183" s="131">
        <v>0</v>
      </c>
      <c r="D183" s="131"/>
      <c r="E183" s="131">
        <v>0</v>
      </c>
      <c r="F183" s="131"/>
      <c r="G183" s="131">
        <v>0</v>
      </c>
      <c r="H183" s="131"/>
      <c r="I183" s="131">
        <v>0</v>
      </c>
      <c r="J183" s="130"/>
      <c r="K183" s="131">
        <v>918099</v>
      </c>
      <c r="M183" s="131">
        <v>14773201574</v>
      </c>
      <c r="O183" s="131">
        <v>17860441670</v>
      </c>
      <c r="Q183" s="131">
        <v>-3087240096</v>
      </c>
    </row>
    <row r="184" spans="1:17" ht="21" x14ac:dyDescent="0.65">
      <c r="A184" s="129" t="s">
        <v>72</v>
      </c>
      <c r="C184" s="131">
        <v>17187</v>
      </c>
      <c r="E184" s="131">
        <v>37330175</v>
      </c>
      <c r="G184" s="131">
        <v>41428831</v>
      </c>
      <c r="I184" s="131">
        <v>-4098656</v>
      </c>
      <c r="K184" s="131">
        <v>4827187</v>
      </c>
      <c r="M184" s="131">
        <v>20951547550</v>
      </c>
      <c r="O184" s="131">
        <v>20518046622</v>
      </c>
      <c r="Q184" s="131">
        <v>433500928</v>
      </c>
    </row>
    <row r="185" spans="1:17" ht="21" x14ac:dyDescent="0.65">
      <c r="A185" s="129" t="s">
        <v>71</v>
      </c>
      <c r="C185" s="131">
        <v>0</v>
      </c>
      <c r="D185" s="131"/>
      <c r="E185" s="131">
        <v>0</v>
      </c>
      <c r="F185" s="131"/>
      <c r="G185" s="131">
        <v>0</v>
      </c>
      <c r="H185" s="131"/>
      <c r="I185" s="131">
        <v>0</v>
      </c>
      <c r="J185" s="130"/>
      <c r="K185" s="131">
        <v>1600000</v>
      </c>
      <c r="M185" s="131">
        <v>11515075234</v>
      </c>
      <c r="O185" s="131">
        <v>8281095234</v>
      </c>
      <c r="Q185" s="131">
        <v>3233980000</v>
      </c>
    </row>
    <row r="186" spans="1:17" ht="21" x14ac:dyDescent="0.65">
      <c r="A186" s="129" t="s">
        <v>70</v>
      </c>
      <c r="C186" s="131">
        <v>0</v>
      </c>
      <c r="D186" s="131"/>
      <c r="E186" s="131">
        <v>0</v>
      </c>
      <c r="F186" s="131"/>
      <c r="G186" s="131">
        <v>0</v>
      </c>
      <c r="H186" s="131"/>
      <c r="I186" s="131">
        <v>0</v>
      </c>
      <c r="J186" s="130"/>
      <c r="K186" s="131">
        <v>100000</v>
      </c>
      <c r="M186" s="131">
        <v>3094180615</v>
      </c>
      <c r="O186" s="131">
        <v>2533845915</v>
      </c>
      <c r="Q186" s="131">
        <v>560334700</v>
      </c>
    </row>
    <row r="187" spans="1:17" ht="21" x14ac:dyDescent="0.65">
      <c r="A187" s="129" t="s">
        <v>69</v>
      </c>
      <c r="C187" s="131">
        <v>285000</v>
      </c>
      <c r="E187" s="131">
        <v>17381380923</v>
      </c>
      <c r="G187" s="131">
        <v>13067009050</v>
      </c>
      <c r="I187" s="131">
        <v>4314371873</v>
      </c>
      <c r="K187" s="131">
        <v>585000</v>
      </c>
      <c r="M187" s="131">
        <v>33199427649</v>
      </c>
      <c r="O187" s="131">
        <v>26529753574</v>
      </c>
      <c r="Q187" s="131">
        <v>6669674075</v>
      </c>
    </row>
    <row r="188" spans="1:17" ht="21" x14ac:dyDescent="0.65">
      <c r="A188" s="129" t="s">
        <v>68</v>
      </c>
      <c r="C188" s="131">
        <v>0</v>
      </c>
      <c r="D188" s="131"/>
      <c r="E188" s="131">
        <v>0</v>
      </c>
      <c r="F188" s="131"/>
      <c r="G188" s="131">
        <v>0</v>
      </c>
      <c r="H188" s="131"/>
      <c r="I188" s="131">
        <v>0</v>
      </c>
      <c r="J188" s="130"/>
      <c r="K188" s="131">
        <v>904441</v>
      </c>
      <c r="M188" s="131">
        <v>1483381171</v>
      </c>
      <c r="O188" s="131">
        <v>3110157143</v>
      </c>
      <c r="Q188" s="131">
        <v>-1626775972</v>
      </c>
    </row>
    <row r="189" spans="1:17" ht="21" x14ac:dyDescent="0.65">
      <c r="A189" s="129" t="s">
        <v>119</v>
      </c>
      <c r="C189" s="131">
        <v>0</v>
      </c>
      <c r="D189" s="131"/>
      <c r="E189" s="131">
        <v>0</v>
      </c>
      <c r="F189" s="131"/>
      <c r="G189" s="131">
        <v>0</v>
      </c>
      <c r="H189" s="131"/>
      <c r="I189" s="131">
        <v>0</v>
      </c>
      <c r="J189" s="130"/>
      <c r="K189" s="131">
        <v>3550000</v>
      </c>
      <c r="M189" s="131">
        <v>12949938069</v>
      </c>
      <c r="O189" s="131">
        <v>15446070222</v>
      </c>
      <c r="Q189" s="131">
        <v>-2496132153</v>
      </c>
    </row>
    <row r="190" spans="1:17" ht="21" x14ac:dyDescent="0.65">
      <c r="A190" s="129" t="s">
        <v>338</v>
      </c>
      <c r="C190" s="131">
        <v>0</v>
      </c>
      <c r="D190" s="131"/>
      <c r="E190" s="131">
        <v>0</v>
      </c>
      <c r="F190" s="131"/>
      <c r="G190" s="131">
        <v>0</v>
      </c>
      <c r="H190" s="131"/>
      <c r="I190" s="131">
        <v>0</v>
      </c>
      <c r="J190" s="130"/>
      <c r="K190" s="131">
        <v>4400000</v>
      </c>
      <c r="M190" s="131">
        <v>22370101322</v>
      </c>
      <c r="O190" s="131">
        <v>23887172128</v>
      </c>
      <c r="Q190" s="131">
        <v>-1517070806</v>
      </c>
    </row>
    <row r="191" spans="1:17" ht="21" x14ac:dyDescent="0.65">
      <c r="A191" s="129" t="s">
        <v>67</v>
      </c>
      <c r="C191" s="131">
        <v>0</v>
      </c>
      <c r="D191" s="131"/>
      <c r="E191" s="131">
        <v>0</v>
      </c>
      <c r="F191" s="131"/>
      <c r="G191" s="131">
        <v>0</v>
      </c>
      <c r="H191" s="131"/>
      <c r="I191" s="131">
        <v>0</v>
      </c>
      <c r="J191" s="130"/>
      <c r="K191" s="131">
        <v>1403444</v>
      </c>
      <c r="M191" s="131">
        <v>1452292363</v>
      </c>
      <c r="O191" s="131">
        <v>8451423500</v>
      </c>
      <c r="Q191" s="131">
        <v>-6999131137</v>
      </c>
    </row>
    <row r="192" spans="1:17" ht="21.6" thickBot="1" x14ac:dyDescent="0.7">
      <c r="A192" s="132" t="s">
        <v>9</v>
      </c>
      <c r="C192" s="135"/>
      <c r="E192" s="132">
        <f>SUM(E9:$E$191)</f>
        <v>37940061659</v>
      </c>
      <c r="G192" s="132">
        <f>SUM(G9:$G$191)</f>
        <v>35163701866</v>
      </c>
      <c r="I192" s="132">
        <f>SUM(I9:$I$191)</f>
        <v>3172299098</v>
      </c>
      <c r="K192" s="135"/>
      <c r="M192" s="132">
        <f>SUM(M9:$M$191)</f>
        <v>961452308355</v>
      </c>
      <c r="O192" s="132">
        <f>SUM(O9:$O$191)</f>
        <v>986082959552</v>
      </c>
      <c r="Q192" s="132">
        <f>SUM(Q9:$Q$191)</f>
        <v>-283452893</v>
      </c>
    </row>
    <row r="193" spans="3:17" ht="21.6" thickTop="1" x14ac:dyDescent="0.65">
      <c r="C193" s="135"/>
      <c r="E193" s="133"/>
      <c r="G193" s="133"/>
      <c r="I193" s="133"/>
      <c r="K193" s="135"/>
      <c r="M193" s="133"/>
      <c r="O193" s="133"/>
      <c r="Q193" s="133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67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B89E-6342-4D1A-90BB-FEE65056992E}">
  <sheetPr>
    <pageSetUpPr fitToPage="1"/>
  </sheetPr>
  <dimension ref="A1:Q137"/>
  <sheetViews>
    <sheetView rightToLeft="1" view="pageBreakPreview" zoomScale="60" zoomScaleNormal="85" workbookViewId="0">
      <selection activeCell="I130" sqref="I130"/>
    </sheetView>
  </sheetViews>
  <sheetFormatPr defaultRowHeight="18.600000000000001" x14ac:dyDescent="0.65"/>
  <cols>
    <col min="1" max="1" width="32.296875" style="138" customWidth="1"/>
    <col min="2" max="2" width="1.3984375" style="138" customWidth="1"/>
    <col min="3" max="3" width="14.19921875" style="138" customWidth="1"/>
    <col min="4" max="4" width="1.3984375" style="138" customWidth="1"/>
    <col min="5" max="5" width="17" style="138" customWidth="1"/>
    <col min="6" max="6" width="1.3984375" style="138" customWidth="1"/>
    <col min="7" max="7" width="17" style="138" customWidth="1"/>
    <col min="8" max="8" width="1.3984375" style="138" customWidth="1"/>
    <col min="9" max="9" width="17" style="138" customWidth="1"/>
    <col min="10" max="10" width="1.3984375" style="138" customWidth="1"/>
    <col min="11" max="11" width="14.19921875" style="138" customWidth="1"/>
    <col min="12" max="12" width="1.3984375" style="138" customWidth="1"/>
    <col min="13" max="13" width="17" style="138" customWidth="1"/>
    <col min="14" max="14" width="1.3984375" style="138" customWidth="1"/>
    <col min="15" max="15" width="17" style="138" customWidth="1"/>
    <col min="16" max="16" width="1.3984375" style="138" customWidth="1"/>
    <col min="17" max="17" width="17" style="138" customWidth="1"/>
    <col min="18" max="16384" width="8.796875" style="138"/>
  </cols>
  <sheetData>
    <row r="1" spans="1:17" ht="19.95" customHeight="1" x14ac:dyDescent="0.65">
      <c r="A1" s="136" t="s">
        <v>108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</row>
    <row r="2" spans="1:17" ht="19.95" customHeight="1" x14ac:dyDescent="0.65">
      <c r="A2" s="136" t="s">
        <v>23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</row>
    <row r="3" spans="1:17" ht="19.95" customHeight="1" x14ac:dyDescent="0.65">
      <c r="A3" s="136" t="s">
        <v>1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5" spans="1:17" ht="20.399999999999999" x14ac:dyDescent="0.65">
      <c r="A5" s="139" t="s">
        <v>39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7" spans="1:17" ht="20.399999999999999" x14ac:dyDescent="0.65">
      <c r="C7" s="140" t="s">
        <v>59</v>
      </c>
      <c r="D7" s="141"/>
      <c r="E7" s="141"/>
      <c r="F7" s="141"/>
      <c r="G7" s="141"/>
      <c r="H7" s="141"/>
      <c r="I7" s="141"/>
      <c r="K7" s="140" t="s">
        <v>60</v>
      </c>
      <c r="L7" s="141"/>
      <c r="M7" s="141"/>
      <c r="N7" s="141"/>
      <c r="O7" s="141"/>
      <c r="P7" s="141"/>
      <c r="Q7" s="141"/>
    </row>
    <row r="8" spans="1:17" ht="40.799999999999997" x14ac:dyDescent="0.65">
      <c r="A8" s="147" t="s">
        <v>25</v>
      </c>
      <c r="C8" s="142" t="s">
        <v>4</v>
      </c>
      <c r="E8" s="142" t="s">
        <v>6</v>
      </c>
      <c r="G8" s="142" t="s">
        <v>37</v>
      </c>
      <c r="I8" s="142" t="s">
        <v>40</v>
      </c>
      <c r="K8" s="142" t="s">
        <v>4</v>
      </c>
      <c r="M8" s="142" t="s">
        <v>6</v>
      </c>
      <c r="O8" s="142" t="s">
        <v>37</v>
      </c>
      <c r="Q8" s="142" t="s">
        <v>40</v>
      </c>
    </row>
    <row r="9" spans="1:17" ht="21" x14ac:dyDescent="0.65">
      <c r="A9" s="143" t="s">
        <v>103</v>
      </c>
      <c r="C9" s="144">
        <v>4200000</v>
      </c>
      <c r="E9" s="144">
        <v>14871385620</v>
      </c>
      <c r="G9" s="144">
        <v>13721142494</v>
      </c>
      <c r="I9" s="144">
        <v>1150243126</v>
      </c>
      <c r="K9" s="144">
        <v>4200000</v>
      </c>
      <c r="M9" s="144">
        <v>14871385620</v>
      </c>
      <c r="O9" s="144">
        <v>14099676972</v>
      </c>
      <c r="Q9" s="144">
        <v>771708648</v>
      </c>
    </row>
    <row r="10" spans="1:17" ht="21" x14ac:dyDescent="0.65">
      <c r="A10" s="143" t="s">
        <v>102</v>
      </c>
      <c r="C10" s="144">
        <v>57991000</v>
      </c>
      <c r="E10" s="144">
        <v>23173673327</v>
      </c>
      <c r="G10" s="144">
        <v>22020186265</v>
      </c>
      <c r="I10" s="144">
        <v>1153487062</v>
      </c>
      <c r="K10" s="144">
        <v>57991000</v>
      </c>
      <c r="M10" s="144">
        <v>23173673327</v>
      </c>
      <c r="O10" s="144">
        <v>25680569782</v>
      </c>
      <c r="Q10" s="144">
        <v>-2506896455</v>
      </c>
    </row>
    <row r="11" spans="1:17" ht="21" x14ac:dyDescent="0.65">
      <c r="A11" s="143" t="s">
        <v>242</v>
      </c>
      <c r="C11" s="144">
        <v>0</v>
      </c>
      <c r="E11" s="144">
        <v>0</v>
      </c>
      <c r="G11" s="144">
        <v>0</v>
      </c>
      <c r="I11" s="144">
        <v>0</v>
      </c>
      <c r="K11" s="144"/>
      <c r="M11" s="144"/>
      <c r="O11" s="144"/>
      <c r="Q11" s="144">
        <v>3399125</v>
      </c>
    </row>
    <row r="12" spans="1:17" ht="21" x14ac:dyDescent="0.65">
      <c r="A12" s="143" t="s">
        <v>243</v>
      </c>
      <c r="C12" s="144">
        <v>0</v>
      </c>
      <c r="E12" s="144">
        <v>0</v>
      </c>
      <c r="G12" s="144">
        <v>0</v>
      </c>
      <c r="I12" s="144">
        <v>0</v>
      </c>
      <c r="K12" s="144"/>
      <c r="M12" s="144"/>
      <c r="O12" s="144"/>
      <c r="Q12" s="144">
        <v>6998198</v>
      </c>
    </row>
    <row r="13" spans="1:17" ht="21" x14ac:dyDescent="0.65">
      <c r="A13" s="143" t="s">
        <v>245</v>
      </c>
      <c r="C13" s="144">
        <v>0</v>
      </c>
      <c r="E13" s="144">
        <v>0</v>
      </c>
      <c r="G13" s="144">
        <v>0</v>
      </c>
      <c r="I13" s="144">
        <v>0</v>
      </c>
      <c r="K13" s="144"/>
      <c r="M13" s="144"/>
      <c r="O13" s="144"/>
      <c r="Q13" s="144">
        <v>-449884125</v>
      </c>
    </row>
    <row r="14" spans="1:17" ht="21" x14ac:dyDescent="0.65">
      <c r="A14" s="143" t="s">
        <v>179</v>
      </c>
      <c r="C14" s="144">
        <v>0</v>
      </c>
      <c r="E14" s="144">
        <v>0</v>
      </c>
      <c r="G14" s="144">
        <v>0</v>
      </c>
      <c r="I14" s="144">
        <v>0</v>
      </c>
      <c r="K14" s="144"/>
      <c r="M14" s="144"/>
      <c r="O14" s="144"/>
      <c r="Q14" s="144">
        <v>-132110973</v>
      </c>
    </row>
    <row r="15" spans="1:17" ht="21" x14ac:dyDescent="0.65">
      <c r="A15" s="143" t="s">
        <v>246</v>
      </c>
      <c r="C15" s="144">
        <v>0</v>
      </c>
      <c r="E15" s="144">
        <v>0</v>
      </c>
      <c r="G15" s="144">
        <v>0</v>
      </c>
      <c r="I15" s="144">
        <v>0</v>
      </c>
      <c r="K15" s="144"/>
      <c r="M15" s="144"/>
      <c r="O15" s="144"/>
      <c r="Q15" s="144">
        <v>18005293</v>
      </c>
    </row>
    <row r="16" spans="1:17" ht="21" x14ac:dyDescent="0.65">
      <c r="A16" s="143" t="s">
        <v>180</v>
      </c>
      <c r="C16" s="144">
        <v>0</v>
      </c>
      <c r="E16" s="144">
        <v>0</v>
      </c>
      <c r="G16" s="144">
        <v>0</v>
      </c>
      <c r="I16" s="144">
        <v>0</v>
      </c>
      <c r="K16" s="144"/>
      <c r="M16" s="144"/>
      <c r="O16" s="144"/>
      <c r="Q16" s="144">
        <v>2998</v>
      </c>
    </row>
    <row r="17" spans="1:17" ht="21" x14ac:dyDescent="0.65">
      <c r="A17" s="143" t="s">
        <v>292</v>
      </c>
      <c r="C17" s="144"/>
      <c r="E17" s="144"/>
      <c r="G17" s="144"/>
      <c r="I17" s="144">
        <v>5047638</v>
      </c>
      <c r="K17" s="144"/>
      <c r="M17" s="144"/>
      <c r="O17" s="144"/>
      <c r="Q17" s="144">
        <v>5047638</v>
      </c>
    </row>
    <row r="18" spans="1:17" ht="21" x14ac:dyDescent="0.65">
      <c r="A18" s="143" t="s">
        <v>181</v>
      </c>
      <c r="C18" s="144">
        <v>0</v>
      </c>
      <c r="E18" s="144">
        <v>0</v>
      </c>
      <c r="G18" s="144">
        <v>0</v>
      </c>
      <c r="I18" s="144">
        <v>0</v>
      </c>
      <c r="K18" s="144"/>
      <c r="M18" s="144"/>
      <c r="O18" s="144"/>
      <c r="Q18" s="144">
        <v>552857603</v>
      </c>
    </row>
    <row r="19" spans="1:17" ht="21" x14ac:dyDescent="0.65">
      <c r="A19" s="143" t="s">
        <v>182</v>
      </c>
      <c r="C19" s="144">
        <v>0</v>
      </c>
      <c r="E19" s="144">
        <v>0</v>
      </c>
      <c r="G19" s="144">
        <v>0</v>
      </c>
      <c r="I19" s="144">
        <v>0</v>
      </c>
      <c r="K19" s="144"/>
      <c r="M19" s="144"/>
      <c r="O19" s="144"/>
      <c r="Q19" s="144">
        <v>36052714</v>
      </c>
    </row>
    <row r="20" spans="1:17" ht="21" x14ac:dyDescent="0.65">
      <c r="A20" s="143" t="s">
        <v>183</v>
      </c>
      <c r="C20" s="144"/>
      <c r="E20" s="144"/>
      <c r="G20" s="144"/>
      <c r="I20" s="144">
        <v>3999485</v>
      </c>
      <c r="K20" s="144"/>
      <c r="M20" s="144"/>
      <c r="O20" s="144"/>
      <c r="Q20" s="144">
        <v>515</v>
      </c>
    </row>
    <row r="21" spans="1:17" ht="21" x14ac:dyDescent="0.65">
      <c r="A21" s="143" t="s">
        <v>184</v>
      </c>
      <c r="C21" s="144"/>
      <c r="E21" s="144"/>
      <c r="G21" s="144"/>
      <c r="I21" s="144">
        <v>-21920177</v>
      </c>
      <c r="K21" s="144"/>
      <c r="M21" s="144"/>
      <c r="O21" s="144"/>
      <c r="Q21" s="144">
        <v>5046350</v>
      </c>
    </row>
    <row r="22" spans="1:17" ht="21" x14ac:dyDescent="0.65">
      <c r="A22" s="143" t="s">
        <v>185</v>
      </c>
      <c r="C22" s="144">
        <v>0</v>
      </c>
      <c r="E22" s="144">
        <v>0</v>
      </c>
      <c r="G22" s="144">
        <v>0</v>
      </c>
      <c r="I22" s="144">
        <v>0</v>
      </c>
      <c r="K22" s="144"/>
      <c r="M22" s="144"/>
      <c r="O22" s="144"/>
      <c r="Q22" s="144">
        <v>-3898996</v>
      </c>
    </row>
    <row r="23" spans="1:17" ht="21" x14ac:dyDescent="0.65">
      <c r="A23" s="143" t="s">
        <v>187</v>
      </c>
      <c r="C23" s="144">
        <v>0</v>
      </c>
      <c r="E23" s="144">
        <v>0</v>
      </c>
      <c r="G23" s="144">
        <v>0</v>
      </c>
      <c r="I23" s="144">
        <v>0</v>
      </c>
      <c r="K23" s="144"/>
      <c r="M23" s="144"/>
      <c r="O23" s="144"/>
      <c r="Q23" s="144">
        <v>-111971160</v>
      </c>
    </row>
    <row r="24" spans="1:17" ht="21" x14ac:dyDescent="0.65">
      <c r="A24" s="143" t="s">
        <v>248</v>
      </c>
      <c r="C24" s="144">
        <v>0</v>
      </c>
      <c r="E24" s="144">
        <v>0</v>
      </c>
      <c r="G24" s="144">
        <v>0</v>
      </c>
      <c r="I24" s="144">
        <v>0</v>
      </c>
      <c r="K24" s="144"/>
      <c r="M24" s="144"/>
      <c r="O24" s="144"/>
      <c r="Q24" s="144">
        <v>336473735</v>
      </c>
    </row>
    <row r="25" spans="1:17" ht="21" x14ac:dyDescent="0.65">
      <c r="A25" s="143" t="s">
        <v>189</v>
      </c>
      <c r="C25" s="144">
        <v>0</v>
      </c>
      <c r="E25" s="144">
        <v>0</v>
      </c>
      <c r="G25" s="144">
        <v>0</v>
      </c>
      <c r="I25" s="144">
        <v>0</v>
      </c>
      <c r="K25" s="144"/>
      <c r="M25" s="144"/>
      <c r="O25" s="144"/>
      <c r="Q25" s="144">
        <v>169936230</v>
      </c>
    </row>
    <row r="26" spans="1:17" ht="21" x14ac:dyDescent="0.65">
      <c r="A26" s="143" t="s">
        <v>190</v>
      </c>
      <c r="C26" s="144"/>
      <c r="E26" s="144"/>
      <c r="G26" s="144"/>
      <c r="I26" s="144">
        <v>-16079</v>
      </c>
      <c r="K26" s="144">
        <v>0</v>
      </c>
      <c r="M26" s="144">
        <v>0</v>
      </c>
      <c r="O26" s="144">
        <v>0</v>
      </c>
      <c r="Q26" s="144">
        <v>0</v>
      </c>
    </row>
    <row r="27" spans="1:17" ht="21" x14ac:dyDescent="0.65">
      <c r="A27" s="143" t="s">
        <v>191</v>
      </c>
      <c r="C27" s="144">
        <v>0</v>
      </c>
      <c r="E27" s="144">
        <v>0</v>
      </c>
      <c r="G27" s="144">
        <v>0</v>
      </c>
      <c r="I27" s="144">
        <v>0</v>
      </c>
      <c r="K27" s="144"/>
      <c r="M27" s="144"/>
      <c r="O27" s="144"/>
      <c r="Q27" s="144">
        <v>29992</v>
      </c>
    </row>
    <row r="28" spans="1:17" ht="21" x14ac:dyDescent="0.65">
      <c r="A28" s="143" t="s">
        <v>192</v>
      </c>
      <c r="C28" s="144">
        <v>0</v>
      </c>
      <c r="E28" s="144">
        <v>0</v>
      </c>
      <c r="G28" s="144">
        <v>0</v>
      </c>
      <c r="I28" s="144">
        <v>0</v>
      </c>
      <c r="K28" s="144"/>
      <c r="M28" s="144"/>
      <c r="O28" s="144"/>
      <c r="Q28" s="144">
        <v>26803097</v>
      </c>
    </row>
    <row r="29" spans="1:17" ht="21" x14ac:dyDescent="0.65">
      <c r="A29" s="143" t="s">
        <v>193</v>
      </c>
      <c r="C29" s="144">
        <v>0</v>
      </c>
      <c r="E29" s="144">
        <v>0</v>
      </c>
      <c r="G29" s="144">
        <v>0</v>
      </c>
      <c r="I29" s="144">
        <v>0</v>
      </c>
      <c r="K29" s="144"/>
      <c r="M29" s="144"/>
      <c r="O29" s="144"/>
      <c r="Q29" s="144">
        <v>25493434</v>
      </c>
    </row>
    <row r="30" spans="1:17" ht="21" x14ac:dyDescent="0.65">
      <c r="A30" s="143" t="s">
        <v>250</v>
      </c>
      <c r="C30" s="144">
        <v>0</v>
      </c>
      <c r="E30" s="144">
        <v>0</v>
      </c>
      <c r="G30" s="144">
        <v>0</v>
      </c>
      <c r="I30" s="144">
        <v>0</v>
      </c>
      <c r="K30" s="144"/>
      <c r="M30" s="144"/>
      <c r="O30" s="144"/>
      <c r="Q30" s="144">
        <v>22627552</v>
      </c>
    </row>
    <row r="31" spans="1:17" ht="21" x14ac:dyDescent="0.65">
      <c r="A31" s="143" t="s">
        <v>251</v>
      </c>
      <c r="C31" s="144">
        <v>0</v>
      </c>
      <c r="E31" s="144">
        <v>0</v>
      </c>
      <c r="G31" s="144">
        <v>0</v>
      </c>
      <c r="I31" s="144">
        <v>0</v>
      </c>
      <c r="K31" s="144"/>
      <c r="M31" s="144"/>
      <c r="O31" s="144"/>
      <c r="Q31" s="144">
        <v>-22527198</v>
      </c>
    </row>
    <row r="32" spans="1:17" ht="21" x14ac:dyDescent="0.65">
      <c r="A32" s="143" t="s">
        <v>194</v>
      </c>
      <c r="C32" s="144">
        <v>0</v>
      </c>
      <c r="E32" s="144">
        <v>0</v>
      </c>
      <c r="G32" s="144">
        <v>0</v>
      </c>
      <c r="I32" s="144">
        <v>0</v>
      </c>
      <c r="K32" s="144"/>
      <c r="M32" s="144"/>
      <c r="O32" s="144"/>
      <c r="Q32" s="144">
        <v>-79979</v>
      </c>
    </row>
    <row r="33" spans="1:17" ht="21" x14ac:dyDescent="0.65">
      <c r="A33" s="143" t="s">
        <v>195</v>
      </c>
      <c r="C33" s="144"/>
      <c r="E33" s="144"/>
      <c r="G33" s="144"/>
      <c r="I33" s="144">
        <v>-8755</v>
      </c>
      <c r="K33" s="144">
        <v>0</v>
      </c>
      <c r="M33" s="144">
        <v>0</v>
      </c>
      <c r="O33" s="144">
        <v>0</v>
      </c>
      <c r="Q33" s="144">
        <v>0</v>
      </c>
    </row>
    <row r="34" spans="1:17" ht="21" x14ac:dyDescent="0.65">
      <c r="A34" s="143" t="s">
        <v>196</v>
      </c>
      <c r="C34" s="144"/>
      <c r="E34" s="144"/>
      <c r="G34" s="144"/>
      <c r="I34" s="144">
        <v>5003863</v>
      </c>
      <c r="K34" s="144"/>
      <c r="M34" s="144"/>
      <c r="O34" s="144"/>
      <c r="Q34" s="144">
        <v>5003863</v>
      </c>
    </row>
    <row r="35" spans="1:17" ht="21" x14ac:dyDescent="0.65">
      <c r="A35" s="143" t="s">
        <v>197</v>
      </c>
      <c r="C35" s="144">
        <v>0</v>
      </c>
      <c r="E35" s="144">
        <v>0</v>
      </c>
      <c r="G35" s="144">
        <v>0</v>
      </c>
      <c r="I35" s="144">
        <v>0</v>
      </c>
      <c r="K35" s="144"/>
      <c r="M35" s="144"/>
      <c r="O35" s="144"/>
      <c r="Q35" s="144">
        <v>322177018</v>
      </c>
    </row>
    <row r="36" spans="1:17" ht="21" x14ac:dyDescent="0.65">
      <c r="A36" s="143" t="s">
        <v>253</v>
      </c>
      <c r="C36" s="144">
        <v>0</v>
      </c>
      <c r="E36" s="144">
        <v>0</v>
      </c>
      <c r="G36" s="144">
        <v>0</v>
      </c>
      <c r="I36" s="144">
        <v>0</v>
      </c>
      <c r="K36" s="144"/>
      <c r="M36" s="144"/>
      <c r="O36" s="144"/>
      <c r="Q36" s="144">
        <v>1811533</v>
      </c>
    </row>
    <row r="37" spans="1:17" ht="21" x14ac:dyDescent="0.65">
      <c r="A37" s="143" t="s">
        <v>254</v>
      </c>
      <c r="C37" s="144"/>
      <c r="E37" s="144"/>
      <c r="G37" s="144"/>
      <c r="I37" s="144">
        <v>3927988</v>
      </c>
      <c r="K37" s="144"/>
      <c r="M37" s="144"/>
      <c r="O37" s="144"/>
      <c r="Q37" s="144">
        <v>3927988</v>
      </c>
    </row>
    <row r="38" spans="1:17" ht="21" x14ac:dyDescent="0.65">
      <c r="A38" s="143" t="s">
        <v>198</v>
      </c>
      <c r="C38" s="144">
        <v>0</v>
      </c>
      <c r="E38" s="144">
        <v>0</v>
      </c>
      <c r="G38" s="144">
        <v>0</v>
      </c>
      <c r="I38" s="144">
        <v>0</v>
      </c>
      <c r="K38" s="144"/>
      <c r="M38" s="144"/>
      <c r="O38" s="144"/>
      <c r="Q38" s="144">
        <v>136568824</v>
      </c>
    </row>
    <row r="39" spans="1:17" ht="21" x14ac:dyDescent="0.65">
      <c r="A39" s="143" t="s">
        <v>199</v>
      </c>
      <c r="C39" s="144">
        <v>0</v>
      </c>
      <c r="E39" s="144">
        <v>0</v>
      </c>
      <c r="G39" s="144">
        <v>0</v>
      </c>
      <c r="I39" s="144">
        <v>0</v>
      </c>
      <c r="K39" s="144"/>
      <c r="M39" s="144"/>
      <c r="O39" s="144"/>
      <c r="Q39" s="144">
        <v>-59984550</v>
      </c>
    </row>
    <row r="40" spans="1:17" ht="21" x14ac:dyDescent="0.65">
      <c r="A40" s="143" t="s">
        <v>255</v>
      </c>
      <c r="C40" s="144">
        <v>0</v>
      </c>
      <c r="E40" s="144">
        <v>0</v>
      </c>
      <c r="G40" s="144">
        <v>0</v>
      </c>
      <c r="I40" s="144">
        <v>0</v>
      </c>
      <c r="K40" s="144"/>
      <c r="M40" s="144"/>
      <c r="O40" s="144"/>
      <c r="Q40" s="144">
        <v>8135905</v>
      </c>
    </row>
    <row r="41" spans="1:17" ht="21" x14ac:dyDescent="0.65">
      <c r="A41" s="143" t="s">
        <v>200</v>
      </c>
      <c r="C41" s="144"/>
      <c r="E41" s="144"/>
      <c r="G41" s="144"/>
      <c r="I41" s="144">
        <v>3998970</v>
      </c>
      <c r="K41" s="144"/>
      <c r="M41" s="144"/>
      <c r="O41" s="144"/>
      <c r="Q41" s="144">
        <v>3998970</v>
      </c>
    </row>
    <row r="42" spans="1:17" ht="21" x14ac:dyDescent="0.65">
      <c r="A42" s="143" t="s">
        <v>256</v>
      </c>
      <c r="C42" s="144">
        <v>0</v>
      </c>
      <c r="E42" s="144">
        <v>0</v>
      </c>
      <c r="G42" s="144">
        <v>0</v>
      </c>
      <c r="I42" s="144">
        <v>0</v>
      </c>
      <c r="K42" s="144"/>
      <c r="M42" s="144"/>
      <c r="O42" s="144"/>
      <c r="Q42" s="144">
        <v>-11996910</v>
      </c>
    </row>
    <row r="43" spans="1:17" ht="21" x14ac:dyDescent="0.65">
      <c r="A43" s="143" t="s">
        <v>257</v>
      </c>
      <c r="C43" s="144">
        <v>0</v>
      </c>
      <c r="E43" s="144">
        <v>0</v>
      </c>
      <c r="G43" s="144">
        <v>0</v>
      </c>
      <c r="I43" s="144">
        <v>0</v>
      </c>
      <c r="K43" s="144"/>
      <c r="M43" s="144"/>
      <c r="O43" s="144"/>
      <c r="Q43" s="144">
        <v>114210583</v>
      </c>
    </row>
    <row r="44" spans="1:17" ht="21" x14ac:dyDescent="0.65">
      <c r="A44" s="143" t="s">
        <v>201</v>
      </c>
      <c r="C44" s="144">
        <v>0</v>
      </c>
      <c r="E44" s="144">
        <v>0</v>
      </c>
      <c r="G44" s="144">
        <v>0</v>
      </c>
      <c r="I44" s="144">
        <v>0</v>
      </c>
      <c r="K44" s="144"/>
      <c r="M44" s="144"/>
      <c r="O44" s="144"/>
      <c r="Q44" s="144">
        <v>-1999485</v>
      </c>
    </row>
    <row r="45" spans="1:17" ht="21" x14ac:dyDescent="0.65">
      <c r="A45" s="143" t="s">
        <v>202</v>
      </c>
      <c r="C45" s="144">
        <v>0</v>
      </c>
      <c r="E45" s="144">
        <v>0</v>
      </c>
      <c r="G45" s="144">
        <v>0</v>
      </c>
      <c r="I45" s="144">
        <v>0</v>
      </c>
      <c r="K45" s="144"/>
      <c r="M45" s="144"/>
      <c r="O45" s="144"/>
      <c r="Q45" s="144">
        <v>-9760486</v>
      </c>
    </row>
    <row r="46" spans="1:17" ht="21" x14ac:dyDescent="0.65">
      <c r="A46" s="143" t="s">
        <v>258</v>
      </c>
      <c r="C46" s="144">
        <v>0</v>
      </c>
      <c r="E46" s="144">
        <v>0</v>
      </c>
      <c r="G46" s="144">
        <v>0</v>
      </c>
      <c r="I46" s="144">
        <v>0</v>
      </c>
      <c r="K46" s="144"/>
      <c r="M46" s="144"/>
      <c r="O46" s="144"/>
      <c r="Q46" s="144">
        <v>10997168</v>
      </c>
    </row>
    <row r="47" spans="1:17" ht="21" x14ac:dyDescent="0.65">
      <c r="A47" s="143" t="s">
        <v>203</v>
      </c>
      <c r="C47" s="144"/>
      <c r="E47" s="144"/>
      <c r="G47" s="144"/>
      <c r="I47" s="144">
        <v>12003090</v>
      </c>
      <c r="K47" s="144"/>
      <c r="M47" s="144"/>
      <c r="O47" s="144"/>
      <c r="Q47" s="144">
        <v>12003090</v>
      </c>
    </row>
    <row r="48" spans="1:17" ht="21" x14ac:dyDescent="0.65">
      <c r="A48" s="143" t="s">
        <v>260</v>
      </c>
      <c r="C48" s="144">
        <v>0</v>
      </c>
      <c r="E48" s="144">
        <v>0</v>
      </c>
      <c r="G48" s="144">
        <v>0</v>
      </c>
      <c r="I48" s="144">
        <v>0</v>
      </c>
      <c r="K48" s="144"/>
      <c r="M48" s="144"/>
      <c r="O48" s="144"/>
      <c r="Q48" s="144">
        <v>-15082116</v>
      </c>
    </row>
    <row r="49" spans="1:17" ht="21" x14ac:dyDescent="0.65">
      <c r="A49" s="143" t="s">
        <v>205</v>
      </c>
      <c r="C49" s="144">
        <v>0</v>
      </c>
      <c r="E49" s="144">
        <v>0</v>
      </c>
      <c r="G49" s="144">
        <v>0</v>
      </c>
      <c r="I49" s="144">
        <v>0</v>
      </c>
      <c r="K49" s="144"/>
      <c r="M49" s="144"/>
      <c r="O49" s="144"/>
      <c r="Q49" s="144">
        <v>-15336050</v>
      </c>
    </row>
    <row r="50" spans="1:17" ht="21" x14ac:dyDescent="0.65">
      <c r="A50" s="143" t="s">
        <v>262</v>
      </c>
      <c r="C50" s="144">
        <v>0</v>
      </c>
      <c r="E50" s="144">
        <v>0</v>
      </c>
      <c r="G50" s="144">
        <v>0</v>
      </c>
      <c r="I50" s="144">
        <v>0</v>
      </c>
      <c r="K50" s="144"/>
      <c r="M50" s="144"/>
      <c r="O50" s="144"/>
      <c r="Q50" s="144">
        <v>12008907</v>
      </c>
    </row>
    <row r="51" spans="1:17" ht="21" x14ac:dyDescent="0.65">
      <c r="A51" s="143" t="s">
        <v>206</v>
      </c>
      <c r="C51" s="144">
        <v>0</v>
      </c>
      <c r="E51" s="144">
        <v>0</v>
      </c>
      <c r="G51" s="144">
        <v>0</v>
      </c>
      <c r="I51" s="144">
        <v>0</v>
      </c>
      <c r="K51" s="144"/>
      <c r="M51" s="144"/>
      <c r="O51" s="144"/>
      <c r="Q51" s="144">
        <v>402706</v>
      </c>
    </row>
    <row r="52" spans="1:17" ht="21" x14ac:dyDescent="0.65">
      <c r="A52" s="143" t="s">
        <v>263</v>
      </c>
      <c r="C52" s="144">
        <v>0</v>
      </c>
      <c r="E52" s="144">
        <v>0</v>
      </c>
      <c r="G52" s="144">
        <v>0</v>
      </c>
      <c r="I52" s="144">
        <v>0</v>
      </c>
      <c r="K52" s="144"/>
      <c r="M52" s="144"/>
      <c r="O52" s="144"/>
      <c r="Q52" s="144">
        <v>-15508006</v>
      </c>
    </row>
    <row r="53" spans="1:17" ht="21" x14ac:dyDescent="0.65">
      <c r="A53" s="143" t="s">
        <v>264</v>
      </c>
      <c r="C53" s="144"/>
      <c r="E53" s="144"/>
      <c r="G53" s="144"/>
      <c r="I53" s="144">
        <v>-1282578</v>
      </c>
      <c r="K53" s="144">
        <v>0</v>
      </c>
      <c r="M53" s="144">
        <v>0</v>
      </c>
      <c r="O53" s="144">
        <v>0</v>
      </c>
      <c r="Q53" s="144">
        <v>0</v>
      </c>
    </row>
    <row r="54" spans="1:17" ht="21" x14ac:dyDescent="0.65">
      <c r="A54" s="143" t="s">
        <v>265</v>
      </c>
      <c r="C54" s="144">
        <v>0</v>
      </c>
      <c r="E54" s="144">
        <v>0</v>
      </c>
      <c r="G54" s="144">
        <v>0</v>
      </c>
      <c r="I54" s="144">
        <v>0</v>
      </c>
      <c r="K54" s="144"/>
      <c r="M54" s="144"/>
      <c r="O54" s="144"/>
      <c r="Q54" s="144">
        <v>1519609</v>
      </c>
    </row>
    <row r="55" spans="1:17" ht="21" x14ac:dyDescent="0.65">
      <c r="A55" s="143" t="s">
        <v>266</v>
      </c>
      <c r="C55" s="144">
        <v>0</v>
      </c>
      <c r="E55" s="144">
        <v>0</v>
      </c>
      <c r="G55" s="144">
        <v>0</v>
      </c>
      <c r="I55" s="144">
        <v>0</v>
      </c>
      <c r="K55" s="144"/>
      <c r="M55" s="144"/>
      <c r="O55" s="144"/>
      <c r="Q55" s="144">
        <v>6238393</v>
      </c>
    </row>
    <row r="56" spans="1:17" ht="21" x14ac:dyDescent="0.65">
      <c r="A56" s="143" t="s">
        <v>207</v>
      </c>
      <c r="C56" s="144">
        <v>0</v>
      </c>
      <c r="E56" s="144">
        <v>0</v>
      </c>
      <c r="G56" s="144">
        <v>0</v>
      </c>
      <c r="I56" s="144">
        <v>0</v>
      </c>
      <c r="K56" s="144"/>
      <c r="M56" s="144"/>
      <c r="O56" s="144"/>
      <c r="Q56" s="144">
        <v>-3551085</v>
      </c>
    </row>
    <row r="57" spans="1:17" ht="21" x14ac:dyDescent="0.65">
      <c r="A57" s="143" t="s">
        <v>208</v>
      </c>
      <c r="C57" s="144">
        <v>0</v>
      </c>
      <c r="E57" s="144">
        <v>0</v>
      </c>
      <c r="G57" s="144">
        <v>0</v>
      </c>
      <c r="I57" s="144">
        <v>0</v>
      </c>
      <c r="K57" s="144"/>
      <c r="M57" s="144"/>
      <c r="O57" s="144"/>
      <c r="Q57" s="144">
        <v>-2469364</v>
      </c>
    </row>
    <row r="58" spans="1:17" ht="21" x14ac:dyDescent="0.65">
      <c r="A58" s="143" t="s">
        <v>209</v>
      </c>
      <c r="C58" s="144">
        <v>0</v>
      </c>
      <c r="E58" s="144">
        <v>0</v>
      </c>
      <c r="G58" s="144">
        <v>0</v>
      </c>
      <c r="I58" s="144">
        <v>0</v>
      </c>
      <c r="K58" s="144"/>
      <c r="M58" s="144"/>
      <c r="O58" s="144"/>
      <c r="Q58" s="144">
        <v>69981974</v>
      </c>
    </row>
    <row r="59" spans="1:17" ht="21" x14ac:dyDescent="0.65">
      <c r="A59" s="143" t="s">
        <v>210</v>
      </c>
      <c r="C59" s="144">
        <v>0</v>
      </c>
      <c r="E59" s="144">
        <v>0</v>
      </c>
      <c r="G59" s="144">
        <v>0</v>
      </c>
      <c r="I59" s="144">
        <v>0</v>
      </c>
      <c r="K59" s="144"/>
      <c r="M59" s="144"/>
      <c r="O59" s="144"/>
      <c r="Q59" s="144">
        <v>-15995880</v>
      </c>
    </row>
    <row r="60" spans="1:17" ht="21" x14ac:dyDescent="0.65">
      <c r="A60" s="143" t="s">
        <v>211</v>
      </c>
      <c r="C60" s="144">
        <v>0</v>
      </c>
      <c r="E60" s="144">
        <v>0</v>
      </c>
      <c r="G60" s="144">
        <v>0</v>
      </c>
      <c r="I60" s="144">
        <v>0</v>
      </c>
      <c r="K60" s="144"/>
      <c r="M60" s="144"/>
      <c r="O60" s="144"/>
      <c r="Q60" s="144">
        <v>53986095</v>
      </c>
    </row>
    <row r="61" spans="1:17" ht="21" x14ac:dyDescent="0.65">
      <c r="A61" s="143" t="s">
        <v>213</v>
      </c>
      <c r="C61" s="144">
        <v>0</v>
      </c>
      <c r="E61" s="144">
        <v>0</v>
      </c>
      <c r="G61" s="144">
        <v>0</v>
      </c>
      <c r="I61" s="144">
        <v>0</v>
      </c>
      <c r="K61" s="144"/>
      <c r="M61" s="144"/>
      <c r="O61" s="144"/>
      <c r="Q61" s="144">
        <v>-24993562</v>
      </c>
    </row>
    <row r="62" spans="1:17" ht="21" x14ac:dyDescent="0.65">
      <c r="A62" s="143" t="s">
        <v>268</v>
      </c>
      <c r="C62" s="144">
        <v>0</v>
      </c>
      <c r="E62" s="144">
        <v>0</v>
      </c>
      <c r="G62" s="144">
        <v>0</v>
      </c>
      <c r="I62" s="144">
        <v>0</v>
      </c>
      <c r="K62" s="144"/>
      <c r="M62" s="144"/>
      <c r="O62" s="144"/>
      <c r="Q62" s="144">
        <v>29482407</v>
      </c>
    </row>
    <row r="63" spans="1:17" ht="21" x14ac:dyDescent="0.65">
      <c r="A63" s="143" t="s">
        <v>269</v>
      </c>
      <c r="C63" s="144"/>
      <c r="E63" s="144"/>
      <c r="G63" s="144"/>
      <c r="I63" s="144">
        <v>178859932</v>
      </c>
      <c r="K63" s="144"/>
      <c r="M63" s="144"/>
      <c r="O63" s="144"/>
      <c r="Q63" s="144">
        <v>178859932</v>
      </c>
    </row>
    <row r="64" spans="1:17" ht="21" x14ac:dyDescent="0.65">
      <c r="A64" s="143" t="s">
        <v>291</v>
      </c>
      <c r="C64" s="144"/>
      <c r="E64" s="144"/>
      <c r="G64" s="144"/>
      <c r="I64" s="144">
        <v>13787312</v>
      </c>
      <c r="K64" s="144"/>
      <c r="M64" s="144"/>
      <c r="O64" s="144"/>
      <c r="Q64" s="144">
        <v>13787312</v>
      </c>
    </row>
    <row r="65" spans="1:17" ht="21" x14ac:dyDescent="0.65">
      <c r="A65" s="143" t="s">
        <v>271</v>
      </c>
      <c r="C65" s="144">
        <v>0</v>
      </c>
      <c r="E65" s="144">
        <v>0</v>
      </c>
      <c r="G65" s="144">
        <v>0</v>
      </c>
      <c r="I65" s="144">
        <v>0</v>
      </c>
      <c r="K65" s="144"/>
      <c r="M65" s="144"/>
      <c r="O65" s="144"/>
      <c r="Q65" s="144">
        <v>-6289548</v>
      </c>
    </row>
    <row r="66" spans="1:17" ht="21" x14ac:dyDescent="0.65">
      <c r="A66" s="143" t="s">
        <v>214</v>
      </c>
      <c r="C66" s="144">
        <v>0</v>
      </c>
      <c r="E66" s="144">
        <v>0</v>
      </c>
      <c r="G66" s="144">
        <v>0</v>
      </c>
      <c r="I66" s="144">
        <v>0</v>
      </c>
      <c r="K66" s="144"/>
      <c r="M66" s="144"/>
      <c r="O66" s="144"/>
      <c r="Q66" s="144">
        <v>26575555</v>
      </c>
    </row>
    <row r="67" spans="1:17" ht="21" x14ac:dyDescent="0.65">
      <c r="A67" s="143" t="s">
        <v>215</v>
      </c>
      <c r="C67" s="144">
        <v>0</v>
      </c>
      <c r="E67" s="144">
        <v>0</v>
      </c>
      <c r="G67" s="144">
        <v>0</v>
      </c>
      <c r="I67" s="144">
        <v>0</v>
      </c>
      <c r="K67" s="144"/>
      <c r="M67" s="144"/>
      <c r="O67" s="144"/>
      <c r="Q67" s="144">
        <v>1769544</v>
      </c>
    </row>
    <row r="68" spans="1:17" ht="21" x14ac:dyDescent="0.65">
      <c r="A68" s="143" t="s">
        <v>273</v>
      </c>
      <c r="C68" s="144">
        <v>0</v>
      </c>
      <c r="E68" s="144">
        <v>0</v>
      </c>
      <c r="G68" s="144">
        <v>0</v>
      </c>
      <c r="I68" s="144">
        <v>0</v>
      </c>
      <c r="K68" s="144"/>
      <c r="M68" s="144"/>
      <c r="O68" s="144"/>
      <c r="Q68" s="144">
        <v>2603330</v>
      </c>
    </row>
    <row r="69" spans="1:17" ht="21" x14ac:dyDescent="0.65">
      <c r="A69" s="143" t="s">
        <v>274</v>
      </c>
      <c r="C69" s="144">
        <v>0</v>
      </c>
      <c r="E69" s="144">
        <v>0</v>
      </c>
      <c r="G69" s="144">
        <v>0</v>
      </c>
      <c r="I69" s="144">
        <v>0</v>
      </c>
      <c r="K69" s="144"/>
      <c r="M69" s="144"/>
      <c r="O69" s="144"/>
      <c r="Q69" s="144">
        <v>32176865</v>
      </c>
    </row>
    <row r="70" spans="1:17" ht="21" x14ac:dyDescent="0.65">
      <c r="A70" s="143" t="s">
        <v>216</v>
      </c>
      <c r="C70" s="144">
        <v>0</v>
      </c>
      <c r="E70" s="144">
        <v>0</v>
      </c>
      <c r="G70" s="144">
        <v>0</v>
      </c>
      <c r="I70" s="144">
        <v>0</v>
      </c>
      <c r="K70" s="144"/>
      <c r="M70" s="144"/>
      <c r="O70" s="144"/>
      <c r="Q70" s="144">
        <v>-85859485</v>
      </c>
    </row>
    <row r="71" spans="1:17" ht="21" x14ac:dyDescent="0.65">
      <c r="A71" s="143" t="s">
        <v>275</v>
      </c>
      <c r="C71" s="144">
        <v>0</v>
      </c>
      <c r="E71" s="144">
        <v>0</v>
      </c>
      <c r="G71" s="144">
        <v>0</v>
      </c>
      <c r="I71" s="144">
        <v>0</v>
      </c>
      <c r="K71" s="144"/>
      <c r="M71" s="144"/>
      <c r="O71" s="144"/>
      <c r="Q71" s="144">
        <v>-20820926</v>
      </c>
    </row>
    <row r="72" spans="1:17" ht="21" x14ac:dyDescent="0.65">
      <c r="A72" s="143" t="s">
        <v>276</v>
      </c>
      <c r="C72" s="144">
        <v>0</v>
      </c>
      <c r="E72" s="144">
        <v>0</v>
      </c>
      <c r="G72" s="144">
        <v>0</v>
      </c>
      <c r="I72" s="144">
        <v>0</v>
      </c>
      <c r="K72" s="144"/>
      <c r="M72" s="144"/>
      <c r="O72" s="144"/>
      <c r="Q72" s="144">
        <v>-2397382</v>
      </c>
    </row>
    <row r="73" spans="1:17" ht="21" x14ac:dyDescent="0.65">
      <c r="A73" s="143" t="s">
        <v>277</v>
      </c>
      <c r="C73" s="144">
        <v>0</v>
      </c>
      <c r="E73" s="144">
        <v>0</v>
      </c>
      <c r="G73" s="144">
        <v>0</v>
      </c>
      <c r="I73" s="144">
        <v>0</v>
      </c>
      <c r="K73" s="144"/>
      <c r="M73" s="144"/>
      <c r="O73" s="144"/>
      <c r="Q73" s="144">
        <v>180993382</v>
      </c>
    </row>
    <row r="74" spans="1:17" ht="21" x14ac:dyDescent="0.65">
      <c r="A74" s="143" t="s">
        <v>278</v>
      </c>
      <c r="C74" s="144">
        <v>0</v>
      </c>
      <c r="E74" s="144">
        <v>0</v>
      </c>
      <c r="G74" s="144">
        <v>0</v>
      </c>
      <c r="I74" s="144">
        <v>0</v>
      </c>
      <c r="K74" s="144"/>
      <c r="M74" s="144"/>
      <c r="O74" s="144"/>
      <c r="Q74" s="144">
        <v>-2499356</v>
      </c>
    </row>
    <row r="75" spans="1:17" ht="21" x14ac:dyDescent="0.65">
      <c r="A75" s="143" t="s">
        <v>280</v>
      </c>
      <c r="C75" s="144">
        <v>0</v>
      </c>
      <c r="E75" s="144">
        <v>0</v>
      </c>
      <c r="G75" s="144">
        <v>0</v>
      </c>
      <c r="I75" s="144">
        <v>0</v>
      </c>
      <c r="K75" s="144"/>
      <c r="M75" s="144"/>
      <c r="O75" s="144"/>
      <c r="Q75" s="144">
        <v>13496524</v>
      </c>
    </row>
    <row r="76" spans="1:17" ht="21" x14ac:dyDescent="0.65">
      <c r="A76" s="143" t="s">
        <v>281</v>
      </c>
      <c r="C76" s="144">
        <v>0</v>
      </c>
      <c r="E76" s="144">
        <v>0</v>
      </c>
      <c r="G76" s="144">
        <v>0</v>
      </c>
      <c r="I76" s="144">
        <v>0</v>
      </c>
      <c r="K76" s="144"/>
      <c r="M76" s="144"/>
      <c r="O76" s="144"/>
      <c r="Q76" s="144">
        <v>1</v>
      </c>
    </row>
    <row r="77" spans="1:17" ht="21" x14ac:dyDescent="0.65">
      <c r="A77" s="143" t="s">
        <v>218</v>
      </c>
      <c r="C77" s="144"/>
      <c r="E77" s="144"/>
      <c r="G77" s="144"/>
      <c r="I77" s="144">
        <v>4998713</v>
      </c>
      <c r="K77" s="144"/>
      <c r="M77" s="144"/>
      <c r="O77" s="144"/>
      <c r="Q77" s="144">
        <v>4998713</v>
      </c>
    </row>
    <row r="78" spans="1:17" ht="21" x14ac:dyDescent="0.65">
      <c r="A78" s="143" t="s">
        <v>219</v>
      </c>
      <c r="C78" s="144">
        <v>0</v>
      </c>
      <c r="E78" s="144">
        <v>0</v>
      </c>
      <c r="G78" s="144">
        <v>0</v>
      </c>
      <c r="I78" s="144">
        <v>0</v>
      </c>
      <c r="K78" s="144"/>
      <c r="M78" s="144"/>
      <c r="O78" s="144"/>
      <c r="Q78" s="144">
        <v>6839138</v>
      </c>
    </row>
    <row r="79" spans="1:17" ht="21" x14ac:dyDescent="0.65">
      <c r="A79" s="143" t="s">
        <v>221</v>
      </c>
      <c r="C79" s="144">
        <v>0</v>
      </c>
      <c r="E79" s="144">
        <v>0</v>
      </c>
      <c r="G79" s="144">
        <v>0</v>
      </c>
      <c r="I79" s="144">
        <v>0</v>
      </c>
      <c r="K79" s="144"/>
      <c r="M79" s="144"/>
      <c r="O79" s="144"/>
      <c r="Q79" s="144">
        <v>-24993562</v>
      </c>
    </row>
    <row r="80" spans="1:17" ht="21" x14ac:dyDescent="0.65">
      <c r="A80" s="143" t="s">
        <v>222</v>
      </c>
      <c r="C80" s="144">
        <v>0</v>
      </c>
      <c r="E80" s="144">
        <v>0</v>
      </c>
      <c r="G80" s="144">
        <v>0</v>
      </c>
      <c r="I80" s="144">
        <v>0</v>
      </c>
      <c r="K80" s="144"/>
      <c r="M80" s="144"/>
      <c r="O80" s="144"/>
      <c r="Q80" s="144">
        <v>51986610</v>
      </c>
    </row>
    <row r="81" spans="1:17" ht="21" x14ac:dyDescent="0.65">
      <c r="A81" s="143" t="s">
        <v>223</v>
      </c>
      <c r="C81" s="144">
        <v>0</v>
      </c>
      <c r="E81" s="144">
        <v>0</v>
      </c>
      <c r="G81" s="144">
        <v>0</v>
      </c>
      <c r="I81" s="144">
        <v>0</v>
      </c>
      <c r="K81" s="144"/>
      <c r="M81" s="144"/>
      <c r="O81" s="144"/>
      <c r="Q81" s="144">
        <v>-998</v>
      </c>
    </row>
    <row r="82" spans="1:17" ht="21" x14ac:dyDescent="0.65">
      <c r="A82" s="143" t="s">
        <v>224</v>
      </c>
      <c r="C82" s="144">
        <v>0</v>
      </c>
      <c r="E82" s="144">
        <v>0</v>
      </c>
      <c r="G82" s="144">
        <v>0</v>
      </c>
      <c r="I82" s="144">
        <v>0</v>
      </c>
      <c r="K82" s="144"/>
      <c r="M82" s="144"/>
      <c r="O82" s="144"/>
      <c r="Q82" s="144">
        <v>24667646</v>
      </c>
    </row>
    <row r="83" spans="1:17" ht="21" x14ac:dyDescent="0.65">
      <c r="A83" s="143" t="s">
        <v>225</v>
      </c>
      <c r="C83" s="144">
        <v>0</v>
      </c>
      <c r="E83" s="144">
        <v>0</v>
      </c>
      <c r="G83" s="144">
        <v>0</v>
      </c>
      <c r="I83" s="144">
        <v>0</v>
      </c>
      <c r="K83" s="144"/>
      <c r="M83" s="144"/>
      <c r="O83" s="144"/>
      <c r="Q83" s="144">
        <v>2000</v>
      </c>
    </row>
    <row r="84" spans="1:17" ht="21" x14ac:dyDescent="0.65">
      <c r="A84" s="143" t="s">
        <v>226</v>
      </c>
      <c r="C84" s="144">
        <v>0</v>
      </c>
      <c r="E84" s="144">
        <v>0</v>
      </c>
      <c r="G84" s="144">
        <v>0</v>
      </c>
      <c r="I84" s="144">
        <v>0</v>
      </c>
      <c r="K84" s="144"/>
      <c r="M84" s="144"/>
      <c r="O84" s="144"/>
      <c r="Q84" s="144">
        <v>50986</v>
      </c>
    </row>
    <row r="85" spans="1:17" ht="21" x14ac:dyDescent="0.65">
      <c r="A85" s="143" t="s">
        <v>227</v>
      </c>
      <c r="C85" s="144">
        <v>0</v>
      </c>
      <c r="E85" s="144">
        <v>0</v>
      </c>
      <c r="G85" s="144">
        <v>0</v>
      </c>
      <c r="I85" s="144">
        <v>0</v>
      </c>
      <c r="K85" s="144"/>
      <c r="M85" s="144"/>
      <c r="O85" s="144"/>
      <c r="Q85" s="144">
        <v>7210143</v>
      </c>
    </row>
    <row r="86" spans="1:17" ht="21" x14ac:dyDescent="0.65">
      <c r="A86" s="143" t="s">
        <v>229</v>
      </c>
      <c r="C86" s="144">
        <v>0</v>
      </c>
      <c r="E86" s="144">
        <v>0</v>
      </c>
      <c r="G86" s="144">
        <v>0</v>
      </c>
      <c r="I86" s="144">
        <v>0</v>
      </c>
      <c r="K86" s="144"/>
      <c r="M86" s="144"/>
      <c r="O86" s="144"/>
      <c r="Q86" s="144">
        <v>662751298</v>
      </c>
    </row>
    <row r="87" spans="1:17" ht="21" x14ac:dyDescent="0.65">
      <c r="A87" s="143" t="s">
        <v>284</v>
      </c>
      <c r="C87" s="144">
        <v>0</v>
      </c>
      <c r="E87" s="144">
        <v>0</v>
      </c>
      <c r="G87" s="144">
        <v>0</v>
      </c>
      <c r="I87" s="144">
        <v>0</v>
      </c>
      <c r="K87" s="144"/>
      <c r="M87" s="144"/>
      <c r="O87" s="144"/>
      <c r="Q87" s="144">
        <v>2413378</v>
      </c>
    </row>
    <row r="88" spans="1:17" ht="21" x14ac:dyDescent="0.65">
      <c r="A88" s="143" t="s">
        <v>230</v>
      </c>
      <c r="C88" s="144">
        <v>0</v>
      </c>
      <c r="E88" s="144">
        <v>0</v>
      </c>
      <c r="G88" s="144">
        <v>0</v>
      </c>
      <c r="I88" s="144">
        <v>0</v>
      </c>
      <c r="K88" s="144"/>
      <c r="M88" s="144"/>
      <c r="O88" s="144"/>
      <c r="Q88" s="144">
        <v>-20994592</v>
      </c>
    </row>
    <row r="89" spans="1:17" ht="21" x14ac:dyDescent="0.65">
      <c r="A89" s="143" t="s">
        <v>231</v>
      </c>
      <c r="C89" s="144">
        <v>0</v>
      </c>
      <c r="E89" s="144">
        <v>0</v>
      </c>
      <c r="G89" s="144">
        <v>0</v>
      </c>
      <c r="I89" s="144">
        <v>0</v>
      </c>
      <c r="K89" s="144"/>
      <c r="M89" s="144"/>
      <c r="O89" s="144"/>
      <c r="Q89" s="144">
        <v>186951848</v>
      </c>
    </row>
    <row r="90" spans="1:17" ht="21" x14ac:dyDescent="0.65">
      <c r="A90" s="143" t="s">
        <v>286</v>
      </c>
      <c r="C90" s="144">
        <v>0</v>
      </c>
      <c r="E90" s="144">
        <v>0</v>
      </c>
      <c r="G90" s="144">
        <v>0</v>
      </c>
      <c r="I90" s="144">
        <v>0</v>
      </c>
      <c r="K90" s="144"/>
      <c r="M90" s="144"/>
      <c r="O90" s="144"/>
      <c r="Q90" s="144">
        <v>239938200</v>
      </c>
    </row>
    <row r="91" spans="1:17" ht="21" x14ac:dyDescent="0.65">
      <c r="A91" s="143" t="s">
        <v>232</v>
      </c>
      <c r="C91" s="144">
        <v>0</v>
      </c>
      <c r="E91" s="144">
        <v>0</v>
      </c>
      <c r="G91" s="144">
        <v>0</v>
      </c>
      <c r="I91" s="144">
        <v>0</v>
      </c>
      <c r="K91" s="144"/>
      <c r="M91" s="144"/>
      <c r="O91" s="144"/>
      <c r="Q91" s="144">
        <v>19187058</v>
      </c>
    </row>
    <row r="92" spans="1:17" ht="21" x14ac:dyDescent="0.65">
      <c r="A92" s="143" t="s">
        <v>233</v>
      </c>
      <c r="C92" s="144">
        <v>0</v>
      </c>
      <c r="E92" s="144">
        <v>0</v>
      </c>
      <c r="G92" s="144">
        <v>0</v>
      </c>
      <c r="I92" s="144">
        <v>0</v>
      </c>
      <c r="K92" s="144"/>
      <c r="M92" s="144"/>
      <c r="O92" s="144"/>
      <c r="Q92" s="144">
        <v>-99619341</v>
      </c>
    </row>
    <row r="93" spans="1:17" ht="21" x14ac:dyDescent="0.65">
      <c r="A93" s="143" t="s">
        <v>234</v>
      </c>
      <c r="C93" s="144">
        <v>0</v>
      </c>
      <c r="E93" s="144">
        <v>0</v>
      </c>
      <c r="G93" s="144">
        <v>0</v>
      </c>
      <c r="I93" s="144">
        <v>0</v>
      </c>
      <c r="K93" s="144"/>
      <c r="M93" s="144"/>
      <c r="O93" s="144"/>
      <c r="Q93" s="144">
        <v>-17246938</v>
      </c>
    </row>
    <row r="94" spans="1:17" ht="21" x14ac:dyDescent="0.65">
      <c r="A94" s="143" t="s">
        <v>288</v>
      </c>
      <c r="C94" s="144">
        <v>0</v>
      </c>
      <c r="E94" s="144">
        <v>0</v>
      </c>
      <c r="G94" s="144">
        <v>0</v>
      </c>
      <c r="I94" s="144">
        <v>0</v>
      </c>
      <c r="K94" s="144"/>
      <c r="M94" s="144"/>
      <c r="O94" s="144"/>
      <c r="Q94" s="144">
        <v>-1058727</v>
      </c>
    </row>
    <row r="95" spans="1:17" ht="21" x14ac:dyDescent="0.65">
      <c r="A95" s="143" t="s">
        <v>289</v>
      </c>
      <c r="C95" s="144">
        <v>0</v>
      </c>
      <c r="E95" s="144">
        <v>0</v>
      </c>
      <c r="G95" s="144">
        <v>0</v>
      </c>
      <c r="I95" s="144">
        <v>0</v>
      </c>
      <c r="K95" s="144"/>
      <c r="M95" s="144"/>
      <c r="O95" s="144"/>
      <c r="Q95" s="144">
        <v>17717036</v>
      </c>
    </row>
    <row r="96" spans="1:17" ht="21" x14ac:dyDescent="0.65">
      <c r="A96" s="143" t="s">
        <v>235</v>
      </c>
      <c r="C96" s="144">
        <v>0</v>
      </c>
      <c r="E96" s="144">
        <v>0</v>
      </c>
      <c r="G96" s="144">
        <v>0</v>
      </c>
      <c r="I96" s="144">
        <v>0</v>
      </c>
      <c r="K96" s="144"/>
      <c r="M96" s="144"/>
      <c r="O96" s="144"/>
      <c r="Q96" s="144">
        <v>57921</v>
      </c>
    </row>
    <row r="97" spans="1:17" ht="21" x14ac:dyDescent="0.65">
      <c r="A97" s="143" t="s">
        <v>236</v>
      </c>
      <c r="C97" s="144">
        <v>0</v>
      </c>
      <c r="E97" s="144">
        <v>0</v>
      </c>
      <c r="G97" s="144">
        <v>0</v>
      </c>
      <c r="I97" s="144">
        <v>0</v>
      </c>
      <c r="K97" s="144"/>
      <c r="M97" s="144"/>
      <c r="O97" s="144"/>
      <c r="Q97" s="144">
        <v>3478672</v>
      </c>
    </row>
    <row r="98" spans="1:17" ht="21" x14ac:dyDescent="0.65">
      <c r="A98" s="143" t="s">
        <v>237</v>
      </c>
      <c r="C98" s="144">
        <v>0</v>
      </c>
      <c r="E98" s="144">
        <v>0</v>
      </c>
      <c r="G98" s="144">
        <v>0</v>
      </c>
      <c r="I98" s="144">
        <v>0</v>
      </c>
      <c r="K98" s="144"/>
      <c r="M98" s="144"/>
      <c r="O98" s="144"/>
      <c r="Q98" s="144">
        <v>851781</v>
      </c>
    </row>
    <row r="99" spans="1:17" ht="21" x14ac:dyDescent="0.65">
      <c r="A99" s="143" t="s">
        <v>238</v>
      </c>
      <c r="C99" s="144">
        <v>0</v>
      </c>
      <c r="E99" s="144">
        <v>0</v>
      </c>
      <c r="G99" s="144">
        <v>0</v>
      </c>
      <c r="I99" s="144">
        <v>0</v>
      </c>
      <c r="K99" s="144"/>
      <c r="M99" s="144"/>
      <c r="O99" s="144"/>
      <c r="Q99" s="144">
        <v>2659259</v>
      </c>
    </row>
    <row r="100" spans="1:17" ht="21" x14ac:dyDescent="0.65">
      <c r="A100" s="143" t="s">
        <v>239</v>
      </c>
      <c r="C100" s="144">
        <v>0</v>
      </c>
      <c r="E100" s="144">
        <v>0</v>
      </c>
      <c r="G100" s="144">
        <v>0</v>
      </c>
      <c r="I100" s="144">
        <v>0</v>
      </c>
      <c r="K100" s="144"/>
      <c r="M100" s="144"/>
      <c r="O100" s="144"/>
      <c r="Q100" s="144">
        <v>-1887514</v>
      </c>
    </row>
    <row r="101" spans="1:17" ht="21" x14ac:dyDescent="0.65">
      <c r="A101" s="143" t="s">
        <v>101</v>
      </c>
      <c r="C101" s="144">
        <v>41313066</v>
      </c>
      <c r="E101" s="144">
        <v>41436858537</v>
      </c>
      <c r="G101" s="144">
        <v>41461062028</v>
      </c>
      <c r="I101" s="144">
        <v>-24203491</v>
      </c>
      <c r="K101" s="144">
        <v>41313066</v>
      </c>
      <c r="M101" s="144">
        <v>41436858537</v>
      </c>
      <c r="O101" s="144">
        <v>39928590040</v>
      </c>
      <c r="Q101" s="144">
        <v>1508268497</v>
      </c>
    </row>
    <row r="102" spans="1:17" ht="21" x14ac:dyDescent="0.65">
      <c r="A102" s="143" t="s">
        <v>100</v>
      </c>
      <c r="C102" s="144">
        <v>1450000</v>
      </c>
      <c r="E102" s="144">
        <v>2337906195</v>
      </c>
      <c r="G102" s="144">
        <v>2248541100</v>
      </c>
      <c r="I102" s="144">
        <v>89365095</v>
      </c>
      <c r="K102" s="144">
        <v>1450000</v>
      </c>
      <c r="M102" s="144">
        <v>2337906195</v>
      </c>
      <c r="O102" s="144">
        <v>3997032301</v>
      </c>
      <c r="Q102" s="144">
        <v>-1659126106</v>
      </c>
    </row>
    <row r="103" spans="1:17" ht="21" x14ac:dyDescent="0.65">
      <c r="A103" s="143" t="s">
        <v>99</v>
      </c>
      <c r="C103" s="144">
        <v>44000</v>
      </c>
      <c r="E103" s="144">
        <v>13208936</v>
      </c>
      <c r="G103" s="144">
        <v>14004980</v>
      </c>
      <c r="I103" s="144">
        <v>-796044</v>
      </c>
      <c r="K103" s="144">
        <v>44000</v>
      </c>
      <c r="M103" s="144">
        <v>13208936</v>
      </c>
      <c r="O103" s="144">
        <v>14004980</v>
      </c>
      <c r="Q103" s="144">
        <v>-796044</v>
      </c>
    </row>
    <row r="104" spans="1:17" ht="21" x14ac:dyDescent="0.65">
      <c r="A104" s="143" t="s">
        <v>98</v>
      </c>
      <c r="C104" s="144">
        <v>15986000</v>
      </c>
      <c r="E104" s="144">
        <v>18576442578</v>
      </c>
      <c r="G104" s="144">
        <v>17458854417</v>
      </c>
      <c r="I104" s="144">
        <v>1117588161</v>
      </c>
      <c r="K104" s="144">
        <v>15986000</v>
      </c>
      <c r="M104" s="144">
        <v>18576442578</v>
      </c>
      <c r="O104" s="144">
        <v>23431803859</v>
      </c>
      <c r="Q104" s="144">
        <v>-4855361281</v>
      </c>
    </row>
    <row r="105" spans="1:17" ht="21" x14ac:dyDescent="0.65">
      <c r="A105" s="143" t="s">
        <v>97</v>
      </c>
      <c r="C105" s="144">
        <v>350000</v>
      </c>
      <c r="E105" s="144">
        <v>7688976750</v>
      </c>
      <c r="G105" s="144">
        <v>8729250075</v>
      </c>
      <c r="I105" s="144">
        <v>-1040273325</v>
      </c>
      <c r="K105" s="144">
        <v>350000</v>
      </c>
      <c r="M105" s="144">
        <v>7688976750</v>
      </c>
      <c r="O105" s="144">
        <v>9356708412</v>
      </c>
      <c r="Q105" s="144">
        <v>-1667731662</v>
      </c>
    </row>
    <row r="106" spans="1:17" ht="21" x14ac:dyDescent="0.65">
      <c r="A106" s="143" t="s">
        <v>96</v>
      </c>
      <c r="C106" s="144">
        <v>2200000</v>
      </c>
      <c r="E106" s="144">
        <v>20382001200</v>
      </c>
      <c r="G106" s="144">
        <v>22053275536</v>
      </c>
      <c r="I106" s="144">
        <v>-1671274336</v>
      </c>
      <c r="K106" s="144">
        <v>2200000</v>
      </c>
      <c r="M106" s="144">
        <v>20382001200</v>
      </c>
      <c r="O106" s="144">
        <v>24657900005</v>
      </c>
      <c r="Q106" s="144">
        <v>-4275898805</v>
      </c>
    </row>
    <row r="107" spans="1:17" ht="21" x14ac:dyDescent="0.65">
      <c r="A107" s="143" t="s">
        <v>95</v>
      </c>
      <c r="C107" s="144">
        <v>3800000</v>
      </c>
      <c r="E107" s="144">
        <v>32070041100</v>
      </c>
      <c r="G107" s="144">
        <v>29981621736</v>
      </c>
      <c r="I107" s="144">
        <v>2088419364</v>
      </c>
      <c r="K107" s="144">
        <v>3800000</v>
      </c>
      <c r="M107" s="144">
        <v>32070041100</v>
      </c>
      <c r="O107" s="144">
        <v>39379069583</v>
      </c>
      <c r="Q107" s="144">
        <v>-7309028483</v>
      </c>
    </row>
    <row r="108" spans="1:17" ht="21" x14ac:dyDescent="0.65">
      <c r="A108" s="143" t="s">
        <v>94</v>
      </c>
      <c r="C108" s="144"/>
      <c r="E108" s="144"/>
      <c r="G108" s="144"/>
      <c r="I108" s="144">
        <v>27919950</v>
      </c>
      <c r="K108" s="144">
        <v>0</v>
      </c>
      <c r="M108" s="144">
        <v>0</v>
      </c>
      <c r="O108" s="144">
        <v>0</v>
      </c>
      <c r="Q108" s="144">
        <v>0</v>
      </c>
    </row>
    <row r="109" spans="1:17" ht="21" x14ac:dyDescent="0.65">
      <c r="A109" s="143" t="s">
        <v>93</v>
      </c>
      <c r="C109" s="144"/>
      <c r="E109" s="144"/>
      <c r="G109" s="144"/>
      <c r="I109" s="144">
        <v>366043763</v>
      </c>
      <c r="K109" s="144">
        <v>0</v>
      </c>
      <c r="M109" s="144">
        <v>0</v>
      </c>
      <c r="O109" s="144">
        <v>0</v>
      </c>
      <c r="Q109" s="144">
        <v>0</v>
      </c>
    </row>
    <row r="110" spans="1:17" ht="21" x14ac:dyDescent="0.65">
      <c r="A110" s="143" t="s">
        <v>92</v>
      </c>
      <c r="C110" s="144">
        <v>2000000</v>
      </c>
      <c r="E110" s="144">
        <v>15387894000</v>
      </c>
      <c r="G110" s="144">
        <v>13904711696</v>
      </c>
      <c r="I110" s="144">
        <v>1483182304</v>
      </c>
      <c r="K110" s="144">
        <v>2000000</v>
      </c>
      <c r="M110" s="144">
        <v>15387894000</v>
      </c>
      <c r="O110" s="144">
        <v>18537283220</v>
      </c>
      <c r="Q110" s="144">
        <v>-3149389220</v>
      </c>
    </row>
    <row r="111" spans="1:17" ht="21" x14ac:dyDescent="0.65">
      <c r="A111" s="143" t="s">
        <v>91</v>
      </c>
      <c r="C111" s="144">
        <v>1875000</v>
      </c>
      <c r="E111" s="144">
        <v>5682859594</v>
      </c>
      <c r="G111" s="144">
        <v>6038853750</v>
      </c>
      <c r="I111" s="144">
        <v>-355994156</v>
      </c>
      <c r="K111" s="144">
        <v>1875000</v>
      </c>
      <c r="M111" s="144">
        <v>5682859594</v>
      </c>
      <c r="O111" s="144">
        <v>6098945898</v>
      </c>
      <c r="Q111" s="144">
        <v>-416086304</v>
      </c>
    </row>
    <row r="112" spans="1:17" ht="21" x14ac:dyDescent="0.65">
      <c r="A112" s="143" t="s">
        <v>90</v>
      </c>
      <c r="C112" s="144">
        <v>9100000</v>
      </c>
      <c r="E112" s="144">
        <v>62778233700</v>
      </c>
      <c r="G112" s="144">
        <v>61240438350</v>
      </c>
      <c r="I112" s="144">
        <v>1537795350</v>
      </c>
      <c r="K112" s="144">
        <v>9100000</v>
      </c>
      <c r="M112" s="144">
        <v>62778233700</v>
      </c>
      <c r="O112" s="144">
        <v>62515757379</v>
      </c>
      <c r="Q112" s="144">
        <v>262476321</v>
      </c>
    </row>
    <row r="113" spans="1:17" ht="21" x14ac:dyDescent="0.65">
      <c r="A113" s="143" t="s">
        <v>89</v>
      </c>
      <c r="C113" s="144">
        <v>650000</v>
      </c>
      <c r="E113" s="144">
        <v>8535410325</v>
      </c>
      <c r="G113" s="144">
        <v>9039718774</v>
      </c>
      <c r="I113" s="144">
        <v>-504308449</v>
      </c>
      <c r="K113" s="144">
        <v>650000</v>
      </c>
      <c r="M113" s="144">
        <v>8535410325</v>
      </c>
      <c r="O113" s="144">
        <v>12985103224</v>
      </c>
      <c r="Q113" s="144">
        <v>-4449692899</v>
      </c>
    </row>
    <row r="114" spans="1:17" ht="21" x14ac:dyDescent="0.65">
      <c r="A114" s="143" t="s">
        <v>88</v>
      </c>
      <c r="C114" s="144">
        <v>14400000</v>
      </c>
      <c r="E114" s="144">
        <v>31920933600</v>
      </c>
      <c r="G114" s="144">
        <v>30489501600</v>
      </c>
      <c r="I114" s="144">
        <v>1431432000</v>
      </c>
      <c r="K114" s="144">
        <v>14400000</v>
      </c>
      <c r="M114" s="144">
        <v>31920933600</v>
      </c>
      <c r="O114" s="144">
        <v>60133581882</v>
      </c>
      <c r="Q114" s="144">
        <v>-28212648282</v>
      </c>
    </row>
    <row r="115" spans="1:17" ht="21" x14ac:dyDescent="0.65">
      <c r="A115" s="143" t="s">
        <v>347</v>
      </c>
      <c r="C115" s="144"/>
      <c r="E115" s="144"/>
      <c r="G115" s="144"/>
      <c r="I115" s="144">
        <v>136185525</v>
      </c>
      <c r="K115" s="144">
        <v>0</v>
      </c>
      <c r="M115" s="144">
        <v>0</v>
      </c>
      <c r="O115" s="144">
        <v>0</v>
      </c>
      <c r="Q115" s="144">
        <v>0</v>
      </c>
    </row>
    <row r="116" spans="1:17" ht="21" x14ac:dyDescent="0.65">
      <c r="A116" s="143" t="s">
        <v>86</v>
      </c>
      <c r="C116" s="144">
        <v>11000000</v>
      </c>
      <c r="E116" s="144">
        <v>64185808500</v>
      </c>
      <c r="G116" s="144">
        <v>59593297500</v>
      </c>
      <c r="I116" s="144">
        <v>4592511000</v>
      </c>
      <c r="K116" s="144">
        <v>11000000</v>
      </c>
      <c r="M116" s="144">
        <v>64185808500</v>
      </c>
      <c r="O116" s="144">
        <v>64088961893</v>
      </c>
      <c r="Q116" s="144">
        <v>96846607</v>
      </c>
    </row>
    <row r="117" spans="1:17" ht="21" x14ac:dyDescent="0.65">
      <c r="A117" s="143" t="s">
        <v>85</v>
      </c>
      <c r="C117" s="144">
        <v>700000</v>
      </c>
      <c r="E117" s="144">
        <v>8148227850</v>
      </c>
      <c r="G117" s="144">
        <v>8067842097</v>
      </c>
      <c r="I117" s="144">
        <v>80385753</v>
      </c>
      <c r="K117" s="144">
        <v>700000</v>
      </c>
      <c r="M117" s="144">
        <v>8148227850</v>
      </c>
      <c r="O117" s="144">
        <v>9935597718</v>
      </c>
      <c r="Q117" s="144">
        <v>-1787369868</v>
      </c>
    </row>
    <row r="118" spans="1:17" ht="21" x14ac:dyDescent="0.65">
      <c r="A118" s="143" t="s">
        <v>84</v>
      </c>
      <c r="C118" s="144">
        <v>7850000</v>
      </c>
      <c r="E118" s="144">
        <v>27124244730</v>
      </c>
      <c r="G118" s="144">
        <v>24237026505</v>
      </c>
      <c r="I118" s="144">
        <v>2887218225</v>
      </c>
      <c r="K118" s="144">
        <v>7850000</v>
      </c>
      <c r="M118" s="144">
        <v>27124244730</v>
      </c>
      <c r="O118" s="144">
        <v>26448765353</v>
      </c>
      <c r="Q118" s="144">
        <v>675479377</v>
      </c>
    </row>
    <row r="119" spans="1:17" ht="21" x14ac:dyDescent="0.65">
      <c r="A119" s="143" t="s">
        <v>83</v>
      </c>
      <c r="C119" s="144">
        <v>1400000</v>
      </c>
      <c r="E119" s="144">
        <v>14195034000</v>
      </c>
      <c r="G119" s="144">
        <v>12789447300</v>
      </c>
      <c r="I119" s="144">
        <v>1405586700</v>
      </c>
      <c r="K119" s="144">
        <v>1400000</v>
      </c>
      <c r="M119" s="144">
        <v>14195034000</v>
      </c>
      <c r="O119" s="144">
        <v>14385369699</v>
      </c>
      <c r="Q119" s="144">
        <v>-190335699</v>
      </c>
    </row>
    <row r="120" spans="1:17" ht="21" x14ac:dyDescent="0.65">
      <c r="A120" s="143" t="s">
        <v>82</v>
      </c>
      <c r="C120" s="144">
        <v>600000</v>
      </c>
      <c r="E120" s="144">
        <v>10497168000</v>
      </c>
      <c r="G120" s="144">
        <v>9775487700</v>
      </c>
      <c r="I120" s="144">
        <v>721680300</v>
      </c>
      <c r="K120" s="144">
        <v>600000</v>
      </c>
      <c r="M120" s="144">
        <v>10497168000</v>
      </c>
      <c r="O120" s="144">
        <v>9977571542</v>
      </c>
      <c r="Q120" s="144">
        <v>519596458</v>
      </c>
    </row>
    <row r="121" spans="1:17" ht="21" x14ac:dyDescent="0.65">
      <c r="A121" s="143" t="s">
        <v>81</v>
      </c>
      <c r="C121" s="144">
        <v>5100000</v>
      </c>
      <c r="E121" s="144">
        <v>10985942385</v>
      </c>
      <c r="G121" s="144">
        <v>10012568625</v>
      </c>
      <c r="I121" s="144">
        <v>973373760</v>
      </c>
      <c r="K121" s="144">
        <v>5100000</v>
      </c>
      <c r="M121" s="144">
        <v>10985942385</v>
      </c>
      <c r="O121" s="144">
        <v>10807527261</v>
      </c>
      <c r="Q121" s="144">
        <v>178415124</v>
      </c>
    </row>
    <row r="122" spans="1:17" ht="21" x14ac:dyDescent="0.65">
      <c r="A122" s="143" t="s">
        <v>80</v>
      </c>
      <c r="C122" s="144">
        <v>450000</v>
      </c>
      <c r="E122" s="144">
        <v>25094792250</v>
      </c>
      <c r="G122" s="144">
        <v>23100972010</v>
      </c>
      <c r="I122" s="144">
        <v>1993820240</v>
      </c>
      <c r="K122" s="144">
        <v>450000</v>
      </c>
      <c r="M122" s="144">
        <v>25094792250</v>
      </c>
      <c r="O122" s="144">
        <v>26681043084</v>
      </c>
      <c r="Q122" s="144">
        <v>-1586250834</v>
      </c>
    </row>
    <row r="123" spans="1:17" ht="21" x14ac:dyDescent="0.65">
      <c r="A123" s="143" t="s">
        <v>79</v>
      </c>
      <c r="C123" s="144">
        <v>3900000</v>
      </c>
      <c r="E123" s="144">
        <v>15701019750</v>
      </c>
      <c r="G123" s="144">
        <v>14549611635</v>
      </c>
      <c r="I123" s="144">
        <v>1151408115</v>
      </c>
      <c r="K123" s="144">
        <v>3900000</v>
      </c>
      <c r="M123" s="144">
        <v>15701019750</v>
      </c>
      <c r="O123" s="144">
        <v>17451066898</v>
      </c>
      <c r="Q123" s="144">
        <v>-1750047148</v>
      </c>
    </row>
    <row r="124" spans="1:17" ht="21" x14ac:dyDescent="0.65">
      <c r="A124" s="143" t="s">
        <v>78</v>
      </c>
      <c r="C124" s="144">
        <v>200000</v>
      </c>
      <c r="E124" s="144">
        <v>7037874000</v>
      </c>
      <c r="G124" s="144">
        <v>7624363500</v>
      </c>
      <c r="I124" s="144">
        <v>-586489500</v>
      </c>
      <c r="K124" s="144">
        <v>200000</v>
      </c>
      <c r="M124" s="144">
        <v>7037874000</v>
      </c>
      <c r="O124" s="144">
        <v>10198953000</v>
      </c>
      <c r="Q124" s="144">
        <v>-3161079000</v>
      </c>
    </row>
    <row r="125" spans="1:17" ht="21" x14ac:dyDescent="0.65">
      <c r="A125" s="143" t="s">
        <v>77</v>
      </c>
      <c r="C125" s="144">
        <v>600000</v>
      </c>
      <c r="E125" s="144">
        <v>18698080500</v>
      </c>
      <c r="G125" s="144">
        <v>16652325600</v>
      </c>
      <c r="I125" s="144">
        <v>2045754900</v>
      </c>
      <c r="K125" s="144">
        <v>600000</v>
      </c>
      <c r="M125" s="144">
        <v>18698080500</v>
      </c>
      <c r="O125" s="144">
        <v>20490964280</v>
      </c>
      <c r="Q125" s="144">
        <v>-1792883780</v>
      </c>
    </row>
    <row r="126" spans="1:17" ht="21" x14ac:dyDescent="0.65">
      <c r="A126" s="143" t="s">
        <v>76</v>
      </c>
      <c r="C126" s="144">
        <v>650000</v>
      </c>
      <c r="E126" s="144">
        <v>22459565700</v>
      </c>
      <c r="G126" s="144">
        <v>23170313778</v>
      </c>
      <c r="I126" s="144">
        <v>-710748078</v>
      </c>
      <c r="K126" s="144">
        <v>650000</v>
      </c>
      <c r="M126" s="144">
        <v>22459565700</v>
      </c>
      <c r="O126" s="144">
        <v>21657053879</v>
      </c>
      <c r="Q126" s="144">
        <v>802511821</v>
      </c>
    </row>
    <row r="127" spans="1:17" ht="21" x14ac:dyDescent="0.65">
      <c r="A127" s="143" t="s">
        <v>75</v>
      </c>
      <c r="C127" s="144">
        <v>3000000</v>
      </c>
      <c r="E127" s="144">
        <v>7157160000</v>
      </c>
      <c r="G127" s="144">
        <v>7518000150</v>
      </c>
      <c r="I127" s="144">
        <v>-360840150</v>
      </c>
      <c r="K127" s="144">
        <v>3000000</v>
      </c>
      <c r="M127" s="144">
        <v>7157160000</v>
      </c>
      <c r="O127" s="144">
        <v>9391845064</v>
      </c>
      <c r="Q127" s="144">
        <v>-2234685064</v>
      </c>
    </row>
    <row r="128" spans="1:17" ht="21" x14ac:dyDescent="0.65">
      <c r="A128" s="143" t="s">
        <v>74</v>
      </c>
      <c r="C128" s="144">
        <v>120000</v>
      </c>
      <c r="E128" s="144">
        <v>30083929200</v>
      </c>
      <c r="G128" s="144">
        <v>31994890920</v>
      </c>
      <c r="I128" s="144">
        <v>-1910961720</v>
      </c>
      <c r="K128" s="144">
        <v>120000</v>
      </c>
      <c r="M128" s="144">
        <v>30083929200</v>
      </c>
      <c r="O128" s="144">
        <v>25691355258</v>
      </c>
      <c r="Q128" s="144">
        <v>4392573942</v>
      </c>
    </row>
    <row r="129" spans="1:17" ht="21" x14ac:dyDescent="0.65">
      <c r="A129" s="143" t="s">
        <v>73</v>
      </c>
      <c r="C129" s="144">
        <v>1100000</v>
      </c>
      <c r="E129" s="144">
        <v>15986312100</v>
      </c>
      <c r="G129" s="144">
        <v>15767621100</v>
      </c>
      <c r="I129" s="144">
        <v>218691000</v>
      </c>
      <c r="K129" s="144">
        <v>1100000</v>
      </c>
      <c r="M129" s="144">
        <v>15986312100</v>
      </c>
      <c r="O129" s="144">
        <v>21578642442</v>
      </c>
      <c r="Q129" s="144">
        <v>-5592330342</v>
      </c>
    </row>
    <row r="130" spans="1:17" ht="21" x14ac:dyDescent="0.65">
      <c r="A130" s="143" t="s">
        <v>72</v>
      </c>
      <c r="C130" s="144"/>
      <c r="E130" s="144"/>
      <c r="G130" s="144"/>
      <c r="I130" s="144">
        <v>3177422</v>
      </c>
      <c r="K130" s="144">
        <v>0</v>
      </c>
      <c r="M130" s="144">
        <v>0</v>
      </c>
      <c r="O130" s="144">
        <v>0</v>
      </c>
      <c r="Q130" s="144">
        <v>0</v>
      </c>
    </row>
    <row r="131" spans="1:17" ht="21" x14ac:dyDescent="0.65">
      <c r="A131" s="143" t="s">
        <v>71</v>
      </c>
      <c r="C131" s="144">
        <v>2000000</v>
      </c>
      <c r="E131" s="144">
        <v>11411694000</v>
      </c>
      <c r="G131" s="144">
        <v>11690028000</v>
      </c>
      <c r="I131" s="144">
        <v>-278334000</v>
      </c>
      <c r="K131" s="144">
        <v>2000000</v>
      </c>
      <c r="M131" s="144">
        <v>11411694000</v>
      </c>
      <c r="O131" s="144">
        <v>10437525000</v>
      </c>
      <c r="Q131" s="144">
        <v>974169000</v>
      </c>
    </row>
    <row r="132" spans="1:17" ht="21" x14ac:dyDescent="0.65">
      <c r="A132" s="143" t="s">
        <v>70</v>
      </c>
      <c r="C132" s="144">
        <v>100000</v>
      </c>
      <c r="E132" s="144">
        <v>2862864000</v>
      </c>
      <c r="G132" s="144">
        <v>3146168250</v>
      </c>
      <c r="I132" s="144">
        <v>-283304250</v>
      </c>
      <c r="K132" s="144">
        <v>100000</v>
      </c>
      <c r="M132" s="144">
        <v>2862864000</v>
      </c>
      <c r="O132" s="144">
        <v>2552366400</v>
      </c>
      <c r="Q132" s="144">
        <v>310497600</v>
      </c>
    </row>
    <row r="133" spans="1:17" ht="21" x14ac:dyDescent="0.65">
      <c r="A133" s="143" t="s">
        <v>69</v>
      </c>
      <c r="C133" s="144">
        <v>500000</v>
      </c>
      <c r="E133" s="144">
        <v>34592940000</v>
      </c>
      <c r="G133" s="144">
        <v>32531092601</v>
      </c>
      <c r="I133" s="144">
        <v>2061847399</v>
      </c>
      <c r="K133" s="144">
        <v>500000</v>
      </c>
      <c r="M133" s="144">
        <v>34592940000</v>
      </c>
      <c r="O133" s="144">
        <v>23754619620</v>
      </c>
      <c r="Q133" s="144">
        <v>10838320380</v>
      </c>
    </row>
    <row r="134" spans="1:17" ht="21" x14ac:dyDescent="0.65">
      <c r="A134" s="143" t="s">
        <v>68</v>
      </c>
      <c r="C134" s="144">
        <v>5802960</v>
      </c>
      <c r="E134" s="144">
        <v>10815810727</v>
      </c>
      <c r="G134" s="144">
        <v>10723515809</v>
      </c>
      <c r="I134" s="144">
        <v>92294918</v>
      </c>
      <c r="K134" s="144">
        <v>5802960</v>
      </c>
      <c r="M134" s="144">
        <v>10815810727</v>
      </c>
      <c r="O134" s="144">
        <v>18106932355</v>
      </c>
      <c r="Q134" s="144">
        <v>-7291121628</v>
      </c>
    </row>
    <row r="135" spans="1:17" ht="21" x14ac:dyDescent="0.65">
      <c r="A135" s="143" t="s">
        <v>67</v>
      </c>
      <c r="C135" s="144">
        <v>1800000</v>
      </c>
      <c r="E135" s="144">
        <v>2963064240</v>
      </c>
      <c r="G135" s="144">
        <v>2970221400</v>
      </c>
      <c r="I135" s="144">
        <v>-7157160</v>
      </c>
      <c r="K135" s="144">
        <v>1800000</v>
      </c>
      <c r="M135" s="144">
        <v>2963064240</v>
      </c>
      <c r="O135" s="144">
        <v>5880258489</v>
      </c>
      <c r="Q135" s="144">
        <v>-2917194249</v>
      </c>
    </row>
    <row r="136" spans="1:17" ht="21.6" thickBot="1" x14ac:dyDescent="0.7">
      <c r="A136" s="145" t="s">
        <v>9</v>
      </c>
      <c r="C136" s="148"/>
      <c r="E136" s="145">
        <f>SUM(E9:$E$135)</f>
        <v>624857357394</v>
      </c>
      <c r="G136" s="145">
        <f>SUM(G9:$G$135)</f>
        <v>604315957281</v>
      </c>
      <c r="I136" s="145">
        <f>SUM(I9:$I$135)</f>
        <v>21283126175</v>
      </c>
      <c r="K136" s="148"/>
      <c r="M136" s="145">
        <f>SUM(M9:$M$135)</f>
        <v>624857357394</v>
      </c>
      <c r="O136" s="145">
        <f>SUM(O9:$O$135)</f>
        <v>690332446772</v>
      </c>
      <c r="Q136" s="145">
        <f>SUM(Q9:$Q$135)</f>
        <v>-62972654033</v>
      </c>
    </row>
    <row r="137" spans="1:17" ht="21.6" thickTop="1" x14ac:dyDescent="0.65">
      <c r="C137" s="148"/>
      <c r="E137" s="146"/>
      <c r="G137" s="146"/>
      <c r="I137" s="146"/>
      <c r="K137" s="148"/>
      <c r="M137" s="146"/>
      <c r="O137" s="146"/>
      <c r="Q137" s="146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  <vt:lpstr>'1'!Print_Area</vt:lpstr>
      <vt:lpstr>'2'!Print_Area</vt:lpstr>
      <vt:lpstr>'3'!Print_Area</vt:lpstr>
      <vt:lpstr>'4'!Print_Area</vt:lpstr>
      <vt:lpstr>'5'!Print_Area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Arash Ranjbar</cp:lastModifiedBy>
  <dcterms:created xsi:type="dcterms:W3CDTF">2025-09-29T23:35:50Z</dcterms:created>
  <dcterms:modified xsi:type="dcterms:W3CDTF">2025-10-01T16:02:43Z</dcterms:modified>
</cp:coreProperties>
</file>