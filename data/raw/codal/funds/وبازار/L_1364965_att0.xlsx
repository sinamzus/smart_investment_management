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hmadi\Desktop\گزارشات مالی\پرتفو\"/>
    </mc:Choice>
  </mc:AlternateContent>
  <xr:revisionPtr revIDLastSave="0" documentId="13_ncr:1_{01327C35-E661-482C-883D-6AD185326C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" sheetId="21" r:id="rId1"/>
    <sheet name="1" sheetId="22" r:id="rId2"/>
    <sheet name="2" sheetId="26" r:id="rId3"/>
    <sheet name="3" sheetId="28" r:id="rId4"/>
    <sheet name="4" sheetId="33" r:id="rId5"/>
    <sheet name="5" sheetId="35" r:id="rId6"/>
    <sheet name="6" sheetId="36" r:id="rId7"/>
    <sheet name="7" sheetId="29" r:id="rId8"/>
    <sheet name="8" sheetId="30" r:id="rId9"/>
    <sheet name="9" sheetId="31" r:id="rId10"/>
    <sheet name="10" sheetId="32" r:id="rId11"/>
  </sheets>
  <definedNames>
    <definedName name="_xlnm.Print_Area" localSheetId="0">'0'!$A$1:$J$29</definedName>
    <definedName name="_xlnm.Print_Area" localSheetId="1">'1'!$A$1:$W$72</definedName>
    <definedName name="_xlnm.Print_Area" localSheetId="2">'2'!$A$1:$S$13</definedName>
    <definedName name="_xlnm.Print_Area" localSheetId="3">'3'!$A$1:$I$12</definedName>
    <definedName name="_xlnm.Print_Titles" localSheetId="1">'1'!$1:$10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8" l="1"/>
  <c r="E9" i="28"/>
  <c r="E8" i="28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S67" i="33"/>
  <c r="S68" i="33"/>
  <c r="S69" i="33"/>
  <c r="S70" i="33"/>
  <c r="S71" i="33"/>
  <c r="S72" i="33"/>
  <c r="S73" i="33"/>
  <c r="S74" i="33"/>
  <c r="S75" i="33"/>
  <c r="S76" i="33"/>
  <c r="S77" i="33"/>
  <c r="S78" i="33"/>
  <c r="S79" i="33"/>
  <c r="S80" i="33"/>
  <c r="S81" i="33"/>
  <c r="S82" i="33"/>
  <c r="S83" i="33"/>
  <c r="S84" i="33"/>
  <c r="S85" i="33"/>
  <c r="S86" i="33"/>
  <c r="S87" i="33"/>
  <c r="S88" i="33"/>
  <c r="S89" i="33"/>
  <c r="S90" i="33"/>
  <c r="S91" i="33"/>
  <c r="S92" i="33"/>
  <c r="S93" i="33"/>
  <c r="S94" i="33"/>
  <c r="S95" i="33"/>
  <c r="S96" i="33"/>
  <c r="S97" i="33"/>
  <c r="S98" i="33"/>
  <c r="S99" i="33"/>
  <c r="S100" i="33"/>
  <c r="S101" i="33"/>
  <c r="S102" i="33"/>
  <c r="S103" i="33"/>
  <c r="S104" i="33"/>
  <c r="S105" i="33"/>
  <c r="S106" i="33"/>
  <c r="S107" i="33"/>
  <c r="S108" i="33"/>
  <c r="S109" i="33"/>
  <c r="S110" i="33"/>
  <c r="S111" i="33"/>
  <c r="S112" i="33"/>
  <c r="S113" i="33"/>
  <c r="S114" i="33"/>
  <c r="S115" i="33"/>
  <c r="S116" i="33"/>
  <c r="S117" i="33"/>
  <c r="S118" i="33"/>
  <c r="S119" i="33"/>
  <c r="S120" i="33"/>
  <c r="S121" i="33"/>
  <c r="S122" i="33"/>
  <c r="S123" i="33"/>
  <c r="S124" i="33"/>
  <c r="S125" i="33"/>
  <c r="S126" i="33"/>
  <c r="S127" i="33"/>
  <c r="S128" i="33"/>
  <c r="S129" i="33"/>
  <c r="S130" i="33"/>
  <c r="S131" i="33"/>
  <c r="S132" i="33"/>
  <c r="S133" i="33"/>
  <c r="S134" i="33"/>
  <c r="S135" i="33"/>
  <c r="S136" i="33"/>
  <c r="S137" i="33"/>
  <c r="S138" i="33"/>
  <c r="S139" i="33"/>
  <c r="S140" i="33"/>
  <c r="S141" i="33"/>
  <c r="S142" i="33"/>
  <c r="S143" i="33"/>
  <c r="S144" i="33"/>
  <c r="S145" i="33"/>
  <c r="S146" i="33"/>
  <c r="S147" i="33"/>
  <c r="S148" i="33"/>
  <c r="S149" i="33"/>
  <c r="S150" i="33"/>
  <c r="S151" i="33"/>
  <c r="S152" i="33"/>
  <c r="S153" i="33"/>
  <c r="S154" i="33"/>
  <c r="S155" i="33"/>
  <c r="S156" i="33"/>
  <c r="S157" i="33"/>
  <c r="S158" i="33"/>
  <c r="S159" i="33"/>
  <c r="S160" i="33"/>
  <c r="S161" i="33"/>
  <c r="S162" i="33"/>
  <c r="S163" i="33"/>
  <c r="S164" i="33"/>
  <c r="S165" i="33"/>
  <c r="S166" i="33"/>
  <c r="S167" i="33"/>
  <c r="S168" i="33"/>
  <c r="S169" i="33"/>
  <c r="S170" i="33"/>
  <c r="S171" i="33"/>
  <c r="S172" i="33"/>
  <c r="S173" i="33"/>
  <c r="S174" i="33"/>
  <c r="S175" i="33"/>
  <c r="S176" i="33"/>
  <c r="S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9" i="33"/>
  <c r="I18" i="29" l="1"/>
  <c r="K18" i="29"/>
  <c r="M18" i="29"/>
  <c r="K10" i="35"/>
  <c r="K9" i="35"/>
  <c r="G10" i="35"/>
  <c r="G9" i="35"/>
  <c r="E10" i="36"/>
  <c r="C10" i="36"/>
  <c r="I11" i="35"/>
  <c r="E11" i="35"/>
  <c r="U177" i="33"/>
  <c r="S177" i="33"/>
  <c r="Q177" i="33"/>
  <c r="O177" i="33"/>
  <c r="M177" i="33"/>
  <c r="K177" i="33"/>
  <c r="I177" i="33"/>
  <c r="G177" i="33"/>
  <c r="E177" i="33"/>
  <c r="C177" i="33"/>
  <c r="Q146" i="32"/>
  <c r="O146" i="32"/>
  <c r="M146" i="32"/>
  <c r="I146" i="32"/>
  <c r="G146" i="32"/>
  <c r="E146" i="32"/>
  <c r="Q148" i="31"/>
  <c r="O148" i="31"/>
  <c r="M148" i="31"/>
  <c r="I148" i="31"/>
  <c r="G148" i="31"/>
  <c r="E148" i="31"/>
  <c r="S11" i="30"/>
  <c r="Q11" i="30"/>
  <c r="O11" i="30"/>
  <c r="M11" i="30"/>
  <c r="K11" i="30"/>
  <c r="I11" i="30"/>
  <c r="S18" i="29"/>
  <c r="Q18" i="29"/>
  <c r="O18" i="29"/>
  <c r="E11" i="28"/>
  <c r="S12" i="26"/>
  <c r="Q12" i="26"/>
  <c r="O12" i="26"/>
  <c r="M12" i="26"/>
  <c r="K12" i="26"/>
  <c r="W71" i="22"/>
  <c r="U71" i="22"/>
  <c r="S71" i="22"/>
  <c r="M71" i="22"/>
  <c r="J71" i="22"/>
  <c r="G71" i="22"/>
  <c r="E71" i="22"/>
  <c r="G8" i="28" l="1"/>
  <c r="G9" i="28"/>
  <c r="G10" i="28"/>
  <c r="G11" i="28"/>
  <c r="I11" i="28"/>
  <c r="K11" i="35"/>
  <c r="G11" i="35"/>
</calcChain>
</file>

<file path=xl/sharedStrings.xml><?xml version="1.0" encoding="utf-8"?>
<sst xmlns="http://schemas.openxmlformats.org/spreadsheetml/2006/main" count="727" uniqueCount="305">
  <si>
    <t>‫صورت وضعیت پورتفوی</t>
  </si>
  <si>
    <t>‫برای ماه منتهی به 1404/03/31</t>
  </si>
  <si>
    <t>‫1404/02/31</t>
  </si>
  <si>
    <t>‫1404/03/31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</si>
  <si>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</si>
  <si>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</si>
  <si>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</si>
  <si>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</si>
  <si>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</si>
  <si>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</si>
  <si>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</si>
  <si>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‫23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</si>
  <si>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</si>
  <si>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</si>
  <si>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</si>
  <si>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</si>
  <si>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</si>
  <si>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</si>
  <si>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</si>
  <si>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</si>
  <si>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</si>
  <si>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</si>
  <si>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‫کوتاه مدت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</si>
  <si>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</si>
  <si>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</si>
  <si>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</si>
  <si>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</si>
  <si>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</si>
  <si>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</si>
  <si>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</si>
  <si>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</si>
  <si>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سپرده بانکی و گواهی سپرده</t>
  </si>
  <si>
    <t>‫هزینه تنزیل</t>
  </si>
  <si>
    <t>‫تاریخ دریافت سود</t>
  </si>
  <si>
    <t>‫درآمد سود</t>
  </si>
  <si>
    <t>‫خالص درآمد</t>
  </si>
  <si>
    <t>‫1404/03/01</t>
  </si>
  <si>
    <t>‫ارزش دفتری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</si>
  <si>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</si>
  <si>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</si>
  <si>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</si>
  <si>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</si>
  <si>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</si>
  <si>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</si>
  <si>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</si>
  <si>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‫سپرده بانکی کوتاه مدت - گردشگري</t>
  </si>
  <si>
    <t>‫سپرده بانکی کوتاه مدت - پاسارگاد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</si>
  <si>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</si>
  <si>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</si>
  <si>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</si>
  <si>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</si>
  <si>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</si>
  <si>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</si>
  <si>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</si>
  <si>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‫تغییرات طی خرداد ماه</t>
  </si>
  <si>
    <t>‫خرید طی خرداد ماه</t>
  </si>
  <si>
    <t>‫فروش طی خرداد ماه</t>
  </si>
  <si>
    <t>‫1-2- سرمایه گذاری در سپرده بانکی</t>
  </si>
  <si>
    <t>طی خرداد ماه</t>
  </si>
  <si>
    <t>از ابتدای سال مالی تا پایان خرداد ماه</t>
  </si>
  <si>
    <t>‫2-2- درآمد حاصل از سرمایه گذاری در سپرده بانکی و گواهی سپرده:</t>
  </si>
  <si>
    <t>‫درصد سود به کل سود سپرده</t>
  </si>
  <si>
    <t>‫سود سپرده بانکی</t>
  </si>
  <si>
    <t>صندوق ‫سرمایه گذاری قابل معامله شاخصی بازار آشنا</t>
  </si>
  <si>
    <t>‫سرمایه گذاری قابل معامله شاخصی بازار آشنا</t>
  </si>
  <si>
    <t>‫1- سرمایه گذاری ها</t>
  </si>
  <si>
    <t>‫1-1- سرمایه گذاری در سهام و حق تقدم سهام</t>
  </si>
  <si>
    <t>‫شرکت</t>
  </si>
  <si>
    <t>‫قیمت بازار هر سهم</t>
  </si>
  <si>
    <t>‫اخشان خراسان</t>
  </si>
  <si>
    <t>‫ارتباطات سیار</t>
  </si>
  <si>
    <t>‫اقتصاد نوين</t>
  </si>
  <si>
    <t>‫انتقال داده هاي آسياتك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</si>
  <si>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</si>
  <si>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</si>
  <si>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</si>
  <si>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</si>
  <si>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</si>
  <si>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نيشكر و صنايع جانبي</t>
  </si>
  <si>
    <t>‫توسعه‌معادن‌وفلزات‌</t>
  </si>
  <si>
    <t>‫توليد انرژي برق شمس پاسارگاد</t>
  </si>
  <si>
    <t>‫توليدي برنا باطري</t>
  </si>
  <si>
    <t>‫تولید برق دماوند</t>
  </si>
  <si>
    <t>‫سايپا</t>
  </si>
  <si>
    <t>‫سرمايه گذاري تامين اجتماعي</t>
  </si>
  <si>
    <t>‫سرمايه گذاري دارويي تامين</t>
  </si>
  <si>
    <t>‫سرمايه گذاري صدرتامين</t>
  </si>
  <si>
    <t>‫سرمايه گذاري غدير</t>
  </si>
  <si>
    <t>‫سرمايه گذاري ملي ايران</t>
  </si>
  <si>
    <t>‫سرمايه گذاري مهر</t>
  </si>
  <si>
    <t>‫سرمايه گذاري پايا تدبيرپارسا</t>
  </si>
  <si>
    <t>‫سيمان تهران</t>
  </si>
  <si>
    <t>‫صبا فولاد خليج فارس</t>
  </si>
  <si>
    <t>‫صنايع ارتباطي آوا</t>
  </si>
  <si>
    <t>‫صنايع الكترونيك ماديران</t>
  </si>
  <si>
    <t>‫صنايع غذايي رضوي</t>
  </si>
  <si>
    <t>‫صنايع پتروشيمي خليج فارس</t>
  </si>
  <si>
    <t>‫صندوق بازنشستگي</t>
  </si>
  <si>
    <t>‫فولاد مباركه</t>
  </si>
  <si>
    <t>‫قند چهار محال</t>
  </si>
  <si>
    <t>‫كاني كربن طبس</t>
  </si>
  <si>
    <t>‫كشتيراني ايران</t>
  </si>
  <si>
    <t>‫مبين انرژي خليج فارس</t>
  </si>
  <si>
    <t>‫مخابرات</t>
  </si>
  <si>
    <t>‫مديريت نيروگاهي ايرانيان مپنا</t>
  </si>
  <si>
    <t>‫معدنكاران نسوز</t>
  </si>
  <si>
    <t>‫ملي مس</t>
  </si>
  <si>
    <t>‫مپنا</t>
  </si>
  <si>
    <t>‫نفت اصفهان</t>
  </si>
  <si>
    <t>‫نفت بندر عباس</t>
  </si>
  <si>
    <t>‫نفت بهران</t>
  </si>
  <si>
    <t>‫نفت تبريز</t>
  </si>
  <si>
    <t>‫نفت تهران</t>
  </si>
  <si>
    <t>‫نفت و گاز پارسیان</t>
  </si>
  <si>
    <t>‫پارس مينو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</si>
  <si>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</si>
  <si>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</si>
  <si>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</si>
  <si>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</si>
  <si>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</si>
  <si>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</si>
  <si>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</si>
  <si>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</si>
  <si>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</si>
  <si>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‫پويا</t>
  </si>
  <si>
    <t>‫چادرملو</t>
  </si>
  <si>
    <t>‫گروه مالي صبا تامين</t>
  </si>
  <si>
    <t>‫گسترش خودرو</t>
  </si>
  <si>
    <t>‫گل گهر</t>
  </si>
  <si>
    <t>‫نام سهام</t>
  </si>
  <si>
    <t>‫415.8100.14938708.1</t>
  </si>
  <si>
    <t>‫1400/08/09</t>
  </si>
  <si>
    <t>‫0</t>
  </si>
  <si>
    <t>‫132-711270160-1</t>
  </si>
  <si>
    <t>‫جاري</t>
  </si>
  <si>
    <t>‫1401/09/22</t>
  </si>
  <si>
    <t>‫132.9967.1270160.1</t>
  </si>
  <si>
    <t>‫1403/05/03</t>
  </si>
  <si>
    <t>‫درآمد حاصل از سرمایه گذاری در سهام و حق تقدم سهام</t>
  </si>
  <si>
    <t>‫سایر درآمدها</t>
  </si>
  <si>
    <t>‫درآمد سود سهام</t>
  </si>
  <si>
    <t>‫اطلاعات مجمع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</si>
  <si>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</si>
  <si>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</si>
  <si>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</si>
  <si>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</si>
  <si>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‫خالص درآمد سود سهام</t>
  </si>
  <si>
    <t>‫1403/10/15</t>
  </si>
  <si>
    <t>‫1403/12/20</t>
  </si>
  <si>
    <t>‫1403/12/22</t>
  </si>
  <si>
    <t>‫1403/12/08</t>
  </si>
  <si>
    <t>‫1404/01/27</t>
  </si>
  <si>
    <t>‫1404/01/31</t>
  </si>
  <si>
    <t>‫1403/10/19</t>
  </si>
  <si>
    <t>‫1404/03/03</t>
  </si>
  <si>
    <t>‫1404/02/15</t>
  </si>
  <si>
    <t>‫كوتاه مدت-1.1270160.9967.132-گردشگري</t>
  </si>
  <si>
    <t>‫كوتاه مدت-1.14938708.8100.415-پاسارگاد</t>
  </si>
  <si>
    <t>‫سود(زیان) حاصل از فروش اوراق بهادار</t>
  </si>
  <si>
    <t>‫سود و زیان ناشی از فروش</t>
  </si>
  <si>
    <t>‫آلومينيوم ايران</t>
  </si>
  <si>
    <t>‫توسعه معادن وص.معدني خاورميانه</t>
  </si>
  <si>
    <t>‫دارويي و نهاده هاي زاگرس دارو</t>
  </si>
  <si>
    <t>‫ذوب آهن  اصفهان</t>
  </si>
  <si>
    <t>‫سرمايه گذاري اميد</t>
  </si>
  <si>
    <t>‫سرمايه گذاري جامي</t>
  </si>
  <si>
    <t>‫سيمان سپاهان</t>
  </si>
  <si>
    <t>‫صنايع شيميايي كيمياگران امروز</t>
  </si>
  <si>
    <t>‫صنعتی صبانور</t>
  </si>
  <si>
    <t>‫فروشگاههاي زنجيره اي افق كوروش</t>
  </si>
  <si>
    <t>‫فولاد اميركبير</t>
  </si>
  <si>
    <t>‫فولاد خوزستان</t>
  </si>
  <si>
    <t>‫معادن روي</t>
  </si>
  <si>
    <t>‫نساجي بابكان</t>
  </si>
  <si>
    <t>‫سهام</t>
  </si>
  <si>
    <t>‫جمع مبلغ</t>
  </si>
  <si>
    <t>‫درصد از کل درآمد ها</t>
  </si>
  <si>
    <t>‫بانك اقتصاد نوين</t>
  </si>
  <si>
    <t>‫بانك صادرات ايران</t>
  </si>
  <si>
    <t>‫توليد نيروي برق دماوند</t>
  </si>
  <si>
    <t>‫س. نفت و گاز و پتروشيمي تامين</t>
  </si>
  <si>
    <t>‫سرمايه گذاري توسعه معادن و فلزات (هلدينگ)</t>
  </si>
  <si>
    <t>‫سرمايه گذاري صندوق بازنشستگي كشوري (هلدينگ)</t>
  </si>
  <si>
    <t>‫سرمايه گذاري غدير (هلدينگ)</t>
  </si>
  <si>
    <t>‫شركت ارتباطات سيار ايران</t>
  </si>
  <si>
    <t>‫شركت مخابرات ايران</t>
  </si>
  <si>
    <t>‫شركت پالايش نفت بندر عباس</t>
  </si>
  <si>
    <t>‫شركت گسترش نفت و گاز پارسيان</t>
  </si>
  <si>
    <t>‫فرآورده هاي غذايي و قند چهار محال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</si>
  <si>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</si>
  <si>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</si>
  <si>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</si>
  <si>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</si>
  <si>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</si>
  <si>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</si>
  <si>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</si>
  <si>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</si>
  <si>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</si>
  <si>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‫گروه مپنا</t>
  </si>
  <si>
    <t>‫گسترش سرمايه گذاري ايران خودرو</t>
  </si>
  <si>
    <t>‫توسعه معادن روي ايران</t>
  </si>
  <si>
    <t>‫توسعه معدني و صنعتي صبانور</t>
  </si>
  <si>
    <t>‫ذوب آهن اصفهان</t>
  </si>
  <si>
    <t>‫فولاد اميركبير كاشان</t>
  </si>
  <si>
    <t>‫گروه مديريت سرمايه گذاري اميد</t>
  </si>
  <si>
    <t>اختیارخ فولاد-5040-1404/03/13</t>
  </si>
  <si>
    <t>اختيارخ شستا-1350-1403/10/12</t>
  </si>
  <si>
    <t>اختيارخ ذوب-600-1403/11/24</t>
  </si>
  <si>
    <t>اختيارخ شستا-1450-1403/10/12</t>
  </si>
  <si>
    <t>اختيارخ ذوب-700-1403/11/24</t>
  </si>
  <si>
    <t>اختيارخ شستا-1650-1403/11/10</t>
  </si>
  <si>
    <t>اختيارخ شستا-1550-1403/11/10</t>
  </si>
  <si>
    <t>اختيارخ خودرو-4000-1403/11/03</t>
  </si>
  <si>
    <t>اختيارخ وبصادر-2200-1403/11/17</t>
  </si>
  <si>
    <t>اختيارخ وبصادر-2400-1403/11/17</t>
  </si>
  <si>
    <t>اختيارخ خودرو-3750-1403/12/01</t>
  </si>
  <si>
    <t>اختيارخ خودرو-5000-1403/12/01</t>
  </si>
  <si>
    <t>اختيارخ شپنا-5500-1403/12/08</t>
  </si>
  <si>
    <t>اختيارخ وتجارت-1800-1403/12/15</t>
  </si>
  <si>
    <t>اختيارخ وبملت-3000-1403/11/24</t>
  </si>
  <si>
    <t>اختيارخ وتجارت-2200-1403/12/15</t>
  </si>
  <si>
    <t>اختيارخ شستا-1650-1403/12/08</t>
  </si>
  <si>
    <t>اختيارخ ذوب-500-1403/12/22</t>
  </si>
  <si>
    <t>اختيارخ فولاد-6500-1403/12/01</t>
  </si>
  <si>
    <t>اختيارخ فولاد-6000-1403/12/01</t>
  </si>
  <si>
    <t>اختيارخ شپنا-5000-1403/12/08</t>
  </si>
  <si>
    <t>اختيارخ فملي-10000-1404/01/06</t>
  </si>
  <si>
    <t>اختيارخ وبملت-3500-1404/01/27</t>
  </si>
  <si>
    <t>اختيارخ خساپا-3250-1403/12/22</t>
  </si>
  <si>
    <t>اختيارخ خودرو-3750-1404/01/06</t>
  </si>
  <si>
    <t>اختيارخ خودرو-4000-1404/01/06</t>
  </si>
  <si>
    <t>اختيارخ شستا-1500-1404/01/20</t>
  </si>
  <si>
    <t>اختيارخ خودرو-3250-1404/02/03</t>
  </si>
  <si>
    <t>اختيارخ خساپا-3000-1403/12/22</t>
  </si>
  <si>
    <t>اختيارخ وبملت-3750-1404/01/27</t>
  </si>
  <si>
    <t>اختيارخ شستا-1400-1404/02/10</t>
  </si>
  <si>
    <t>اختيارخ وبملت-2934-1404/03/21</t>
  </si>
  <si>
    <t>اختيارخ شستا-2000-1404/03/13</t>
  </si>
  <si>
    <t>اختيارخ وبصادر-700-1404/03/21</t>
  </si>
  <si>
    <t>اختيارخ خودرو-647-1404/03/07</t>
  </si>
  <si>
    <t>اختيارخ خگستر-5500-1404/04/04</t>
  </si>
  <si>
    <t>اختيارخ وبملت-2640-1404/03/21</t>
  </si>
  <si>
    <t>اختيارخ وبصادر-800-1404/03/21</t>
  </si>
  <si>
    <t>اختيارخ فولاد-5040-1404/03/13</t>
  </si>
  <si>
    <t>اختيارخ وبملت-3250-1404/03/21</t>
  </si>
  <si>
    <t>اختيارخ وبصادر-900-1404/03/21</t>
  </si>
  <si>
    <t>اختيارخ خودرو-700-1404/03/07</t>
  </si>
  <si>
    <t>اختيارخ وتجارت-1000-1404/04/18</t>
  </si>
  <si>
    <t>اختيارخ فولاد-4320-1404/03/13</t>
  </si>
  <si>
    <t>اختيارخ شپنا-4930-1404/04/18</t>
  </si>
  <si>
    <t>اختيارخ خودرو-600-1404/04/04</t>
  </si>
  <si>
    <t>اختيارخ فولاد-5000-1404/05/15</t>
  </si>
  <si>
    <t>اختيارخ وبصادر-800-1404/05/22</t>
  </si>
  <si>
    <t>اختيارخ شستا-1700-1404/04/11</t>
  </si>
  <si>
    <t>اختيارخ اخابر-800-1404/05/22</t>
  </si>
  <si>
    <t>اختيارخ وبصادر-700-1404/05/22</t>
  </si>
  <si>
    <t>اختيارخ شستا-1600-1404/04/11</t>
  </si>
  <si>
    <t>اختيارخ فولاد-4000-1404/05/15</t>
  </si>
  <si>
    <t>اختيارخ وبملت-3000-1404/04/25</t>
  </si>
  <si>
    <t>اختيارف خودرو-3250-1403/11/03</t>
  </si>
  <si>
    <t>اختيارف خودرو-3250-1403/12/01</t>
  </si>
  <si>
    <t>اختيارف وبملت-3000-1403/11/24</t>
  </si>
  <si>
    <t>اختيارف خودرو-3500-1403/12/01</t>
  </si>
  <si>
    <t>اختيارف شستا-1300-1404/01/20</t>
  </si>
  <si>
    <t>اختيارف خودرو-3500-1404/01/06</t>
  </si>
  <si>
    <t>اختيارف وبملت-1907-1404/01/27</t>
  </si>
  <si>
    <t>اختيارف وبملت-2054-1404/01/27</t>
  </si>
  <si>
    <t>اختيارف خودرو-3750-1404/01/06</t>
  </si>
  <si>
    <t>اختيارف وبملت-1907-1404/03/21</t>
  </si>
  <si>
    <t>اختيارف شستا-1400-1404/02/10</t>
  </si>
  <si>
    <t>اختيارف فولاد-3960-1404/03/13</t>
  </si>
  <si>
    <t>اختيارف وبملت-2347-1404/03/21</t>
  </si>
  <si>
    <t>اختيارف شستا-1500-1404/02/10</t>
  </si>
  <si>
    <t>اختيارف شستا-1500-1404/03/13</t>
  </si>
  <si>
    <t>اختيارف خودرو-647-1404/03/07</t>
  </si>
  <si>
    <t>اختيارف وبملت-2640-1404/03/21</t>
  </si>
  <si>
    <t>اختيارف خساپا-543-1404/02/31</t>
  </si>
  <si>
    <t>اختيارف شپنا-3521-1404/04/18</t>
  </si>
  <si>
    <t>اختيارف شستا-1500-1404/04/11</t>
  </si>
  <si>
    <t>اختيارف وبصادر-600-1404/03/21</t>
  </si>
  <si>
    <t>اختيارف خودرو-500-1404/04/04</t>
  </si>
  <si>
    <t>اختيارف خودرو-600-1404/04/04</t>
  </si>
  <si>
    <t>اختيارف خودرو-3250-1404/01/06</t>
  </si>
  <si>
    <t>اختیارخ شستا-2200-1404/04/11</t>
  </si>
  <si>
    <t>اختيارخ وتجارت-900-1404/04/18</t>
  </si>
  <si>
    <t>اختيارخ فولاد-5500-1404/05/15</t>
  </si>
  <si>
    <t>اختیارخ شستا-1800-1404/04/11</t>
  </si>
  <si>
    <t>‫2-3- سایر درآمدها:</t>
  </si>
  <si>
    <t>تعدیل کارمزد کارگزاری</t>
  </si>
  <si>
    <t>اختيارخ وتجارت-499-1404/02/17</t>
  </si>
  <si>
    <t>اختيارخ وبملت-3750-1403/11/24</t>
  </si>
  <si>
    <t>اختيارخ خودرو-5000-1404/02/03</t>
  </si>
  <si>
    <t>اختيارخ شپنا-3873-1404/02/17</t>
  </si>
  <si>
    <t>اختيارخ فملي-7429-1404/03/07</t>
  </si>
  <si>
    <t>اختيارخ شستا-2200-1404/04/11</t>
  </si>
  <si>
    <t>اختيارخ شستا-1800-1404/04/11</t>
  </si>
  <si>
    <t>اختيارف شستا-1350-1403/12/08</t>
  </si>
  <si>
    <t>اختيارف خودرو-3250-1404/02/03</t>
  </si>
  <si>
    <t>اختيارف فملي-6686-1404/03/07</t>
  </si>
  <si>
    <t>اختيارف خودرو-3000-1404/01/06</t>
  </si>
  <si>
    <t>اختيارف وتجارت-545-1404/02/17</t>
  </si>
  <si>
    <t>‫2-1- درآمد حاصل از سرمایه گذاری در سهام و حق تقدم سهام:</t>
  </si>
  <si>
    <t>2-1</t>
  </si>
  <si>
    <t>2-2</t>
  </si>
  <si>
    <t>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</si>
</sst>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2"/>
    <xf numFmtId="0" fontId="1" fillId="2" borderId="2"/>
    <xf numFmtId="9" fontId="1" fillId="2" borderId="2" applyFont="0" applyFill="0" applyBorder="0" applyAlignment="0" applyProtection="0"/>
    <xf numFmtId="0" fontId="1" fillId="2" borderId="2"/>
  </cellStyleXfs>
  <cellXfs count="43">
    <xf numFmtId="0" fontId="0" fillId="0" borderId="0" xfId="0"/>
    <xf numFmtId="0" fontId="3" fillId="2" borderId="2" xfId="1" applyFont="1"/>
    <xf numFmtId="0" fontId="3" fillId="2" borderId="2" xfId="4" applyFont="1"/>
    <xf numFmtId="0" fontId="8" fillId="2" borderId="2" xfId="4" applyFont="1" applyAlignment="1">
      <alignment horizontal="center" vertical="center"/>
    </xf>
    <xf numFmtId="37" fontId="8" fillId="2" borderId="6" xfId="4" applyNumberFormat="1" applyFont="1" applyBorder="1" applyAlignment="1">
      <alignment horizontal="center" vertical="center"/>
    </xf>
    <xf numFmtId="37" fontId="8" fillId="2" borderId="2" xfId="4" applyNumberFormat="1" applyFont="1" applyAlignment="1">
      <alignment horizontal="right" vertical="center" wrapText="1"/>
    </xf>
    <xf numFmtId="37" fontId="8" fillId="2" borderId="2" xfId="4" applyNumberFormat="1" applyFont="1" applyAlignment="1">
      <alignment horizontal="center" vertical="center"/>
    </xf>
    <xf numFmtId="10" fontId="8" fillId="2" borderId="2" xfId="4" applyNumberFormat="1" applyFont="1" applyAlignment="1">
      <alignment horizontal="center" vertical="center"/>
    </xf>
    <xf numFmtId="37" fontId="8" fillId="2" borderId="4" xfId="4" applyNumberFormat="1" applyFont="1" applyBorder="1" applyAlignment="1">
      <alignment horizontal="center" vertical="center"/>
    </xf>
    <xf numFmtId="10" fontId="8" fillId="2" borderId="4" xfId="4" applyNumberFormat="1" applyFont="1" applyBorder="1" applyAlignment="1">
      <alignment horizontal="center" vertical="center"/>
    </xf>
    <xf numFmtId="37" fontId="8" fillId="2" borderId="1" xfId="4" applyNumberFormat="1" applyFont="1" applyBorder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6" xfId="1" applyNumberFormat="1" applyFont="1" applyBorder="1" applyAlignment="1">
      <alignment horizontal="center" vertical="center"/>
    </xf>
    <xf numFmtId="37" fontId="7" fillId="2" borderId="6" xfId="1" applyNumberFormat="1" applyFont="1" applyBorder="1" applyAlignment="1">
      <alignment horizontal="center" vertical="center" wrapText="1"/>
    </xf>
    <xf numFmtId="37" fontId="8" fillId="2" borderId="2" xfId="1" applyNumberFormat="1" applyFont="1" applyAlignment="1">
      <alignment horizontal="right" vertical="center" wrapText="1"/>
    </xf>
    <xf numFmtId="0" fontId="8" fillId="2" borderId="2" xfId="1" applyFont="1" applyAlignment="1">
      <alignment horizontal="center" vertical="center"/>
    </xf>
    <xf numFmtId="37" fontId="8" fillId="2" borderId="2" xfId="1" applyNumberFormat="1" applyFont="1" applyAlignment="1">
      <alignment horizontal="center" vertical="center" wrapText="1"/>
    </xf>
    <xf numFmtId="37" fontId="8" fillId="2" borderId="2" xfId="1" applyNumberFormat="1" applyFont="1" applyAlignment="1">
      <alignment horizontal="center" vertical="center"/>
    </xf>
    <xf numFmtId="10" fontId="8" fillId="2" borderId="2" xfId="1" applyNumberFormat="1" applyFont="1" applyAlignment="1">
      <alignment horizontal="center" vertical="center"/>
    </xf>
    <xf numFmtId="37" fontId="8" fillId="2" borderId="4" xfId="1" applyNumberFormat="1" applyFont="1" applyBorder="1" applyAlignment="1">
      <alignment horizontal="center" vertical="center"/>
    </xf>
    <xf numFmtId="10" fontId="8" fillId="2" borderId="4" xfId="1" applyNumberFormat="1" applyFont="1" applyBorder="1" applyAlignment="1">
      <alignment horizontal="center" vertical="center"/>
    </xf>
    <xf numFmtId="37" fontId="8" fillId="2" borderId="1" xfId="1" applyNumberFormat="1" applyFont="1" applyBorder="1" applyAlignment="1">
      <alignment horizontal="center" vertical="center"/>
    </xf>
    <xf numFmtId="9" fontId="8" fillId="2" borderId="4" xfId="1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/>
    </xf>
    <xf numFmtId="49" fontId="8" fillId="2" borderId="2" xfId="1" applyNumberFormat="1" applyFont="1" applyAlignment="1">
      <alignment horizontal="center" vertical="center"/>
    </xf>
    <xf numFmtId="0" fontId="5" fillId="2" borderId="2" xfId="1" applyFont="1" applyAlignment="1">
      <alignment horizontal="center" vertical="center" wrapText="1" readingOrder="2"/>
    </xf>
    <xf numFmtId="37" fontId="2" fillId="2" borderId="2" xfId="1" applyNumberFormat="1" applyFont="1" applyAlignment="1">
      <alignment horizontal="center" vertical="center"/>
    </xf>
    <xf numFmtId="0" fontId="3" fillId="2" borderId="2" xfId="1" applyFont="1"/>
    <xf numFmtId="0" fontId="4" fillId="3" borderId="2" xfId="1" applyFont="1" applyFill="1" applyAlignment="1">
      <alignment horizontal="center" vertical="center" wrapText="1" readingOrder="2"/>
    </xf>
    <xf numFmtId="0" fontId="8" fillId="2" borderId="2" xfId="4" applyFont="1" applyAlignment="1">
      <alignment horizontal="center" vertical="center"/>
    </xf>
    <xf numFmtId="37" fontId="8" fillId="2" borderId="6" xfId="4" applyNumberFormat="1" applyFont="1" applyBorder="1" applyAlignment="1">
      <alignment horizontal="center" vertical="center"/>
    </xf>
    <xf numFmtId="37" fontId="8" fillId="2" borderId="2" xfId="4" applyNumberFormat="1" applyFont="1" applyAlignment="1">
      <alignment horizontal="center" vertical="center" wrapText="1"/>
    </xf>
    <xf numFmtId="0" fontId="3" fillId="2" borderId="2" xfId="4" applyFont="1"/>
    <xf numFmtId="37" fontId="6" fillId="2" borderId="2" xfId="4" applyNumberFormat="1" applyFont="1" applyAlignment="1">
      <alignment horizontal="center" vertical="center"/>
    </xf>
    <xf numFmtId="37" fontId="7" fillId="2" borderId="2" xfId="4" applyNumberFormat="1" applyFont="1" applyAlignment="1">
      <alignment horizontal="right" vertical="center"/>
    </xf>
    <xf numFmtId="37" fontId="7" fillId="2" borderId="3" xfId="4" applyNumberFormat="1" applyFont="1" applyBorder="1" applyAlignment="1">
      <alignment horizontal="center" vertical="center"/>
    </xf>
    <xf numFmtId="0" fontId="3" fillId="2" borderId="5" xfId="4" applyFont="1" applyBorder="1"/>
    <xf numFmtId="37" fontId="7" fillId="2" borderId="6" xfId="4" applyNumberFormat="1" applyFont="1" applyBorder="1" applyAlignment="1">
      <alignment horizontal="center" vertical="center"/>
    </xf>
    <xf numFmtId="37" fontId="6" fillId="2" borderId="2" xfId="1" applyNumberFormat="1" applyFont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6" xfId="1" applyNumberFormat="1" applyFont="1" applyBorder="1" applyAlignment="1">
      <alignment horizontal="center" vertical="center"/>
    </xf>
    <xf numFmtId="0" fontId="3" fillId="2" borderId="5" xfId="1" applyFont="1" applyBorder="1"/>
    <xf numFmtId="0" fontId="9" fillId="2" borderId="6" xfId="1" applyFont="1" applyBorder="1" applyAlignment="1">
      <alignment horizontal="center" wrapText="1"/>
    </xf>
  </cellXfs>
  <cellStyles count="5">
    <cellStyle name="Normal" xfId="0" builtinId="0"/>
    <cellStyle name="Normal 2" xfId="1" xr:uid="{AFA710D3-7B49-4AB7-9467-0A4E98EBF7C4}"/>
    <cellStyle name="Normal 3" xfId="2" xr:uid="{ED423AF2-7A73-41F6-9187-77CC8C262DF3}"/>
    <cellStyle name="Normal 4" xfId="4" xr:uid="{0780CB4C-8D1D-40F4-8FB8-ABD3DC0531FB}"/>
    <cellStyle name="Percent 2" xfId="3" xr:uid="{39326BF4-41A4-474F-B115-08F1E89783F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9E648-DDFF-48E7-B4B9-B3790471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906740</xdr:colOff>
      <xdr:row>3</xdr:row>
      <xdr:rowOff>45721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6D0D1-37D7-4291-933E-C1059CCB2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371260" y="1"/>
          <a:ext cx="906740" cy="80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906740</xdr:colOff>
      <xdr:row>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E6220-60D1-4A42-BFB7-B67EDFF42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738800" y="0"/>
          <a:ext cx="906740" cy="807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906740</xdr:colOff>
      <xdr:row>3</xdr:row>
      <xdr:rowOff>74815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F9B46-274F-4FA9-A40D-9503ECD7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56220" y="0"/>
          <a:ext cx="906740" cy="8291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906740</xdr:colOff>
      <xdr:row>3</xdr:row>
      <xdr:rowOff>67195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B3972-9F85-44A2-A05B-567ACD515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787769" y="0"/>
          <a:ext cx="906740" cy="815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906740</xdr:colOff>
      <xdr:row>3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20CC3-C108-4993-817F-849226DDB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06540" y="0"/>
          <a:ext cx="906740" cy="815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873158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512DF-836F-4504-9AC0-1097D7D67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8820382" y="0"/>
          <a:ext cx="873157" cy="7924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873157</xdr:colOff>
      <xdr:row>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E32E1-8944-419F-858F-07FDEF725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679163" y="0"/>
          <a:ext cx="873157" cy="800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873157</xdr:colOff>
      <xdr:row>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8A373-B6FE-4628-895C-3E10391B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24883" y="0"/>
          <a:ext cx="873157" cy="8077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873157</xdr:colOff>
      <xdr:row>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7B08C-7CA0-4B44-9C52-BF2C75536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381983" y="0"/>
          <a:ext cx="873157" cy="8077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873157</xdr:colOff>
      <xdr:row>3</xdr:row>
      <xdr:rowOff>64226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270D1-FE13-4D44-A790-18E9EFE2E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7869557" y="0"/>
          <a:ext cx="873157" cy="81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FDC3-67C1-4402-AEF9-DBB84C88D32E}">
  <sheetPr>
    <pageSetUpPr fitToPage="1"/>
  </sheetPr>
  <dimension ref="A18:J25"/>
  <sheetViews>
    <sheetView rightToLeft="1" view="pageBreakPreview" topLeftCell="A3" zoomScaleNormal="100" zoomScaleSheetLayoutView="100" workbookViewId="0">
      <selection activeCell="A21" sqref="A21"/>
    </sheetView>
  </sheetViews>
  <sheetFormatPr defaultColWidth="8.85546875" defaultRowHeight="19.5" x14ac:dyDescent="0.55000000000000004"/>
  <cols>
    <col min="1" max="16384" width="8.85546875" style="1"/>
  </cols>
  <sheetData>
    <row r="18" spans="1:10" ht="40.15" customHeight="1" x14ac:dyDescent="0.55000000000000004">
      <c r="A18" s="26" t="s">
        <v>63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40.15" customHeight="1" x14ac:dyDescent="0.55000000000000004">
      <c r="A19" s="26" t="s">
        <v>0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40.15" customHeight="1" x14ac:dyDescent="0.55000000000000004">
      <c r="A20" s="26" t="s">
        <v>1</v>
      </c>
      <c r="B20" s="27"/>
      <c r="C20" s="27"/>
      <c r="D20" s="27"/>
      <c r="E20" s="27"/>
      <c r="F20" s="27"/>
      <c r="G20" s="27"/>
      <c r="H20" s="27"/>
      <c r="I20" s="27"/>
      <c r="J20" s="27"/>
    </row>
    <row r="24" spans="1:10" ht="43.5" customHeight="1" x14ac:dyDescent="0.55000000000000004">
      <c r="B24" s="28" t="s">
        <v>47</v>
      </c>
      <c r="C24" s="28"/>
      <c r="D24" s="28" t="s">
        <v>48</v>
      </c>
      <c r="E24" s="28"/>
      <c r="F24" s="28" t="s">
        <v>49</v>
      </c>
      <c r="G24" s="28"/>
      <c r="H24" s="28" t="s">
        <v>50</v>
      </c>
      <c r="I24" s="28"/>
    </row>
    <row r="25" spans="1:10" ht="39.75" customHeight="1" x14ac:dyDescent="0.55000000000000004">
      <c r="B25" s="25" t="s">
        <v>51</v>
      </c>
      <c r="C25" s="25"/>
      <c r="D25" s="25" t="s">
        <v>52</v>
      </c>
      <c r="E25" s="25"/>
      <c r="F25" s="25" t="s">
        <v>53</v>
      </c>
      <c r="G25" s="25"/>
      <c r="H25" s="25"/>
      <c r="I25" s="2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CE8C-C087-4745-B709-B3A05409201E}">
  <sheetPr>
    <pageSetUpPr fitToPage="1"/>
  </sheetPr>
  <dimension ref="A1:W72"/>
  <sheetViews>
    <sheetView rightToLeft="1" tabSelected="1" view="pageBreakPreview" zoomScale="60" zoomScaleNormal="100" workbookViewId="0">
      <selection sqref="A1:W1"/>
    </sheetView>
  </sheetViews>
  <sheetFormatPr defaultColWidth="8.85546875" defaultRowHeight="19.5" x14ac:dyDescent="0.55000000000000004"/>
  <cols>
    <col min="1" max="1" width="28.85546875" style="2" customWidth="1"/>
    <col min="2" max="2" width="1.42578125" style="2" customWidth="1"/>
    <col min="3" max="3" width="12.855468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1.42578125" style="2" customWidth="1"/>
    <col min="10" max="10" width="17" style="2" customWidth="1"/>
    <col min="11" max="11" width="1.42578125" style="2" customWidth="1"/>
    <col min="12" max="12" width="11.42578125" style="2" customWidth="1"/>
    <col min="13" max="13" width="17" style="2" customWidth="1"/>
    <col min="14" max="14" width="1.42578125" style="2" customWidth="1"/>
    <col min="15" max="15" width="12.85546875" style="2" customWidth="1"/>
    <col min="16" max="16" width="1.42578125" style="2" customWidth="1"/>
    <col min="17" max="17" width="11.425781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7" style="2" customWidth="1"/>
    <col min="22" max="22" width="1.42578125" style="2" customWidth="1"/>
    <col min="23" max="23" width="8.42578125" style="2" customWidth="1"/>
    <col min="24" max="16384" width="8.85546875" style="2"/>
  </cols>
  <sheetData>
    <row r="1" spans="1:23" ht="19.899999999999999" customHeight="1" x14ac:dyDescent="0.55000000000000004">
      <c r="A1" s="33" t="s">
        <v>64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19.899999999999999" customHeight="1" x14ac:dyDescent="0.55000000000000004">
      <c r="A2" s="33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9.899999999999999" customHeight="1" x14ac:dyDescent="0.55000000000000004">
      <c r="A3" s="33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5" spans="1:23" ht="21" x14ac:dyDescent="0.55000000000000004">
      <c r="A5" s="34" t="s">
        <v>65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21" x14ac:dyDescent="0.55000000000000004">
      <c r="A6" s="34" t="s">
        <v>66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8" spans="1:23" ht="21" x14ac:dyDescent="0.55000000000000004">
      <c r="C8" s="35" t="s">
        <v>2</v>
      </c>
      <c r="D8" s="36"/>
      <c r="E8" s="36"/>
      <c r="F8" s="36"/>
      <c r="G8" s="36"/>
      <c r="I8" s="37" t="s">
        <v>54</v>
      </c>
      <c r="J8" s="36"/>
      <c r="K8" s="36"/>
      <c r="L8" s="36"/>
      <c r="M8" s="36"/>
      <c r="O8" s="37" t="s">
        <v>3</v>
      </c>
      <c r="P8" s="36"/>
      <c r="Q8" s="36"/>
      <c r="R8" s="36"/>
      <c r="S8" s="36"/>
      <c r="T8" s="36"/>
      <c r="U8" s="36"/>
      <c r="V8" s="36"/>
      <c r="W8" s="36"/>
    </row>
    <row r="9" spans="1:23" ht="21" x14ac:dyDescent="0.55000000000000004">
      <c r="A9" s="29" t="s">
        <v>67</v>
      </c>
      <c r="C9" s="29" t="s">
        <v>4</v>
      </c>
      <c r="E9" s="29" t="s">
        <v>5</v>
      </c>
      <c r="G9" s="29" t="s">
        <v>6</v>
      </c>
      <c r="I9" s="29" t="s">
        <v>55</v>
      </c>
      <c r="J9" s="32"/>
      <c r="L9" s="29" t="s">
        <v>56</v>
      </c>
      <c r="M9" s="32"/>
      <c r="O9" s="29" t="s">
        <v>4</v>
      </c>
      <c r="Q9" s="31" t="s">
        <v>68</v>
      </c>
      <c r="S9" s="29" t="s">
        <v>5</v>
      </c>
      <c r="U9" s="29" t="s">
        <v>6</v>
      </c>
      <c r="W9" s="31" t="s">
        <v>7</v>
      </c>
    </row>
    <row r="10" spans="1:23" ht="21" x14ac:dyDescent="0.55000000000000004">
      <c r="A10" s="30"/>
      <c r="C10" s="30"/>
      <c r="E10" s="30"/>
      <c r="G10" s="30"/>
      <c r="I10" s="4" t="s">
        <v>4</v>
      </c>
      <c r="J10" s="4" t="s">
        <v>5</v>
      </c>
      <c r="L10" s="4" t="s">
        <v>4</v>
      </c>
      <c r="M10" s="4" t="s">
        <v>8</v>
      </c>
      <c r="O10" s="30"/>
      <c r="Q10" s="30"/>
      <c r="S10" s="30"/>
      <c r="U10" s="30"/>
      <c r="W10" s="30"/>
    </row>
    <row r="11" spans="1:23" ht="21" x14ac:dyDescent="0.55000000000000004">
      <c r="A11" s="5" t="s">
        <v>69</v>
      </c>
      <c r="C11" s="6">
        <v>75000</v>
      </c>
      <c r="E11" s="6">
        <v>525487200</v>
      </c>
      <c r="G11" s="6">
        <v>674711437</v>
      </c>
      <c r="I11" s="6">
        <v>0</v>
      </c>
      <c r="J11" s="6">
        <v>0</v>
      </c>
      <c r="L11" s="6">
        <v>0</v>
      </c>
      <c r="M11" s="6">
        <v>0</v>
      </c>
      <c r="N11" s="3"/>
      <c r="O11" s="6">
        <v>75000</v>
      </c>
      <c r="Q11" s="6">
        <v>8190</v>
      </c>
      <c r="S11" s="6">
        <v>525487200</v>
      </c>
      <c r="U11" s="6">
        <v>610595212</v>
      </c>
      <c r="W11" s="7">
        <v>4.7949085684211262E-4</v>
      </c>
    </row>
    <row r="12" spans="1:23" ht="21" x14ac:dyDescent="0.55000000000000004">
      <c r="A12" s="5" t="s">
        <v>70</v>
      </c>
      <c r="C12" s="6">
        <v>1000000</v>
      </c>
      <c r="E12" s="6">
        <v>4399636215</v>
      </c>
      <c r="G12" s="6">
        <v>5347989000</v>
      </c>
      <c r="I12" s="6">
        <v>0</v>
      </c>
      <c r="J12" s="6">
        <v>0</v>
      </c>
      <c r="L12" s="6">
        <v>0</v>
      </c>
      <c r="M12" s="6">
        <v>0</v>
      </c>
      <c r="N12" s="3"/>
      <c r="O12" s="6">
        <v>1000000</v>
      </c>
      <c r="Q12" s="6">
        <v>5270</v>
      </c>
      <c r="S12" s="6">
        <v>4399636215</v>
      </c>
      <c r="U12" s="6">
        <v>5218762500</v>
      </c>
      <c r="W12" s="7">
        <v>4.0982124549979043E-3</v>
      </c>
    </row>
    <row r="13" spans="1:23" ht="21" x14ac:dyDescent="0.55000000000000004">
      <c r="A13" s="5" t="s">
        <v>71</v>
      </c>
      <c r="C13" s="6">
        <v>3242039</v>
      </c>
      <c r="E13" s="6">
        <v>8475486086</v>
      </c>
      <c r="G13" s="6">
        <v>14089858051</v>
      </c>
      <c r="I13" s="6">
        <v>2000000</v>
      </c>
      <c r="J13" s="6">
        <v>9122384526</v>
      </c>
      <c r="L13" s="6">
        <v>0</v>
      </c>
      <c r="M13" s="6">
        <v>0</v>
      </c>
      <c r="O13" s="6">
        <v>5242039</v>
      </c>
      <c r="Q13" s="6">
        <v>4054</v>
      </c>
      <c r="S13" s="6">
        <v>17597870612</v>
      </c>
      <c r="U13" s="6">
        <v>20947612449</v>
      </c>
      <c r="W13" s="7">
        <v>1.6449831974718328E-2</v>
      </c>
    </row>
    <row r="14" spans="1:23" ht="21" x14ac:dyDescent="0.55000000000000004">
      <c r="A14" s="5" t="s">
        <v>72</v>
      </c>
      <c r="C14" s="6">
        <v>2700000</v>
      </c>
      <c r="E14" s="6">
        <v>11676408711</v>
      </c>
      <c r="G14" s="6">
        <v>10690113105</v>
      </c>
      <c r="I14" s="6">
        <v>0</v>
      </c>
      <c r="J14" s="6">
        <v>0</v>
      </c>
      <c r="L14" s="6">
        <v>2700000</v>
      </c>
      <c r="M14" s="6">
        <v>10139193638</v>
      </c>
      <c r="O14" s="6">
        <v>0</v>
      </c>
      <c r="Q14" s="6">
        <v>0</v>
      </c>
      <c r="S14" s="6">
        <v>0</v>
      </c>
      <c r="U14" s="6">
        <v>0</v>
      </c>
      <c r="W14" s="7">
        <v>0</v>
      </c>
    </row>
    <row r="15" spans="1:23" ht="21" x14ac:dyDescent="0.55000000000000004">
      <c r="A15" s="5" t="s">
        <v>73</v>
      </c>
      <c r="C15" s="6">
        <v>75670591</v>
      </c>
      <c r="E15" s="6">
        <v>24087062253</v>
      </c>
      <c r="G15" s="6">
        <v>45959634451</v>
      </c>
      <c r="I15" s="6">
        <v>0</v>
      </c>
      <c r="J15" s="6">
        <v>0</v>
      </c>
      <c r="L15" s="6">
        <v>0</v>
      </c>
      <c r="M15" s="6">
        <v>0</v>
      </c>
      <c r="N15" s="3"/>
      <c r="O15" s="6">
        <v>75670591</v>
      </c>
      <c r="Q15" s="6">
        <v>573</v>
      </c>
      <c r="S15" s="6">
        <v>24087062253</v>
      </c>
      <c r="U15" s="6">
        <v>43703023921</v>
      </c>
      <c r="W15" s="7">
        <v>3.4319300208452398E-2</v>
      </c>
    </row>
    <row r="16" spans="1:23" ht="21" x14ac:dyDescent="0.55000000000000004">
      <c r="A16" s="5" t="s">
        <v>74</v>
      </c>
      <c r="C16" s="6">
        <v>38066235</v>
      </c>
      <c r="E16" s="6">
        <v>12577600015</v>
      </c>
      <c r="G16" s="6">
        <v>22022729205</v>
      </c>
      <c r="I16" s="6">
        <v>0</v>
      </c>
      <c r="J16" s="6">
        <v>0</v>
      </c>
      <c r="L16" s="6">
        <v>0</v>
      </c>
      <c r="M16" s="6">
        <v>0</v>
      </c>
      <c r="N16" s="3"/>
      <c r="O16" s="6">
        <v>38066235</v>
      </c>
      <c r="Q16" s="6">
        <v>516</v>
      </c>
      <c r="S16" s="6">
        <v>12577600015</v>
      </c>
      <c r="U16" s="6">
        <v>19411787083</v>
      </c>
      <c r="W16" s="7">
        <v>1.524377236889359E-2</v>
      </c>
    </row>
    <row r="17" spans="1:23" ht="21" x14ac:dyDescent="0.55000000000000004">
      <c r="A17" s="5" t="s">
        <v>75</v>
      </c>
      <c r="C17" s="6">
        <v>53560926</v>
      </c>
      <c r="E17" s="6">
        <v>34849225103</v>
      </c>
      <c r="G17" s="6">
        <v>35193119642</v>
      </c>
      <c r="I17" s="6">
        <v>0</v>
      </c>
      <c r="J17" s="6">
        <v>0</v>
      </c>
      <c r="L17" s="6">
        <v>17600000</v>
      </c>
      <c r="M17" s="6">
        <v>11398324626</v>
      </c>
      <c r="O17" s="6">
        <v>35960926</v>
      </c>
      <c r="Q17" s="6">
        <v>639</v>
      </c>
      <c r="S17" s="6">
        <v>23397847996</v>
      </c>
      <c r="U17" s="6">
        <v>22627824724</v>
      </c>
      <c r="W17" s="7">
        <v>1.7769276358793166E-2</v>
      </c>
    </row>
    <row r="18" spans="1:23" ht="21" x14ac:dyDescent="0.55000000000000004">
      <c r="A18" s="5" t="s">
        <v>76</v>
      </c>
      <c r="C18" s="6">
        <v>25392957</v>
      </c>
      <c r="E18" s="6">
        <v>22714344403</v>
      </c>
      <c r="G18" s="6">
        <v>66007487189</v>
      </c>
      <c r="I18" s="6">
        <v>0</v>
      </c>
      <c r="J18" s="6">
        <v>0</v>
      </c>
      <c r="L18" s="6">
        <v>0</v>
      </c>
      <c r="M18" s="6">
        <v>0</v>
      </c>
      <c r="N18" s="3"/>
      <c r="O18" s="6">
        <v>25392957</v>
      </c>
      <c r="Q18" s="6">
        <v>2483</v>
      </c>
      <c r="S18" s="6">
        <v>22714344403</v>
      </c>
      <c r="U18" s="6">
        <v>62271690591</v>
      </c>
      <c r="W18" s="7">
        <v>4.8900983321967996E-2</v>
      </c>
    </row>
    <row r="19" spans="1:23" ht="21" x14ac:dyDescent="0.55000000000000004">
      <c r="A19" s="5" t="s">
        <v>77</v>
      </c>
      <c r="C19" s="6">
        <v>1700000</v>
      </c>
      <c r="E19" s="6">
        <v>8016464339</v>
      </c>
      <c r="G19" s="6">
        <v>7513228710</v>
      </c>
      <c r="I19" s="6">
        <v>0</v>
      </c>
      <c r="J19" s="6">
        <v>0</v>
      </c>
      <c r="L19" s="6">
        <v>0</v>
      </c>
      <c r="M19" s="6">
        <v>0</v>
      </c>
      <c r="N19" s="3"/>
      <c r="O19" s="6">
        <v>1700000</v>
      </c>
      <c r="Q19" s="6">
        <v>4316</v>
      </c>
      <c r="S19" s="6">
        <v>8016464339</v>
      </c>
      <c r="U19" s="6">
        <v>7256366190</v>
      </c>
      <c r="W19" s="7">
        <v>5.6983107198083239E-3</v>
      </c>
    </row>
    <row r="20" spans="1:23" ht="21" x14ac:dyDescent="0.55000000000000004">
      <c r="A20" s="5" t="s">
        <v>78</v>
      </c>
      <c r="C20" s="6">
        <v>285750</v>
      </c>
      <c r="E20" s="6">
        <v>13013430474</v>
      </c>
      <c r="G20" s="6">
        <v>15693750759</v>
      </c>
      <c r="I20" s="6">
        <v>0</v>
      </c>
      <c r="J20" s="6">
        <v>0</v>
      </c>
      <c r="L20" s="6">
        <v>0</v>
      </c>
      <c r="M20" s="6">
        <v>0</v>
      </c>
      <c r="N20" s="3"/>
      <c r="O20" s="6">
        <v>285750</v>
      </c>
      <c r="Q20" s="6">
        <v>51850</v>
      </c>
      <c r="S20" s="6">
        <v>13013430474</v>
      </c>
      <c r="U20" s="6">
        <v>14855803886</v>
      </c>
      <c r="W20" s="7">
        <v>1.1666030120092928E-2</v>
      </c>
    </row>
    <row r="21" spans="1:23" ht="21" x14ac:dyDescent="0.55000000000000004">
      <c r="A21" s="5" t="s">
        <v>79</v>
      </c>
      <c r="C21" s="6">
        <v>6603333</v>
      </c>
      <c r="E21" s="6">
        <v>13662777497</v>
      </c>
      <c r="G21" s="6">
        <v>15635550828</v>
      </c>
      <c r="I21" s="6">
        <v>0</v>
      </c>
      <c r="J21" s="6">
        <v>0</v>
      </c>
      <c r="L21" s="6">
        <v>0</v>
      </c>
      <c r="M21" s="6">
        <v>0</v>
      </c>
      <c r="N21" s="3"/>
      <c r="O21" s="6">
        <v>6603333</v>
      </c>
      <c r="Q21" s="6">
        <v>2205</v>
      </c>
      <c r="S21" s="6">
        <v>13662777497</v>
      </c>
      <c r="U21" s="6">
        <v>14486843273</v>
      </c>
      <c r="W21" s="7">
        <v>1.1376291129364712E-2</v>
      </c>
    </row>
    <row r="22" spans="1:23" ht="21" x14ac:dyDescent="0.55000000000000004">
      <c r="A22" s="5" t="s">
        <v>80</v>
      </c>
      <c r="C22" s="6">
        <v>900000</v>
      </c>
      <c r="E22" s="6">
        <v>2932719040</v>
      </c>
      <c r="G22" s="6">
        <v>3436331445</v>
      </c>
      <c r="I22" s="6">
        <v>0</v>
      </c>
      <c r="J22" s="6">
        <v>0</v>
      </c>
      <c r="L22" s="6">
        <v>0</v>
      </c>
      <c r="M22" s="6">
        <v>0</v>
      </c>
      <c r="N22" s="3"/>
      <c r="O22" s="6">
        <v>900000</v>
      </c>
      <c r="Q22" s="6">
        <v>4283</v>
      </c>
      <c r="S22" s="6">
        <v>2932719040</v>
      </c>
      <c r="U22" s="6">
        <v>3834448470</v>
      </c>
      <c r="W22" s="7">
        <v>3.0111323283636029E-3</v>
      </c>
    </row>
    <row r="23" spans="1:23" ht="21" x14ac:dyDescent="0.55000000000000004">
      <c r="A23" s="5" t="s">
        <v>81</v>
      </c>
      <c r="C23" s="6">
        <v>800000</v>
      </c>
      <c r="E23" s="6">
        <v>4614185880</v>
      </c>
      <c r="G23" s="6">
        <v>5916585600</v>
      </c>
      <c r="I23" s="6">
        <v>0</v>
      </c>
      <c r="J23" s="6">
        <v>0</v>
      </c>
      <c r="L23" s="6">
        <v>0</v>
      </c>
      <c r="M23" s="6">
        <v>0</v>
      </c>
      <c r="N23" s="3"/>
      <c r="O23" s="6">
        <v>800000</v>
      </c>
      <c r="Q23" s="6">
        <v>7220</v>
      </c>
      <c r="S23" s="6">
        <v>4614185880</v>
      </c>
      <c r="U23" s="6">
        <v>5717775600</v>
      </c>
      <c r="W23" s="7">
        <v>4.4900796268853233E-3</v>
      </c>
    </row>
    <row r="24" spans="1:23" ht="21" x14ac:dyDescent="0.55000000000000004">
      <c r="A24" s="5" t="s">
        <v>82</v>
      </c>
      <c r="C24" s="6">
        <v>0</v>
      </c>
      <c r="D24" s="6"/>
      <c r="E24" s="6">
        <v>0</v>
      </c>
      <c r="F24" s="6"/>
      <c r="G24" s="6">
        <v>0</v>
      </c>
      <c r="H24" s="3"/>
      <c r="I24" s="6">
        <v>200000</v>
      </c>
      <c r="J24" s="6">
        <v>1665510906</v>
      </c>
      <c r="L24" s="6">
        <v>0</v>
      </c>
      <c r="M24" s="6">
        <v>0</v>
      </c>
      <c r="O24" s="6">
        <v>200000</v>
      </c>
      <c r="Q24" s="6">
        <v>8050</v>
      </c>
      <c r="S24" s="6">
        <v>1665510906</v>
      </c>
      <c r="U24" s="6">
        <v>1598432400</v>
      </c>
      <c r="W24" s="7">
        <v>1.2552239290736439E-3</v>
      </c>
    </row>
    <row r="25" spans="1:23" ht="21" x14ac:dyDescent="0.55000000000000004">
      <c r="A25" s="5" t="s">
        <v>83</v>
      </c>
      <c r="C25" s="6">
        <v>28192301</v>
      </c>
      <c r="E25" s="6">
        <v>9586342604</v>
      </c>
      <c r="G25" s="6">
        <v>15413506245</v>
      </c>
      <c r="I25" s="6">
        <v>0</v>
      </c>
      <c r="J25" s="6">
        <v>0</v>
      </c>
      <c r="L25" s="6">
        <v>0</v>
      </c>
      <c r="M25" s="6">
        <v>0</v>
      </c>
      <c r="N25" s="3"/>
      <c r="O25" s="6">
        <v>28192301</v>
      </c>
      <c r="Q25" s="6">
        <v>483</v>
      </c>
      <c r="S25" s="6">
        <v>9586342604</v>
      </c>
      <c r="U25" s="6">
        <v>13872155620</v>
      </c>
      <c r="W25" s="7">
        <v>1.0893586542701105E-2</v>
      </c>
    </row>
    <row r="26" spans="1:23" ht="21" x14ac:dyDescent="0.55000000000000004">
      <c r="A26" s="5" t="s">
        <v>84</v>
      </c>
      <c r="C26" s="6">
        <v>40600000</v>
      </c>
      <c r="E26" s="6">
        <v>54284505861</v>
      </c>
      <c r="G26" s="6">
        <v>67398578100</v>
      </c>
      <c r="I26" s="6">
        <v>0</v>
      </c>
      <c r="J26" s="6">
        <v>0</v>
      </c>
      <c r="L26" s="6">
        <v>0</v>
      </c>
      <c r="M26" s="6">
        <v>0</v>
      </c>
      <c r="N26" s="3"/>
      <c r="O26" s="6">
        <v>40600000</v>
      </c>
      <c r="Q26" s="6">
        <v>1458</v>
      </c>
      <c r="S26" s="6">
        <v>54284505861</v>
      </c>
      <c r="U26" s="6">
        <v>58802232510</v>
      </c>
      <c r="W26" s="7">
        <v>4.6176472229607052E-2</v>
      </c>
    </row>
    <row r="27" spans="1:23" ht="21" x14ac:dyDescent="0.55000000000000004">
      <c r="A27" s="5" t="s">
        <v>85</v>
      </c>
      <c r="C27" s="6">
        <v>600000</v>
      </c>
      <c r="E27" s="6">
        <v>15400648182</v>
      </c>
      <c r="G27" s="6">
        <v>17845185600</v>
      </c>
      <c r="I27" s="6">
        <v>0</v>
      </c>
      <c r="J27" s="6">
        <v>0</v>
      </c>
      <c r="L27" s="6">
        <v>0</v>
      </c>
      <c r="M27" s="6">
        <v>0</v>
      </c>
      <c r="N27" s="3"/>
      <c r="O27" s="6">
        <v>600000</v>
      </c>
      <c r="Q27" s="6">
        <v>30260</v>
      </c>
      <c r="S27" s="6">
        <v>15400648182</v>
      </c>
      <c r="U27" s="6">
        <v>18220936500</v>
      </c>
      <c r="W27" s="7">
        <v>1.4308616057164112E-2</v>
      </c>
    </row>
    <row r="28" spans="1:23" ht="21" x14ac:dyDescent="0.55000000000000004">
      <c r="A28" s="5" t="s">
        <v>86</v>
      </c>
      <c r="C28" s="6">
        <v>1288004</v>
      </c>
      <c r="E28" s="6">
        <v>14045283146</v>
      </c>
      <c r="G28" s="6">
        <v>16324339797</v>
      </c>
      <c r="I28" s="6">
        <v>0</v>
      </c>
      <c r="J28" s="6">
        <v>0</v>
      </c>
      <c r="L28" s="6">
        <v>0</v>
      </c>
      <c r="M28" s="6">
        <v>0</v>
      </c>
      <c r="N28" s="3"/>
      <c r="O28" s="6">
        <v>1288004</v>
      </c>
      <c r="Q28" s="6">
        <v>11310</v>
      </c>
      <c r="S28" s="6">
        <v>14045283146</v>
      </c>
      <c r="U28" s="6">
        <v>14352615617</v>
      </c>
      <c r="W28" s="7">
        <v>1.12708842533813E-2</v>
      </c>
    </row>
    <row r="29" spans="1:23" ht="21" x14ac:dyDescent="0.55000000000000004">
      <c r="A29" s="5" t="s">
        <v>87</v>
      </c>
      <c r="C29" s="6">
        <v>5300000</v>
      </c>
      <c r="E29" s="6">
        <v>42974592899</v>
      </c>
      <c r="G29" s="6">
        <v>57004791300</v>
      </c>
      <c r="I29" s="6">
        <v>0</v>
      </c>
      <c r="J29" s="6">
        <v>0</v>
      </c>
      <c r="L29" s="6">
        <v>0</v>
      </c>
      <c r="M29" s="6">
        <v>0</v>
      </c>
      <c r="N29" s="3"/>
      <c r="O29" s="6">
        <v>5300000</v>
      </c>
      <c r="Q29" s="6">
        <v>10000</v>
      </c>
      <c r="S29" s="6">
        <v>42974592899</v>
      </c>
      <c r="U29" s="6">
        <v>52421226750</v>
      </c>
      <c r="W29" s="7">
        <v>4.1165568345583714E-2</v>
      </c>
    </row>
    <row r="30" spans="1:23" ht="21" x14ac:dyDescent="0.55000000000000004">
      <c r="A30" s="5" t="s">
        <v>88</v>
      </c>
      <c r="C30" s="6">
        <v>1285714</v>
      </c>
      <c r="E30" s="6">
        <v>5010028996</v>
      </c>
      <c r="G30" s="6">
        <v>7144377770</v>
      </c>
      <c r="I30" s="6">
        <v>0</v>
      </c>
      <c r="J30" s="6">
        <v>0</v>
      </c>
      <c r="L30" s="6">
        <v>0</v>
      </c>
      <c r="M30" s="6">
        <v>0</v>
      </c>
      <c r="N30" s="3"/>
      <c r="O30" s="6">
        <v>1285714</v>
      </c>
      <c r="Q30" s="6">
        <v>5430</v>
      </c>
      <c r="S30" s="6">
        <v>5010028996</v>
      </c>
      <c r="U30" s="6">
        <v>6914326249</v>
      </c>
      <c r="W30" s="7">
        <v>5.4297121111701752E-3</v>
      </c>
    </row>
    <row r="31" spans="1:23" ht="21" x14ac:dyDescent="0.55000000000000004">
      <c r="A31" s="5" t="s">
        <v>89</v>
      </c>
      <c r="C31" s="6">
        <v>1500000</v>
      </c>
      <c r="E31" s="6">
        <v>4654315200</v>
      </c>
      <c r="G31" s="6">
        <v>5552763300</v>
      </c>
      <c r="I31" s="6">
        <v>0</v>
      </c>
      <c r="J31" s="6">
        <v>0</v>
      </c>
      <c r="L31" s="6">
        <v>750000</v>
      </c>
      <c r="M31" s="6">
        <v>2859136320</v>
      </c>
      <c r="O31" s="6">
        <v>750000</v>
      </c>
      <c r="Q31" s="6">
        <v>4198</v>
      </c>
      <c r="S31" s="6">
        <v>2327157600</v>
      </c>
      <c r="U31" s="6">
        <v>3129766425</v>
      </c>
      <c r="W31" s="7">
        <v>2.4577565551544573E-3</v>
      </c>
    </row>
    <row r="32" spans="1:23" ht="21" x14ac:dyDescent="0.55000000000000004">
      <c r="A32" s="5" t="s">
        <v>90</v>
      </c>
      <c r="C32" s="6">
        <v>3250000</v>
      </c>
      <c r="E32" s="6">
        <v>3903619200</v>
      </c>
      <c r="G32" s="6">
        <v>4371086362</v>
      </c>
      <c r="I32" s="6">
        <v>0</v>
      </c>
      <c r="J32" s="6">
        <v>0</v>
      </c>
      <c r="L32" s="6">
        <v>0</v>
      </c>
      <c r="M32" s="6">
        <v>0</v>
      </c>
      <c r="N32" s="3"/>
      <c r="O32" s="6">
        <v>3250000</v>
      </c>
      <c r="Q32" s="6">
        <v>1341</v>
      </c>
      <c r="S32" s="6">
        <v>3903619200</v>
      </c>
      <c r="U32" s="6">
        <v>4329087750</v>
      </c>
      <c r="W32" s="7">
        <v>3.3995648079077853E-3</v>
      </c>
    </row>
    <row r="33" spans="1:23" ht="21" x14ac:dyDescent="0.55000000000000004">
      <c r="A33" s="5" t="s">
        <v>91</v>
      </c>
      <c r="C33" s="6">
        <v>2500000</v>
      </c>
      <c r="E33" s="6">
        <v>24416538470</v>
      </c>
      <c r="G33" s="6">
        <v>31362277500</v>
      </c>
      <c r="I33" s="6">
        <v>0</v>
      </c>
      <c r="J33" s="6">
        <v>0</v>
      </c>
      <c r="L33" s="6">
        <v>500000</v>
      </c>
      <c r="M33" s="6">
        <v>6485320811</v>
      </c>
      <c r="O33" s="6">
        <v>2000000</v>
      </c>
      <c r="Q33" s="6">
        <v>11480</v>
      </c>
      <c r="S33" s="6">
        <v>19533230776</v>
      </c>
      <c r="U33" s="6">
        <v>23300532000</v>
      </c>
      <c r="W33" s="7">
        <v>1.8297542846695405E-2</v>
      </c>
    </row>
    <row r="34" spans="1:23" ht="21" x14ac:dyDescent="0.55000000000000004">
      <c r="A34" s="5" t="s">
        <v>92</v>
      </c>
      <c r="C34" s="6">
        <v>2400000</v>
      </c>
      <c r="E34" s="6">
        <v>11429569715</v>
      </c>
      <c r="G34" s="6">
        <v>7405274880</v>
      </c>
      <c r="I34" s="6">
        <v>0</v>
      </c>
      <c r="J34" s="6">
        <v>0</v>
      </c>
      <c r="L34" s="6">
        <v>2400000</v>
      </c>
      <c r="M34" s="6">
        <v>7129862097</v>
      </c>
      <c r="O34" s="6">
        <v>0</v>
      </c>
      <c r="Q34" s="6">
        <v>0</v>
      </c>
      <c r="S34" s="6">
        <v>0</v>
      </c>
      <c r="U34" s="6">
        <v>0</v>
      </c>
      <c r="W34" s="7">
        <v>0</v>
      </c>
    </row>
    <row r="35" spans="1:23" ht="21" x14ac:dyDescent="0.55000000000000004">
      <c r="A35" s="5" t="s">
        <v>93</v>
      </c>
      <c r="C35" s="6">
        <v>249999</v>
      </c>
      <c r="E35" s="6">
        <v>1867954462</v>
      </c>
      <c r="G35" s="6">
        <v>2283820740</v>
      </c>
      <c r="I35" s="6">
        <v>0</v>
      </c>
      <c r="J35" s="6">
        <v>0</v>
      </c>
      <c r="L35" s="6">
        <v>0</v>
      </c>
      <c r="M35" s="6">
        <v>0</v>
      </c>
      <c r="N35" s="3"/>
      <c r="O35" s="6">
        <v>249999</v>
      </c>
      <c r="Q35" s="6">
        <v>7800</v>
      </c>
      <c r="S35" s="6">
        <v>1867954462</v>
      </c>
      <c r="U35" s="6">
        <v>1925964171</v>
      </c>
      <c r="W35" s="7">
        <v>1.5124294990377343E-3</v>
      </c>
    </row>
    <row r="36" spans="1:23" ht="21" x14ac:dyDescent="0.55000000000000004">
      <c r="A36" s="5" t="s">
        <v>94</v>
      </c>
      <c r="C36" s="6">
        <v>1500000</v>
      </c>
      <c r="E36" s="6">
        <v>4654315200</v>
      </c>
      <c r="G36" s="6">
        <v>7082606250</v>
      </c>
      <c r="I36" s="6">
        <v>0</v>
      </c>
      <c r="J36" s="6">
        <v>0</v>
      </c>
      <c r="L36" s="6">
        <v>0</v>
      </c>
      <c r="M36" s="6">
        <v>0</v>
      </c>
      <c r="N36" s="3"/>
      <c r="O36" s="6">
        <v>1500000</v>
      </c>
      <c r="Q36" s="6">
        <v>4850</v>
      </c>
      <c r="S36" s="6">
        <v>4654315200</v>
      </c>
      <c r="U36" s="6">
        <v>7186981500</v>
      </c>
      <c r="W36" s="7">
        <v>5.6438240094542572E-3</v>
      </c>
    </row>
    <row r="37" spans="1:23" ht="21" x14ac:dyDescent="0.55000000000000004">
      <c r="A37" s="5" t="s">
        <v>95</v>
      </c>
      <c r="C37" s="6">
        <v>0</v>
      </c>
      <c r="D37" s="6"/>
      <c r="E37" s="6">
        <v>0</v>
      </c>
      <c r="F37" s="6"/>
      <c r="G37" s="6">
        <v>0</v>
      </c>
      <c r="H37" s="3"/>
      <c r="I37" s="6">
        <v>3750000</v>
      </c>
      <c r="J37" s="6">
        <v>12198810000</v>
      </c>
      <c r="L37" s="6">
        <v>0</v>
      </c>
      <c r="M37" s="6">
        <v>0</v>
      </c>
      <c r="O37" s="6">
        <v>3750000</v>
      </c>
      <c r="Q37" s="6">
        <v>3471</v>
      </c>
      <c r="S37" s="6">
        <v>12197891796</v>
      </c>
      <c r="U37" s="6">
        <v>12938803312</v>
      </c>
      <c r="W37" s="7">
        <v>1.0160639593391448E-2</v>
      </c>
    </row>
    <row r="38" spans="1:23" ht="21" x14ac:dyDescent="0.55000000000000004">
      <c r="A38" s="5" t="s">
        <v>96</v>
      </c>
      <c r="C38" s="6">
        <v>13266666</v>
      </c>
      <c r="E38" s="6">
        <v>64654676195</v>
      </c>
      <c r="G38" s="6">
        <v>114733245235</v>
      </c>
      <c r="I38" s="6">
        <v>0</v>
      </c>
      <c r="J38" s="6">
        <v>0</v>
      </c>
      <c r="L38" s="6">
        <v>600000</v>
      </c>
      <c r="M38" s="6">
        <v>5045539807</v>
      </c>
      <c r="O38" s="6">
        <v>12666666</v>
      </c>
      <c r="Q38" s="6">
        <v>8020</v>
      </c>
      <c r="S38" s="6">
        <v>61730595215</v>
      </c>
      <c r="U38" s="6">
        <v>101234046672</v>
      </c>
      <c r="W38" s="7">
        <v>7.9497511324002484E-2</v>
      </c>
    </row>
    <row r="39" spans="1:23" ht="21" x14ac:dyDescent="0.55000000000000004">
      <c r="A39" s="5" t="s">
        <v>97</v>
      </c>
      <c r="C39" s="6">
        <v>650000</v>
      </c>
      <c r="E39" s="6">
        <v>12030071874</v>
      </c>
      <c r="G39" s="6">
        <v>15623483850</v>
      </c>
      <c r="I39" s="6">
        <v>0</v>
      </c>
      <c r="J39" s="6">
        <v>0</v>
      </c>
      <c r="L39" s="6">
        <v>0</v>
      </c>
      <c r="M39" s="6">
        <v>0</v>
      </c>
      <c r="N39" s="3"/>
      <c r="O39" s="6">
        <v>650000</v>
      </c>
      <c r="Q39" s="6">
        <v>21940</v>
      </c>
      <c r="S39" s="6">
        <v>12030071874</v>
      </c>
      <c r="U39" s="6">
        <v>14150301750</v>
      </c>
      <c r="W39" s="7">
        <v>1.1112010342265746E-2</v>
      </c>
    </row>
    <row r="40" spans="1:23" ht="21" x14ac:dyDescent="0.55000000000000004">
      <c r="A40" s="5" t="s">
        <v>98</v>
      </c>
      <c r="C40" s="6">
        <v>20766211</v>
      </c>
      <c r="E40" s="6">
        <v>69033791937</v>
      </c>
      <c r="G40" s="6">
        <v>77802155556</v>
      </c>
      <c r="I40" s="6">
        <v>0</v>
      </c>
      <c r="J40" s="6">
        <v>0</v>
      </c>
      <c r="L40" s="6">
        <v>1200000</v>
      </c>
      <c r="M40" s="6">
        <v>4615175357</v>
      </c>
      <c r="O40" s="6">
        <v>19566211</v>
      </c>
      <c r="Q40" s="6">
        <v>3498</v>
      </c>
      <c r="S40" s="6">
        <v>65044592833</v>
      </c>
      <c r="U40" s="6">
        <v>68074272156</v>
      </c>
      <c r="W40" s="7">
        <v>5.3457659744936895E-2</v>
      </c>
    </row>
    <row r="41" spans="1:23" ht="21" x14ac:dyDescent="0.55000000000000004">
      <c r="A41" s="5" t="s">
        <v>99</v>
      </c>
      <c r="C41" s="6">
        <v>1800000</v>
      </c>
      <c r="E41" s="6">
        <v>7757852041</v>
      </c>
      <c r="G41" s="6">
        <v>7337878290</v>
      </c>
      <c r="I41" s="6">
        <v>0</v>
      </c>
      <c r="J41" s="6">
        <v>0</v>
      </c>
      <c r="L41" s="6">
        <v>0</v>
      </c>
      <c r="M41" s="6">
        <v>0</v>
      </c>
      <c r="N41" s="3"/>
      <c r="O41" s="6">
        <v>1800000</v>
      </c>
      <c r="Q41" s="6">
        <v>3821</v>
      </c>
      <c r="S41" s="6">
        <v>7757852041</v>
      </c>
      <c r="U41" s="6">
        <v>6799302000</v>
      </c>
      <c r="W41" s="7">
        <v>5.3393853699401266E-3</v>
      </c>
    </row>
    <row r="42" spans="1:23" ht="21" x14ac:dyDescent="0.55000000000000004">
      <c r="A42" s="5" t="s">
        <v>100</v>
      </c>
      <c r="C42" s="6">
        <v>200000</v>
      </c>
      <c r="E42" s="6">
        <v>2542357120</v>
      </c>
      <c r="G42" s="6">
        <v>2954316600</v>
      </c>
      <c r="I42" s="6">
        <v>0</v>
      </c>
      <c r="J42" s="6">
        <v>0</v>
      </c>
      <c r="L42" s="6">
        <v>0</v>
      </c>
      <c r="M42" s="6">
        <v>0</v>
      </c>
      <c r="N42" s="3"/>
      <c r="O42" s="6">
        <v>200000</v>
      </c>
      <c r="Q42" s="6">
        <v>14680</v>
      </c>
      <c r="S42" s="6">
        <v>2542357120</v>
      </c>
      <c r="U42" s="6">
        <v>2890697400</v>
      </c>
      <c r="W42" s="7">
        <v>2.2700193941207441E-3</v>
      </c>
    </row>
    <row r="43" spans="1:23" ht="21" x14ac:dyDescent="0.55000000000000004">
      <c r="A43" s="5" t="s">
        <v>101</v>
      </c>
      <c r="C43" s="6">
        <v>1641844</v>
      </c>
      <c r="E43" s="6">
        <v>15237275155</v>
      </c>
      <c r="G43" s="6">
        <v>21314899868</v>
      </c>
      <c r="I43" s="6">
        <v>0</v>
      </c>
      <c r="J43" s="6">
        <v>0</v>
      </c>
      <c r="L43" s="6">
        <v>0</v>
      </c>
      <c r="M43" s="6">
        <v>0</v>
      </c>
      <c r="N43" s="3"/>
      <c r="O43" s="6">
        <v>2308532</v>
      </c>
      <c r="Q43" s="6">
        <v>8663</v>
      </c>
      <c r="S43" s="6">
        <v>15237275155</v>
      </c>
      <c r="U43" s="6">
        <v>19749016395</v>
      </c>
      <c r="W43" s="7">
        <v>1.5508593265922105E-2</v>
      </c>
    </row>
    <row r="44" spans="1:23" ht="21" x14ac:dyDescent="0.55000000000000004">
      <c r="A44" s="5" t="s">
        <v>102</v>
      </c>
      <c r="C44" s="6">
        <v>200000</v>
      </c>
      <c r="E44" s="6">
        <v>2340169658</v>
      </c>
      <c r="G44" s="6">
        <v>2324088900</v>
      </c>
      <c r="I44" s="6">
        <v>0</v>
      </c>
      <c r="J44" s="6">
        <v>0</v>
      </c>
      <c r="L44" s="6">
        <v>200000</v>
      </c>
      <c r="M44" s="6">
        <v>2425482010</v>
      </c>
      <c r="O44" s="6">
        <v>0</v>
      </c>
      <c r="Q44" s="6">
        <v>0</v>
      </c>
      <c r="S44" s="6">
        <v>0</v>
      </c>
      <c r="U44" s="6">
        <v>0</v>
      </c>
      <c r="W44" s="7">
        <v>0</v>
      </c>
    </row>
    <row r="45" spans="1:23" ht="21" x14ac:dyDescent="0.55000000000000004">
      <c r="A45" s="5" t="s">
        <v>103</v>
      </c>
      <c r="C45" s="6">
        <v>29010652</v>
      </c>
      <c r="E45" s="6">
        <v>15030293663</v>
      </c>
      <c r="G45" s="6">
        <v>20417331343</v>
      </c>
      <c r="I45" s="6">
        <v>0</v>
      </c>
      <c r="J45" s="6">
        <v>0</v>
      </c>
      <c r="L45" s="6">
        <v>0</v>
      </c>
      <c r="M45" s="6">
        <v>0</v>
      </c>
      <c r="N45" s="3"/>
      <c r="O45" s="6">
        <v>29010652</v>
      </c>
      <c r="Q45" s="6">
        <v>674</v>
      </c>
      <c r="S45" s="6">
        <v>15030293663</v>
      </c>
      <c r="U45" s="6">
        <v>19177295683</v>
      </c>
      <c r="W45" s="7">
        <v>1.505962994507762E-2</v>
      </c>
    </row>
    <row r="46" spans="1:23" ht="21" x14ac:dyDescent="0.55000000000000004">
      <c r="A46" s="5" t="s">
        <v>104</v>
      </c>
      <c r="C46" s="6">
        <v>1000000</v>
      </c>
      <c r="E46" s="6">
        <v>16415148388</v>
      </c>
      <c r="G46" s="6">
        <v>17624506500</v>
      </c>
      <c r="I46" s="6">
        <v>0</v>
      </c>
      <c r="J46" s="6">
        <v>0</v>
      </c>
      <c r="L46" s="6">
        <v>0</v>
      </c>
      <c r="M46" s="6">
        <v>0</v>
      </c>
      <c r="N46" s="3"/>
      <c r="O46" s="6">
        <v>1000000</v>
      </c>
      <c r="Q46" s="6">
        <v>19500</v>
      </c>
      <c r="S46" s="6">
        <v>16415148388</v>
      </c>
      <c r="U46" s="6">
        <v>19483380000</v>
      </c>
      <c r="W46" s="7">
        <v>1.529999316532551E-2</v>
      </c>
    </row>
    <row r="47" spans="1:23" ht="21" x14ac:dyDescent="0.55000000000000004">
      <c r="A47" s="5" t="s">
        <v>105</v>
      </c>
      <c r="C47" s="6">
        <v>175000</v>
      </c>
      <c r="E47" s="6">
        <v>7181514900</v>
      </c>
      <c r="G47" s="6">
        <v>8576166375</v>
      </c>
      <c r="I47" s="6">
        <v>0</v>
      </c>
      <c r="J47" s="6">
        <v>0</v>
      </c>
      <c r="L47" s="6">
        <v>0</v>
      </c>
      <c r="M47" s="6">
        <v>0</v>
      </c>
      <c r="N47" s="3"/>
      <c r="O47" s="6">
        <v>175000</v>
      </c>
      <c r="Q47" s="6">
        <v>51000</v>
      </c>
      <c r="S47" s="6">
        <v>7181514900</v>
      </c>
      <c r="U47" s="6">
        <v>8854500375</v>
      </c>
      <c r="W47" s="7">
        <v>6.9533004653131109E-3</v>
      </c>
    </row>
    <row r="48" spans="1:23" ht="21" x14ac:dyDescent="0.55000000000000004">
      <c r="A48" s="5" t="s">
        <v>106</v>
      </c>
      <c r="C48" s="6">
        <v>15238461</v>
      </c>
      <c r="E48" s="6">
        <v>61919507698</v>
      </c>
      <c r="G48" s="6">
        <v>103156464590</v>
      </c>
      <c r="I48" s="6">
        <v>0</v>
      </c>
      <c r="J48" s="6">
        <v>0</v>
      </c>
      <c r="L48" s="6">
        <v>700000</v>
      </c>
      <c r="M48" s="6">
        <v>4892148382</v>
      </c>
      <c r="O48" s="6">
        <v>14538461</v>
      </c>
      <c r="Q48" s="6">
        <v>6600</v>
      </c>
      <c r="S48" s="6">
        <v>59075148587</v>
      </c>
      <c r="U48" s="6">
        <v>95382917237</v>
      </c>
      <c r="W48" s="7">
        <v>7.4902711019079277E-2</v>
      </c>
    </row>
    <row r="49" spans="1:23" ht="21" x14ac:dyDescent="0.55000000000000004">
      <c r="A49" s="5" t="s">
        <v>107</v>
      </c>
      <c r="C49" s="6">
        <v>1164500</v>
      </c>
      <c r="E49" s="6">
        <v>16528576490</v>
      </c>
      <c r="G49" s="6">
        <v>19343015170</v>
      </c>
      <c r="I49" s="6">
        <v>0</v>
      </c>
      <c r="J49" s="6">
        <v>0</v>
      </c>
      <c r="L49" s="6">
        <v>0</v>
      </c>
      <c r="M49" s="6">
        <v>0</v>
      </c>
      <c r="N49" s="3"/>
      <c r="O49" s="6">
        <v>1164500</v>
      </c>
      <c r="Q49" s="6">
        <v>15130</v>
      </c>
      <c r="S49" s="6">
        <v>16528576490</v>
      </c>
      <c r="U49" s="6">
        <v>17502476922</v>
      </c>
      <c r="W49" s="7">
        <v>1.3744421003073772E-2</v>
      </c>
    </row>
    <row r="50" spans="1:23" ht="21" x14ac:dyDescent="0.55000000000000004">
      <c r="A50" s="5" t="s">
        <v>108</v>
      </c>
      <c r="C50" s="6">
        <v>14200000</v>
      </c>
      <c r="E50" s="6">
        <v>37019592698</v>
      </c>
      <c r="G50" s="6">
        <v>59990917500</v>
      </c>
      <c r="I50" s="6">
        <v>0</v>
      </c>
      <c r="J50" s="6">
        <v>0</v>
      </c>
      <c r="L50" s="6">
        <v>1250000</v>
      </c>
      <c r="M50" s="6">
        <v>5090847002</v>
      </c>
      <c r="O50" s="6">
        <v>12950000</v>
      </c>
      <c r="Q50" s="6">
        <v>4023</v>
      </c>
      <c r="S50" s="6">
        <v>33760825735</v>
      </c>
      <c r="U50" s="6">
        <v>51877978425</v>
      </c>
      <c r="W50" s="7">
        <v>4.0738963944315837E-2</v>
      </c>
    </row>
    <row r="51" spans="1:23" ht="21" x14ac:dyDescent="0.55000000000000004">
      <c r="A51" s="5" t="s">
        <v>109</v>
      </c>
      <c r="C51" s="6">
        <v>1000000</v>
      </c>
      <c r="E51" s="6">
        <v>9995266963</v>
      </c>
      <c r="G51" s="6">
        <v>10517049000</v>
      </c>
      <c r="I51" s="6">
        <v>500000</v>
      </c>
      <c r="J51" s="6">
        <v>5417629143</v>
      </c>
      <c r="L51" s="6">
        <v>0</v>
      </c>
      <c r="M51" s="6">
        <v>0</v>
      </c>
      <c r="O51" s="6">
        <v>1500000</v>
      </c>
      <c r="Q51" s="6">
        <v>10710</v>
      </c>
      <c r="S51" s="6">
        <v>15412896106</v>
      </c>
      <c r="U51" s="6">
        <v>15894859500</v>
      </c>
      <c r="W51" s="7">
        <v>1.2481984220079331E-2</v>
      </c>
    </row>
    <row r="52" spans="1:23" ht="21" x14ac:dyDescent="0.55000000000000004">
      <c r="A52" s="5" t="s">
        <v>110</v>
      </c>
      <c r="C52" s="6">
        <v>400000</v>
      </c>
      <c r="E52" s="6">
        <v>6776045113</v>
      </c>
      <c r="G52" s="6">
        <v>7236684000</v>
      </c>
      <c r="I52" s="6">
        <v>0</v>
      </c>
      <c r="J52" s="6">
        <v>0</v>
      </c>
      <c r="L52" s="6">
        <v>0</v>
      </c>
      <c r="M52" s="6">
        <v>0</v>
      </c>
      <c r="N52" s="3"/>
      <c r="O52" s="6">
        <v>400000</v>
      </c>
      <c r="Q52" s="6">
        <v>18530</v>
      </c>
      <c r="S52" s="6">
        <v>6776045113</v>
      </c>
      <c r="U52" s="6">
        <v>7379827200</v>
      </c>
      <c r="W52" s="7">
        <v>5.7952627173151316E-3</v>
      </c>
    </row>
    <row r="53" spans="1:23" ht="21" x14ac:dyDescent="0.55000000000000004">
      <c r="A53" s="5" t="s">
        <v>111</v>
      </c>
      <c r="C53" s="6">
        <v>650000</v>
      </c>
      <c r="E53" s="6">
        <v>10326401749</v>
      </c>
      <c r="G53" s="6">
        <v>15500718675</v>
      </c>
      <c r="I53" s="6">
        <v>0</v>
      </c>
      <c r="J53" s="6">
        <v>0</v>
      </c>
      <c r="L53" s="6">
        <v>0</v>
      </c>
      <c r="M53" s="6">
        <v>0</v>
      </c>
      <c r="N53" s="3"/>
      <c r="O53" s="6">
        <v>650000</v>
      </c>
      <c r="Q53" s="6">
        <v>21030</v>
      </c>
      <c r="S53" s="6">
        <v>10326401749</v>
      </c>
      <c r="U53" s="6">
        <v>13549398525</v>
      </c>
      <c r="W53" s="7">
        <v>1.0640130451018845E-2</v>
      </c>
    </row>
    <row r="54" spans="1:23" ht="21" x14ac:dyDescent="0.55000000000000004">
      <c r="A54" s="5" t="s">
        <v>112</v>
      </c>
      <c r="C54" s="6">
        <v>6485981</v>
      </c>
      <c r="E54" s="6">
        <v>12347277052</v>
      </c>
      <c r="G54" s="6">
        <v>17775452612</v>
      </c>
      <c r="I54" s="6">
        <v>0</v>
      </c>
      <c r="J54" s="6">
        <v>0</v>
      </c>
      <c r="L54" s="6">
        <v>0</v>
      </c>
      <c r="M54" s="6">
        <v>0</v>
      </c>
      <c r="N54" s="3"/>
      <c r="O54" s="6">
        <v>6485981</v>
      </c>
      <c r="Q54" s="6">
        <v>2479</v>
      </c>
      <c r="S54" s="6">
        <v>12347277052</v>
      </c>
      <c r="U54" s="6">
        <v>16086236586</v>
      </c>
      <c r="W54" s="7">
        <v>1.2632269648367438E-2</v>
      </c>
    </row>
    <row r="55" spans="1:23" ht="21" x14ac:dyDescent="0.55000000000000004">
      <c r="A55" s="5" t="s">
        <v>113</v>
      </c>
      <c r="C55" s="6">
        <v>500000</v>
      </c>
      <c r="E55" s="6">
        <v>17557212522</v>
      </c>
      <c r="G55" s="6">
        <v>30810579750</v>
      </c>
      <c r="I55" s="6">
        <v>0</v>
      </c>
      <c r="J55" s="6">
        <v>0</v>
      </c>
      <c r="L55" s="6">
        <v>0</v>
      </c>
      <c r="M55" s="6">
        <v>0</v>
      </c>
      <c r="N55" s="3"/>
      <c r="O55" s="6">
        <v>500000</v>
      </c>
      <c r="Q55" s="6">
        <v>58430</v>
      </c>
      <c r="S55" s="6">
        <v>17557212522</v>
      </c>
      <c r="U55" s="6">
        <v>28832420250</v>
      </c>
      <c r="W55" s="7">
        <v>2.2641648048993185E-2</v>
      </c>
    </row>
    <row r="56" spans="1:23" ht="21" x14ac:dyDescent="0.55000000000000004">
      <c r="A56" s="5" t="s">
        <v>114</v>
      </c>
      <c r="C56" s="6">
        <v>4850000</v>
      </c>
      <c r="E56" s="6">
        <v>21701967809</v>
      </c>
      <c r="G56" s="6">
        <v>25600266675</v>
      </c>
      <c r="I56" s="6">
        <v>0</v>
      </c>
      <c r="J56" s="6">
        <v>0</v>
      </c>
      <c r="L56" s="6">
        <v>0</v>
      </c>
      <c r="M56" s="6">
        <v>0</v>
      </c>
      <c r="N56" s="3"/>
      <c r="O56" s="6">
        <v>4850000</v>
      </c>
      <c r="Q56" s="6">
        <v>4622</v>
      </c>
      <c r="S56" s="6">
        <v>21701967809</v>
      </c>
      <c r="U56" s="6">
        <v>22124222932</v>
      </c>
      <c r="W56" s="7">
        <v>1.7373805758946235E-2</v>
      </c>
    </row>
    <row r="57" spans="1:23" ht="21" x14ac:dyDescent="0.55000000000000004">
      <c r="A57" s="5" t="s">
        <v>115</v>
      </c>
      <c r="C57" s="6">
        <v>220000</v>
      </c>
      <c r="E57" s="6">
        <v>13591734748</v>
      </c>
      <c r="G57" s="6">
        <v>16379955900</v>
      </c>
      <c r="I57" s="6">
        <v>0</v>
      </c>
      <c r="J57" s="6">
        <v>0</v>
      </c>
      <c r="L57" s="6">
        <v>0</v>
      </c>
      <c r="M57" s="6">
        <v>0</v>
      </c>
      <c r="N57" s="3"/>
      <c r="O57" s="6">
        <v>220000</v>
      </c>
      <c r="Q57" s="6">
        <v>71100</v>
      </c>
      <c r="S57" s="6">
        <v>13591734748</v>
      </c>
      <c r="U57" s="6">
        <v>15505191900</v>
      </c>
      <c r="W57" s="7">
        <v>1.217598435677282E-2</v>
      </c>
    </row>
    <row r="58" spans="1:23" ht="21" x14ac:dyDescent="0.55000000000000004">
      <c r="A58" s="5" t="s">
        <v>116</v>
      </c>
      <c r="C58" s="6">
        <v>227029</v>
      </c>
      <c r="E58" s="6">
        <v>9721636580</v>
      </c>
      <c r="G58" s="6">
        <v>15899027601</v>
      </c>
      <c r="I58" s="6">
        <v>0</v>
      </c>
      <c r="J58" s="6">
        <v>0</v>
      </c>
      <c r="L58" s="6">
        <v>0</v>
      </c>
      <c r="M58" s="6">
        <v>0</v>
      </c>
      <c r="N58" s="3"/>
      <c r="O58" s="6">
        <v>227029</v>
      </c>
      <c r="Q58" s="6">
        <v>62620</v>
      </c>
      <c r="S58" s="6">
        <v>9721636580</v>
      </c>
      <c r="U58" s="6">
        <v>14131967472</v>
      </c>
      <c r="W58" s="7">
        <v>1.1097612720903786E-2</v>
      </c>
    </row>
    <row r="59" spans="1:23" ht="21" x14ac:dyDescent="0.55000000000000004">
      <c r="A59" s="5" t="s">
        <v>117</v>
      </c>
      <c r="C59" s="6">
        <v>400000</v>
      </c>
      <c r="E59" s="6">
        <v>14119090350</v>
      </c>
      <c r="G59" s="6">
        <v>14421677400</v>
      </c>
      <c r="I59" s="6">
        <v>0</v>
      </c>
      <c r="J59" s="6">
        <v>0</v>
      </c>
      <c r="L59" s="6">
        <v>0</v>
      </c>
      <c r="M59" s="6">
        <v>0</v>
      </c>
      <c r="N59" s="3"/>
      <c r="O59" s="6">
        <v>400000</v>
      </c>
      <c r="Q59" s="6">
        <v>35840</v>
      </c>
      <c r="S59" s="6">
        <v>14119090350</v>
      </c>
      <c r="U59" s="6">
        <v>14115510000</v>
      </c>
      <c r="W59" s="7">
        <v>1.1084688925899094E-2</v>
      </c>
    </row>
    <row r="60" spans="1:23" ht="21" x14ac:dyDescent="0.55000000000000004">
      <c r="A60" s="5" t="s">
        <v>118</v>
      </c>
      <c r="C60" s="6">
        <v>924900</v>
      </c>
      <c r="E60" s="6">
        <v>24193498250</v>
      </c>
      <c r="G60" s="6">
        <v>44287346024</v>
      </c>
      <c r="I60" s="6">
        <v>0</v>
      </c>
      <c r="J60" s="6">
        <v>0</v>
      </c>
      <c r="L60" s="6">
        <v>0</v>
      </c>
      <c r="M60" s="6">
        <v>0</v>
      </c>
      <c r="N60" s="3"/>
      <c r="O60" s="6">
        <v>924900</v>
      </c>
      <c r="Q60" s="6">
        <v>46710</v>
      </c>
      <c r="S60" s="6">
        <v>24193498250</v>
      </c>
      <c r="U60" s="6">
        <v>43055354251</v>
      </c>
      <c r="W60" s="7">
        <v>3.3810695360403001E-2</v>
      </c>
    </row>
    <row r="61" spans="1:23" ht="21" x14ac:dyDescent="0.55000000000000004">
      <c r="A61" s="5" t="s">
        <v>119</v>
      </c>
      <c r="C61" s="6">
        <v>5400000</v>
      </c>
      <c r="E61" s="6">
        <v>14926400244</v>
      </c>
      <c r="G61" s="6">
        <v>19855751130</v>
      </c>
      <c r="I61" s="6">
        <v>0</v>
      </c>
      <c r="J61" s="6">
        <v>0</v>
      </c>
      <c r="L61" s="6">
        <v>0</v>
      </c>
      <c r="M61" s="6">
        <v>0</v>
      </c>
      <c r="N61" s="3"/>
      <c r="O61" s="6">
        <v>5400000</v>
      </c>
      <c r="Q61" s="6">
        <v>3722</v>
      </c>
      <c r="S61" s="6">
        <v>14926400244</v>
      </c>
      <c r="U61" s="6">
        <v>20048994450</v>
      </c>
      <c r="W61" s="7">
        <v>1.5744161334257663E-2</v>
      </c>
    </row>
    <row r="62" spans="1:23" ht="21" x14ac:dyDescent="0.55000000000000004">
      <c r="A62" s="5" t="s">
        <v>120</v>
      </c>
      <c r="C62" s="6">
        <v>108000</v>
      </c>
      <c r="E62" s="6">
        <v>14985484296</v>
      </c>
      <c r="G62" s="6">
        <v>30473397990</v>
      </c>
      <c r="I62" s="6">
        <v>0</v>
      </c>
      <c r="J62" s="6">
        <v>0</v>
      </c>
      <c r="L62" s="6">
        <v>0</v>
      </c>
      <c r="M62" s="6">
        <v>0</v>
      </c>
      <c r="N62" s="3"/>
      <c r="O62" s="6">
        <v>108000</v>
      </c>
      <c r="Q62" s="6">
        <v>267740</v>
      </c>
      <c r="S62" s="6">
        <v>14985484296</v>
      </c>
      <c r="U62" s="6">
        <v>28800769698</v>
      </c>
      <c r="W62" s="7">
        <v>2.2616793366218493E-2</v>
      </c>
    </row>
    <row r="63" spans="1:23" ht="21" x14ac:dyDescent="0.55000000000000004">
      <c r="A63" s="5" t="s">
        <v>121</v>
      </c>
      <c r="C63" s="6">
        <v>1718099</v>
      </c>
      <c r="E63" s="6">
        <v>25846792505</v>
      </c>
      <c r="G63" s="6">
        <v>37009679658</v>
      </c>
      <c r="I63" s="6">
        <v>0</v>
      </c>
      <c r="J63" s="6">
        <v>0</v>
      </c>
      <c r="L63" s="6">
        <v>0</v>
      </c>
      <c r="M63" s="6">
        <v>0</v>
      </c>
      <c r="N63" s="3"/>
      <c r="O63" s="6">
        <v>1718099</v>
      </c>
      <c r="Q63" s="6">
        <v>18690</v>
      </c>
      <c r="S63" s="6">
        <v>25846792505</v>
      </c>
      <c r="U63" s="6">
        <v>31834814436</v>
      </c>
      <c r="W63" s="7">
        <v>2.4999381179764798E-2</v>
      </c>
    </row>
    <row r="64" spans="1:23" ht="21" x14ac:dyDescent="0.55000000000000004">
      <c r="A64" s="5" t="s">
        <v>122</v>
      </c>
      <c r="C64" s="6">
        <v>350000</v>
      </c>
      <c r="E64" s="6">
        <v>10947286168</v>
      </c>
      <c r="G64" s="6">
        <v>11202943500</v>
      </c>
      <c r="I64" s="6">
        <v>0</v>
      </c>
      <c r="J64" s="6">
        <v>0</v>
      </c>
      <c r="L64" s="6">
        <v>0</v>
      </c>
      <c r="M64" s="6">
        <v>0</v>
      </c>
      <c r="N64" s="3"/>
      <c r="O64" s="6">
        <v>4517187</v>
      </c>
      <c r="Q64" s="6">
        <v>2541</v>
      </c>
      <c r="S64" s="6">
        <v>10947286168</v>
      </c>
      <c r="U64" s="6">
        <v>11445799521</v>
      </c>
      <c r="W64" s="7">
        <v>8.9882070997427538E-3</v>
      </c>
    </row>
    <row r="65" spans="1:23" ht="21" x14ac:dyDescent="0.55000000000000004">
      <c r="A65" s="5" t="s">
        <v>123</v>
      </c>
      <c r="C65" s="6">
        <v>3600000</v>
      </c>
      <c r="E65" s="6">
        <v>18948298801</v>
      </c>
      <c r="G65" s="6">
        <v>30382144200</v>
      </c>
      <c r="I65" s="6">
        <v>0</v>
      </c>
      <c r="J65" s="6">
        <v>0</v>
      </c>
      <c r="L65" s="6">
        <v>0</v>
      </c>
      <c r="M65" s="6">
        <v>0</v>
      </c>
      <c r="N65" s="3"/>
      <c r="O65" s="6">
        <v>3600000</v>
      </c>
      <c r="Q65" s="6">
        <v>8210</v>
      </c>
      <c r="S65" s="6">
        <v>18948298801</v>
      </c>
      <c r="U65" s="6">
        <v>29272784400</v>
      </c>
      <c r="W65" s="7">
        <v>2.2987459119005387E-2</v>
      </c>
    </row>
    <row r="66" spans="1:23" ht="21" x14ac:dyDescent="0.55000000000000004">
      <c r="A66" s="5" t="s">
        <v>124</v>
      </c>
      <c r="C66" s="6">
        <v>0</v>
      </c>
      <c r="D66" s="6"/>
      <c r="E66" s="6">
        <v>0</v>
      </c>
      <c r="F66" s="6"/>
      <c r="G66" s="6">
        <v>0</v>
      </c>
      <c r="H66" s="3"/>
      <c r="I66" s="6">
        <v>200000</v>
      </c>
      <c r="J66" s="6">
        <v>5104732800</v>
      </c>
      <c r="L66" s="6">
        <v>0</v>
      </c>
      <c r="M66" s="6">
        <v>0</v>
      </c>
      <c r="O66" s="6">
        <v>200000</v>
      </c>
      <c r="Q66" s="6">
        <v>30350</v>
      </c>
      <c r="S66" s="6">
        <v>5104732800</v>
      </c>
      <c r="U66" s="6">
        <v>6033883500</v>
      </c>
      <c r="W66" s="7">
        <v>4.7383142098737672E-3</v>
      </c>
    </row>
    <row r="67" spans="1:23" ht="21" x14ac:dyDescent="0.55000000000000004">
      <c r="A67" s="5" t="s">
        <v>125</v>
      </c>
      <c r="C67" s="6">
        <v>6602960</v>
      </c>
      <c r="E67" s="6">
        <v>19570694999</v>
      </c>
      <c r="G67" s="6">
        <v>18371719014</v>
      </c>
      <c r="I67" s="6">
        <v>0</v>
      </c>
      <c r="J67" s="6">
        <v>0</v>
      </c>
      <c r="L67" s="6">
        <v>0</v>
      </c>
      <c r="M67" s="6">
        <v>0</v>
      </c>
      <c r="N67" s="3"/>
      <c r="O67" s="6">
        <v>6602960</v>
      </c>
      <c r="Q67" s="6">
        <v>2713</v>
      </c>
      <c r="S67" s="6">
        <v>19570694999</v>
      </c>
      <c r="U67" s="6">
        <v>17800679516</v>
      </c>
      <c r="W67" s="7">
        <v>1.3978594829693297E-2</v>
      </c>
    </row>
    <row r="68" spans="1:23" ht="21" x14ac:dyDescent="0.55000000000000004">
      <c r="A68" s="5" t="s">
        <v>126</v>
      </c>
      <c r="C68" s="6">
        <v>3550000</v>
      </c>
      <c r="E68" s="6">
        <v>15523583393</v>
      </c>
      <c r="G68" s="6">
        <v>14535446422</v>
      </c>
      <c r="I68" s="6">
        <v>0</v>
      </c>
      <c r="J68" s="6">
        <v>0</v>
      </c>
      <c r="L68" s="6">
        <v>0</v>
      </c>
      <c r="M68" s="6">
        <v>0</v>
      </c>
      <c r="N68" s="3"/>
      <c r="O68" s="6">
        <v>3550000</v>
      </c>
      <c r="Q68" s="6">
        <v>4013</v>
      </c>
      <c r="S68" s="6">
        <v>15523583393</v>
      </c>
      <c r="U68" s="6">
        <v>14083750102</v>
      </c>
      <c r="W68" s="7">
        <v>1.1059748375423178E-2</v>
      </c>
    </row>
    <row r="69" spans="1:23" ht="21" x14ac:dyDescent="0.55000000000000004">
      <c r="A69" s="5" t="s">
        <v>127</v>
      </c>
      <c r="C69" s="6">
        <v>2000000</v>
      </c>
      <c r="E69" s="6">
        <v>10997396074</v>
      </c>
      <c r="G69" s="6">
        <v>11530980000</v>
      </c>
      <c r="I69" s="6">
        <v>0</v>
      </c>
      <c r="J69" s="6">
        <v>0</v>
      </c>
      <c r="L69" s="6">
        <v>0</v>
      </c>
      <c r="M69" s="6">
        <v>0</v>
      </c>
      <c r="N69" s="3"/>
      <c r="O69" s="6">
        <v>2000000</v>
      </c>
      <c r="Q69" s="6">
        <v>5030</v>
      </c>
      <c r="S69" s="6">
        <v>10997396074</v>
      </c>
      <c r="U69" s="6">
        <v>9960381000</v>
      </c>
      <c r="W69" s="7">
        <v>7.821731199824572E-3</v>
      </c>
    </row>
    <row r="70" spans="1:23" ht="21" x14ac:dyDescent="0.55000000000000004">
      <c r="A70" s="5" t="s">
        <v>128</v>
      </c>
      <c r="C70" s="6">
        <v>6710221</v>
      </c>
      <c r="E70" s="6">
        <v>14478267197</v>
      </c>
      <c r="G70" s="6">
        <v>16342223203</v>
      </c>
      <c r="I70" s="6">
        <v>0</v>
      </c>
      <c r="J70" s="6">
        <v>0</v>
      </c>
      <c r="L70" s="6">
        <v>0</v>
      </c>
      <c r="M70" s="6">
        <v>0</v>
      </c>
      <c r="N70" s="3"/>
      <c r="O70" s="6">
        <v>6710221</v>
      </c>
      <c r="Q70" s="6">
        <v>2376</v>
      </c>
      <c r="S70" s="6">
        <v>14478267197</v>
      </c>
      <c r="U70" s="6">
        <v>15821940179</v>
      </c>
      <c r="W70" s="7">
        <v>1.242472181936035E-2</v>
      </c>
    </row>
    <row r="71" spans="1:23" ht="21.75" thickBot="1" x14ac:dyDescent="0.6">
      <c r="A71" s="8" t="s">
        <v>9</v>
      </c>
      <c r="C71" s="6"/>
      <c r="E71" s="8">
        <f>SUM(E11:$E$70)</f>
        <v>968017703781</v>
      </c>
      <c r="G71" s="8">
        <f>SUM(G11:$G$70)</f>
        <v>1346701209797</v>
      </c>
      <c r="I71" s="6"/>
      <c r="J71" s="8">
        <f>SUM(J11:$J$70)</f>
        <v>33509067375</v>
      </c>
      <c r="L71" s="6"/>
      <c r="M71" s="8">
        <f>SUM(M11:$M$70)</f>
        <v>60081030050</v>
      </c>
      <c r="O71" s="6"/>
      <c r="Q71" s="6"/>
      <c r="S71" s="8">
        <f>SUM(S11:$S$70)</f>
        <v>944401456309</v>
      </c>
      <c r="U71" s="8">
        <f>SUM(U11:$U$70)</f>
        <v>1240890565136</v>
      </c>
      <c r="W71" s="9">
        <f>SUM(W11:$W$70)</f>
        <v>0.97445192597473884</v>
      </c>
    </row>
    <row r="72" spans="1:23" ht="21.75" thickTop="1" x14ac:dyDescent="0.55000000000000004">
      <c r="C72" s="6"/>
      <c r="E72" s="10"/>
      <c r="G72" s="10"/>
      <c r="I72" s="6"/>
      <c r="J72" s="10"/>
      <c r="L72" s="6"/>
      <c r="M72" s="10"/>
      <c r="O72" s="6"/>
      <c r="Q72" s="6"/>
      <c r="S72" s="10"/>
      <c r="U72" s="10"/>
      <c r="W72" s="10"/>
    </row>
  </sheetData>
  <mergeCells count="19">
    <mergeCell ref="L9:M9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O9:O10"/>
    <mergeCell ref="Q9:Q10"/>
    <mergeCell ref="S9:S10"/>
    <mergeCell ref="U9:U10"/>
    <mergeCell ref="W9:W10"/>
  </mergeCells>
  <pageMargins left="0.7" right="0.7" top="0.51" bottom="0.42" header="0.3" footer="0.3"/>
  <pageSetup paperSize="9"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EA19-D22F-4ADE-BF8D-B685C4F09710}">
  <sheetPr>
    <pageSetUpPr fitToPage="1"/>
  </sheetPr>
  <dimension ref="A1:S13"/>
  <sheetViews>
    <sheetView rightToLeft="1" view="pageBreakPreview" zoomScale="60" zoomScaleNormal="100" workbookViewId="0">
      <selection activeCell="W7" sqref="W7"/>
    </sheetView>
  </sheetViews>
  <sheetFormatPr defaultColWidth="8.85546875" defaultRowHeight="19.5" x14ac:dyDescent="0.55000000000000004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9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0" width="1.42578125" style="1" customWidth="1"/>
    <col min="11" max="11" width="18.425781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8.42578125" style="1" customWidth="1"/>
    <col min="18" max="18" width="1.42578125" style="1" customWidth="1"/>
    <col min="19" max="19" width="10.5703125" style="1" customWidth="1"/>
    <col min="20" max="16384" width="8.85546875" style="1"/>
  </cols>
  <sheetData>
    <row r="1" spans="1:19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9.899999999999999" customHeight="1" x14ac:dyDescent="0.55000000000000004">
      <c r="A2" s="38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1:19" ht="21" x14ac:dyDescent="0.55000000000000004">
      <c r="A5" s="39" t="s">
        <v>57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7" spans="1:19" ht="21" x14ac:dyDescent="0.55000000000000004">
      <c r="C7" s="40" t="s">
        <v>13</v>
      </c>
      <c r="D7" s="41"/>
      <c r="E7" s="41"/>
      <c r="F7" s="41"/>
      <c r="G7" s="41"/>
      <c r="H7" s="41"/>
      <c r="I7" s="41"/>
      <c r="K7" s="12" t="s">
        <v>2</v>
      </c>
      <c r="M7" s="40" t="s">
        <v>54</v>
      </c>
      <c r="N7" s="41"/>
      <c r="O7" s="41"/>
      <c r="Q7" s="40" t="s">
        <v>3</v>
      </c>
      <c r="R7" s="41"/>
      <c r="S7" s="41"/>
    </row>
    <row r="8" spans="1:19" ht="63" x14ac:dyDescent="0.55000000000000004">
      <c r="A8" s="12" t="s">
        <v>14</v>
      </c>
      <c r="C8" s="12" t="s">
        <v>15</v>
      </c>
      <c r="E8" s="12" t="s">
        <v>16</v>
      </c>
      <c r="G8" s="13" t="s">
        <v>17</v>
      </c>
      <c r="I8" s="13" t="s">
        <v>18</v>
      </c>
      <c r="K8" s="12" t="s">
        <v>19</v>
      </c>
      <c r="M8" s="12" t="s">
        <v>20</v>
      </c>
      <c r="O8" s="12" t="s">
        <v>21</v>
      </c>
      <c r="Q8" s="12" t="s">
        <v>19</v>
      </c>
      <c r="S8" s="13" t="s">
        <v>7</v>
      </c>
    </row>
    <row r="9" spans="1:19" ht="42" x14ac:dyDescent="0.55000000000000004">
      <c r="A9" s="14" t="s">
        <v>23</v>
      </c>
      <c r="C9" s="15" t="s">
        <v>130</v>
      </c>
      <c r="E9" s="16" t="s">
        <v>22</v>
      </c>
      <c r="G9" s="15" t="s">
        <v>131</v>
      </c>
      <c r="I9" s="15">
        <v>10</v>
      </c>
      <c r="K9" s="17">
        <v>1892356271</v>
      </c>
      <c r="M9" s="17">
        <v>31225196814</v>
      </c>
      <c r="O9" s="17">
        <v>33000675000</v>
      </c>
      <c r="Q9" s="17">
        <v>116878085</v>
      </c>
      <c r="S9" s="18">
        <v>9.1782529606071125E-5</v>
      </c>
    </row>
    <row r="10" spans="1:19" ht="42" x14ac:dyDescent="0.55000000000000004">
      <c r="A10" s="14" t="s">
        <v>24</v>
      </c>
      <c r="C10" s="15" t="s">
        <v>133</v>
      </c>
      <c r="E10" s="16" t="s">
        <v>134</v>
      </c>
      <c r="G10" s="15" t="s">
        <v>135</v>
      </c>
      <c r="I10" s="15" t="s">
        <v>132</v>
      </c>
      <c r="K10" s="17">
        <v>156818</v>
      </c>
      <c r="M10" s="17">
        <v>0</v>
      </c>
      <c r="N10" s="17"/>
      <c r="O10" s="17">
        <v>0</v>
      </c>
      <c r="P10" s="15"/>
      <c r="Q10" s="17">
        <v>156818</v>
      </c>
      <c r="S10" s="18">
        <v>1.2314671931666967E-7</v>
      </c>
    </row>
    <row r="11" spans="1:19" ht="42" x14ac:dyDescent="0.55000000000000004">
      <c r="A11" s="14" t="s">
        <v>24</v>
      </c>
      <c r="C11" s="15" t="s">
        <v>136</v>
      </c>
      <c r="E11" s="16" t="s">
        <v>22</v>
      </c>
      <c r="G11" s="15" t="s">
        <v>137</v>
      </c>
      <c r="I11" s="15" t="s">
        <v>11</v>
      </c>
      <c r="K11" s="17">
        <v>2612203807</v>
      </c>
      <c r="M11" s="17">
        <v>33151487497</v>
      </c>
      <c r="O11" s="17">
        <v>34403800000</v>
      </c>
      <c r="Q11" s="17">
        <v>1359891304</v>
      </c>
      <c r="S11" s="18">
        <v>1.0679013424152069E-3</v>
      </c>
    </row>
    <row r="12" spans="1:19" ht="21.75" thickBot="1" x14ac:dyDescent="0.6">
      <c r="A12" s="19" t="s">
        <v>9</v>
      </c>
      <c r="K12" s="19">
        <f>SUM(K9:$K$11)</f>
        <v>4504716896</v>
      </c>
      <c r="M12" s="19">
        <f>SUM(M9:$M$11)</f>
        <v>64376684311</v>
      </c>
      <c r="O12" s="19">
        <f>SUM(O9:$O$11)</f>
        <v>67404475000</v>
      </c>
      <c r="Q12" s="19">
        <f>SUM(Q9:$Q$11)</f>
        <v>1476926207</v>
      </c>
      <c r="S12" s="20">
        <f>SUM(S9:$S$11)</f>
        <v>1.1598070187405947E-3</v>
      </c>
    </row>
    <row r="13" spans="1:19" ht="21.75" thickTop="1" x14ac:dyDescent="0.55000000000000004">
      <c r="K13" s="21"/>
      <c r="M13" s="21"/>
      <c r="O13" s="21"/>
      <c r="Q13" s="21"/>
      <c r="S13" s="21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7" right="0.7" top="0.75" bottom="0.75" header="0.3" footer="0.3"/>
  <pageSetup paperSize="9" scale="7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0D4B-CEFA-4FBF-A276-55C88ABEFA4D}">
  <sheetPr>
    <pageSetUpPr fitToPage="1"/>
  </sheetPr>
  <dimension ref="A1:I12"/>
  <sheetViews>
    <sheetView rightToLeft="1" view="pageBreakPreview" zoomScaleNormal="100" zoomScaleSheetLayoutView="100" workbookViewId="0">
      <selection activeCell="N6" sqref="N6"/>
    </sheetView>
  </sheetViews>
  <sheetFormatPr defaultColWidth="8.85546875" defaultRowHeight="19.5" x14ac:dyDescent="0.55000000000000004"/>
  <cols>
    <col min="1" max="1" width="49.710937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6384" width="8.85546875" style="1"/>
  </cols>
  <sheetData>
    <row r="1" spans="1:9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</row>
    <row r="2" spans="1:9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</row>
    <row r="3" spans="1:9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</row>
    <row r="5" spans="1:9" ht="21" x14ac:dyDescent="0.55000000000000004">
      <c r="A5" s="39" t="s">
        <v>26</v>
      </c>
      <c r="B5" s="27"/>
      <c r="C5" s="27"/>
      <c r="D5" s="27"/>
      <c r="E5" s="27"/>
      <c r="F5" s="27"/>
      <c r="G5" s="27"/>
      <c r="H5" s="27"/>
      <c r="I5" s="27"/>
    </row>
    <row r="6" spans="1:9" ht="21" x14ac:dyDescent="0.55000000000000004">
      <c r="E6" s="42" t="s">
        <v>59</v>
      </c>
      <c r="F6" s="42"/>
      <c r="G6" s="42"/>
      <c r="H6" s="42"/>
      <c r="I6" s="42"/>
    </row>
    <row r="7" spans="1:9" ht="63" x14ac:dyDescent="0.55000000000000004">
      <c r="A7" s="12" t="s">
        <v>27</v>
      </c>
      <c r="C7" s="12" t="s">
        <v>28</v>
      </c>
      <c r="E7" s="12" t="s">
        <v>19</v>
      </c>
      <c r="G7" s="13" t="s">
        <v>29</v>
      </c>
      <c r="I7" s="13" t="s">
        <v>30</v>
      </c>
    </row>
    <row r="8" spans="1:9" ht="21" x14ac:dyDescent="0.55000000000000004">
      <c r="A8" s="11" t="s">
        <v>138</v>
      </c>
      <c r="C8" s="24" t="s">
        <v>302</v>
      </c>
      <c r="E8" s="17">
        <f>'4'!$S$177</f>
        <v>152311625800</v>
      </c>
      <c r="G8" s="18">
        <f>E8/$E$11</f>
        <v>0.96823641060416721</v>
      </c>
      <c r="I8" s="18">
        <v>0.11960793423623707</v>
      </c>
    </row>
    <row r="9" spans="1:9" ht="21" x14ac:dyDescent="0.55000000000000004">
      <c r="A9" s="11" t="s">
        <v>31</v>
      </c>
      <c r="C9" s="24" t="s">
        <v>303</v>
      </c>
      <c r="E9" s="17">
        <f>'5'!$I$11</f>
        <v>4906216235</v>
      </c>
      <c r="G9" s="18">
        <f t="shared" ref="G9:G10" si="0">E9/$E$11</f>
        <v>3.1188539759020098E-2</v>
      </c>
      <c r="I9" s="18">
        <v>3.8527747681926369E-3</v>
      </c>
    </row>
    <row r="10" spans="1:9" ht="21" x14ac:dyDescent="0.55000000000000004">
      <c r="A10" s="11" t="s">
        <v>139</v>
      </c>
      <c r="C10" s="24" t="s">
        <v>304</v>
      </c>
      <c r="E10" s="17">
        <f>'6'!$E$10</f>
        <v>90460082</v>
      </c>
      <c r="G10" s="18">
        <f t="shared" si="0"/>
        <v>5.7504963681267876E-4</v>
      </c>
      <c r="I10" s="18">
        <v>7.1036885608902824E-5</v>
      </c>
    </row>
    <row r="11" spans="1:9" ht="21.75" thickBot="1" x14ac:dyDescent="0.6">
      <c r="A11" s="23" t="s">
        <v>9</v>
      </c>
      <c r="E11" s="19">
        <f>SUM(E8:$E$10)</f>
        <v>157308302117</v>
      </c>
      <c r="G11" s="22">
        <f>SUM(G8:$G$10)</f>
        <v>1</v>
      </c>
      <c r="I11" s="20">
        <f>SUM(I8:$I$10)</f>
        <v>0.12353174589003861</v>
      </c>
    </row>
    <row r="12" spans="1:9" ht="21.75" thickTop="1" x14ac:dyDescent="0.55000000000000004">
      <c r="E12" s="21"/>
      <c r="G12" s="21"/>
      <c r="I12" s="21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scale="7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3778-47C4-4074-82E2-DDF2F84E5DD8}">
  <sheetPr>
    <pageSetUpPr fitToPage="1"/>
  </sheetPr>
  <dimension ref="A1:U178"/>
  <sheetViews>
    <sheetView rightToLeft="1" view="pageBreakPreview" topLeftCell="A132" zoomScale="60" zoomScaleNormal="68" workbookViewId="0">
      <selection activeCell="O69" sqref="O69:O162"/>
    </sheetView>
  </sheetViews>
  <sheetFormatPr defaultColWidth="8.85546875" defaultRowHeight="19.5" x14ac:dyDescent="0.55000000000000004"/>
  <cols>
    <col min="1" max="1" width="37.710937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0.57031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8" width="1.42578125" style="1" customWidth="1"/>
    <col min="19" max="19" width="17" style="1" customWidth="1"/>
    <col min="20" max="20" width="1.42578125" style="1" customWidth="1"/>
    <col min="21" max="21" width="10.5703125" style="1" customWidth="1"/>
    <col min="22" max="16384" width="8.85546875" style="1"/>
  </cols>
  <sheetData>
    <row r="1" spans="1:21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5" spans="1:21" ht="21" x14ac:dyDescent="0.55000000000000004">
      <c r="A5" s="39" t="s">
        <v>301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7" spans="1:21" ht="21" x14ac:dyDescent="0.55000000000000004">
      <c r="C7" s="40" t="s">
        <v>58</v>
      </c>
      <c r="D7" s="41"/>
      <c r="E7" s="41"/>
      <c r="F7" s="41"/>
      <c r="G7" s="41"/>
      <c r="H7" s="41"/>
      <c r="I7" s="41"/>
      <c r="J7" s="41"/>
      <c r="K7" s="41"/>
      <c r="M7" s="40" t="s">
        <v>59</v>
      </c>
      <c r="N7" s="41"/>
      <c r="O7" s="41"/>
      <c r="P7" s="41"/>
      <c r="Q7" s="41"/>
      <c r="R7" s="41"/>
      <c r="S7" s="41"/>
      <c r="T7" s="41"/>
      <c r="U7" s="41"/>
    </row>
    <row r="8" spans="1:21" ht="63" x14ac:dyDescent="0.55000000000000004">
      <c r="A8" s="12" t="s">
        <v>174</v>
      </c>
      <c r="C8" s="13" t="s">
        <v>140</v>
      </c>
      <c r="E8" s="13" t="s">
        <v>40</v>
      </c>
      <c r="G8" s="13" t="s">
        <v>41</v>
      </c>
      <c r="I8" s="13" t="s">
        <v>175</v>
      </c>
      <c r="K8" s="13" t="s">
        <v>176</v>
      </c>
      <c r="M8" s="13" t="s">
        <v>140</v>
      </c>
      <c r="O8" s="13" t="s">
        <v>40</v>
      </c>
      <c r="Q8" s="13" t="s">
        <v>41</v>
      </c>
      <c r="S8" s="13" t="s">
        <v>175</v>
      </c>
      <c r="U8" s="13" t="s">
        <v>176</v>
      </c>
    </row>
    <row r="9" spans="1:21" ht="21" x14ac:dyDescent="0.55000000000000004">
      <c r="A9" s="16" t="s">
        <v>69</v>
      </c>
      <c r="C9" s="17">
        <v>0</v>
      </c>
      <c r="E9" s="17">
        <v>-64116225</v>
      </c>
      <c r="G9" s="17">
        <v>0</v>
      </c>
      <c r="I9" s="17">
        <f>G9+E9+C9</f>
        <v>-64116225</v>
      </c>
      <c r="K9" s="18">
        <v>8.5762025709500752E-4</v>
      </c>
      <c r="M9" s="17">
        <v>0</v>
      </c>
      <c r="O9" s="17">
        <v>85108012</v>
      </c>
      <c r="Q9" s="17">
        <v>196012800</v>
      </c>
      <c r="S9" s="17">
        <f>Q9+O9+M9</f>
        <v>281120812</v>
      </c>
      <c r="U9" s="18">
        <v>1.7870691388501914E-3</v>
      </c>
    </row>
    <row r="10" spans="1:21" ht="21" x14ac:dyDescent="0.55000000000000004">
      <c r="A10" s="16" t="s">
        <v>72</v>
      </c>
      <c r="C10" s="17">
        <v>0</v>
      </c>
      <c r="E10" s="17">
        <v>986295606</v>
      </c>
      <c r="G10" s="17">
        <v>-1476525993</v>
      </c>
      <c r="I10" s="17">
        <f t="shared" ref="I10:I73" si="0">G10+E10+C10</f>
        <v>-490230387</v>
      </c>
      <c r="K10" s="18">
        <v>6.5573341308650824E-3</v>
      </c>
      <c r="M10" s="17">
        <v>0</v>
      </c>
      <c r="O10" s="17">
        <v>0</v>
      </c>
      <c r="Q10" s="17">
        <v>-1476525993</v>
      </c>
      <c r="S10" s="17">
        <f t="shared" ref="S10:S73" si="1">Q10+O10+M10</f>
        <v>-1476525993</v>
      </c>
      <c r="U10" s="18">
        <v>-9.3861924203620817E-3</v>
      </c>
    </row>
    <row r="11" spans="1:21" ht="21" x14ac:dyDescent="0.55000000000000004">
      <c r="A11" s="16" t="s">
        <v>73</v>
      </c>
      <c r="C11" s="17">
        <v>0</v>
      </c>
      <c r="E11" s="17">
        <v>-2256610530</v>
      </c>
      <c r="G11" s="17">
        <v>0</v>
      </c>
      <c r="I11" s="17">
        <f t="shared" si="0"/>
        <v>-2256610530</v>
      </c>
      <c r="K11" s="18">
        <v>3.0184479870764402E-2</v>
      </c>
      <c r="M11" s="17">
        <v>0</v>
      </c>
      <c r="O11" s="17">
        <v>10821393525</v>
      </c>
      <c r="Q11" s="17">
        <v>0</v>
      </c>
      <c r="S11" s="17">
        <f t="shared" si="1"/>
        <v>10821393525</v>
      </c>
      <c r="U11" s="18">
        <v>6.8790988010808629E-2</v>
      </c>
    </row>
    <row r="12" spans="1:21" ht="21" x14ac:dyDescent="0.55000000000000004">
      <c r="A12" s="16" t="s">
        <v>177</v>
      </c>
      <c r="C12" s="17">
        <v>0</v>
      </c>
      <c r="E12" s="17">
        <v>-2264630128</v>
      </c>
      <c r="G12" s="17">
        <v>0</v>
      </c>
      <c r="I12" s="17">
        <f t="shared" si="0"/>
        <v>-2264630128</v>
      </c>
      <c r="K12" s="18">
        <v>3.0291750217678284E-2</v>
      </c>
      <c r="M12" s="17">
        <v>0</v>
      </c>
      <c r="O12" s="17">
        <v>3349741837</v>
      </c>
      <c r="Q12" s="17">
        <v>1028754432</v>
      </c>
      <c r="S12" s="17">
        <f t="shared" si="1"/>
        <v>4378496269</v>
      </c>
      <c r="U12" s="18">
        <v>2.7833853713045642E-2</v>
      </c>
    </row>
    <row r="13" spans="1:21" ht="21" x14ac:dyDescent="0.55000000000000004">
      <c r="A13" s="16" t="s">
        <v>74</v>
      </c>
      <c r="C13" s="17">
        <v>0</v>
      </c>
      <c r="E13" s="17">
        <v>-2610942122</v>
      </c>
      <c r="G13" s="17">
        <v>0</v>
      </c>
      <c r="I13" s="17">
        <f t="shared" si="0"/>
        <v>-2610942122</v>
      </c>
      <c r="K13" s="18">
        <v>3.4924028261642426E-2</v>
      </c>
      <c r="M13" s="17">
        <v>0</v>
      </c>
      <c r="O13" s="17">
        <v>2838848655</v>
      </c>
      <c r="Q13" s="17">
        <v>963773428</v>
      </c>
      <c r="S13" s="17">
        <f t="shared" si="1"/>
        <v>3802622083</v>
      </c>
      <c r="U13" s="18">
        <v>2.4173054007966977E-2</v>
      </c>
    </row>
    <row r="14" spans="1:21" ht="21" x14ac:dyDescent="0.55000000000000004">
      <c r="A14" s="16" t="s">
        <v>178</v>
      </c>
      <c r="C14" s="17">
        <v>0</v>
      </c>
      <c r="E14" s="17">
        <v>-1078595011</v>
      </c>
      <c r="G14" s="17">
        <v>-20149647</v>
      </c>
      <c r="I14" s="17">
        <f t="shared" si="0"/>
        <v>-1098744658</v>
      </c>
      <c r="K14" s="18">
        <v>1.469683650395397E-2</v>
      </c>
      <c r="M14" s="17">
        <v>0</v>
      </c>
      <c r="O14" s="17">
        <v>-842196033</v>
      </c>
      <c r="Q14" s="17">
        <v>-20149647</v>
      </c>
      <c r="S14" s="17">
        <f t="shared" si="1"/>
        <v>-862345680</v>
      </c>
      <c r="U14" s="18">
        <v>-5.4818828274755503E-3</v>
      </c>
    </row>
    <row r="15" spans="1:21" ht="21" x14ac:dyDescent="0.55000000000000004">
      <c r="A15" s="16" t="s">
        <v>76</v>
      </c>
      <c r="C15" s="17">
        <v>0</v>
      </c>
      <c r="E15" s="17">
        <v>-3735796598</v>
      </c>
      <c r="G15" s="17">
        <v>0</v>
      </c>
      <c r="I15" s="17">
        <f t="shared" si="0"/>
        <v>-3735796598</v>
      </c>
      <c r="K15" s="18">
        <v>4.9970110355552197E-2</v>
      </c>
      <c r="M15" s="17">
        <v>0</v>
      </c>
      <c r="O15" s="17">
        <v>14253310101</v>
      </c>
      <c r="Q15" s="17">
        <v>0</v>
      </c>
      <c r="S15" s="17">
        <f t="shared" si="1"/>
        <v>14253310101</v>
      </c>
      <c r="U15" s="18">
        <v>9.0607488028879218E-2</v>
      </c>
    </row>
    <row r="16" spans="1:21" ht="21" x14ac:dyDescent="0.55000000000000004">
      <c r="A16" s="16" t="s">
        <v>77</v>
      </c>
      <c r="C16" s="17">
        <v>0</v>
      </c>
      <c r="E16" s="17">
        <v>-256862520</v>
      </c>
      <c r="G16" s="17">
        <v>0</v>
      </c>
      <c r="I16" s="17">
        <f t="shared" si="0"/>
        <v>-256862520</v>
      </c>
      <c r="K16" s="18">
        <v>3.4357996036178287E-3</v>
      </c>
      <c r="M16" s="17">
        <v>952000000</v>
      </c>
      <c r="O16" s="17">
        <v>-1767619710</v>
      </c>
      <c r="Q16" s="17">
        <v>0</v>
      </c>
      <c r="S16" s="17">
        <f t="shared" si="1"/>
        <v>-815619710</v>
      </c>
      <c r="U16" s="18">
        <v>-5.1848484728300474E-3</v>
      </c>
    </row>
    <row r="17" spans="1:21" ht="21" x14ac:dyDescent="0.55000000000000004">
      <c r="A17" s="16" t="s">
        <v>78</v>
      </c>
      <c r="C17" s="17">
        <v>0</v>
      </c>
      <c r="E17" s="17">
        <v>-837946873</v>
      </c>
      <c r="G17" s="17">
        <v>0</v>
      </c>
      <c r="I17" s="17">
        <f t="shared" si="0"/>
        <v>-837946873</v>
      </c>
      <c r="K17" s="18">
        <v>1.1208398695559785E-2</v>
      </c>
      <c r="M17" s="17">
        <v>1257300000</v>
      </c>
      <c r="O17" s="17">
        <v>1842373412</v>
      </c>
      <c r="Q17" s="17">
        <v>2850861976</v>
      </c>
      <c r="S17" s="17">
        <f t="shared" si="1"/>
        <v>5950535388</v>
      </c>
      <c r="U17" s="18">
        <v>3.7827217685792502E-2</v>
      </c>
    </row>
    <row r="18" spans="1:21" ht="21" x14ac:dyDescent="0.55000000000000004">
      <c r="A18" s="16" t="s">
        <v>80</v>
      </c>
      <c r="C18" s="17">
        <v>0</v>
      </c>
      <c r="E18" s="17">
        <v>398117025</v>
      </c>
      <c r="G18" s="17">
        <v>0</v>
      </c>
      <c r="I18" s="17">
        <f t="shared" si="0"/>
        <v>398117025</v>
      </c>
      <c r="K18" s="18">
        <v>-5.3252234568457449E-3</v>
      </c>
      <c r="M18" s="17">
        <v>292500000</v>
      </c>
      <c r="O18" s="17">
        <v>901729430</v>
      </c>
      <c r="Q18" s="17">
        <v>957825935</v>
      </c>
      <c r="S18" s="17">
        <f t="shared" si="1"/>
        <v>2152055365</v>
      </c>
      <c r="U18" s="18">
        <v>1.3680494519518123E-2</v>
      </c>
    </row>
    <row r="19" spans="1:21" ht="21" x14ac:dyDescent="0.55000000000000004">
      <c r="A19" s="16" t="s">
        <v>179</v>
      </c>
      <c r="C19" s="17">
        <v>0</v>
      </c>
      <c r="E19" s="17">
        <v>-67078506</v>
      </c>
      <c r="G19" s="17">
        <v>0</v>
      </c>
      <c r="I19" s="17">
        <f t="shared" si="0"/>
        <v>-67078506</v>
      </c>
      <c r="K19" s="18">
        <v>8.9724380312891172E-4</v>
      </c>
      <c r="M19" s="17">
        <v>0</v>
      </c>
      <c r="O19" s="17">
        <v>-67078506</v>
      </c>
      <c r="Q19" s="17">
        <v>0</v>
      </c>
      <c r="S19" s="17">
        <f t="shared" si="1"/>
        <v>-67078506</v>
      </c>
      <c r="U19" s="18">
        <v>-4.2641427754832109E-4</v>
      </c>
    </row>
    <row r="20" spans="1:21" ht="21" x14ac:dyDescent="0.55000000000000004">
      <c r="A20" s="16" t="s">
        <v>81</v>
      </c>
      <c r="C20" s="17">
        <v>0</v>
      </c>
      <c r="E20" s="17">
        <v>-198810000</v>
      </c>
      <c r="G20" s="17">
        <v>0</v>
      </c>
      <c r="I20" s="17">
        <f t="shared" si="0"/>
        <v>-198810000</v>
      </c>
      <c r="K20" s="18">
        <v>2.6592876188992485E-3</v>
      </c>
      <c r="M20" s="17">
        <v>0</v>
      </c>
      <c r="O20" s="17">
        <v>485096400</v>
      </c>
      <c r="Q20" s="17">
        <v>1007320800</v>
      </c>
      <c r="S20" s="17">
        <f t="shared" si="1"/>
        <v>1492417200</v>
      </c>
      <c r="U20" s="18">
        <v>9.4872119265549566E-3</v>
      </c>
    </row>
    <row r="21" spans="1:21" ht="21" x14ac:dyDescent="0.55000000000000004">
      <c r="A21" s="16" t="s">
        <v>180</v>
      </c>
      <c r="C21" s="17">
        <v>0</v>
      </c>
      <c r="E21" s="17">
        <v>-5174865222</v>
      </c>
      <c r="G21" s="17">
        <v>0</v>
      </c>
      <c r="I21" s="17">
        <f t="shared" si="0"/>
        <v>-5174865222</v>
      </c>
      <c r="K21" s="18">
        <v>6.9219128888571554E-2</v>
      </c>
      <c r="M21" s="17">
        <v>0</v>
      </c>
      <c r="O21" s="17">
        <v>-1869043748</v>
      </c>
      <c r="Q21" s="17">
        <v>-546347714</v>
      </c>
      <c r="S21" s="17">
        <f t="shared" si="1"/>
        <v>-2415391462</v>
      </c>
      <c r="U21" s="18">
        <v>-1.5354507228665961E-2</v>
      </c>
    </row>
    <row r="22" spans="1:21" ht="21" x14ac:dyDescent="0.55000000000000004">
      <c r="A22" s="16" t="s">
        <v>83</v>
      </c>
      <c r="C22" s="17">
        <v>0</v>
      </c>
      <c r="E22" s="17">
        <v>-1541350625</v>
      </c>
      <c r="G22" s="17">
        <v>0</v>
      </c>
      <c r="I22" s="17">
        <f t="shared" si="0"/>
        <v>-1541350625</v>
      </c>
      <c r="K22" s="18">
        <v>2.0617145181052857E-2</v>
      </c>
      <c r="M22" s="17">
        <v>0</v>
      </c>
      <c r="O22" s="17">
        <v>4162369738</v>
      </c>
      <c r="Q22" s="17">
        <v>0</v>
      </c>
      <c r="S22" s="17">
        <f t="shared" si="1"/>
        <v>4162369738</v>
      </c>
      <c r="U22" s="18">
        <v>2.645994955102704E-2</v>
      </c>
    </row>
    <row r="23" spans="1:21" ht="21" x14ac:dyDescent="0.55000000000000004">
      <c r="A23" s="16" t="s">
        <v>84</v>
      </c>
      <c r="C23" s="17">
        <v>0</v>
      </c>
      <c r="E23" s="17">
        <v>-8596345590</v>
      </c>
      <c r="G23" s="17">
        <v>0</v>
      </c>
      <c r="I23" s="17">
        <f t="shared" si="0"/>
        <v>-8596345590</v>
      </c>
      <c r="K23" s="18">
        <v>0.1149849373535846</v>
      </c>
      <c r="M23" s="17">
        <v>0</v>
      </c>
      <c r="O23" s="17">
        <v>-708041268</v>
      </c>
      <c r="Q23" s="17">
        <v>-760630187</v>
      </c>
      <c r="S23" s="17">
        <f t="shared" si="1"/>
        <v>-1468671455</v>
      </c>
      <c r="U23" s="18">
        <v>-9.3362615655105171E-3</v>
      </c>
    </row>
    <row r="24" spans="1:21" ht="21" x14ac:dyDescent="0.55000000000000004">
      <c r="A24" s="16" t="s">
        <v>181</v>
      </c>
      <c r="C24" s="17">
        <v>0</v>
      </c>
      <c r="E24" s="17">
        <v>-1148707555</v>
      </c>
      <c r="G24" s="17">
        <v>0</v>
      </c>
      <c r="I24" s="17">
        <f t="shared" si="0"/>
        <v>-1148707555</v>
      </c>
      <c r="K24" s="18">
        <v>1.5365141485576819E-2</v>
      </c>
      <c r="M24" s="17">
        <v>0</v>
      </c>
      <c r="O24" s="17">
        <v>-3715732792</v>
      </c>
      <c r="Q24" s="17">
        <v>-1102034145</v>
      </c>
      <c r="S24" s="17">
        <f t="shared" si="1"/>
        <v>-4817766937</v>
      </c>
      <c r="U24" s="18">
        <v>-3.0626272562436659E-2</v>
      </c>
    </row>
    <row r="25" spans="1:21" ht="21" x14ac:dyDescent="0.55000000000000004">
      <c r="A25" s="16" t="s">
        <v>85</v>
      </c>
      <c r="C25" s="17">
        <v>0</v>
      </c>
      <c r="E25" s="17">
        <v>375750900</v>
      </c>
      <c r="G25" s="17">
        <v>0</v>
      </c>
      <c r="I25" s="17">
        <f t="shared" si="0"/>
        <v>375750900</v>
      </c>
      <c r="K25" s="18">
        <v>-5.0260535997195795E-3</v>
      </c>
      <c r="M25" s="17">
        <v>0</v>
      </c>
      <c r="O25" s="17">
        <v>2180864937</v>
      </c>
      <c r="Q25" s="17">
        <v>1377922289</v>
      </c>
      <c r="S25" s="17">
        <f t="shared" si="1"/>
        <v>3558787226</v>
      </c>
      <c r="U25" s="18">
        <v>2.262300958108673E-2</v>
      </c>
    </row>
    <row r="26" spans="1:21" ht="21" x14ac:dyDescent="0.55000000000000004">
      <c r="A26" s="16" t="s">
        <v>86</v>
      </c>
      <c r="C26" s="17">
        <v>0</v>
      </c>
      <c r="E26" s="17">
        <v>-1971724180</v>
      </c>
      <c r="G26" s="17">
        <v>0</v>
      </c>
      <c r="I26" s="17">
        <f t="shared" si="0"/>
        <v>-1971724180</v>
      </c>
      <c r="K26" s="18">
        <v>2.6373832803975015E-2</v>
      </c>
      <c r="M26" s="17">
        <v>0</v>
      </c>
      <c r="O26" s="17">
        <v>-1477924938</v>
      </c>
      <c r="Q26" s="17">
        <v>0</v>
      </c>
      <c r="S26" s="17">
        <f t="shared" si="1"/>
        <v>-1477924938</v>
      </c>
      <c r="U26" s="18">
        <v>-9.3950854347876686E-3</v>
      </c>
    </row>
    <row r="27" spans="1:21" ht="42" x14ac:dyDescent="0.55000000000000004">
      <c r="A27" s="16" t="s">
        <v>182</v>
      </c>
      <c r="C27" s="17">
        <v>0</v>
      </c>
      <c r="E27" s="17">
        <v>-1473182100</v>
      </c>
      <c r="G27" s="17">
        <v>0</v>
      </c>
      <c r="I27" s="17">
        <f t="shared" si="0"/>
        <v>-1473182100</v>
      </c>
      <c r="K27" s="18">
        <v>1.9705321256043431E-2</v>
      </c>
      <c r="M27" s="17">
        <v>0</v>
      </c>
      <c r="O27" s="17">
        <v>-671977800</v>
      </c>
      <c r="Q27" s="17">
        <v>236936174</v>
      </c>
      <c r="S27" s="17">
        <f t="shared" si="1"/>
        <v>-435041626</v>
      </c>
      <c r="U27" s="18">
        <v>-2.7655350680326259E-3</v>
      </c>
    </row>
    <row r="28" spans="1:21" ht="21" x14ac:dyDescent="0.55000000000000004">
      <c r="A28" s="16" t="s">
        <v>183</v>
      </c>
      <c r="C28" s="17">
        <v>0</v>
      </c>
      <c r="E28" s="17">
        <v>-4583564550</v>
      </c>
      <c r="G28" s="17">
        <v>0</v>
      </c>
      <c r="I28" s="17">
        <f t="shared" si="0"/>
        <v>-4583564550</v>
      </c>
      <c r="K28" s="18">
        <v>6.1309876053722172E-2</v>
      </c>
      <c r="M28" s="17">
        <v>5006486160</v>
      </c>
      <c r="O28" s="17">
        <v>-4395377196</v>
      </c>
      <c r="Q28" s="17">
        <v>-416966303</v>
      </c>
      <c r="S28" s="17">
        <f t="shared" si="1"/>
        <v>194142661</v>
      </c>
      <c r="U28" s="18">
        <v>1.2341539409304019E-3</v>
      </c>
    </row>
    <row r="29" spans="1:21" ht="21" x14ac:dyDescent="0.55000000000000004">
      <c r="A29" s="16" t="s">
        <v>88</v>
      </c>
      <c r="C29" s="17">
        <v>0</v>
      </c>
      <c r="E29" s="17">
        <v>-230051521</v>
      </c>
      <c r="G29" s="17">
        <v>0</v>
      </c>
      <c r="I29" s="17">
        <f t="shared" si="0"/>
        <v>-230051521</v>
      </c>
      <c r="K29" s="18">
        <v>3.077174998763847E-3</v>
      </c>
      <c r="M29" s="17">
        <v>642857000</v>
      </c>
      <c r="O29" s="17">
        <v>596756928</v>
      </c>
      <c r="Q29" s="17">
        <v>675113341</v>
      </c>
      <c r="S29" s="17">
        <f t="shared" si="1"/>
        <v>1914727269</v>
      </c>
      <c r="U29" s="18">
        <v>1.2171813205152555E-2</v>
      </c>
    </row>
    <row r="30" spans="1:21" ht="21" x14ac:dyDescent="0.55000000000000004">
      <c r="A30" s="16" t="s">
        <v>89</v>
      </c>
      <c r="C30" s="17">
        <v>0</v>
      </c>
      <c r="E30" s="17">
        <v>-95839275</v>
      </c>
      <c r="G30" s="17">
        <v>549092400</v>
      </c>
      <c r="I30" s="17">
        <f t="shared" si="0"/>
        <v>453253125</v>
      </c>
      <c r="K30" s="18">
        <v>-6.0627253334333952E-3</v>
      </c>
      <c r="M30" s="17">
        <v>0</v>
      </c>
      <c r="O30" s="17">
        <v>802608825</v>
      </c>
      <c r="Q30" s="17">
        <v>549092400</v>
      </c>
      <c r="S30" s="17">
        <f t="shared" si="1"/>
        <v>1351701225</v>
      </c>
      <c r="U30" s="18">
        <v>8.5926884137752808E-3</v>
      </c>
    </row>
    <row r="31" spans="1:21" ht="21" x14ac:dyDescent="0.55000000000000004">
      <c r="A31" s="16" t="s">
        <v>90</v>
      </c>
      <c r="C31" s="17">
        <v>0</v>
      </c>
      <c r="E31" s="17">
        <v>-41998612</v>
      </c>
      <c r="G31" s="17">
        <v>0</v>
      </c>
      <c r="I31" s="17">
        <f t="shared" si="0"/>
        <v>-41998612</v>
      </c>
      <c r="K31" s="18">
        <v>5.6177450280445347E-4</v>
      </c>
      <c r="M31" s="17">
        <v>0</v>
      </c>
      <c r="O31" s="17">
        <v>425468550</v>
      </c>
      <c r="Q31" s="17">
        <v>880380800</v>
      </c>
      <c r="S31" s="17">
        <f t="shared" si="1"/>
        <v>1305849350</v>
      </c>
      <c r="U31" s="18">
        <v>8.3012106317215048E-3</v>
      </c>
    </row>
    <row r="32" spans="1:21" ht="21" x14ac:dyDescent="0.55000000000000004">
      <c r="A32" s="16" t="s">
        <v>91</v>
      </c>
      <c r="C32" s="17">
        <v>0</v>
      </c>
      <c r="E32" s="17">
        <v>-3178437806</v>
      </c>
      <c r="G32" s="17">
        <v>1640831706</v>
      </c>
      <c r="I32" s="17">
        <f t="shared" si="0"/>
        <v>-1537606100</v>
      </c>
      <c r="K32" s="18">
        <v>2.056705831937005E-2</v>
      </c>
      <c r="M32" s="17">
        <v>0</v>
      </c>
      <c r="O32" s="17">
        <v>3767301224</v>
      </c>
      <c r="Q32" s="17">
        <v>1640831706</v>
      </c>
      <c r="S32" s="17">
        <f t="shared" si="1"/>
        <v>5408132930</v>
      </c>
      <c r="U32" s="18">
        <v>3.437919586687329E-2</v>
      </c>
    </row>
    <row r="33" spans="1:21" ht="21" x14ac:dyDescent="0.55000000000000004">
      <c r="A33" s="16" t="s">
        <v>184</v>
      </c>
      <c r="C33" s="17">
        <v>0</v>
      </c>
      <c r="E33" s="17">
        <v>-129226500</v>
      </c>
      <c r="G33" s="17">
        <v>0</v>
      </c>
      <c r="I33" s="17">
        <f t="shared" si="0"/>
        <v>-129226500</v>
      </c>
      <c r="K33" s="18">
        <v>1.7285369522845114E-3</v>
      </c>
      <c r="M33" s="17">
        <v>0</v>
      </c>
      <c r="O33" s="17">
        <v>677942100</v>
      </c>
      <c r="Q33" s="17">
        <v>-345437536</v>
      </c>
      <c r="S33" s="17">
        <f t="shared" si="1"/>
        <v>332504564</v>
      </c>
      <c r="U33" s="18">
        <v>2.1137127508412232E-3</v>
      </c>
    </row>
    <row r="34" spans="1:21" ht="21" x14ac:dyDescent="0.55000000000000004">
      <c r="A34" s="16" t="s">
        <v>185</v>
      </c>
      <c r="C34" s="17">
        <v>0</v>
      </c>
      <c r="E34" s="17">
        <v>-1240035660</v>
      </c>
      <c r="G34" s="17">
        <v>0</v>
      </c>
      <c r="I34" s="17">
        <f t="shared" si="0"/>
        <v>-1240035660</v>
      </c>
      <c r="K34" s="18">
        <v>1.6586748541982586E-2</v>
      </c>
      <c r="M34" s="17">
        <v>0</v>
      </c>
      <c r="O34" s="17">
        <v>1299276076</v>
      </c>
      <c r="Q34" s="17">
        <v>0</v>
      </c>
      <c r="S34" s="17">
        <f t="shared" si="1"/>
        <v>1299276076</v>
      </c>
      <c r="U34" s="18">
        <v>8.2594246998190079E-3</v>
      </c>
    </row>
    <row r="35" spans="1:21" ht="21" x14ac:dyDescent="0.55000000000000004">
      <c r="A35" s="16" t="s">
        <v>186</v>
      </c>
      <c r="C35" s="17">
        <v>0</v>
      </c>
      <c r="E35" s="17">
        <v>-39818643</v>
      </c>
      <c r="G35" s="17">
        <v>0</v>
      </c>
      <c r="I35" s="17">
        <f t="shared" si="0"/>
        <v>-39818643</v>
      </c>
      <c r="K35" s="18">
        <v>5.3261518198918171E-4</v>
      </c>
      <c r="M35" s="17">
        <v>0</v>
      </c>
      <c r="O35" s="17">
        <v>481963394</v>
      </c>
      <c r="Q35" s="17">
        <v>0</v>
      </c>
      <c r="S35" s="17">
        <f t="shared" si="1"/>
        <v>481963394</v>
      </c>
      <c r="U35" s="18">
        <v>3.0638140995156754E-3</v>
      </c>
    </row>
    <row r="36" spans="1:21" ht="21" x14ac:dyDescent="0.55000000000000004">
      <c r="A36" s="16" t="s">
        <v>187</v>
      </c>
      <c r="C36" s="17">
        <v>0</v>
      </c>
      <c r="E36" s="17">
        <v>-1978159500</v>
      </c>
      <c r="G36" s="17">
        <v>0</v>
      </c>
      <c r="I36" s="17">
        <f t="shared" si="0"/>
        <v>-1978159500</v>
      </c>
      <c r="K36" s="18">
        <v>2.645991180804752E-2</v>
      </c>
      <c r="M36" s="17">
        <v>4394680000</v>
      </c>
      <c r="O36" s="17">
        <v>-1172978999</v>
      </c>
      <c r="Q36" s="17">
        <v>-226878470</v>
      </c>
      <c r="S36" s="17">
        <f t="shared" si="1"/>
        <v>2994822531</v>
      </c>
      <c r="U36" s="18">
        <v>1.9037917838268484E-2</v>
      </c>
    </row>
    <row r="37" spans="1:21" ht="21" x14ac:dyDescent="0.55000000000000004">
      <c r="A37" s="16" t="s">
        <v>92</v>
      </c>
      <c r="C37" s="17">
        <v>0</v>
      </c>
      <c r="E37" s="17">
        <v>4401653400</v>
      </c>
      <c r="G37" s="17">
        <v>-4634389748</v>
      </c>
      <c r="I37" s="17">
        <f t="shared" si="0"/>
        <v>-232736348</v>
      </c>
      <c r="K37" s="18">
        <v>3.1130873130336845E-3</v>
      </c>
      <c r="M37" s="17">
        <v>1344000000</v>
      </c>
      <c r="O37" s="17">
        <v>0</v>
      </c>
      <c r="Q37" s="17">
        <v>-4634389748</v>
      </c>
      <c r="S37" s="17">
        <f t="shared" si="1"/>
        <v>-3290389748</v>
      </c>
      <c r="U37" s="18">
        <v>-2.0916821958524574E-2</v>
      </c>
    </row>
    <row r="38" spans="1:21" ht="21" x14ac:dyDescent="0.55000000000000004">
      <c r="A38" s="16" t="s">
        <v>93</v>
      </c>
      <c r="C38" s="17">
        <v>0</v>
      </c>
      <c r="E38" s="17">
        <v>-357856569</v>
      </c>
      <c r="G38" s="17">
        <v>0</v>
      </c>
      <c r="I38" s="17">
        <f t="shared" si="0"/>
        <v>-357856569</v>
      </c>
      <c r="K38" s="18">
        <v>4.7866985729262341E-3</v>
      </c>
      <c r="M38" s="17">
        <v>0</v>
      </c>
      <c r="O38" s="17">
        <v>58009709</v>
      </c>
      <c r="Q38" s="17">
        <v>902955809</v>
      </c>
      <c r="S38" s="17">
        <f t="shared" si="1"/>
        <v>960965518</v>
      </c>
      <c r="U38" s="18">
        <v>6.1088035727393537E-3</v>
      </c>
    </row>
    <row r="39" spans="1:21" ht="21" x14ac:dyDescent="0.55000000000000004">
      <c r="A39" s="16" t="s">
        <v>94</v>
      </c>
      <c r="C39" s="17">
        <v>0</v>
      </c>
      <c r="E39" s="17">
        <v>104375250</v>
      </c>
      <c r="G39" s="17">
        <v>0</v>
      </c>
      <c r="I39" s="17">
        <f t="shared" si="0"/>
        <v>104375250</v>
      </c>
      <c r="K39" s="18">
        <v>-1.3961259999221054E-3</v>
      </c>
      <c r="M39" s="17">
        <v>0</v>
      </c>
      <c r="O39" s="17">
        <v>2532666300</v>
      </c>
      <c r="Q39" s="17">
        <v>733684800</v>
      </c>
      <c r="S39" s="17">
        <f t="shared" si="1"/>
        <v>3266351100</v>
      </c>
      <c r="U39" s="18">
        <v>2.0764009629637009E-2</v>
      </c>
    </row>
    <row r="40" spans="1:21" ht="21" x14ac:dyDescent="0.55000000000000004">
      <c r="A40" s="16" t="s">
        <v>95</v>
      </c>
      <c r="C40" s="17">
        <v>0</v>
      </c>
      <c r="E40" s="17">
        <v>740911516</v>
      </c>
      <c r="G40" s="17">
        <v>0</v>
      </c>
      <c r="I40" s="17">
        <f t="shared" si="0"/>
        <v>740911516</v>
      </c>
      <c r="K40" s="18">
        <v>-9.9104512911758584E-3</v>
      </c>
      <c r="M40" s="17">
        <v>0</v>
      </c>
      <c r="O40" s="17">
        <v>740911516</v>
      </c>
      <c r="Q40" s="17">
        <v>0</v>
      </c>
      <c r="S40" s="17">
        <f t="shared" si="1"/>
        <v>740911516</v>
      </c>
      <c r="U40" s="18">
        <v>4.7099326991923663E-3</v>
      </c>
    </row>
    <row r="41" spans="1:21" ht="21" x14ac:dyDescent="0.55000000000000004">
      <c r="A41" s="16" t="s">
        <v>96</v>
      </c>
      <c r="C41" s="17">
        <v>0</v>
      </c>
      <c r="E41" s="17">
        <v>-9377280494</v>
      </c>
      <c r="G41" s="17">
        <v>953822321</v>
      </c>
      <c r="I41" s="17">
        <f t="shared" si="0"/>
        <v>-8423458173</v>
      </c>
      <c r="K41" s="18">
        <v>0.11267239086451679</v>
      </c>
      <c r="M41" s="17">
        <v>0</v>
      </c>
      <c r="O41" s="17">
        <v>14215780907</v>
      </c>
      <c r="Q41" s="17">
        <v>3937826815</v>
      </c>
      <c r="S41" s="17">
        <f t="shared" si="1"/>
        <v>18153607722</v>
      </c>
      <c r="U41" s="18">
        <v>0.11540145992029478</v>
      </c>
    </row>
    <row r="42" spans="1:21" ht="21" x14ac:dyDescent="0.55000000000000004">
      <c r="A42" s="16" t="s">
        <v>188</v>
      </c>
      <c r="C42" s="17">
        <v>0</v>
      </c>
      <c r="E42" s="17">
        <v>-538576290</v>
      </c>
      <c r="G42" s="17">
        <v>0</v>
      </c>
      <c r="I42" s="17">
        <f t="shared" si="0"/>
        <v>-538576290</v>
      </c>
      <c r="K42" s="18">
        <v>7.2040101595980633E-3</v>
      </c>
      <c r="M42" s="17">
        <v>0</v>
      </c>
      <c r="O42" s="17">
        <v>-958550041</v>
      </c>
      <c r="Q42" s="17">
        <v>60230850</v>
      </c>
      <c r="S42" s="17">
        <f t="shared" si="1"/>
        <v>-898319191</v>
      </c>
      <c r="U42" s="18">
        <v>-5.7105644069958455E-3</v>
      </c>
    </row>
    <row r="43" spans="1:21" ht="21" x14ac:dyDescent="0.55000000000000004">
      <c r="A43" s="16" t="s">
        <v>189</v>
      </c>
      <c r="C43" s="17">
        <v>0</v>
      </c>
      <c r="E43" s="17">
        <v>-4716751576</v>
      </c>
      <c r="G43" s="17">
        <v>-368331824</v>
      </c>
      <c r="I43" s="17">
        <f t="shared" si="0"/>
        <v>-5085083400</v>
      </c>
      <c r="K43" s="18">
        <v>6.8018204952920339E-2</v>
      </c>
      <c r="M43" s="17">
        <v>0</v>
      </c>
      <c r="O43" s="17">
        <v>-13633113350</v>
      </c>
      <c r="Q43" s="17">
        <v>-368331824</v>
      </c>
      <c r="S43" s="17">
        <f t="shared" si="1"/>
        <v>-14001445174</v>
      </c>
      <c r="U43" s="18">
        <v>-8.9006396900128293E-2</v>
      </c>
    </row>
    <row r="44" spans="1:21" ht="21" x14ac:dyDescent="0.55000000000000004">
      <c r="A44" s="16" t="s">
        <v>100</v>
      </c>
      <c r="C44" s="17">
        <v>0</v>
      </c>
      <c r="E44" s="17">
        <v>-63619200</v>
      </c>
      <c r="G44" s="17">
        <v>0</v>
      </c>
      <c r="I44" s="17">
        <f t="shared" si="0"/>
        <v>-63619200</v>
      </c>
      <c r="K44" s="18">
        <v>8.5097203804775947E-4</v>
      </c>
      <c r="M44" s="17">
        <v>0</v>
      </c>
      <c r="O44" s="17">
        <v>-741561300</v>
      </c>
      <c r="Q44" s="17">
        <v>0</v>
      </c>
      <c r="S44" s="17">
        <f t="shared" si="1"/>
        <v>-741561300</v>
      </c>
      <c r="U44" s="18">
        <v>-4.7140633394144741E-3</v>
      </c>
    </row>
    <row r="45" spans="1:21" ht="21" x14ac:dyDescent="0.55000000000000004">
      <c r="A45" s="16" t="s">
        <v>190</v>
      </c>
      <c r="C45" s="17">
        <v>0</v>
      </c>
      <c r="E45" s="17">
        <v>-1565883473</v>
      </c>
      <c r="G45" s="17">
        <v>0</v>
      </c>
      <c r="I45" s="17">
        <f t="shared" si="0"/>
        <v>-1565883473</v>
      </c>
      <c r="K45" s="18">
        <v>2.0945297180161235E-2</v>
      </c>
      <c r="M45" s="17">
        <v>0</v>
      </c>
      <c r="O45" s="17">
        <v>1085288372</v>
      </c>
      <c r="Q45" s="17">
        <v>0</v>
      </c>
      <c r="S45" s="17">
        <f t="shared" si="1"/>
        <v>1085288372</v>
      </c>
      <c r="U45" s="18">
        <v>6.8991169403500663E-3</v>
      </c>
    </row>
    <row r="46" spans="1:21" ht="21" x14ac:dyDescent="0.55000000000000004">
      <c r="A46" s="16" t="s">
        <v>102</v>
      </c>
      <c r="C46" s="17">
        <v>0</v>
      </c>
      <c r="E46" s="17">
        <v>16080758</v>
      </c>
      <c r="G46" s="17">
        <v>99830342</v>
      </c>
      <c r="I46" s="17">
        <f t="shared" si="0"/>
        <v>115911100</v>
      </c>
      <c r="K46" s="18">
        <v>-1.5504298230621832E-3</v>
      </c>
      <c r="M46" s="17">
        <v>0</v>
      </c>
      <c r="O46" s="17">
        <v>0</v>
      </c>
      <c r="Q46" s="17">
        <v>99830342</v>
      </c>
      <c r="S46" s="17">
        <f t="shared" si="1"/>
        <v>99830342</v>
      </c>
      <c r="U46" s="18">
        <v>6.3461585088570428E-4</v>
      </c>
    </row>
    <row r="47" spans="1:21" ht="21" x14ac:dyDescent="0.55000000000000004">
      <c r="A47" s="16" t="s">
        <v>104</v>
      </c>
      <c r="C47" s="17">
        <v>0</v>
      </c>
      <c r="E47" s="17">
        <v>1858873500</v>
      </c>
      <c r="G47" s="17">
        <v>0</v>
      </c>
      <c r="I47" s="17">
        <f t="shared" si="0"/>
        <v>1858873500</v>
      </c>
      <c r="K47" s="18">
        <v>-2.4864339236707972E-2</v>
      </c>
      <c r="M47" s="17">
        <v>0</v>
      </c>
      <c r="O47" s="17">
        <v>3068231612</v>
      </c>
      <c r="Q47" s="17">
        <v>1838065920</v>
      </c>
      <c r="S47" s="17">
        <f t="shared" si="1"/>
        <v>4906297532</v>
      </c>
      <c r="U47" s="18">
        <v>3.1189056559263423E-2</v>
      </c>
    </row>
    <row r="48" spans="1:21" ht="21" x14ac:dyDescent="0.55000000000000004">
      <c r="A48" s="16" t="s">
        <v>105</v>
      </c>
      <c r="C48" s="17">
        <v>0</v>
      </c>
      <c r="E48" s="17">
        <v>278334000</v>
      </c>
      <c r="G48" s="17">
        <v>0</v>
      </c>
      <c r="I48" s="17">
        <f t="shared" si="0"/>
        <v>278334000</v>
      </c>
      <c r="K48" s="18">
        <v>-3.7230026664589475E-3</v>
      </c>
      <c r="M48" s="17">
        <v>0</v>
      </c>
      <c r="O48" s="17">
        <v>1672985475</v>
      </c>
      <c r="Q48" s="17">
        <v>933138850</v>
      </c>
      <c r="S48" s="17">
        <f t="shared" si="1"/>
        <v>2606124325</v>
      </c>
      <c r="U48" s="18">
        <v>1.6566985276117822E-2</v>
      </c>
    </row>
    <row r="49" spans="1:21" ht="21" x14ac:dyDescent="0.55000000000000004">
      <c r="A49" s="16" t="s">
        <v>191</v>
      </c>
      <c r="C49" s="17">
        <v>0</v>
      </c>
      <c r="E49" s="17">
        <v>-571039498</v>
      </c>
      <c r="G49" s="17">
        <v>0</v>
      </c>
      <c r="I49" s="17">
        <f t="shared" si="0"/>
        <v>-571039498</v>
      </c>
      <c r="K49" s="18">
        <v>7.6382388558615868E-3</v>
      </c>
      <c r="M49" s="17">
        <v>0</v>
      </c>
      <c r="O49" s="17">
        <v>-2802486810</v>
      </c>
      <c r="Q49" s="17">
        <v>-1194542001</v>
      </c>
      <c r="S49" s="17">
        <f t="shared" si="1"/>
        <v>-3997028811</v>
      </c>
      <c r="U49" s="18">
        <v>-2.5408886607915654E-2</v>
      </c>
    </row>
    <row r="50" spans="1:21" ht="21" x14ac:dyDescent="0.55000000000000004">
      <c r="A50" s="16" t="s">
        <v>192</v>
      </c>
      <c r="C50" s="17">
        <v>0</v>
      </c>
      <c r="E50" s="17">
        <v>-520283024</v>
      </c>
      <c r="G50" s="17">
        <v>0</v>
      </c>
      <c r="I50" s="17">
        <f t="shared" si="0"/>
        <v>-520283024</v>
      </c>
      <c r="K50" s="18">
        <v>6.9593189680934586E-3</v>
      </c>
      <c r="M50" s="17">
        <v>0</v>
      </c>
      <c r="O50" s="17">
        <v>-6099078708</v>
      </c>
      <c r="Q50" s="17">
        <v>-163703137</v>
      </c>
      <c r="S50" s="17">
        <f t="shared" si="1"/>
        <v>-6262781845</v>
      </c>
      <c r="U50" s="18">
        <v>-3.981215079355549E-2</v>
      </c>
    </row>
    <row r="51" spans="1:21" ht="21" x14ac:dyDescent="0.55000000000000004">
      <c r="A51" s="16" t="s">
        <v>193</v>
      </c>
      <c r="C51" s="17">
        <v>0</v>
      </c>
      <c r="E51" s="17">
        <v>-3695158869</v>
      </c>
      <c r="G51" s="17">
        <v>843042256</v>
      </c>
      <c r="I51" s="17">
        <f t="shared" si="0"/>
        <v>-2852116613</v>
      </c>
      <c r="K51" s="18">
        <v>3.8149984390160249E-2</v>
      </c>
      <c r="M51" s="17">
        <v>0</v>
      </c>
      <c r="O51" s="17">
        <v>10677928781</v>
      </c>
      <c r="Q51" s="17">
        <v>1668987486</v>
      </c>
      <c r="S51" s="17">
        <f t="shared" si="1"/>
        <v>12346916267</v>
      </c>
      <c r="U51" s="18">
        <v>7.848864999978411E-2</v>
      </c>
    </row>
    <row r="52" spans="1:21" ht="21" x14ac:dyDescent="0.55000000000000004">
      <c r="A52" s="16" t="s">
        <v>110</v>
      </c>
      <c r="C52" s="17">
        <v>0</v>
      </c>
      <c r="E52" s="17">
        <v>143143200</v>
      </c>
      <c r="G52" s="17">
        <v>0</v>
      </c>
      <c r="I52" s="17">
        <f t="shared" si="0"/>
        <v>143143200</v>
      </c>
      <c r="K52" s="18">
        <v>-1.9146870856074588E-3</v>
      </c>
      <c r="M52" s="17">
        <v>0</v>
      </c>
      <c r="O52" s="17">
        <v>871082699</v>
      </c>
      <c r="Q52" s="17">
        <v>-624123600</v>
      </c>
      <c r="S52" s="17">
        <f t="shared" si="1"/>
        <v>246959099</v>
      </c>
      <c r="U52" s="18">
        <v>1.56990505698009E-3</v>
      </c>
    </row>
    <row r="53" spans="1:21" ht="21" x14ac:dyDescent="0.55000000000000004">
      <c r="A53" s="16" t="s">
        <v>114</v>
      </c>
      <c r="C53" s="17">
        <v>1891500000</v>
      </c>
      <c r="E53" s="17">
        <v>-3476043743</v>
      </c>
      <c r="G53" s="17">
        <v>0</v>
      </c>
      <c r="I53" s="17">
        <f t="shared" si="0"/>
        <v>-1584543743</v>
      </c>
      <c r="K53" s="18">
        <v>2.119489742650859E-2</v>
      </c>
      <c r="M53" s="17">
        <v>1891500000</v>
      </c>
      <c r="O53" s="17">
        <v>422255123</v>
      </c>
      <c r="Q53" s="17">
        <v>721893970</v>
      </c>
      <c r="S53" s="17">
        <f t="shared" si="1"/>
        <v>3035649093</v>
      </c>
      <c r="U53" s="18">
        <v>1.9297449989148702E-2</v>
      </c>
    </row>
    <row r="54" spans="1:21" ht="21" x14ac:dyDescent="0.55000000000000004">
      <c r="A54" s="16" t="s">
        <v>194</v>
      </c>
      <c r="C54" s="17">
        <v>0</v>
      </c>
      <c r="E54" s="17">
        <v>-3901352235</v>
      </c>
      <c r="G54" s="17">
        <v>909731904</v>
      </c>
      <c r="I54" s="17">
        <f t="shared" si="0"/>
        <v>-2991620331</v>
      </c>
      <c r="K54" s="18">
        <v>4.0015989671925815E-2</v>
      </c>
      <c r="M54" s="17">
        <v>0</v>
      </c>
      <c r="O54" s="17">
        <v>8245938765</v>
      </c>
      <c r="Q54" s="17">
        <v>909731904</v>
      </c>
      <c r="S54" s="17">
        <f t="shared" si="1"/>
        <v>9155670669</v>
      </c>
      <c r="U54" s="18">
        <v>5.8202081808321565E-2</v>
      </c>
    </row>
    <row r="55" spans="1:21" ht="21" x14ac:dyDescent="0.55000000000000004">
      <c r="A55" s="16" t="s">
        <v>195</v>
      </c>
      <c r="C55" s="17">
        <v>0</v>
      </c>
      <c r="E55" s="17">
        <v>-1951320150</v>
      </c>
      <c r="G55" s="17">
        <v>0</v>
      </c>
      <c r="I55" s="17">
        <f t="shared" si="0"/>
        <v>-1951320150</v>
      </c>
      <c r="K55" s="18">
        <v>2.6100907979496123E-2</v>
      </c>
      <c r="M55" s="17">
        <v>0</v>
      </c>
      <c r="O55" s="17">
        <v>2740362688</v>
      </c>
      <c r="Q55" s="17">
        <v>0</v>
      </c>
      <c r="S55" s="17">
        <f t="shared" si="1"/>
        <v>2740362688</v>
      </c>
      <c r="U55" s="18">
        <v>1.7420330974931005E-2</v>
      </c>
    </row>
    <row r="56" spans="1:21" ht="21" x14ac:dyDescent="0.55000000000000004">
      <c r="A56" s="16" t="s">
        <v>196</v>
      </c>
      <c r="C56" s="17">
        <v>0</v>
      </c>
      <c r="E56" s="17">
        <v>-1689216026</v>
      </c>
      <c r="G56" s="17">
        <v>0</v>
      </c>
      <c r="I56" s="17">
        <f t="shared" si="0"/>
        <v>-1689216026</v>
      </c>
      <c r="K56" s="18">
        <v>2.2594996547396964E-2</v>
      </c>
      <c r="M56" s="17">
        <v>0</v>
      </c>
      <c r="O56" s="17">
        <v>2341645122</v>
      </c>
      <c r="Q56" s="17">
        <v>0</v>
      </c>
      <c r="S56" s="17">
        <f t="shared" si="1"/>
        <v>2341645122</v>
      </c>
      <c r="U56" s="18">
        <v>1.4885705906630959E-2</v>
      </c>
    </row>
    <row r="57" spans="1:21" ht="21" x14ac:dyDescent="0.55000000000000004">
      <c r="A57" s="16" t="s">
        <v>115</v>
      </c>
      <c r="C57" s="17">
        <v>0</v>
      </c>
      <c r="E57" s="17">
        <v>-874764000</v>
      </c>
      <c r="G57" s="17">
        <v>0</v>
      </c>
      <c r="I57" s="17">
        <f t="shared" si="0"/>
        <v>-874764000</v>
      </c>
      <c r="K57" s="18">
        <v>1.1700865523156693E-2</v>
      </c>
      <c r="M57" s="17">
        <v>0</v>
      </c>
      <c r="O57" s="17">
        <v>1321442292</v>
      </c>
      <c r="Q57" s="17">
        <v>790107480</v>
      </c>
      <c r="S57" s="17">
        <f t="shared" si="1"/>
        <v>2111549772</v>
      </c>
      <c r="U57" s="18">
        <v>1.3423002750459321E-2</v>
      </c>
    </row>
    <row r="58" spans="1:21" ht="21" x14ac:dyDescent="0.55000000000000004">
      <c r="A58" s="16" t="s">
        <v>116</v>
      </c>
      <c r="C58" s="17">
        <v>0</v>
      </c>
      <c r="E58" s="17">
        <v>-1767060129</v>
      </c>
      <c r="G58" s="17">
        <v>0</v>
      </c>
      <c r="I58" s="17">
        <f t="shared" si="0"/>
        <v>-1767060129</v>
      </c>
      <c r="K58" s="18">
        <v>2.3636241249938173E-2</v>
      </c>
      <c r="M58" s="17">
        <v>0</v>
      </c>
      <c r="O58" s="17">
        <v>2554676969</v>
      </c>
      <c r="Q58" s="17">
        <v>772060038</v>
      </c>
      <c r="S58" s="17">
        <f t="shared" si="1"/>
        <v>3326737007</v>
      </c>
      <c r="U58" s="18">
        <v>2.1147879432991085E-2</v>
      </c>
    </row>
    <row r="59" spans="1:21" ht="21" x14ac:dyDescent="0.55000000000000004">
      <c r="A59" s="16" t="s">
        <v>117</v>
      </c>
      <c r="C59" s="17">
        <v>0</v>
      </c>
      <c r="E59" s="17">
        <v>-306167400</v>
      </c>
      <c r="G59" s="17">
        <v>0</v>
      </c>
      <c r="I59" s="17">
        <f t="shared" si="0"/>
        <v>-306167400</v>
      </c>
      <c r="K59" s="18">
        <v>4.095302933104842E-3</v>
      </c>
      <c r="M59" s="17">
        <v>0</v>
      </c>
      <c r="O59" s="17">
        <v>-74612526</v>
      </c>
      <c r="Q59" s="17">
        <v>0</v>
      </c>
      <c r="S59" s="17">
        <f t="shared" si="1"/>
        <v>-74612526</v>
      </c>
      <c r="U59" s="18">
        <v>-4.7430761756001727E-4</v>
      </c>
    </row>
    <row r="60" spans="1:21" ht="21" x14ac:dyDescent="0.55000000000000004">
      <c r="A60" s="16" t="s">
        <v>118</v>
      </c>
      <c r="C60" s="17">
        <v>0</v>
      </c>
      <c r="E60" s="17">
        <v>-1231991773</v>
      </c>
      <c r="G60" s="17">
        <v>0</v>
      </c>
      <c r="I60" s="17">
        <f t="shared" si="0"/>
        <v>-1231991773</v>
      </c>
      <c r="K60" s="18">
        <v>1.6479153304786647E-2</v>
      </c>
      <c r="M60" s="17">
        <v>0</v>
      </c>
      <c r="O60" s="17">
        <v>12239032509</v>
      </c>
      <c r="Q60" s="17">
        <v>0</v>
      </c>
      <c r="S60" s="17">
        <f t="shared" si="1"/>
        <v>12239032509</v>
      </c>
      <c r="U60" s="18">
        <v>7.7802839037823091E-2</v>
      </c>
    </row>
    <row r="61" spans="1:21" ht="21" x14ac:dyDescent="0.55000000000000004">
      <c r="A61" s="16" t="s">
        <v>119</v>
      </c>
      <c r="C61" s="17">
        <v>0</v>
      </c>
      <c r="E61" s="17">
        <v>193243320</v>
      </c>
      <c r="G61" s="17">
        <v>0</v>
      </c>
      <c r="I61" s="17">
        <f t="shared" si="0"/>
        <v>193243320</v>
      </c>
      <c r="K61" s="18">
        <v>-2.5848275655700691E-3</v>
      </c>
      <c r="M61" s="17">
        <v>0</v>
      </c>
      <c r="O61" s="17">
        <v>3143673333</v>
      </c>
      <c r="Q61" s="17">
        <v>0</v>
      </c>
      <c r="S61" s="17">
        <f t="shared" si="1"/>
        <v>3143673333</v>
      </c>
      <c r="U61" s="18">
        <v>1.9984153987256628E-2</v>
      </c>
    </row>
    <row r="62" spans="1:21" ht="21" x14ac:dyDescent="0.55000000000000004">
      <c r="A62" s="16" t="s">
        <v>197</v>
      </c>
      <c r="C62" s="17">
        <v>0</v>
      </c>
      <c r="E62" s="17">
        <v>-1672628292</v>
      </c>
      <c r="G62" s="17">
        <v>0</v>
      </c>
      <c r="I62" s="17">
        <f t="shared" si="0"/>
        <v>-1672628292</v>
      </c>
      <c r="K62" s="18">
        <v>2.2373118595323156E-2</v>
      </c>
      <c r="M62" s="17">
        <v>0</v>
      </c>
      <c r="O62" s="17">
        <v>6363073098</v>
      </c>
      <c r="Q62" s="17">
        <v>778763390</v>
      </c>
      <c r="S62" s="17">
        <f t="shared" si="1"/>
        <v>7141836488</v>
      </c>
      <c r="U62" s="18">
        <v>4.540025155597173E-2</v>
      </c>
    </row>
    <row r="63" spans="1:21" ht="21" x14ac:dyDescent="0.55000000000000004">
      <c r="A63" s="16" t="s">
        <v>122</v>
      </c>
      <c r="C63" s="17">
        <v>0</v>
      </c>
      <c r="E63" s="17">
        <v>242856021</v>
      </c>
      <c r="G63" s="17">
        <v>0</v>
      </c>
      <c r="I63" s="17">
        <f t="shared" si="0"/>
        <v>242856021</v>
      </c>
      <c r="K63" s="18">
        <v>-3.2484483165858649E-3</v>
      </c>
      <c r="M63" s="17">
        <v>1865500000</v>
      </c>
      <c r="O63" s="17">
        <v>498513353</v>
      </c>
      <c r="Q63" s="17">
        <v>649133501</v>
      </c>
      <c r="S63" s="17">
        <f t="shared" si="1"/>
        <v>3013146854</v>
      </c>
      <c r="U63" s="18">
        <v>1.9154404525577932E-2</v>
      </c>
    </row>
    <row r="64" spans="1:21" ht="21" x14ac:dyDescent="0.55000000000000004">
      <c r="A64" s="16" t="s">
        <v>123</v>
      </c>
      <c r="C64" s="17">
        <v>0</v>
      </c>
      <c r="E64" s="17">
        <v>-1109359800</v>
      </c>
      <c r="G64" s="17">
        <v>0</v>
      </c>
      <c r="I64" s="17">
        <f t="shared" si="0"/>
        <v>-1109359800</v>
      </c>
      <c r="K64" s="18">
        <v>1.4838824913457805E-2</v>
      </c>
      <c r="M64" s="17">
        <v>0</v>
      </c>
      <c r="O64" s="17">
        <v>10485239400</v>
      </c>
      <c r="Q64" s="17">
        <v>0</v>
      </c>
      <c r="S64" s="17">
        <f t="shared" si="1"/>
        <v>10485239400</v>
      </c>
      <c r="U64" s="18">
        <v>6.6654075206627167E-2</v>
      </c>
    </row>
    <row r="65" spans="1:21" ht="21" x14ac:dyDescent="0.55000000000000004">
      <c r="A65" s="16" t="s">
        <v>124</v>
      </c>
      <c r="C65" s="17">
        <v>0</v>
      </c>
      <c r="E65" s="17">
        <v>929150700</v>
      </c>
      <c r="G65" s="17">
        <v>0</v>
      </c>
      <c r="I65" s="17">
        <f t="shared" si="0"/>
        <v>929150700</v>
      </c>
      <c r="K65" s="18">
        <v>-1.2428343406275187E-2</v>
      </c>
      <c r="M65" s="17">
        <v>0</v>
      </c>
      <c r="O65" s="17">
        <v>929150700</v>
      </c>
      <c r="Q65" s="17">
        <v>0</v>
      </c>
      <c r="S65" s="17">
        <f t="shared" si="1"/>
        <v>929150700</v>
      </c>
      <c r="U65" s="18">
        <v>5.9065585699540901E-3</v>
      </c>
    </row>
    <row r="66" spans="1:21" ht="21" x14ac:dyDescent="0.55000000000000004">
      <c r="A66" s="16" t="s">
        <v>126</v>
      </c>
      <c r="C66" s="17">
        <v>0</v>
      </c>
      <c r="E66" s="17">
        <v>-451696320</v>
      </c>
      <c r="G66" s="17">
        <v>0</v>
      </c>
      <c r="I66" s="17">
        <f t="shared" si="0"/>
        <v>-451696320</v>
      </c>
      <c r="K66" s="18">
        <v>6.0419014701390923E-3</v>
      </c>
      <c r="M66" s="17">
        <v>0</v>
      </c>
      <c r="O66" s="17">
        <v>-1439833291</v>
      </c>
      <c r="Q66" s="17">
        <v>0</v>
      </c>
      <c r="S66" s="17">
        <f t="shared" si="1"/>
        <v>-1439833291</v>
      </c>
      <c r="U66" s="18">
        <v>-9.1529389842371651E-3</v>
      </c>
    </row>
    <row r="67" spans="1:21" ht="21" x14ac:dyDescent="0.55000000000000004">
      <c r="A67" s="16" t="s">
        <v>198</v>
      </c>
      <c r="C67" s="17">
        <v>0</v>
      </c>
      <c r="E67" s="17">
        <v>-1840538248</v>
      </c>
      <c r="G67" s="17">
        <v>0</v>
      </c>
      <c r="I67" s="17">
        <f t="shared" si="0"/>
        <v>-1840538248</v>
      </c>
      <c r="K67" s="18">
        <v>2.4619086439398995E-2</v>
      </c>
      <c r="M67" s="17">
        <v>0</v>
      </c>
      <c r="O67" s="17">
        <v>973900432</v>
      </c>
      <c r="Q67" s="17">
        <v>535325307</v>
      </c>
      <c r="S67" s="17">
        <f t="shared" si="1"/>
        <v>1509225739</v>
      </c>
      <c r="U67" s="18">
        <v>9.5940628605087896E-3</v>
      </c>
    </row>
    <row r="68" spans="1:21" ht="21" x14ac:dyDescent="0.55000000000000004">
      <c r="A68" s="16" t="s">
        <v>199</v>
      </c>
      <c r="C68" s="17">
        <v>0</v>
      </c>
      <c r="E68" s="17">
        <v>-1570599000</v>
      </c>
      <c r="G68" s="17">
        <v>0</v>
      </c>
      <c r="I68" s="17">
        <f t="shared" si="0"/>
        <v>-1570599000</v>
      </c>
      <c r="K68" s="18">
        <v>2.1008372189304063E-2</v>
      </c>
      <c r="M68" s="17">
        <v>0</v>
      </c>
      <c r="O68" s="17">
        <v>-1037015074</v>
      </c>
      <c r="Q68" s="17">
        <v>680325268</v>
      </c>
      <c r="S68" s="17">
        <f t="shared" si="1"/>
        <v>-356689806</v>
      </c>
      <c r="U68" s="18">
        <v>-2.2674569695148071E-3</v>
      </c>
    </row>
    <row r="69" spans="1:21" ht="21" x14ac:dyDescent="0.55000000000000004">
      <c r="A69" s="16" t="s">
        <v>205</v>
      </c>
      <c r="C69" s="17">
        <v>0</v>
      </c>
      <c r="E69" s="17">
        <v>0</v>
      </c>
      <c r="G69" s="17">
        <v>0</v>
      </c>
      <c r="I69" s="17">
        <f t="shared" si="0"/>
        <v>0</v>
      </c>
      <c r="K69" s="18">
        <v>0</v>
      </c>
      <c r="M69" s="17">
        <v>0</v>
      </c>
      <c r="O69" s="17">
        <v>-36632</v>
      </c>
      <c r="Q69" s="17">
        <v>0</v>
      </c>
      <c r="S69" s="17">
        <f t="shared" si="1"/>
        <v>-36632</v>
      </c>
      <c r="U69" s="18">
        <v>-2.3286755693619798E-7</v>
      </c>
    </row>
    <row r="70" spans="1:21" ht="21" x14ac:dyDescent="0.55000000000000004">
      <c r="A70" s="16" t="s">
        <v>206</v>
      </c>
      <c r="C70" s="17">
        <v>0</v>
      </c>
      <c r="E70" s="17">
        <v>0</v>
      </c>
      <c r="G70" s="17">
        <v>0</v>
      </c>
      <c r="I70" s="17">
        <f t="shared" si="0"/>
        <v>0</v>
      </c>
      <c r="K70" s="18">
        <v>0</v>
      </c>
      <c r="M70" s="17">
        <v>0</v>
      </c>
      <c r="O70" s="17">
        <v>322177018</v>
      </c>
      <c r="Q70" s="17">
        <v>2539867414</v>
      </c>
      <c r="S70" s="17">
        <f t="shared" si="1"/>
        <v>2862044432</v>
      </c>
      <c r="U70" s="18">
        <v>1.819385495530379E-2</v>
      </c>
    </row>
    <row r="71" spans="1:21" ht="21" x14ac:dyDescent="0.55000000000000004">
      <c r="A71" s="16" t="s">
        <v>207</v>
      </c>
      <c r="C71" s="17">
        <v>0</v>
      </c>
      <c r="E71" s="17">
        <v>0</v>
      </c>
      <c r="G71" s="17">
        <v>0</v>
      </c>
      <c r="I71" s="17">
        <f t="shared" si="0"/>
        <v>0</v>
      </c>
      <c r="K71" s="18">
        <v>0</v>
      </c>
      <c r="M71" s="17">
        <v>0</v>
      </c>
      <c r="O71" s="17">
        <v>26803097</v>
      </c>
      <c r="Q71" s="17">
        <v>798978106</v>
      </c>
      <c r="S71" s="17">
        <f t="shared" si="1"/>
        <v>825781203</v>
      </c>
      <c r="U71" s="18">
        <v>5.2494445104401769E-3</v>
      </c>
    </row>
    <row r="72" spans="1:21" ht="21" x14ac:dyDescent="0.55000000000000004">
      <c r="A72" s="16" t="s">
        <v>208</v>
      </c>
      <c r="C72" s="17">
        <v>0</v>
      </c>
      <c r="E72" s="17">
        <v>0</v>
      </c>
      <c r="G72" s="17">
        <v>0</v>
      </c>
      <c r="I72" s="17">
        <f t="shared" si="0"/>
        <v>0</v>
      </c>
      <c r="K72" s="18">
        <v>0</v>
      </c>
      <c r="M72" s="17">
        <v>0</v>
      </c>
      <c r="O72" s="17">
        <v>136568824</v>
      </c>
      <c r="Q72" s="17">
        <v>288880900</v>
      </c>
      <c r="S72" s="17">
        <f t="shared" si="1"/>
        <v>425449724</v>
      </c>
      <c r="U72" s="18">
        <v>2.704559888268719E-3</v>
      </c>
    </row>
    <row r="73" spans="1:21" ht="21" x14ac:dyDescent="0.55000000000000004">
      <c r="A73" s="16" t="s">
        <v>209</v>
      </c>
      <c r="C73" s="17">
        <v>0</v>
      </c>
      <c r="E73" s="17">
        <v>0</v>
      </c>
      <c r="G73" s="17">
        <v>0</v>
      </c>
      <c r="I73" s="17">
        <f t="shared" si="0"/>
        <v>0</v>
      </c>
      <c r="K73" s="18">
        <v>0</v>
      </c>
      <c r="M73" s="17">
        <v>0</v>
      </c>
      <c r="O73" s="17">
        <v>25493434</v>
      </c>
      <c r="Q73" s="17">
        <v>416670792</v>
      </c>
      <c r="S73" s="17">
        <f t="shared" si="1"/>
        <v>442164226</v>
      </c>
      <c r="U73" s="18">
        <v>2.8108130343198548E-3</v>
      </c>
    </row>
    <row r="74" spans="1:21" ht="21" x14ac:dyDescent="0.55000000000000004">
      <c r="A74" s="16" t="s">
        <v>210</v>
      </c>
      <c r="C74" s="17">
        <v>0</v>
      </c>
      <c r="E74" s="17">
        <v>0</v>
      </c>
      <c r="G74" s="17">
        <v>0</v>
      </c>
      <c r="I74" s="17">
        <f t="shared" ref="I74:I137" si="2">G74+E74+C74</f>
        <v>0</v>
      </c>
      <c r="K74" s="18">
        <v>0</v>
      </c>
      <c r="M74" s="17">
        <v>0</v>
      </c>
      <c r="O74" s="17">
        <v>-1999485</v>
      </c>
      <c r="Q74" s="17">
        <v>103932028</v>
      </c>
      <c r="S74" s="17">
        <f t="shared" ref="S74:S137" si="3">Q74+O74+M74</f>
        <v>101932543</v>
      </c>
      <c r="U74" s="18">
        <v>6.4797942402009033E-4</v>
      </c>
    </row>
    <row r="75" spans="1:21" ht="21" x14ac:dyDescent="0.55000000000000004">
      <c r="A75" s="16" t="s">
        <v>211</v>
      </c>
      <c r="C75" s="17">
        <v>0</v>
      </c>
      <c r="E75" s="17">
        <v>0</v>
      </c>
      <c r="G75" s="17">
        <v>0</v>
      </c>
      <c r="I75" s="17">
        <f t="shared" si="2"/>
        <v>0</v>
      </c>
      <c r="K75" s="18">
        <v>0</v>
      </c>
      <c r="M75" s="17">
        <v>0</v>
      </c>
      <c r="O75" s="17">
        <v>-11996910</v>
      </c>
      <c r="Q75" s="17">
        <v>818500907</v>
      </c>
      <c r="S75" s="17">
        <f t="shared" si="3"/>
        <v>806503997</v>
      </c>
      <c r="U75" s="18">
        <v>5.1269003996688347E-3</v>
      </c>
    </row>
    <row r="76" spans="1:21" ht="21" x14ac:dyDescent="0.55000000000000004">
      <c r="A76" s="16" t="s">
        <v>212</v>
      </c>
      <c r="C76" s="17">
        <v>0</v>
      </c>
      <c r="E76" s="17">
        <v>0</v>
      </c>
      <c r="G76" s="17">
        <v>0</v>
      </c>
      <c r="I76" s="17">
        <f t="shared" si="2"/>
        <v>0</v>
      </c>
      <c r="K76" s="18">
        <v>0</v>
      </c>
      <c r="M76" s="17">
        <v>0</v>
      </c>
      <c r="O76" s="17">
        <v>552857603</v>
      </c>
      <c r="Q76" s="17">
        <v>652987649</v>
      </c>
      <c r="S76" s="17">
        <f t="shared" si="3"/>
        <v>1205845252</v>
      </c>
      <c r="U76" s="18">
        <v>7.6654902237484716E-3</v>
      </c>
    </row>
    <row r="77" spans="1:21" ht="21" x14ac:dyDescent="0.55000000000000004">
      <c r="A77" s="16" t="s">
        <v>213</v>
      </c>
      <c r="C77" s="17">
        <v>0</v>
      </c>
      <c r="E77" s="17">
        <v>0</v>
      </c>
      <c r="G77" s="17">
        <v>0</v>
      </c>
      <c r="I77" s="17">
        <f t="shared" si="2"/>
        <v>0</v>
      </c>
      <c r="K77" s="18">
        <v>0</v>
      </c>
      <c r="M77" s="17">
        <v>0</v>
      </c>
      <c r="O77" s="17">
        <v>-3551085</v>
      </c>
      <c r="Q77" s="17">
        <v>1027103692</v>
      </c>
      <c r="S77" s="17">
        <f t="shared" si="3"/>
        <v>1023552607</v>
      </c>
      <c r="U77" s="18">
        <v>6.5066661658595322E-3</v>
      </c>
    </row>
    <row r="78" spans="1:21" ht="21" x14ac:dyDescent="0.55000000000000004">
      <c r="A78" s="16" t="s">
        <v>214</v>
      </c>
      <c r="C78" s="17">
        <v>0</v>
      </c>
      <c r="E78" s="17">
        <v>0</v>
      </c>
      <c r="G78" s="17">
        <v>0</v>
      </c>
      <c r="I78" s="17">
        <f t="shared" si="2"/>
        <v>0</v>
      </c>
      <c r="K78" s="18">
        <v>0</v>
      </c>
      <c r="M78" s="17">
        <v>0</v>
      </c>
      <c r="O78" s="17">
        <v>-2469364</v>
      </c>
      <c r="Q78" s="17">
        <v>394213597</v>
      </c>
      <c r="S78" s="17">
        <f t="shared" si="3"/>
        <v>391744233</v>
      </c>
      <c r="U78" s="18">
        <v>2.4902959839090059E-3</v>
      </c>
    </row>
    <row r="79" spans="1:21" ht="21" x14ac:dyDescent="0.55000000000000004">
      <c r="A79" s="16" t="s">
        <v>215</v>
      </c>
      <c r="C79" s="17">
        <v>0</v>
      </c>
      <c r="E79" s="17">
        <v>0</v>
      </c>
      <c r="G79" s="17">
        <v>0</v>
      </c>
      <c r="I79" s="17">
        <f t="shared" si="2"/>
        <v>0</v>
      </c>
      <c r="K79" s="18">
        <v>0</v>
      </c>
      <c r="M79" s="17">
        <v>0</v>
      </c>
      <c r="O79" s="17">
        <v>18005293</v>
      </c>
      <c r="Q79" s="17">
        <v>17872710</v>
      </c>
      <c r="S79" s="17">
        <f t="shared" si="3"/>
        <v>35878003</v>
      </c>
      <c r="U79" s="18">
        <v>2.2807444055360292E-4</v>
      </c>
    </row>
    <row r="80" spans="1:21" ht="21" x14ac:dyDescent="0.55000000000000004">
      <c r="A80" s="16" t="s">
        <v>216</v>
      </c>
      <c r="C80" s="17">
        <v>0</v>
      </c>
      <c r="E80" s="17">
        <v>0</v>
      </c>
      <c r="G80" s="17">
        <v>0</v>
      </c>
      <c r="I80" s="17">
        <f t="shared" si="2"/>
        <v>0</v>
      </c>
      <c r="K80" s="18">
        <v>0</v>
      </c>
      <c r="M80" s="17">
        <v>0</v>
      </c>
      <c r="O80" s="17">
        <v>-3898996</v>
      </c>
      <c r="Q80" s="17">
        <v>330679973</v>
      </c>
      <c r="S80" s="17">
        <f t="shared" si="3"/>
        <v>326780977</v>
      </c>
      <c r="U80" s="18">
        <v>2.0773282312517446E-3</v>
      </c>
    </row>
    <row r="81" spans="1:21" ht="21" x14ac:dyDescent="0.55000000000000004">
      <c r="A81" s="16" t="s">
        <v>217</v>
      </c>
      <c r="C81" s="17">
        <v>0</v>
      </c>
      <c r="E81" s="17">
        <v>0</v>
      </c>
      <c r="G81" s="17">
        <v>0</v>
      </c>
      <c r="I81" s="17">
        <f t="shared" si="2"/>
        <v>0</v>
      </c>
      <c r="K81" s="18">
        <v>0</v>
      </c>
      <c r="M81" s="17">
        <v>0</v>
      </c>
      <c r="O81" s="17">
        <v>-79979</v>
      </c>
      <c r="Q81" s="17">
        <v>2313123597</v>
      </c>
      <c r="S81" s="17">
        <f t="shared" si="3"/>
        <v>2313043618</v>
      </c>
      <c r="U81" s="18">
        <v>1.4703887759623399E-2</v>
      </c>
    </row>
    <row r="82" spans="1:21" ht="21" x14ac:dyDescent="0.55000000000000004">
      <c r="A82" s="16" t="s">
        <v>218</v>
      </c>
      <c r="C82" s="17">
        <v>0</v>
      </c>
      <c r="E82" s="17">
        <v>0</v>
      </c>
      <c r="G82" s="17">
        <v>0</v>
      </c>
      <c r="I82" s="17">
        <f t="shared" si="2"/>
        <v>0</v>
      </c>
      <c r="K82" s="18">
        <v>0</v>
      </c>
      <c r="M82" s="17">
        <v>0</v>
      </c>
      <c r="O82" s="17">
        <v>180993382</v>
      </c>
      <c r="Q82" s="17">
        <v>294439966</v>
      </c>
      <c r="S82" s="17">
        <f t="shared" si="3"/>
        <v>475433348</v>
      </c>
      <c r="U82" s="18">
        <v>3.022302965569918E-3</v>
      </c>
    </row>
    <row r="83" spans="1:21" ht="21" x14ac:dyDescent="0.55000000000000004">
      <c r="A83" s="16" t="s">
        <v>219</v>
      </c>
      <c r="C83" s="17">
        <v>0</v>
      </c>
      <c r="E83" s="17">
        <v>0</v>
      </c>
      <c r="G83" s="17">
        <v>0</v>
      </c>
      <c r="I83" s="17">
        <f t="shared" si="2"/>
        <v>0</v>
      </c>
      <c r="K83" s="18">
        <v>0</v>
      </c>
      <c r="M83" s="17">
        <v>0</v>
      </c>
      <c r="O83" s="17">
        <v>1769544</v>
      </c>
      <c r="Q83" s="17">
        <v>1500319978</v>
      </c>
      <c r="S83" s="17">
        <f t="shared" si="3"/>
        <v>1502089522</v>
      </c>
      <c r="U83" s="18">
        <v>9.5486983317209385E-3</v>
      </c>
    </row>
    <row r="84" spans="1:21" ht="21" x14ac:dyDescent="0.55000000000000004">
      <c r="A84" s="16" t="s">
        <v>220</v>
      </c>
      <c r="C84" s="17">
        <v>0</v>
      </c>
      <c r="E84" s="17">
        <v>0</v>
      </c>
      <c r="G84" s="17">
        <v>0</v>
      </c>
      <c r="I84" s="17">
        <f t="shared" si="2"/>
        <v>0</v>
      </c>
      <c r="K84" s="18">
        <v>0</v>
      </c>
      <c r="M84" s="17">
        <v>0</v>
      </c>
      <c r="O84" s="17">
        <v>-2499356</v>
      </c>
      <c r="Q84" s="17">
        <v>593579598</v>
      </c>
      <c r="S84" s="17">
        <f t="shared" si="3"/>
        <v>591080242</v>
      </c>
      <c r="U84" s="18">
        <v>3.7574637450261163E-3</v>
      </c>
    </row>
    <row r="85" spans="1:21" ht="21" x14ac:dyDescent="0.55000000000000004">
      <c r="A85" s="16" t="s">
        <v>221</v>
      </c>
      <c r="C85" s="17">
        <v>0</v>
      </c>
      <c r="E85" s="17">
        <v>0</v>
      </c>
      <c r="G85" s="17">
        <v>0</v>
      </c>
      <c r="I85" s="17">
        <f t="shared" si="2"/>
        <v>0</v>
      </c>
      <c r="K85" s="18">
        <v>0</v>
      </c>
      <c r="M85" s="17">
        <v>0</v>
      </c>
      <c r="O85" s="17">
        <v>-9760486</v>
      </c>
      <c r="Q85" s="17">
        <v>853398759</v>
      </c>
      <c r="S85" s="17">
        <f t="shared" si="3"/>
        <v>843638273</v>
      </c>
      <c r="U85" s="18">
        <v>5.362960896794694E-3</v>
      </c>
    </row>
    <row r="86" spans="1:21" ht="21" x14ac:dyDescent="0.55000000000000004">
      <c r="A86" s="16" t="s">
        <v>222</v>
      </c>
      <c r="C86" s="17">
        <v>0</v>
      </c>
      <c r="E86" s="17">
        <v>0</v>
      </c>
      <c r="G86" s="17">
        <v>0</v>
      </c>
      <c r="I86" s="17">
        <f t="shared" si="2"/>
        <v>0</v>
      </c>
      <c r="K86" s="18">
        <v>0</v>
      </c>
      <c r="M86" s="17">
        <v>0</v>
      </c>
      <c r="O86" s="17">
        <v>29992</v>
      </c>
      <c r="Q86" s="17">
        <v>836739081</v>
      </c>
      <c r="S86" s="17">
        <f t="shared" si="3"/>
        <v>836769073</v>
      </c>
      <c r="U86" s="18">
        <v>5.3192937800086567E-3</v>
      </c>
    </row>
    <row r="87" spans="1:21" ht="21" x14ac:dyDescent="0.55000000000000004">
      <c r="A87" s="16" t="s">
        <v>223</v>
      </c>
      <c r="C87" s="17">
        <v>0</v>
      </c>
      <c r="E87" s="17">
        <v>0</v>
      </c>
      <c r="G87" s="17">
        <v>0</v>
      </c>
      <c r="I87" s="17">
        <f t="shared" si="2"/>
        <v>0</v>
      </c>
      <c r="K87" s="18">
        <v>0</v>
      </c>
      <c r="M87" s="17">
        <v>0</v>
      </c>
      <c r="O87" s="17">
        <v>6238393</v>
      </c>
      <c r="Q87" s="17">
        <v>718657381</v>
      </c>
      <c r="S87" s="17">
        <f t="shared" si="3"/>
        <v>724895774</v>
      </c>
      <c r="U87" s="18">
        <v>4.6081215310317296E-3</v>
      </c>
    </row>
    <row r="88" spans="1:21" ht="21" x14ac:dyDescent="0.55000000000000004">
      <c r="A88" s="16" t="s">
        <v>224</v>
      </c>
      <c r="C88" s="17">
        <v>0</v>
      </c>
      <c r="E88" s="17">
        <v>0</v>
      </c>
      <c r="G88" s="17">
        <v>0</v>
      </c>
      <c r="I88" s="17">
        <f t="shared" si="2"/>
        <v>0</v>
      </c>
      <c r="K88" s="18">
        <v>0</v>
      </c>
      <c r="M88" s="17">
        <v>0</v>
      </c>
      <c r="O88" s="17">
        <v>1519609</v>
      </c>
      <c r="Q88" s="17">
        <v>1596292</v>
      </c>
      <c r="S88" s="17">
        <f t="shared" si="3"/>
        <v>3115901</v>
      </c>
      <c r="U88" s="18">
        <v>1.9807606833507759E-5</v>
      </c>
    </row>
    <row r="89" spans="1:21" ht="21" x14ac:dyDescent="0.55000000000000004">
      <c r="A89" s="16" t="s">
        <v>225</v>
      </c>
      <c r="C89" s="17">
        <v>0</v>
      </c>
      <c r="E89" s="17">
        <v>0</v>
      </c>
      <c r="G89" s="17">
        <v>0</v>
      </c>
      <c r="I89" s="17">
        <f t="shared" si="2"/>
        <v>0</v>
      </c>
      <c r="K89" s="18">
        <v>0</v>
      </c>
      <c r="M89" s="17">
        <v>0</v>
      </c>
      <c r="O89" s="17">
        <v>-22527198</v>
      </c>
      <c r="Q89" s="17">
        <v>299720319</v>
      </c>
      <c r="S89" s="17">
        <f t="shared" si="3"/>
        <v>277193121</v>
      </c>
      <c r="U89" s="18">
        <v>1.7621010287942214E-3</v>
      </c>
    </row>
    <row r="90" spans="1:21" ht="21" x14ac:dyDescent="0.55000000000000004">
      <c r="A90" s="16" t="s">
        <v>226</v>
      </c>
      <c r="C90" s="17">
        <v>0</v>
      </c>
      <c r="E90" s="17">
        <v>0</v>
      </c>
      <c r="G90" s="17">
        <v>0</v>
      </c>
      <c r="I90" s="17">
        <f t="shared" si="2"/>
        <v>0</v>
      </c>
      <c r="K90" s="18">
        <v>0</v>
      </c>
      <c r="M90" s="17">
        <v>0</v>
      </c>
      <c r="O90" s="17">
        <v>-15336050</v>
      </c>
      <c r="Q90" s="17">
        <v>429981911</v>
      </c>
      <c r="S90" s="17">
        <f t="shared" si="3"/>
        <v>414645861</v>
      </c>
      <c r="U90" s="18">
        <v>2.6358803408161264E-3</v>
      </c>
    </row>
    <row r="91" spans="1:21" ht="21" x14ac:dyDescent="0.55000000000000004">
      <c r="A91" s="16" t="s">
        <v>227</v>
      </c>
      <c r="C91" s="17">
        <v>0</v>
      </c>
      <c r="E91" s="17">
        <v>0</v>
      </c>
      <c r="G91" s="17">
        <v>0</v>
      </c>
      <c r="I91" s="17">
        <f t="shared" si="2"/>
        <v>0</v>
      </c>
      <c r="K91" s="18">
        <v>0</v>
      </c>
      <c r="M91" s="17">
        <v>0</v>
      </c>
      <c r="O91" s="17">
        <v>-85859485</v>
      </c>
      <c r="Q91" s="17">
        <v>388881313</v>
      </c>
      <c r="S91" s="17">
        <f t="shared" si="3"/>
        <v>303021828</v>
      </c>
      <c r="U91" s="18">
        <v>1.9262926617356626E-3</v>
      </c>
    </row>
    <row r="92" spans="1:21" ht="21" x14ac:dyDescent="0.55000000000000004">
      <c r="A92" s="16" t="s">
        <v>228</v>
      </c>
      <c r="C92" s="17">
        <v>0</v>
      </c>
      <c r="E92" s="17">
        <v>0</v>
      </c>
      <c r="G92" s="17">
        <v>0</v>
      </c>
      <c r="I92" s="17">
        <f t="shared" si="2"/>
        <v>0</v>
      </c>
      <c r="K92" s="18">
        <v>0</v>
      </c>
      <c r="M92" s="17">
        <v>0</v>
      </c>
      <c r="O92" s="17">
        <v>6998198</v>
      </c>
      <c r="Q92" s="17">
        <v>153286869</v>
      </c>
      <c r="S92" s="17">
        <f t="shared" si="3"/>
        <v>160285067</v>
      </c>
      <c r="U92" s="18">
        <v>1.0189231263825291E-3</v>
      </c>
    </row>
    <row r="93" spans="1:21" ht="21" x14ac:dyDescent="0.55000000000000004">
      <c r="A93" s="16" t="s">
        <v>229</v>
      </c>
      <c r="C93" s="17">
        <v>0</v>
      </c>
      <c r="E93" s="17">
        <v>0</v>
      </c>
      <c r="G93" s="17">
        <v>0</v>
      </c>
      <c r="I93" s="17">
        <f t="shared" si="2"/>
        <v>0</v>
      </c>
      <c r="K93" s="18">
        <v>0</v>
      </c>
      <c r="M93" s="17">
        <v>0</v>
      </c>
      <c r="O93" s="17">
        <v>2998</v>
      </c>
      <c r="Q93" s="17">
        <v>-2600103280</v>
      </c>
      <c r="S93" s="17">
        <f t="shared" si="3"/>
        <v>-2600100282</v>
      </c>
      <c r="U93" s="18">
        <v>-1.6528690774690418E-2</v>
      </c>
    </row>
    <row r="94" spans="1:21" ht="21" x14ac:dyDescent="0.55000000000000004">
      <c r="A94" s="16" t="s">
        <v>230</v>
      </c>
      <c r="C94" s="17">
        <v>0</v>
      </c>
      <c r="E94" s="17">
        <v>0</v>
      </c>
      <c r="G94" s="17">
        <v>0</v>
      </c>
      <c r="I94" s="17">
        <f t="shared" si="2"/>
        <v>0</v>
      </c>
      <c r="K94" s="18">
        <v>0</v>
      </c>
      <c r="M94" s="17">
        <v>0</v>
      </c>
      <c r="O94" s="17">
        <v>36052714</v>
      </c>
      <c r="Q94" s="17">
        <v>-143352748</v>
      </c>
      <c r="S94" s="17">
        <f t="shared" si="3"/>
        <v>-107300034</v>
      </c>
      <c r="U94" s="18">
        <v>-6.821002614312891E-4</v>
      </c>
    </row>
    <row r="95" spans="1:21" ht="21" x14ac:dyDescent="0.55000000000000004">
      <c r="A95" s="16" t="s">
        <v>231</v>
      </c>
      <c r="C95" s="17">
        <v>0</v>
      </c>
      <c r="E95" s="17">
        <v>0</v>
      </c>
      <c r="G95" s="17">
        <v>0</v>
      </c>
      <c r="I95" s="17">
        <f t="shared" si="2"/>
        <v>0</v>
      </c>
      <c r="K95" s="18">
        <v>0</v>
      </c>
      <c r="M95" s="17">
        <v>0</v>
      </c>
      <c r="O95" s="17">
        <v>-59984550</v>
      </c>
      <c r="Q95" s="17">
        <v>64568918</v>
      </c>
      <c r="S95" s="17">
        <f t="shared" si="3"/>
        <v>4584368</v>
      </c>
      <c r="U95" s="18">
        <v>2.9142568690120226E-5</v>
      </c>
    </row>
    <row r="96" spans="1:21" ht="21" x14ac:dyDescent="0.55000000000000004">
      <c r="A96" s="16" t="s">
        <v>232</v>
      </c>
      <c r="C96" s="17">
        <v>0</v>
      </c>
      <c r="E96" s="17">
        <v>0</v>
      </c>
      <c r="G96" s="17">
        <v>0</v>
      </c>
      <c r="I96" s="17">
        <f t="shared" si="2"/>
        <v>0</v>
      </c>
      <c r="K96" s="18">
        <v>0</v>
      </c>
      <c r="M96" s="17">
        <v>0</v>
      </c>
      <c r="O96" s="17">
        <v>-132110973</v>
      </c>
      <c r="Q96" s="17">
        <v>-987077134</v>
      </c>
      <c r="S96" s="17">
        <f t="shared" si="3"/>
        <v>-1119188107</v>
      </c>
      <c r="U96" s="18">
        <v>-7.1146156428570145E-3</v>
      </c>
    </row>
    <row r="97" spans="1:21" ht="21" x14ac:dyDescent="0.55000000000000004">
      <c r="A97" s="16" t="s">
        <v>233</v>
      </c>
      <c r="C97" s="17">
        <v>0</v>
      </c>
      <c r="E97" s="17">
        <v>0</v>
      </c>
      <c r="G97" s="17">
        <v>0</v>
      </c>
      <c r="I97" s="17">
        <f t="shared" si="2"/>
        <v>0</v>
      </c>
      <c r="K97" s="18">
        <v>0</v>
      </c>
      <c r="M97" s="17">
        <v>0</v>
      </c>
      <c r="O97" s="17">
        <v>3399125</v>
      </c>
      <c r="Q97" s="17">
        <v>165978980</v>
      </c>
      <c r="S97" s="17">
        <f t="shared" si="3"/>
        <v>169378105</v>
      </c>
      <c r="U97" s="18">
        <v>1.0767270558482425E-3</v>
      </c>
    </row>
    <row r="98" spans="1:21" ht="21" x14ac:dyDescent="0.55000000000000004">
      <c r="A98" s="16" t="s">
        <v>234</v>
      </c>
      <c r="C98" s="17">
        <v>0</v>
      </c>
      <c r="E98" s="17">
        <v>0</v>
      </c>
      <c r="G98" s="17">
        <v>0</v>
      </c>
      <c r="I98" s="17">
        <f t="shared" si="2"/>
        <v>0</v>
      </c>
      <c r="K98" s="18">
        <v>0</v>
      </c>
      <c r="M98" s="17">
        <v>0</v>
      </c>
      <c r="O98" s="17">
        <v>-20820926</v>
      </c>
      <c r="Q98" s="17">
        <v>-1836545797</v>
      </c>
      <c r="S98" s="17">
        <f t="shared" si="3"/>
        <v>-1857366723</v>
      </c>
      <c r="U98" s="18">
        <v>-1.1807175450960963E-2</v>
      </c>
    </row>
    <row r="99" spans="1:21" ht="21" x14ac:dyDescent="0.55000000000000004">
      <c r="A99" s="16" t="s">
        <v>235</v>
      </c>
      <c r="C99" s="17">
        <v>0</v>
      </c>
      <c r="E99" s="17">
        <v>0</v>
      </c>
      <c r="G99" s="17">
        <v>0</v>
      </c>
      <c r="I99" s="17">
        <f t="shared" si="2"/>
        <v>0</v>
      </c>
      <c r="K99" s="18">
        <v>0</v>
      </c>
      <c r="M99" s="17">
        <v>0</v>
      </c>
      <c r="O99" s="17">
        <v>1811533</v>
      </c>
      <c r="Q99" s="17">
        <v>-1633923532</v>
      </c>
      <c r="S99" s="17">
        <f t="shared" si="3"/>
        <v>-1632111999</v>
      </c>
      <c r="U99" s="18">
        <v>-1.0375243881125366E-2</v>
      </c>
    </row>
    <row r="100" spans="1:21" ht="21" x14ac:dyDescent="0.55000000000000004">
      <c r="A100" s="16" t="s">
        <v>236</v>
      </c>
      <c r="C100" s="17">
        <v>0</v>
      </c>
      <c r="E100" s="17">
        <v>36908117</v>
      </c>
      <c r="G100" s="17">
        <v>402321974</v>
      </c>
      <c r="I100" s="17">
        <f t="shared" si="2"/>
        <v>439230091</v>
      </c>
      <c r="K100" s="18">
        <v>-5.875152873820684E-3</v>
      </c>
      <c r="M100" s="17">
        <v>0</v>
      </c>
      <c r="O100" s="17">
        <v>26575555</v>
      </c>
      <c r="Q100" s="17">
        <v>903156644</v>
      </c>
      <c r="S100" s="17">
        <f t="shared" si="3"/>
        <v>929732199</v>
      </c>
      <c r="U100" s="18">
        <v>5.9102551262843707E-3</v>
      </c>
    </row>
    <row r="101" spans="1:21" ht="21" x14ac:dyDescent="0.55000000000000004">
      <c r="A101" s="16" t="s">
        <v>237</v>
      </c>
      <c r="C101" s="17">
        <v>0</v>
      </c>
      <c r="E101" s="17">
        <v>0</v>
      </c>
      <c r="G101" s="17">
        <v>0</v>
      </c>
      <c r="I101" s="17">
        <f t="shared" si="2"/>
        <v>0</v>
      </c>
      <c r="K101" s="18">
        <v>0</v>
      </c>
      <c r="M101" s="17">
        <v>0</v>
      </c>
      <c r="O101" s="17">
        <v>-15082116</v>
      </c>
      <c r="Q101" s="17">
        <v>478416987</v>
      </c>
      <c r="S101" s="17">
        <f t="shared" si="3"/>
        <v>463334871</v>
      </c>
      <c r="U101" s="18">
        <v>2.9453936299715672E-3</v>
      </c>
    </row>
    <row r="102" spans="1:21" ht="21" x14ac:dyDescent="0.55000000000000004">
      <c r="A102" s="16" t="s">
        <v>238</v>
      </c>
      <c r="C102" s="17">
        <v>0</v>
      </c>
      <c r="E102" s="17">
        <v>34990986</v>
      </c>
      <c r="G102" s="17">
        <v>488707904</v>
      </c>
      <c r="I102" s="17">
        <f t="shared" si="2"/>
        <v>523698890</v>
      </c>
      <c r="K102" s="18">
        <v>-7.0050096786292409E-3</v>
      </c>
      <c r="M102" s="17">
        <v>0</v>
      </c>
      <c r="O102" s="17">
        <v>69981974</v>
      </c>
      <c r="Q102" s="17">
        <v>-207613744</v>
      </c>
      <c r="S102" s="17">
        <f t="shared" si="3"/>
        <v>-137631770</v>
      </c>
      <c r="U102" s="18">
        <v>-8.7491739562963269E-4</v>
      </c>
    </row>
    <row r="103" spans="1:21" ht="21" x14ac:dyDescent="0.55000000000000004">
      <c r="A103" s="16" t="s">
        <v>239</v>
      </c>
      <c r="C103" s="17">
        <v>0</v>
      </c>
      <c r="E103" s="17">
        <v>0</v>
      </c>
      <c r="G103" s="17">
        <v>0</v>
      </c>
      <c r="I103" s="17">
        <f t="shared" si="2"/>
        <v>0</v>
      </c>
      <c r="K103" s="18">
        <v>0</v>
      </c>
      <c r="M103" s="17">
        <v>0</v>
      </c>
      <c r="O103" s="17">
        <v>336473735</v>
      </c>
      <c r="Q103" s="17">
        <v>450982632</v>
      </c>
      <c r="S103" s="17">
        <f t="shared" si="3"/>
        <v>787456367</v>
      </c>
      <c r="U103" s="18">
        <v>5.0058156905750193E-3</v>
      </c>
    </row>
    <row r="104" spans="1:21" ht="21" x14ac:dyDescent="0.55000000000000004">
      <c r="A104" s="16" t="s">
        <v>240</v>
      </c>
      <c r="C104" s="17">
        <v>0</v>
      </c>
      <c r="E104" s="17">
        <v>-708245140</v>
      </c>
      <c r="G104" s="17">
        <v>643341293</v>
      </c>
      <c r="I104" s="17">
        <f t="shared" si="2"/>
        <v>-64903847</v>
      </c>
      <c r="K104" s="18">
        <v>8.6815550900875768E-4</v>
      </c>
      <c r="M104" s="17">
        <v>0</v>
      </c>
      <c r="O104" s="17">
        <v>-449884125</v>
      </c>
      <c r="Q104" s="17">
        <v>643341293</v>
      </c>
      <c r="S104" s="17">
        <f t="shared" si="3"/>
        <v>193457168</v>
      </c>
      <c r="U104" s="18">
        <v>1.2297963006102756E-3</v>
      </c>
    </row>
    <row r="105" spans="1:21" ht="21" x14ac:dyDescent="0.55000000000000004">
      <c r="A105" s="16" t="s">
        <v>283</v>
      </c>
      <c r="C105" s="17">
        <v>0</v>
      </c>
      <c r="E105" s="17">
        <v>-899003100</v>
      </c>
      <c r="G105" s="17">
        <v>1377570353</v>
      </c>
      <c r="I105" s="17">
        <f t="shared" si="2"/>
        <v>478567253</v>
      </c>
      <c r="K105" s="18">
        <v>-6.4013277537021485E-3</v>
      </c>
      <c r="M105" s="17">
        <v>0</v>
      </c>
      <c r="O105" s="17">
        <v>0</v>
      </c>
      <c r="Q105" s="17">
        <v>0</v>
      </c>
      <c r="S105" s="17">
        <f t="shared" si="3"/>
        <v>0</v>
      </c>
      <c r="U105" s="18">
        <v>0</v>
      </c>
    </row>
    <row r="106" spans="1:21" ht="21" x14ac:dyDescent="0.55000000000000004">
      <c r="A106" s="16" t="s">
        <v>241</v>
      </c>
      <c r="C106" s="17">
        <v>0</v>
      </c>
      <c r="E106" s="17">
        <v>0</v>
      </c>
      <c r="G106" s="17">
        <v>0</v>
      </c>
      <c r="I106" s="17">
        <f t="shared" si="2"/>
        <v>0</v>
      </c>
      <c r="K106" s="18">
        <v>0</v>
      </c>
      <c r="M106" s="17">
        <v>0</v>
      </c>
      <c r="O106" s="17">
        <v>-6289548</v>
      </c>
      <c r="Q106" s="17">
        <v>246240351</v>
      </c>
      <c r="S106" s="17">
        <f t="shared" si="3"/>
        <v>239950803</v>
      </c>
      <c r="U106" s="18">
        <v>1.5253537147709359E-3</v>
      </c>
    </row>
    <row r="107" spans="1:21" ht="21" x14ac:dyDescent="0.55000000000000004">
      <c r="A107" s="16" t="s">
        <v>242</v>
      </c>
      <c r="C107" s="17">
        <v>0</v>
      </c>
      <c r="E107" s="17">
        <v>-336707555</v>
      </c>
      <c r="G107" s="17">
        <v>762470285</v>
      </c>
      <c r="I107" s="17">
        <f t="shared" si="2"/>
        <v>425762730</v>
      </c>
      <c r="K107" s="18">
        <v>-5.6950131103955717E-3</v>
      </c>
      <c r="M107" s="17">
        <v>0</v>
      </c>
      <c r="O107" s="17">
        <v>53986095</v>
      </c>
      <c r="Q107" s="17">
        <v>762470285</v>
      </c>
      <c r="S107" s="17">
        <f t="shared" si="3"/>
        <v>816456380</v>
      </c>
      <c r="U107" s="18">
        <v>5.1901671368085852E-3</v>
      </c>
    </row>
    <row r="108" spans="1:21" ht="21" x14ac:dyDescent="0.55000000000000004">
      <c r="A108" s="16" t="s">
        <v>243</v>
      </c>
      <c r="C108" s="17">
        <v>0</v>
      </c>
      <c r="E108" s="17">
        <v>0</v>
      </c>
      <c r="G108" s="17">
        <v>0</v>
      </c>
      <c r="I108" s="17">
        <f t="shared" si="2"/>
        <v>0</v>
      </c>
      <c r="K108" s="18">
        <v>0</v>
      </c>
      <c r="M108" s="17">
        <v>0</v>
      </c>
      <c r="O108" s="17">
        <v>1319210</v>
      </c>
      <c r="Q108" s="17">
        <v>67514952</v>
      </c>
      <c r="S108" s="17">
        <f t="shared" si="3"/>
        <v>68834162</v>
      </c>
      <c r="U108" s="18">
        <v>4.3757488367248516E-4</v>
      </c>
    </row>
    <row r="109" spans="1:21" ht="21" x14ac:dyDescent="0.55000000000000004">
      <c r="A109" s="16" t="s">
        <v>244</v>
      </c>
      <c r="C109" s="17">
        <v>0</v>
      </c>
      <c r="E109" s="17">
        <v>-218755734</v>
      </c>
      <c r="G109" s="17">
        <v>365668940</v>
      </c>
      <c r="I109" s="17">
        <f t="shared" si="2"/>
        <v>146913206</v>
      </c>
      <c r="K109" s="18">
        <v>-1.965114781794652E-3</v>
      </c>
      <c r="M109" s="17">
        <v>0</v>
      </c>
      <c r="O109" s="17">
        <v>32176865</v>
      </c>
      <c r="Q109" s="17">
        <v>365668940</v>
      </c>
      <c r="S109" s="17">
        <f t="shared" si="3"/>
        <v>397845805</v>
      </c>
      <c r="U109" s="18">
        <v>2.5290833328146163E-3</v>
      </c>
    </row>
    <row r="110" spans="1:21" ht="21" x14ac:dyDescent="0.55000000000000004">
      <c r="A110" s="16" t="s">
        <v>245</v>
      </c>
      <c r="C110" s="17">
        <v>0</v>
      </c>
      <c r="E110" s="17">
        <v>0</v>
      </c>
      <c r="G110" s="17">
        <v>0</v>
      </c>
      <c r="I110" s="17">
        <f t="shared" si="2"/>
        <v>0</v>
      </c>
      <c r="K110" s="18">
        <v>0</v>
      </c>
      <c r="M110" s="17">
        <v>0</v>
      </c>
      <c r="O110" s="17">
        <v>-24993562</v>
      </c>
      <c r="Q110" s="17">
        <v>292147825</v>
      </c>
      <c r="S110" s="17">
        <f t="shared" si="3"/>
        <v>267154263</v>
      </c>
      <c r="U110" s="18">
        <v>1.6982845749590662E-3</v>
      </c>
    </row>
    <row r="111" spans="1:21" ht="21" x14ac:dyDescent="0.55000000000000004">
      <c r="A111" s="16" t="s">
        <v>246</v>
      </c>
      <c r="C111" s="17">
        <v>0</v>
      </c>
      <c r="E111" s="17">
        <v>0</v>
      </c>
      <c r="G111" s="17">
        <v>0</v>
      </c>
      <c r="I111" s="17">
        <f t="shared" si="2"/>
        <v>0</v>
      </c>
      <c r="K111" s="18">
        <v>0</v>
      </c>
      <c r="M111" s="17">
        <v>0</v>
      </c>
      <c r="O111" s="17">
        <v>169936230</v>
      </c>
      <c r="Q111" s="17">
        <v>815842743</v>
      </c>
      <c r="S111" s="17">
        <f t="shared" si="3"/>
        <v>985778973</v>
      </c>
      <c r="U111" s="18">
        <v>6.2665413060052494E-3</v>
      </c>
    </row>
    <row r="112" spans="1:21" ht="21" x14ac:dyDescent="0.55000000000000004">
      <c r="A112" s="16" t="s">
        <v>284</v>
      </c>
      <c r="C112" s="17">
        <v>0</v>
      </c>
      <c r="E112" s="17">
        <v>-100861165</v>
      </c>
      <c r="G112" s="17">
        <v>139779875</v>
      </c>
      <c r="I112" s="17">
        <f t="shared" si="2"/>
        <v>38918710</v>
      </c>
      <c r="K112" s="18">
        <v>-5.205776552815772E-4</v>
      </c>
      <c r="M112" s="17">
        <v>0</v>
      </c>
      <c r="O112" s="17">
        <v>0</v>
      </c>
      <c r="Q112" s="17">
        <v>139779875</v>
      </c>
      <c r="S112" s="17">
        <f t="shared" si="3"/>
        <v>139779875</v>
      </c>
      <c r="U112" s="18">
        <v>8.8857277790175637E-4</v>
      </c>
    </row>
    <row r="113" spans="1:21" ht="21" x14ac:dyDescent="0.55000000000000004">
      <c r="A113" s="16" t="s">
        <v>247</v>
      </c>
      <c r="C113" s="17">
        <v>0</v>
      </c>
      <c r="E113" s="17">
        <v>-15223984</v>
      </c>
      <c r="G113" s="17">
        <v>27528204</v>
      </c>
      <c r="I113" s="17">
        <f t="shared" si="2"/>
        <v>12304220</v>
      </c>
      <c r="K113" s="18">
        <v>-1.6458155981194362E-4</v>
      </c>
      <c r="M113" s="17">
        <v>0</v>
      </c>
      <c r="O113" s="17">
        <v>-2397382</v>
      </c>
      <c r="Q113" s="17">
        <v>27528204</v>
      </c>
      <c r="S113" s="17">
        <f t="shared" si="3"/>
        <v>25130822</v>
      </c>
      <c r="U113" s="18">
        <v>1.5975521737656849E-4</v>
      </c>
    </row>
    <row r="114" spans="1:21" ht="21" x14ac:dyDescent="0.55000000000000004">
      <c r="A114" s="16" t="s">
        <v>248</v>
      </c>
      <c r="C114" s="17">
        <v>0</v>
      </c>
      <c r="E114" s="17">
        <v>-35046202</v>
      </c>
      <c r="G114" s="17">
        <v>407621359</v>
      </c>
      <c r="I114" s="17">
        <f t="shared" si="2"/>
        <v>372575157</v>
      </c>
      <c r="K114" s="18">
        <v>-4.9835747805419429E-3</v>
      </c>
      <c r="M114" s="17">
        <v>0</v>
      </c>
      <c r="O114" s="17">
        <v>402706</v>
      </c>
      <c r="Q114" s="17">
        <v>407621359</v>
      </c>
      <c r="S114" s="17">
        <f t="shared" si="3"/>
        <v>408024065</v>
      </c>
      <c r="U114" s="18">
        <v>2.5937859572976209E-3</v>
      </c>
    </row>
    <row r="115" spans="1:21" ht="21" x14ac:dyDescent="0.55000000000000004">
      <c r="A115" s="16" t="s">
        <v>249</v>
      </c>
      <c r="C115" s="17">
        <v>0</v>
      </c>
      <c r="E115" s="17">
        <v>42458426</v>
      </c>
      <c r="G115" s="17">
        <v>0</v>
      </c>
      <c r="I115" s="17">
        <f t="shared" si="2"/>
        <v>42458426</v>
      </c>
      <c r="K115" s="18">
        <v>-5.6792498656883426E-4</v>
      </c>
      <c r="M115" s="17">
        <v>0</v>
      </c>
      <c r="O115" s="17">
        <v>42458426</v>
      </c>
      <c r="Q115" s="17">
        <v>0</v>
      </c>
      <c r="S115" s="17">
        <f t="shared" si="3"/>
        <v>42458426</v>
      </c>
      <c r="U115" s="18">
        <v>2.6990581824569638E-4</v>
      </c>
    </row>
    <row r="116" spans="1:21" ht="21" x14ac:dyDescent="0.55000000000000004">
      <c r="A116" s="16" t="s">
        <v>250</v>
      </c>
      <c r="C116" s="17">
        <v>0</v>
      </c>
      <c r="E116" s="17">
        <v>-111971160</v>
      </c>
      <c r="G116" s="17">
        <v>486645713</v>
      </c>
      <c r="I116" s="17">
        <f t="shared" si="2"/>
        <v>374674553</v>
      </c>
      <c r="K116" s="18">
        <v>-5.0116563548589614E-3</v>
      </c>
      <c r="M116" s="17">
        <v>0</v>
      </c>
      <c r="O116" s="17">
        <v>-111971160</v>
      </c>
      <c r="Q116" s="17">
        <v>486645713</v>
      </c>
      <c r="S116" s="17">
        <f t="shared" si="3"/>
        <v>374674553</v>
      </c>
      <c r="U116" s="18">
        <v>2.3817849913537899E-3</v>
      </c>
    </row>
    <row r="117" spans="1:21" ht="21" x14ac:dyDescent="0.55000000000000004">
      <c r="A117" s="16" t="s">
        <v>286</v>
      </c>
      <c r="C117" s="17">
        <v>0</v>
      </c>
      <c r="E117" s="17">
        <v>0</v>
      </c>
      <c r="G117" s="17">
        <v>41960571</v>
      </c>
      <c r="I117" s="17">
        <f t="shared" si="2"/>
        <v>41960571</v>
      </c>
      <c r="K117" s="18">
        <v>-5.6126566542046604E-4</v>
      </c>
      <c r="M117" s="17">
        <v>0</v>
      </c>
      <c r="O117" s="17">
        <v>0</v>
      </c>
      <c r="Q117" s="17">
        <v>0</v>
      </c>
      <c r="S117" s="17">
        <f t="shared" si="3"/>
        <v>0</v>
      </c>
      <c r="U117" s="18">
        <v>0</v>
      </c>
    </row>
    <row r="118" spans="1:21" ht="21" x14ac:dyDescent="0.55000000000000004">
      <c r="A118" s="16" t="s">
        <v>251</v>
      </c>
      <c r="C118" s="17">
        <v>0</v>
      </c>
      <c r="E118" s="17">
        <v>-15508006</v>
      </c>
      <c r="G118" s="17">
        <v>0</v>
      </c>
      <c r="I118" s="17">
        <f t="shared" si="2"/>
        <v>-15508006</v>
      </c>
      <c r="K118" s="18">
        <v>2.0743548287115968E-4</v>
      </c>
      <c r="M118" s="17">
        <v>0</v>
      </c>
      <c r="O118" s="17">
        <v>-15508006</v>
      </c>
      <c r="Q118" s="17">
        <v>278569994</v>
      </c>
      <c r="S118" s="17">
        <f t="shared" si="3"/>
        <v>263061988</v>
      </c>
      <c r="U118" s="18">
        <v>1.672270213702212E-3</v>
      </c>
    </row>
    <row r="119" spans="1:21" ht="21" x14ac:dyDescent="0.55000000000000004">
      <c r="A119" s="16" t="s">
        <v>285</v>
      </c>
      <c r="C119" s="17">
        <v>0</v>
      </c>
      <c r="E119" s="17">
        <v>0</v>
      </c>
      <c r="G119" s="17">
        <v>278569994</v>
      </c>
      <c r="I119" s="17">
        <f t="shared" si="2"/>
        <v>278569994</v>
      </c>
      <c r="K119" s="18">
        <v>-3.7261593282080273E-3</v>
      </c>
      <c r="M119" s="17">
        <v>0</v>
      </c>
      <c r="O119" s="17">
        <v>0</v>
      </c>
      <c r="Q119" s="17">
        <v>0</v>
      </c>
      <c r="S119" s="17">
        <f t="shared" si="3"/>
        <v>0</v>
      </c>
      <c r="U119" s="18">
        <v>0</v>
      </c>
    </row>
    <row r="120" spans="1:21" ht="21" x14ac:dyDescent="0.55000000000000004">
      <c r="A120" s="16" t="s">
        <v>252</v>
      </c>
      <c r="C120" s="17">
        <v>0</v>
      </c>
      <c r="E120" s="17">
        <v>85420893</v>
      </c>
      <c r="G120" s="17">
        <v>0</v>
      </c>
      <c r="I120" s="17">
        <f t="shared" si="2"/>
        <v>85420893</v>
      </c>
      <c r="K120" s="18">
        <v>-1.142592038379445E-3</v>
      </c>
      <c r="M120" s="17">
        <v>0</v>
      </c>
      <c r="O120" s="17">
        <v>85420893</v>
      </c>
      <c r="Q120" s="17">
        <v>0</v>
      </c>
      <c r="S120" s="17">
        <f t="shared" si="3"/>
        <v>85420893</v>
      </c>
      <c r="U120" s="18">
        <v>5.4301579668645931E-4</v>
      </c>
    </row>
    <row r="121" spans="1:21" ht="21" x14ac:dyDescent="0.55000000000000004">
      <c r="A121" s="16" t="s">
        <v>253</v>
      </c>
      <c r="C121" s="17">
        <v>0</v>
      </c>
      <c r="E121" s="17">
        <v>10997168</v>
      </c>
      <c r="G121" s="17">
        <v>130771169</v>
      </c>
      <c r="I121" s="17">
        <f t="shared" si="2"/>
        <v>141768337</v>
      </c>
      <c r="K121" s="18">
        <v>-1.8962968831348333E-3</v>
      </c>
      <c r="M121" s="17">
        <v>0</v>
      </c>
      <c r="O121" s="17">
        <v>10997168</v>
      </c>
      <c r="Q121" s="17">
        <v>130771169</v>
      </c>
      <c r="S121" s="17">
        <f t="shared" si="3"/>
        <v>141768337</v>
      </c>
      <c r="U121" s="18">
        <v>9.0121331863118599E-4</v>
      </c>
    </row>
    <row r="122" spans="1:21" ht="21" x14ac:dyDescent="0.55000000000000004">
      <c r="A122" s="16" t="s">
        <v>254</v>
      </c>
      <c r="C122" s="17">
        <v>0</v>
      </c>
      <c r="E122" s="17">
        <v>-13980945</v>
      </c>
      <c r="G122" s="17">
        <v>0</v>
      </c>
      <c r="I122" s="17">
        <f t="shared" si="2"/>
        <v>-13980945</v>
      </c>
      <c r="K122" s="18">
        <v>1.8700947607771918E-4</v>
      </c>
      <c r="M122" s="17">
        <v>0</v>
      </c>
      <c r="O122" s="17">
        <v>-13980945</v>
      </c>
      <c r="Q122" s="17">
        <v>0</v>
      </c>
      <c r="S122" s="17">
        <f t="shared" si="3"/>
        <v>-13980945</v>
      </c>
      <c r="U122" s="18">
        <v>-8.8876078450790359E-5</v>
      </c>
    </row>
    <row r="123" spans="1:21" ht="21" x14ac:dyDescent="0.55000000000000004">
      <c r="A123" s="16" t="s">
        <v>255</v>
      </c>
      <c r="C123" s="17">
        <v>0</v>
      </c>
      <c r="E123" s="17">
        <v>66600160</v>
      </c>
      <c r="G123" s="17">
        <v>0</v>
      </c>
      <c r="I123" s="17">
        <f t="shared" si="2"/>
        <v>66600160</v>
      </c>
      <c r="K123" s="18">
        <v>-8.9084543486096757E-4</v>
      </c>
      <c r="M123" s="17">
        <v>0</v>
      </c>
      <c r="O123" s="17">
        <v>66600160</v>
      </c>
      <c r="Q123" s="17">
        <v>0</v>
      </c>
      <c r="S123" s="17">
        <f t="shared" si="3"/>
        <v>66600160</v>
      </c>
      <c r="U123" s="18">
        <v>4.2337345901834178E-4</v>
      </c>
    </row>
    <row r="124" spans="1:21" ht="21" x14ac:dyDescent="0.55000000000000004">
      <c r="A124" s="16" t="s">
        <v>256</v>
      </c>
      <c r="C124" s="17">
        <v>0</v>
      </c>
      <c r="E124" s="17">
        <v>40092700</v>
      </c>
      <c r="G124" s="17">
        <v>0</v>
      </c>
      <c r="I124" s="17">
        <f t="shared" si="2"/>
        <v>40092700</v>
      </c>
      <c r="K124" s="18">
        <v>-5.3628097539480852E-4</v>
      </c>
      <c r="M124" s="17">
        <v>0</v>
      </c>
      <c r="O124" s="17">
        <v>40092700</v>
      </c>
      <c r="Q124" s="17">
        <v>0</v>
      </c>
      <c r="S124" s="17">
        <f t="shared" si="3"/>
        <v>40092700</v>
      </c>
      <c r="U124" s="18">
        <v>2.548670315564508E-4</v>
      </c>
    </row>
    <row r="125" spans="1:21" ht="21" x14ac:dyDescent="0.55000000000000004">
      <c r="A125" s="16" t="s">
        <v>257</v>
      </c>
      <c r="C125" s="17">
        <v>0</v>
      </c>
      <c r="E125" s="17">
        <v>17035816</v>
      </c>
      <c r="G125" s="17">
        <v>0</v>
      </c>
      <c r="I125" s="17">
        <f t="shared" si="2"/>
        <v>17035816</v>
      </c>
      <c r="K125" s="18">
        <v>-2.2787150830765916E-4</v>
      </c>
      <c r="M125" s="17">
        <v>0</v>
      </c>
      <c r="O125" s="17">
        <v>17035816</v>
      </c>
      <c r="Q125" s="17">
        <v>0</v>
      </c>
      <c r="S125" s="17">
        <f t="shared" si="3"/>
        <v>17035816</v>
      </c>
      <c r="U125" s="18">
        <v>1.0829572101808781E-4</v>
      </c>
    </row>
    <row r="126" spans="1:21" ht="21" x14ac:dyDescent="0.55000000000000004">
      <c r="A126" s="16" t="s">
        <v>258</v>
      </c>
      <c r="C126" s="17">
        <v>0</v>
      </c>
      <c r="E126" s="17">
        <v>13468</v>
      </c>
      <c r="G126" s="17">
        <v>0</v>
      </c>
      <c r="I126" s="17">
        <f t="shared" si="2"/>
        <v>13468</v>
      </c>
      <c r="K126" s="18">
        <v>-1.8014831070537234E-7</v>
      </c>
      <c r="M126" s="17">
        <v>0</v>
      </c>
      <c r="O126" s="17">
        <v>13468</v>
      </c>
      <c r="Q126" s="17">
        <v>0</v>
      </c>
      <c r="S126" s="17">
        <f t="shared" si="3"/>
        <v>13468</v>
      </c>
      <c r="U126" s="18">
        <v>8.5615316030157097E-8</v>
      </c>
    </row>
    <row r="127" spans="1:21" ht="21" x14ac:dyDescent="0.55000000000000004">
      <c r="A127" s="16" t="s">
        <v>289</v>
      </c>
      <c r="C127" s="17">
        <v>0</v>
      </c>
      <c r="E127" s="17">
        <v>0</v>
      </c>
      <c r="G127" s="17">
        <v>0</v>
      </c>
      <c r="I127" s="17">
        <f t="shared" si="2"/>
        <v>0</v>
      </c>
      <c r="K127" s="18">
        <v>0</v>
      </c>
      <c r="M127" s="17">
        <v>0</v>
      </c>
      <c r="O127" s="17">
        <v>0</v>
      </c>
      <c r="Q127" s="17">
        <v>-4999124626</v>
      </c>
      <c r="S127" s="17">
        <f t="shared" si="3"/>
        <v>-4999124626</v>
      </c>
      <c r="U127" s="18">
        <v>-3.1779153157791125E-2</v>
      </c>
    </row>
    <row r="128" spans="1:21" ht="21" x14ac:dyDescent="0.55000000000000004">
      <c r="A128" s="16" t="s">
        <v>290</v>
      </c>
      <c r="C128" s="17">
        <v>0</v>
      </c>
      <c r="E128" s="17">
        <v>0</v>
      </c>
      <c r="G128" s="17">
        <v>0</v>
      </c>
      <c r="I128" s="17">
        <f t="shared" si="2"/>
        <v>0</v>
      </c>
      <c r="K128" s="18">
        <v>0</v>
      </c>
      <c r="M128" s="17">
        <v>0</v>
      </c>
      <c r="O128" s="17">
        <v>0</v>
      </c>
      <c r="Q128" s="17">
        <v>169892337</v>
      </c>
      <c r="S128" s="17">
        <f t="shared" si="3"/>
        <v>169892337</v>
      </c>
      <c r="U128" s="18">
        <v>1.0799959996552532E-3</v>
      </c>
    </row>
    <row r="129" spans="1:21" ht="21" x14ac:dyDescent="0.55000000000000004">
      <c r="A129" s="16" t="s">
        <v>291</v>
      </c>
      <c r="C129" s="17">
        <v>0</v>
      </c>
      <c r="E129" s="17">
        <v>0</v>
      </c>
      <c r="G129" s="17">
        <v>0</v>
      </c>
      <c r="I129" s="17">
        <f t="shared" si="2"/>
        <v>0</v>
      </c>
      <c r="K129" s="18">
        <v>0</v>
      </c>
      <c r="M129" s="17">
        <v>0</v>
      </c>
      <c r="O129" s="17">
        <v>0</v>
      </c>
      <c r="Q129" s="17">
        <v>152611430</v>
      </c>
      <c r="S129" s="17">
        <f t="shared" si="3"/>
        <v>152611430</v>
      </c>
      <c r="U129" s="18">
        <v>9.7014224898011561E-4</v>
      </c>
    </row>
    <row r="130" spans="1:21" ht="21" x14ac:dyDescent="0.55000000000000004">
      <c r="A130" s="16" t="s">
        <v>292</v>
      </c>
      <c r="C130" s="17">
        <v>0</v>
      </c>
      <c r="E130" s="17">
        <v>0</v>
      </c>
      <c r="G130" s="17">
        <v>0</v>
      </c>
      <c r="I130" s="17">
        <f t="shared" si="2"/>
        <v>0</v>
      </c>
      <c r="K130" s="18">
        <v>0</v>
      </c>
      <c r="M130" s="17">
        <v>0</v>
      </c>
      <c r="O130" s="17">
        <v>0</v>
      </c>
      <c r="Q130" s="17">
        <v>190746694</v>
      </c>
      <c r="S130" s="17">
        <f t="shared" si="3"/>
        <v>190746694</v>
      </c>
      <c r="U130" s="18">
        <v>1.2125659703384074E-3</v>
      </c>
    </row>
    <row r="131" spans="1:21" ht="21" x14ac:dyDescent="0.55000000000000004">
      <c r="A131" s="16" t="s">
        <v>293</v>
      </c>
      <c r="C131" s="17">
        <v>0</v>
      </c>
      <c r="E131" s="17">
        <v>0</v>
      </c>
      <c r="G131" s="17">
        <v>0</v>
      </c>
      <c r="I131" s="17">
        <f t="shared" si="2"/>
        <v>0</v>
      </c>
      <c r="K131" s="18">
        <v>0</v>
      </c>
      <c r="M131" s="17">
        <v>0</v>
      </c>
      <c r="O131" s="17">
        <v>0</v>
      </c>
      <c r="Q131" s="17">
        <v>37185668</v>
      </c>
      <c r="S131" s="17">
        <f t="shared" si="3"/>
        <v>37185668</v>
      </c>
      <c r="U131" s="18">
        <v>2.3638719316992126E-4</v>
      </c>
    </row>
    <row r="132" spans="1:21" ht="21" x14ac:dyDescent="0.55000000000000004">
      <c r="A132" s="16" t="s">
        <v>294</v>
      </c>
      <c r="C132" s="17">
        <v>0</v>
      </c>
      <c r="E132" s="17">
        <v>0</v>
      </c>
      <c r="G132" s="17">
        <v>0</v>
      </c>
      <c r="I132" s="17">
        <f t="shared" si="2"/>
        <v>0</v>
      </c>
      <c r="K132" s="18">
        <v>0</v>
      </c>
      <c r="M132" s="17">
        <v>0</v>
      </c>
      <c r="O132" s="17">
        <v>0</v>
      </c>
      <c r="Q132" s="17">
        <v>1377570353</v>
      </c>
      <c r="S132" s="17">
        <f t="shared" si="3"/>
        <v>1377570353</v>
      </c>
      <c r="U132" s="18">
        <v>8.7571370007328529E-3</v>
      </c>
    </row>
    <row r="133" spans="1:21" ht="21" x14ac:dyDescent="0.55000000000000004">
      <c r="A133" s="16" t="s">
        <v>295</v>
      </c>
      <c r="C133" s="17">
        <v>0</v>
      </c>
      <c r="E133" s="17">
        <v>0</v>
      </c>
      <c r="G133" s="17">
        <v>0</v>
      </c>
      <c r="I133" s="17">
        <f t="shared" si="2"/>
        <v>0</v>
      </c>
      <c r="K133" s="18">
        <v>0</v>
      </c>
      <c r="M133" s="17">
        <v>0</v>
      </c>
      <c r="O133" s="17">
        <v>0</v>
      </c>
      <c r="Q133" s="17">
        <v>41960571</v>
      </c>
      <c r="S133" s="17">
        <f t="shared" si="3"/>
        <v>41960571</v>
      </c>
      <c r="U133" s="18">
        <v>2.6674098210356732E-4</v>
      </c>
    </row>
    <row r="134" spans="1:21" ht="21" x14ac:dyDescent="0.55000000000000004">
      <c r="A134" s="16" t="s">
        <v>259</v>
      </c>
      <c r="C134" s="17">
        <v>0</v>
      </c>
      <c r="E134" s="17">
        <v>0</v>
      </c>
      <c r="G134" s="17">
        <v>0</v>
      </c>
      <c r="I134" s="17">
        <f t="shared" si="2"/>
        <v>0</v>
      </c>
      <c r="K134" s="18">
        <v>0</v>
      </c>
      <c r="M134" s="17">
        <v>0</v>
      </c>
      <c r="O134" s="17">
        <v>-24993562</v>
      </c>
      <c r="Q134" s="17">
        <v>2635614794</v>
      </c>
      <c r="S134" s="17">
        <f t="shared" si="3"/>
        <v>2610621232</v>
      </c>
      <c r="U134" s="18">
        <v>1.6595571860166174E-2</v>
      </c>
    </row>
    <row r="135" spans="1:21" ht="21" x14ac:dyDescent="0.55000000000000004">
      <c r="A135" s="16" t="s">
        <v>260</v>
      </c>
      <c r="C135" s="17">
        <v>0</v>
      </c>
      <c r="E135" s="17">
        <v>0</v>
      </c>
      <c r="G135" s="17">
        <v>0</v>
      </c>
      <c r="I135" s="17">
        <f t="shared" si="2"/>
        <v>0</v>
      </c>
      <c r="K135" s="18">
        <v>0</v>
      </c>
      <c r="M135" s="17">
        <v>0</v>
      </c>
      <c r="O135" s="17">
        <v>51986610</v>
      </c>
      <c r="Q135" s="17">
        <v>220595472</v>
      </c>
      <c r="S135" s="17">
        <f t="shared" si="3"/>
        <v>272582082</v>
      </c>
      <c r="U135" s="18">
        <v>1.7327889140620876E-3</v>
      </c>
    </row>
    <row r="136" spans="1:21" ht="21" x14ac:dyDescent="0.55000000000000004">
      <c r="A136" s="16" t="s">
        <v>261</v>
      </c>
      <c r="C136" s="17">
        <v>0</v>
      </c>
      <c r="E136" s="17">
        <v>0</v>
      </c>
      <c r="G136" s="17">
        <v>0</v>
      </c>
      <c r="I136" s="17">
        <f t="shared" si="2"/>
        <v>0</v>
      </c>
      <c r="K136" s="18">
        <v>0</v>
      </c>
      <c r="M136" s="17">
        <v>0</v>
      </c>
      <c r="O136" s="17">
        <v>-1887514</v>
      </c>
      <c r="Q136" s="17">
        <v>250998754</v>
      </c>
      <c r="S136" s="17">
        <f t="shared" si="3"/>
        <v>249111240</v>
      </c>
      <c r="U136" s="18">
        <v>1.5835860958764709E-3</v>
      </c>
    </row>
    <row r="137" spans="1:21" ht="21" x14ac:dyDescent="0.55000000000000004">
      <c r="A137" s="16" t="s">
        <v>262</v>
      </c>
      <c r="C137" s="17">
        <v>0</v>
      </c>
      <c r="E137" s="17">
        <v>0</v>
      </c>
      <c r="G137" s="17">
        <v>0</v>
      </c>
      <c r="I137" s="17">
        <f t="shared" si="2"/>
        <v>0</v>
      </c>
      <c r="K137" s="18">
        <v>0</v>
      </c>
      <c r="M137" s="17">
        <v>0</v>
      </c>
      <c r="O137" s="17">
        <v>24667646</v>
      </c>
      <c r="Q137" s="17">
        <v>137838676</v>
      </c>
      <c r="S137" s="17">
        <f t="shared" si="3"/>
        <v>162506322</v>
      </c>
      <c r="U137" s="18">
        <v>1.033043519076958E-3</v>
      </c>
    </row>
    <row r="138" spans="1:21" ht="21" x14ac:dyDescent="0.55000000000000004">
      <c r="A138" s="16" t="s">
        <v>263</v>
      </c>
      <c r="C138" s="17">
        <v>0</v>
      </c>
      <c r="E138" s="17">
        <v>0</v>
      </c>
      <c r="G138" s="17">
        <v>0</v>
      </c>
      <c r="I138" s="17">
        <f t="shared" ref="I138:I176" si="4">G138+E138+C138</f>
        <v>0</v>
      </c>
      <c r="K138" s="18">
        <v>0</v>
      </c>
      <c r="M138" s="17">
        <v>0</v>
      </c>
      <c r="O138" s="17">
        <v>-20994592</v>
      </c>
      <c r="Q138" s="17">
        <v>97524246</v>
      </c>
      <c r="S138" s="17">
        <f t="shared" ref="S138:S176" si="5">Q138+O138+M138</f>
        <v>76529654</v>
      </c>
      <c r="U138" s="18">
        <v>4.8649469207666884E-4</v>
      </c>
    </row>
    <row r="139" spans="1:21" ht="21" x14ac:dyDescent="0.55000000000000004">
      <c r="A139" s="16" t="s">
        <v>264</v>
      </c>
      <c r="C139" s="17">
        <v>0</v>
      </c>
      <c r="E139" s="17">
        <v>0</v>
      </c>
      <c r="G139" s="17">
        <v>0</v>
      </c>
      <c r="I139" s="17">
        <f t="shared" si="4"/>
        <v>0</v>
      </c>
      <c r="K139" s="18">
        <v>0</v>
      </c>
      <c r="M139" s="17">
        <v>0</v>
      </c>
      <c r="O139" s="17">
        <v>2000</v>
      </c>
      <c r="Q139" s="17">
        <v>1604128594</v>
      </c>
      <c r="S139" s="17">
        <f t="shared" si="5"/>
        <v>1604130594</v>
      </c>
      <c r="U139" s="18">
        <v>1.0197367668469974E-2</v>
      </c>
    </row>
    <row r="140" spans="1:21" ht="21" x14ac:dyDescent="0.55000000000000004">
      <c r="A140" s="16" t="s">
        <v>265</v>
      </c>
      <c r="C140" s="17">
        <v>0</v>
      </c>
      <c r="E140" s="17">
        <v>0</v>
      </c>
      <c r="G140" s="17">
        <v>0</v>
      </c>
      <c r="I140" s="17">
        <f t="shared" si="4"/>
        <v>0</v>
      </c>
      <c r="K140" s="18">
        <v>0</v>
      </c>
      <c r="M140" s="17">
        <v>0</v>
      </c>
      <c r="O140" s="17">
        <v>17717036</v>
      </c>
      <c r="Q140" s="17">
        <v>798792798</v>
      </c>
      <c r="S140" s="17">
        <f t="shared" si="5"/>
        <v>816509834</v>
      </c>
      <c r="U140" s="18">
        <v>5.1905069408702932E-3</v>
      </c>
    </row>
    <row r="141" spans="1:21" ht="21" x14ac:dyDescent="0.55000000000000004">
      <c r="A141" s="16" t="s">
        <v>266</v>
      </c>
      <c r="C141" s="17">
        <v>0</v>
      </c>
      <c r="E141" s="17">
        <v>0</v>
      </c>
      <c r="G141" s="17">
        <v>0</v>
      </c>
      <c r="I141" s="17">
        <f t="shared" si="4"/>
        <v>0</v>
      </c>
      <c r="K141" s="18">
        <v>0</v>
      </c>
      <c r="M141" s="17">
        <v>0</v>
      </c>
      <c r="O141" s="17">
        <v>3478672</v>
      </c>
      <c r="Q141" s="17">
        <v>140314108</v>
      </c>
      <c r="S141" s="17">
        <f t="shared" si="5"/>
        <v>143792780</v>
      </c>
      <c r="U141" s="18">
        <v>9.140825885472863E-4</v>
      </c>
    </row>
    <row r="142" spans="1:21" ht="21" x14ac:dyDescent="0.55000000000000004">
      <c r="A142" s="16" t="s">
        <v>282</v>
      </c>
      <c r="C142" s="17">
        <v>0</v>
      </c>
      <c r="E142" s="17">
        <v>0</v>
      </c>
      <c r="G142" s="17">
        <v>0</v>
      </c>
      <c r="I142" s="17">
        <f t="shared" si="4"/>
        <v>0</v>
      </c>
      <c r="K142" s="18">
        <v>0</v>
      </c>
      <c r="M142" s="17">
        <v>0</v>
      </c>
      <c r="O142" s="17">
        <v>-998</v>
      </c>
      <c r="Q142" s="17">
        <v>769032514</v>
      </c>
      <c r="S142" s="17">
        <f t="shared" si="5"/>
        <v>769031516</v>
      </c>
      <c r="U142" s="18">
        <v>4.888689952442145E-3</v>
      </c>
    </row>
    <row r="143" spans="1:21" ht="21" x14ac:dyDescent="0.55000000000000004">
      <c r="A143" s="16" t="s">
        <v>267</v>
      </c>
      <c r="C143" s="17">
        <v>0</v>
      </c>
      <c r="E143" s="17">
        <v>0</v>
      </c>
      <c r="G143" s="17">
        <v>0</v>
      </c>
      <c r="I143" s="17">
        <f t="shared" si="4"/>
        <v>0</v>
      </c>
      <c r="K143" s="18">
        <v>0</v>
      </c>
      <c r="M143" s="17">
        <v>0</v>
      </c>
      <c r="O143" s="17">
        <v>50986</v>
      </c>
      <c r="Q143" s="17">
        <v>1173724363</v>
      </c>
      <c r="S143" s="17">
        <f t="shared" si="5"/>
        <v>1173775349</v>
      </c>
      <c r="U143" s="18">
        <v>7.4616236600120976E-3</v>
      </c>
    </row>
    <row r="144" spans="1:21" ht="21" x14ac:dyDescent="0.55000000000000004">
      <c r="A144" s="16" t="s">
        <v>268</v>
      </c>
      <c r="C144" s="17">
        <v>0</v>
      </c>
      <c r="E144" s="17">
        <v>0</v>
      </c>
      <c r="G144" s="17">
        <v>0</v>
      </c>
      <c r="I144" s="17">
        <f t="shared" si="4"/>
        <v>0</v>
      </c>
      <c r="K144" s="18">
        <v>0</v>
      </c>
      <c r="M144" s="17">
        <v>0</v>
      </c>
      <c r="O144" s="17">
        <v>57921</v>
      </c>
      <c r="Q144" s="17">
        <v>1155071</v>
      </c>
      <c r="S144" s="17">
        <f t="shared" si="5"/>
        <v>1212992</v>
      </c>
      <c r="U144" s="18">
        <v>7.7109216975090808E-6</v>
      </c>
    </row>
    <row r="145" spans="1:21" ht="21" x14ac:dyDescent="0.55000000000000004">
      <c r="A145" s="16" t="s">
        <v>269</v>
      </c>
      <c r="C145" s="17">
        <v>0</v>
      </c>
      <c r="E145" s="17">
        <v>0</v>
      </c>
      <c r="G145" s="17">
        <v>0</v>
      </c>
      <c r="I145" s="17">
        <f t="shared" si="4"/>
        <v>0</v>
      </c>
      <c r="K145" s="18">
        <v>0</v>
      </c>
      <c r="M145" s="17">
        <v>0</v>
      </c>
      <c r="O145" s="17">
        <v>186951848</v>
      </c>
      <c r="Q145" s="17">
        <v>1327034090</v>
      </c>
      <c r="S145" s="17">
        <f t="shared" si="5"/>
        <v>1513985938</v>
      </c>
      <c r="U145" s="18">
        <v>9.6243231769441509E-3</v>
      </c>
    </row>
    <row r="146" spans="1:21" ht="21" x14ac:dyDescent="0.55000000000000004">
      <c r="A146" s="16" t="s">
        <v>270</v>
      </c>
      <c r="C146" s="17">
        <v>0</v>
      </c>
      <c r="E146" s="17">
        <v>0</v>
      </c>
      <c r="G146" s="17">
        <v>0</v>
      </c>
      <c r="I146" s="17">
        <f t="shared" si="4"/>
        <v>0</v>
      </c>
      <c r="K146" s="18">
        <v>0</v>
      </c>
      <c r="M146" s="17">
        <v>0</v>
      </c>
      <c r="O146" s="17">
        <v>-17246938</v>
      </c>
      <c r="Q146" s="17">
        <v>-5922</v>
      </c>
      <c r="S146" s="17">
        <f t="shared" si="5"/>
        <v>-17252860</v>
      </c>
      <c r="U146" s="18">
        <v>-1.0967545747876864E-4</v>
      </c>
    </row>
    <row r="147" spans="1:21" ht="21" x14ac:dyDescent="0.55000000000000004">
      <c r="A147" s="16" t="s">
        <v>271</v>
      </c>
      <c r="C147" s="17">
        <v>0</v>
      </c>
      <c r="E147" s="17">
        <v>-267410296</v>
      </c>
      <c r="G147" s="17">
        <v>370921212</v>
      </c>
      <c r="I147" s="17">
        <f t="shared" si="4"/>
        <v>103510916</v>
      </c>
      <c r="K147" s="18">
        <v>-1.3845646463443494E-3</v>
      </c>
      <c r="M147" s="17">
        <v>0</v>
      </c>
      <c r="O147" s="17">
        <v>851781</v>
      </c>
      <c r="Q147" s="17">
        <v>603719549</v>
      </c>
      <c r="S147" s="17">
        <f t="shared" si="5"/>
        <v>604571330</v>
      </c>
      <c r="U147" s="18">
        <v>3.8432258301694679E-3</v>
      </c>
    </row>
    <row r="148" spans="1:21" ht="21" x14ac:dyDescent="0.55000000000000004">
      <c r="A148" s="16" t="s">
        <v>272</v>
      </c>
      <c r="C148" s="17">
        <v>0</v>
      </c>
      <c r="E148" s="17">
        <v>0</v>
      </c>
      <c r="G148" s="17">
        <v>0</v>
      </c>
      <c r="I148" s="17">
        <f t="shared" si="4"/>
        <v>0</v>
      </c>
      <c r="K148" s="18">
        <v>0</v>
      </c>
      <c r="M148" s="17">
        <v>0</v>
      </c>
      <c r="O148" s="17">
        <v>239938200</v>
      </c>
      <c r="Q148" s="17">
        <v>315434648</v>
      </c>
      <c r="S148" s="17">
        <f t="shared" si="5"/>
        <v>555372848</v>
      </c>
      <c r="U148" s="18">
        <v>3.5304738562584198E-3</v>
      </c>
    </row>
    <row r="149" spans="1:21" ht="21" x14ac:dyDescent="0.55000000000000004">
      <c r="A149" s="16" t="s">
        <v>273</v>
      </c>
      <c r="C149" s="17">
        <v>0</v>
      </c>
      <c r="E149" s="17">
        <v>0</v>
      </c>
      <c r="G149" s="17">
        <v>0</v>
      </c>
      <c r="I149" s="17">
        <f t="shared" si="4"/>
        <v>0</v>
      </c>
      <c r="K149" s="18">
        <v>0</v>
      </c>
      <c r="M149" s="17">
        <v>0</v>
      </c>
      <c r="O149" s="17">
        <v>19187058</v>
      </c>
      <c r="Q149" s="17">
        <v>292526296</v>
      </c>
      <c r="S149" s="17">
        <f t="shared" si="5"/>
        <v>311713354</v>
      </c>
      <c r="U149" s="18">
        <v>1.9815442020738217E-3</v>
      </c>
    </row>
    <row r="150" spans="1:21" ht="21" x14ac:dyDescent="0.55000000000000004">
      <c r="A150" s="16" t="s">
        <v>274</v>
      </c>
      <c r="C150" s="17">
        <v>0</v>
      </c>
      <c r="E150" s="17">
        <v>1961455</v>
      </c>
      <c r="G150" s="17">
        <v>-1476853916</v>
      </c>
      <c r="I150" s="17">
        <f t="shared" si="4"/>
        <v>-1474892461</v>
      </c>
      <c r="K150" s="18">
        <v>1.9728199088301104E-2</v>
      </c>
      <c r="M150" s="17">
        <v>0</v>
      </c>
      <c r="O150" s="17">
        <v>662751298</v>
      </c>
      <c r="Q150" s="17">
        <v>-890035553</v>
      </c>
      <c r="S150" s="17">
        <f t="shared" si="5"/>
        <v>-227284255</v>
      </c>
      <c r="U150" s="18">
        <v>-1.4448331838805919E-3</v>
      </c>
    </row>
    <row r="151" spans="1:21" ht="21" x14ac:dyDescent="0.55000000000000004">
      <c r="A151" s="16" t="s">
        <v>275</v>
      </c>
      <c r="C151" s="17">
        <v>0</v>
      </c>
      <c r="E151" s="17">
        <v>0</v>
      </c>
      <c r="G151" s="17">
        <v>0</v>
      </c>
      <c r="I151" s="17">
        <f t="shared" si="4"/>
        <v>0</v>
      </c>
      <c r="K151" s="18">
        <v>0</v>
      </c>
      <c r="M151" s="17">
        <v>0</v>
      </c>
      <c r="O151" s="17">
        <v>2659259</v>
      </c>
      <c r="Q151" s="17">
        <v>4658928</v>
      </c>
      <c r="S151" s="17">
        <f t="shared" si="5"/>
        <v>7318187</v>
      </c>
      <c r="U151" s="18">
        <v>4.6521301809681262E-5</v>
      </c>
    </row>
    <row r="152" spans="1:21" ht="21" x14ac:dyDescent="0.55000000000000004">
      <c r="A152" s="16" t="s">
        <v>276</v>
      </c>
      <c r="C152" s="17">
        <v>0</v>
      </c>
      <c r="E152" s="17">
        <v>0</v>
      </c>
      <c r="G152" s="17">
        <v>0</v>
      </c>
      <c r="I152" s="17">
        <f t="shared" si="4"/>
        <v>0</v>
      </c>
      <c r="K152" s="18">
        <v>0</v>
      </c>
      <c r="M152" s="17">
        <v>0</v>
      </c>
      <c r="O152" s="17">
        <v>6839138</v>
      </c>
      <c r="Q152" s="17">
        <v>314113740</v>
      </c>
      <c r="S152" s="17">
        <f t="shared" si="5"/>
        <v>320952878</v>
      </c>
      <c r="U152" s="18">
        <v>2.0402793347756498E-3</v>
      </c>
    </row>
    <row r="153" spans="1:21" ht="21" x14ac:dyDescent="0.55000000000000004">
      <c r="A153" s="16" t="s">
        <v>277</v>
      </c>
      <c r="C153" s="17">
        <v>0</v>
      </c>
      <c r="E153" s="17">
        <v>-4798364</v>
      </c>
      <c r="G153" s="17">
        <v>0</v>
      </c>
      <c r="I153" s="17">
        <f t="shared" si="4"/>
        <v>-4798364</v>
      </c>
      <c r="K153" s="18">
        <v>6.4183038962687357E-5</v>
      </c>
      <c r="M153" s="17">
        <v>0</v>
      </c>
      <c r="O153" s="17">
        <v>6028728</v>
      </c>
      <c r="Q153" s="17">
        <v>3351200</v>
      </c>
      <c r="S153" s="17">
        <f t="shared" si="5"/>
        <v>9379928</v>
      </c>
      <c r="U153" s="18">
        <v>5.9627673007136867E-5</v>
      </c>
    </row>
    <row r="154" spans="1:21" ht="21" x14ac:dyDescent="0.55000000000000004">
      <c r="A154" s="16" t="s">
        <v>278</v>
      </c>
      <c r="C154" s="17">
        <v>0</v>
      </c>
      <c r="E154" s="17">
        <v>-431888760</v>
      </c>
      <c r="G154" s="17">
        <v>0</v>
      </c>
      <c r="I154" s="17">
        <f t="shared" si="4"/>
        <v>-431888760</v>
      </c>
      <c r="K154" s="18">
        <v>5.7769550435579136E-3</v>
      </c>
      <c r="M154" s="17">
        <v>0</v>
      </c>
      <c r="O154" s="17">
        <v>-398835457</v>
      </c>
      <c r="Q154" s="17">
        <v>0</v>
      </c>
      <c r="S154" s="17">
        <f t="shared" si="5"/>
        <v>-398835457</v>
      </c>
      <c r="U154" s="18">
        <v>-2.5353744947347141E-3</v>
      </c>
    </row>
    <row r="155" spans="1:21" ht="21" x14ac:dyDescent="0.55000000000000004">
      <c r="A155" s="16" t="s">
        <v>279</v>
      </c>
      <c r="C155" s="17">
        <v>0</v>
      </c>
      <c r="E155" s="17">
        <v>0</v>
      </c>
      <c r="G155" s="17">
        <v>0</v>
      </c>
      <c r="I155" s="17">
        <f t="shared" si="4"/>
        <v>0</v>
      </c>
      <c r="K155" s="18">
        <v>0</v>
      </c>
      <c r="M155" s="17">
        <v>0</v>
      </c>
      <c r="O155" s="17">
        <v>-1058727</v>
      </c>
      <c r="Q155" s="17">
        <v>2056806</v>
      </c>
      <c r="S155" s="17">
        <f t="shared" si="5"/>
        <v>998079</v>
      </c>
      <c r="U155" s="18">
        <v>6.3447318835805735E-6</v>
      </c>
    </row>
    <row r="156" spans="1:21" ht="21" x14ac:dyDescent="0.55000000000000004">
      <c r="A156" s="16" t="s">
        <v>280</v>
      </c>
      <c r="C156" s="17">
        <v>0</v>
      </c>
      <c r="E156" s="17">
        <v>7210143</v>
      </c>
      <c r="G156" s="17">
        <v>15820222</v>
      </c>
      <c r="I156" s="17">
        <f t="shared" si="4"/>
        <v>23030365</v>
      </c>
      <c r="K156" s="18">
        <v>-3.0805474826834961E-4</v>
      </c>
      <c r="M156" s="17">
        <v>0</v>
      </c>
      <c r="O156" s="17">
        <v>7210143</v>
      </c>
      <c r="Q156" s="17">
        <v>15820222</v>
      </c>
      <c r="S156" s="17">
        <f t="shared" si="5"/>
        <v>23030365</v>
      </c>
      <c r="U156" s="18">
        <v>1.4640273075177226E-4</v>
      </c>
    </row>
    <row r="157" spans="1:21" ht="21" x14ac:dyDescent="0.55000000000000004">
      <c r="A157" s="16" t="s">
        <v>281</v>
      </c>
      <c r="C157" s="17">
        <v>0</v>
      </c>
      <c r="E157" s="17">
        <v>466113408</v>
      </c>
      <c r="G157" s="17">
        <v>0</v>
      </c>
      <c r="I157" s="17">
        <f t="shared" si="4"/>
        <v>466113408</v>
      </c>
      <c r="K157" s="18">
        <v>-6.2347448060828623E-3</v>
      </c>
      <c r="M157" s="17">
        <v>0</v>
      </c>
      <c r="O157" s="17">
        <v>466113408</v>
      </c>
      <c r="Q157" s="17">
        <v>0</v>
      </c>
      <c r="S157" s="17">
        <f t="shared" si="5"/>
        <v>466113408</v>
      </c>
      <c r="U157" s="18">
        <v>2.963056632893789E-3</v>
      </c>
    </row>
    <row r="158" spans="1:21" ht="21" x14ac:dyDescent="0.55000000000000004">
      <c r="A158" s="16" t="s">
        <v>296</v>
      </c>
      <c r="C158" s="17">
        <v>0</v>
      </c>
      <c r="E158" s="17">
        <v>0</v>
      </c>
      <c r="G158" s="17">
        <v>0</v>
      </c>
      <c r="I158" s="17">
        <f t="shared" si="4"/>
        <v>0</v>
      </c>
      <c r="K158" s="18">
        <v>0</v>
      </c>
      <c r="M158" s="17">
        <v>0</v>
      </c>
      <c r="O158" s="17">
        <v>0</v>
      </c>
      <c r="Q158" s="17">
        <v>228052331</v>
      </c>
      <c r="S158" s="17">
        <f t="shared" si="5"/>
        <v>228052331</v>
      </c>
      <c r="U158" s="18">
        <v>1.4497157996717397E-3</v>
      </c>
    </row>
    <row r="159" spans="1:21" ht="21" x14ac:dyDescent="0.55000000000000004">
      <c r="A159" s="16" t="s">
        <v>297</v>
      </c>
      <c r="C159" s="17">
        <v>0</v>
      </c>
      <c r="E159" s="17">
        <v>0</v>
      </c>
      <c r="G159" s="17">
        <v>0</v>
      </c>
      <c r="I159" s="17">
        <f t="shared" si="4"/>
        <v>0</v>
      </c>
      <c r="K159" s="18">
        <v>0</v>
      </c>
      <c r="M159" s="17">
        <v>0</v>
      </c>
      <c r="O159" s="17">
        <v>0</v>
      </c>
      <c r="Q159" s="17">
        <v>2823802</v>
      </c>
      <c r="S159" s="17">
        <f t="shared" si="5"/>
        <v>2823802</v>
      </c>
      <c r="U159" s="18">
        <v>1.7950749973016753E-5</v>
      </c>
    </row>
    <row r="160" spans="1:21" ht="21" x14ac:dyDescent="0.55000000000000004">
      <c r="A160" s="16" t="s">
        <v>298</v>
      </c>
      <c r="C160" s="17">
        <v>0</v>
      </c>
      <c r="E160" s="17">
        <v>0</v>
      </c>
      <c r="G160" s="17">
        <v>0</v>
      </c>
      <c r="I160" s="17">
        <f t="shared" si="4"/>
        <v>0</v>
      </c>
      <c r="K160" s="18">
        <v>0</v>
      </c>
      <c r="M160" s="17">
        <v>0</v>
      </c>
      <c r="O160" s="17">
        <v>0</v>
      </c>
      <c r="Q160" s="17">
        <v>39885150</v>
      </c>
      <c r="S160" s="17">
        <f t="shared" si="5"/>
        <v>39885150</v>
      </c>
      <c r="U160" s="18">
        <v>2.5354764791804427E-4</v>
      </c>
    </row>
    <row r="161" spans="1:21" ht="21" x14ac:dyDescent="0.55000000000000004">
      <c r="A161" s="16" t="s">
        <v>299</v>
      </c>
      <c r="C161" s="17">
        <v>0</v>
      </c>
      <c r="E161" s="17">
        <v>0</v>
      </c>
      <c r="G161" s="17">
        <v>0</v>
      </c>
      <c r="I161" s="17">
        <f t="shared" si="4"/>
        <v>0</v>
      </c>
      <c r="K161" s="18">
        <v>0</v>
      </c>
      <c r="M161" s="17">
        <v>0</v>
      </c>
      <c r="O161" s="17">
        <v>0</v>
      </c>
      <c r="Q161" s="17">
        <v>-1001</v>
      </c>
      <c r="S161" s="17">
        <f t="shared" si="5"/>
        <v>-1001</v>
      </c>
      <c r="U161" s="18">
        <v>-6.363300515754919E-9</v>
      </c>
    </row>
    <row r="162" spans="1:21" ht="21" x14ac:dyDescent="0.55000000000000004">
      <c r="A162" s="16" t="s">
        <v>300</v>
      </c>
      <c r="C162" s="17">
        <v>0</v>
      </c>
      <c r="E162" s="17">
        <v>0</v>
      </c>
      <c r="G162" s="17">
        <v>0</v>
      </c>
      <c r="I162" s="17">
        <f t="shared" si="4"/>
        <v>0</v>
      </c>
      <c r="K162" s="18">
        <v>0</v>
      </c>
      <c r="M162" s="17">
        <v>0</v>
      </c>
      <c r="O162" s="17">
        <v>0</v>
      </c>
      <c r="Q162" s="17">
        <v>-2697975</v>
      </c>
      <c r="S162" s="17">
        <f t="shared" si="5"/>
        <v>-2697975</v>
      </c>
      <c r="U162" s="18">
        <v>-1.7150874834159718E-5</v>
      </c>
    </row>
    <row r="163" spans="1:21" ht="21" x14ac:dyDescent="0.55000000000000004">
      <c r="A163" s="16" t="s">
        <v>160</v>
      </c>
      <c r="C163" s="17">
        <v>0</v>
      </c>
      <c r="E163" s="17">
        <v>0</v>
      </c>
      <c r="G163" s="17">
        <v>0</v>
      </c>
      <c r="I163" s="17">
        <f t="shared" si="4"/>
        <v>0</v>
      </c>
      <c r="K163" s="18">
        <v>0</v>
      </c>
      <c r="L163" s="15"/>
      <c r="M163" s="17">
        <v>0</v>
      </c>
      <c r="O163" s="17">
        <v>0</v>
      </c>
      <c r="Q163" s="17">
        <v>410312059</v>
      </c>
      <c r="S163" s="17">
        <f t="shared" si="5"/>
        <v>410312059</v>
      </c>
      <c r="U163" s="18">
        <v>2.6083306060491135E-3</v>
      </c>
    </row>
    <row r="164" spans="1:21" ht="21" x14ac:dyDescent="0.55000000000000004">
      <c r="A164" s="16" t="s">
        <v>200</v>
      </c>
      <c r="C164" s="17">
        <v>0</v>
      </c>
      <c r="E164" s="17">
        <v>0</v>
      </c>
      <c r="G164" s="17">
        <v>0</v>
      </c>
      <c r="I164" s="17">
        <f t="shared" si="4"/>
        <v>0</v>
      </c>
      <c r="K164" s="18">
        <v>0</v>
      </c>
      <c r="L164" s="15"/>
      <c r="M164" s="17">
        <v>0</v>
      </c>
      <c r="O164" s="17">
        <v>0</v>
      </c>
      <c r="Q164" s="17">
        <v>-707351562</v>
      </c>
      <c r="S164" s="17">
        <f t="shared" si="5"/>
        <v>-707351562</v>
      </c>
      <c r="U164" s="18">
        <v>-4.4965939653293183E-3</v>
      </c>
    </row>
    <row r="165" spans="1:21" ht="21" x14ac:dyDescent="0.55000000000000004">
      <c r="A165" s="16" t="s">
        <v>161</v>
      </c>
      <c r="C165" s="17">
        <v>0</v>
      </c>
      <c r="E165" s="17">
        <v>0</v>
      </c>
      <c r="G165" s="17">
        <v>0</v>
      </c>
      <c r="I165" s="17">
        <f t="shared" si="4"/>
        <v>0</v>
      </c>
      <c r="K165" s="18">
        <v>0</v>
      </c>
      <c r="L165" s="15"/>
      <c r="M165" s="17">
        <v>0</v>
      </c>
      <c r="O165" s="17">
        <v>0</v>
      </c>
      <c r="Q165" s="17">
        <v>-136788503</v>
      </c>
      <c r="S165" s="17">
        <f t="shared" si="5"/>
        <v>-136788503</v>
      </c>
      <c r="U165" s="18">
        <v>-8.6955679489434897E-4</v>
      </c>
    </row>
    <row r="166" spans="1:21" ht="21" x14ac:dyDescent="0.55000000000000004">
      <c r="A166" s="16" t="s">
        <v>201</v>
      </c>
      <c r="C166" s="17">
        <v>0</v>
      </c>
      <c r="E166" s="17">
        <v>0</v>
      </c>
      <c r="G166" s="17">
        <v>0</v>
      </c>
      <c r="I166" s="17">
        <f t="shared" si="4"/>
        <v>0</v>
      </c>
      <c r="K166" s="18">
        <v>0</v>
      </c>
      <c r="L166" s="15"/>
      <c r="M166" s="17">
        <v>0</v>
      </c>
      <c r="O166" s="17">
        <v>0</v>
      </c>
      <c r="Q166" s="17">
        <v>-2314315880</v>
      </c>
      <c r="S166" s="17">
        <f t="shared" si="5"/>
        <v>-2314315880</v>
      </c>
      <c r="U166" s="18">
        <v>-1.4711975457366433E-2</v>
      </c>
    </row>
    <row r="167" spans="1:21" ht="21" x14ac:dyDescent="0.55000000000000004">
      <c r="A167" s="16" t="s">
        <v>162</v>
      </c>
      <c r="C167" s="17">
        <v>0</v>
      </c>
      <c r="E167" s="17">
        <v>0</v>
      </c>
      <c r="G167" s="17">
        <v>0</v>
      </c>
      <c r="I167" s="17">
        <f t="shared" si="4"/>
        <v>0</v>
      </c>
      <c r="K167" s="18">
        <v>0</v>
      </c>
      <c r="L167" s="15"/>
      <c r="M167" s="17">
        <v>0</v>
      </c>
      <c r="O167" s="17">
        <v>0</v>
      </c>
      <c r="Q167" s="17">
        <v>6310789540</v>
      </c>
      <c r="S167" s="17">
        <f t="shared" si="5"/>
        <v>6310789540</v>
      </c>
      <c r="U167" s="18">
        <v>4.0117333001701047E-2</v>
      </c>
    </row>
    <row r="168" spans="1:21" ht="21" x14ac:dyDescent="0.55000000000000004">
      <c r="A168" s="16" t="s">
        <v>202</v>
      </c>
      <c r="C168" s="17">
        <v>0</v>
      </c>
      <c r="E168" s="17">
        <v>0</v>
      </c>
      <c r="G168" s="17">
        <v>0</v>
      </c>
      <c r="I168" s="17">
        <f t="shared" si="4"/>
        <v>0</v>
      </c>
      <c r="K168" s="18">
        <v>0</v>
      </c>
      <c r="L168" s="15"/>
      <c r="M168" s="17">
        <v>0</v>
      </c>
      <c r="O168" s="17">
        <v>0</v>
      </c>
      <c r="Q168" s="17">
        <v>-2458047700</v>
      </c>
      <c r="S168" s="17">
        <f t="shared" si="5"/>
        <v>-2458047700</v>
      </c>
      <c r="U168" s="18">
        <v>-1.5625670526633557E-2</v>
      </c>
    </row>
    <row r="169" spans="1:21" ht="21" x14ac:dyDescent="0.55000000000000004">
      <c r="A169" s="16" t="s">
        <v>165</v>
      </c>
      <c r="C169" s="17">
        <v>0</v>
      </c>
      <c r="E169" s="17">
        <v>0</v>
      </c>
      <c r="G169" s="17">
        <v>0</v>
      </c>
      <c r="I169" s="17">
        <f t="shared" si="4"/>
        <v>0</v>
      </c>
      <c r="K169" s="18">
        <v>0</v>
      </c>
      <c r="L169" s="15"/>
      <c r="M169" s="17">
        <v>0</v>
      </c>
      <c r="O169" s="17">
        <v>0</v>
      </c>
      <c r="Q169" s="17">
        <v>-436957507</v>
      </c>
      <c r="S169" s="17">
        <f t="shared" si="5"/>
        <v>-436957507</v>
      </c>
      <c r="U169" s="18">
        <v>-2.7777142154406429E-3</v>
      </c>
    </row>
    <row r="170" spans="1:21" ht="21" x14ac:dyDescent="0.55000000000000004">
      <c r="A170" s="16" t="s">
        <v>166</v>
      </c>
      <c r="C170" s="17">
        <v>0</v>
      </c>
      <c r="E170" s="17">
        <v>0</v>
      </c>
      <c r="G170" s="17">
        <v>0</v>
      </c>
      <c r="I170" s="17">
        <f t="shared" si="4"/>
        <v>0</v>
      </c>
      <c r="K170" s="18">
        <v>0</v>
      </c>
      <c r="L170" s="15"/>
      <c r="M170" s="17">
        <v>0</v>
      </c>
      <c r="O170" s="17">
        <v>0</v>
      </c>
      <c r="Q170" s="17">
        <v>2814038028</v>
      </c>
      <c r="S170" s="17">
        <f t="shared" si="5"/>
        <v>2814038028</v>
      </c>
      <c r="U170" s="18">
        <v>1.7888680953972381E-2</v>
      </c>
    </row>
    <row r="171" spans="1:21" ht="21" x14ac:dyDescent="0.55000000000000004">
      <c r="A171" s="16" t="s">
        <v>167</v>
      </c>
      <c r="C171" s="17">
        <v>0</v>
      </c>
      <c r="E171" s="17">
        <v>0</v>
      </c>
      <c r="G171" s="17">
        <v>0</v>
      </c>
      <c r="I171" s="17">
        <f t="shared" si="4"/>
        <v>0</v>
      </c>
      <c r="K171" s="18">
        <v>0</v>
      </c>
      <c r="L171" s="15"/>
      <c r="M171" s="17">
        <v>0</v>
      </c>
      <c r="O171" s="17">
        <v>0</v>
      </c>
      <c r="Q171" s="17">
        <v>1447873382</v>
      </c>
      <c r="S171" s="17">
        <f t="shared" si="5"/>
        <v>1447873382</v>
      </c>
      <c r="U171" s="18">
        <v>9.2040493890393794E-3</v>
      </c>
    </row>
    <row r="172" spans="1:21" ht="21" x14ac:dyDescent="0.55000000000000004">
      <c r="A172" s="16" t="s">
        <v>169</v>
      </c>
      <c r="C172" s="17">
        <v>0</v>
      </c>
      <c r="E172" s="17">
        <v>0</v>
      </c>
      <c r="G172" s="17">
        <v>0</v>
      </c>
      <c r="I172" s="17">
        <f t="shared" si="4"/>
        <v>0</v>
      </c>
      <c r="K172" s="18">
        <v>0</v>
      </c>
      <c r="L172" s="15"/>
      <c r="M172" s="17">
        <v>0</v>
      </c>
      <c r="O172" s="17">
        <v>0</v>
      </c>
      <c r="Q172" s="17">
        <v>157727</v>
      </c>
      <c r="S172" s="17">
        <f t="shared" si="5"/>
        <v>157727</v>
      </c>
      <c r="U172" s="18">
        <v>1.0026616388096664E-6</v>
      </c>
    </row>
    <row r="173" spans="1:21" ht="21" x14ac:dyDescent="0.55000000000000004">
      <c r="A173" s="16" t="s">
        <v>203</v>
      </c>
      <c r="C173" s="17">
        <v>0</v>
      </c>
      <c r="E173" s="17">
        <v>0</v>
      </c>
      <c r="G173" s="17">
        <v>0</v>
      </c>
      <c r="I173" s="17">
        <f t="shared" si="4"/>
        <v>0</v>
      </c>
      <c r="K173" s="18">
        <v>0</v>
      </c>
      <c r="L173" s="15"/>
      <c r="M173" s="17">
        <v>0</v>
      </c>
      <c r="O173" s="17">
        <v>0</v>
      </c>
      <c r="Q173" s="17">
        <v>-364180561</v>
      </c>
      <c r="S173" s="17">
        <f t="shared" si="5"/>
        <v>-364180561</v>
      </c>
      <c r="U173" s="18">
        <v>-2.3150752763628529E-3</v>
      </c>
    </row>
    <row r="174" spans="1:21" ht="21" x14ac:dyDescent="0.55000000000000004">
      <c r="A174" s="16" t="s">
        <v>171</v>
      </c>
      <c r="C174" s="17">
        <v>0</v>
      </c>
      <c r="E174" s="17">
        <v>0</v>
      </c>
      <c r="G174" s="17">
        <v>0</v>
      </c>
      <c r="I174" s="17">
        <f t="shared" si="4"/>
        <v>0</v>
      </c>
      <c r="K174" s="18">
        <v>0</v>
      </c>
      <c r="L174" s="15"/>
      <c r="M174" s="17">
        <v>0</v>
      </c>
      <c r="O174" s="17">
        <v>0</v>
      </c>
      <c r="Q174" s="17">
        <v>-7535029565</v>
      </c>
      <c r="S174" s="17">
        <f t="shared" si="5"/>
        <v>-7535029565</v>
      </c>
      <c r="U174" s="18">
        <v>-4.7899757759433628E-2</v>
      </c>
    </row>
    <row r="175" spans="1:21" ht="21" x14ac:dyDescent="0.55000000000000004">
      <c r="A175" s="16" t="s">
        <v>173</v>
      </c>
      <c r="C175" s="17">
        <v>0</v>
      </c>
      <c r="E175" s="17">
        <v>0</v>
      </c>
      <c r="G175" s="17">
        <v>0</v>
      </c>
      <c r="I175" s="17">
        <f t="shared" si="4"/>
        <v>0</v>
      </c>
      <c r="K175" s="18">
        <v>0</v>
      </c>
      <c r="L175" s="15"/>
      <c r="M175" s="17">
        <v>0</v>
      </c>
      <c r="O175" s="17">
        <v>0</v>
      </c>
      <c r="Q175" s="17">
        <v>2697705400</v>
      </c>
      <c r="S175" s="17">
        <f t="shared" si="5"/>
        <v>2697705400</v>
      </c>
      <c r="U175" s="18">
        <v>1.7149161002172657E-2</v>
      </c>
    </row>
    <row r="176" spans="1:21" ht="21" x14ac:dyDescent="0.55000000000000004">
      <c r="A176" s="16" t="s">
        <v>204</v>
      </c>
      <c r="C176" s="17">
        <v>0</v>
      </c>
      <c r="E176" s="17">
        <v>0</v>
      </c>
      <c r="G176" s="17">
        <v>0</v>
      </c>
      <c r="I176" s="17">
        <f t="shared" si="4"/>
        <v>0</v>
      </c>
      <c r="K176" s="18">
        <v>0</v>
      </c>
      <c r="L176" s="15"/>
      <c r="M176" s="17">
        <v>0</v>
      </c>
      <c r="O176" s="17">
        <v>0</v>
      </c>
      <c r="Q176" s="17">
        <v>1118081095</v>
      </c>
      <c r="S176" s="17">
        <f t="shared" si="5"/>
        <v>1118081095</v>
      </c>
      <c r="U176" s="18">
        <v>7.1075784300392852E-3</v>
      </c>
    </row>
    <row r="177" spans="1:21" ht="21.75" thickBot="1" x14ac:dyDescent="0.6">
      <c r="A177" s="19" t="s">
        <v>9</v>
      </c>
      <c r="C177" s="19">
        <f>SUM(C9:$C$176)</f>
        <v>1891500000</v>
      </c>
      <c r="E177" s="19">
        <f>SUM(E9:$E$176)</f>
        <v>-79724694436</v>
      </c>
      <c r="G177" s="19">
        <f>SUM(G9:$G$176)</f>
        <v>2959798869</v>
      </c>
      <c r="I177" s="19">
        <f>SUM(I9:$I$176)</f>
        <v>-74873395567</v>
      </c>
      <c r="K177" s="20">
        <f>SUM(K9:$K$176)</f>
        <v>1.0015084443250784</v>
      </c>
      <c r="M177" s="19">
        <f>SUM(M9:$M$176)</f>
        <v>17646823160</v>
      </c>
      <c r="O177" s="19">
        <f>SUM(O9:$O$176)</f>
        <v>95172347592</v>
      </c>
      <c r="Q177" s="19">
        <f>SUM(Q9:$Q$176)</f>
        <v>39492455048</v>
      </c>
      <c r="S177" s="19">
        <f>SUM(S9:$S$176)</f>
        <v>152311625800</v>
      </c>
      <c r="U177" s="20">
        <f>SUM(U9:$U$176)</f>
        <v>0.96823641059801191</v>
      </c>
    </row>
    <row r="178" spans="1:21" ht="21.75" thickTop="1" x14ac:dyDescent="0.55000000000000004">
      <c r="C178" s="21"/>
      <c r="E178" s="21"/>
      <c r="G178" s="21"/>
      <c r="I178" s="21"/>
      <c r="K178" s="21"/>
      <c r="M178" s="21"/>
      <c r="O178" s="21"/>
      <c r="Q178" s="21"/>
      <c r="S178" s="21"/>
      <c r="U178" s="21"/>
    </row>
  </sheetData>
  <mergeCells count="6">
    <mergeCell ref="A1:U1"/>
    <mergeCell ref="A2:U2"/>
    <mergeCell ref="A3:U3"/>
    <mergeCell ref="A5:U5"/>
    <mergeCell ref="C7:K7"/>
    <mergeCell ref="M7:U7"/>
  </mergeCells>
  <conditionalFormatting sqref="A69:A133">
    <cfRule type="duplicateValues" dxfId="1" priority="8"/>
  </conditionalFormatting>
  <conditionalFormatting sqref="A134:A162">
    <cfRule type="duplicateValues" dxfId="0" priority="13"/>
  </conditionalFormatting>
  <pageMargins left="0.7" right="0.7" top="0.75" bottom="0.75" header="0.3" footer="0.3"/>
  <pageSetup paperSize="9" scale="6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A685-6176-4342-807A-E4CBE5CFA0FF}">
  <sheetPr>
    <pageSetUpPr fitToPage="1"/>
  </sheetPr>
  <dimension ref="A1:K12"/>
  <sheetViews>
    <sheetView rightToLeft="1" view="pageBreakPreview" zoomScale="60" zoomScaleNormal="100" workbookViewId="0">
      <selection activeCell="G11" activeCellId="1" sqref="K11 G11"/>
    </sheetView>
  </sheetViews>
  <sheetFormatPr defaultColWidth="8.85546875" defaultRowHeight="19.5" x14ac:dyDescent="0.55000000000000004"/>
  <cols>
    <col min="1" max="1" width="25.57031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4.140625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6384" width="8.85546875" style="1"/>
  </cols>
  <sheetData>
    <row r="1" spans="1:11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5" spans="1:11" ht="21" x14ac:dyDescent="0.55000000000000004">
      <c r="A5" s="39" t="s">
        <v>60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7" spans="1:11" ht="21" x14ac:dyDescent="0.55000000000000004">
      <c r="A7" s="40" t="s">
        <v>42</v>
      </c>
      <c r="B7" s="41"/>
      <c r="C7" s="41"/>
      <c r="E7" s="40" t="s">
        <v>58</v>
      </c>
      <c r="F7" s="41"/>
      <c r="G7" s="41"/>
      <c r="I7" s="40" t="s">
        <v>59</v>
      </c>
      <c r="J7" s="41"/>
      <c r="K7" s="41"/>
    </row>
    <row r="8" spans="1:11" ht="42" x14ac:dyDescent="0.55000000000000004">
      <c r="A8" s="13" t="s">
        <v>43</v>
      </c>
      <c r="C8" s="13" t="s">
        <v>15</v>
      </c>
      <c r="E8" s="13" t="s">
        <v>44</v>
      </c>
      <c r="G8" s="13" t="s">
        <v>61</v>
      </c>
      <c r="I8" s="13" t="s">
        <v>44</v>
      </c>
      <c r="K8" s="13" t="s">
        <v>61</v>
      </c>
    </row>
    <row r="9" spans="1:11" ht="42" x14ac:dyDescent="0.55000000000000004">
      <c r="A9" s="16" t="s">
        <v>46</v>
      </c>
      <c r="C9" s="15" t="s">
        <v>130</v>
      </c>
      <c r="E9" s="17">
        <v>2696814</v>
      </c>
      <c r="G9" s="18">
        <f>E9/$E$11</f>
        <v>2.5113107337834381E-2</v>
      </c>
      <c r="I9" s="17">
        <v>20051716</v>
      </c>
      <c r="K9" s="18">
        <f>I9/$I$11</f>
        <v>4.087002088688005E-3</v>
      </c>
    </row>
    <row r="10" spans="1:11" ht="42" x14ac:dyDescent="0.55000000000000004">
      <c r="A10" s="16" t="s">
        <v>45</v>
      </c>
      <c r="C10" s="15" t="s">
        <v>136</v>
      </c>
      <c r="E10" s="17">
        <v>104689897</v>
      </c>
      <c r="G10" s="18">
        <f>E10/$E$11</f>
        <v>0.97488689266216566</v>
      </c>
      <c r="I10" s="17">
        <v>4886164519</v>
      </c>
      <c r="K10" s="18">
        <f>I10/$I$11</f>
        <v>0.99591299791131205</v>
      </c>
    </row>
    <row r="11" spans="1:11" ht="21.75" thickBot="1" x14ac:dyDescent="0.6">
      <c r="A11" s="19" t="s">
        <v>9</v>
      </c>
      <c r="E11" s="19">
        <f>SUM(E9:$E$10)</f>
        <v>107386711</v>
      </c>
      <c r="G11" s="22">
        <f>SUM(G9:$G$10)</f>
        <v>1</v>
      </c>
      <c r="I11" s="19">
        <f>SUM(I9:$I$10)</f>
        <v>4906216235</v>
      </c>
      <c r="K11" s="22">
        <f>SUM(K9:$K$10)</f>
        <v>1</v>
      </c>
    </row>
    <row r="12" spans="1:11" ht="21.75" thickTop="1" x14ac:dyDescent="0.55000000000000004">
      <c r="E12" s="21"/>
      <c r="G12" s="21"/>
      <c r="I12" s="21"/>
      <c r="K12" s="21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292F-2807-427A-A64A-CB1C16A2FF6F}">
  <sheetPr>
    <pageSetUpPr fitToPage="1"/>
  </sheetPr>
  <dimension ref="A1:E11"/>
  <sheetViews>
    <sheetView rightToLeft="1" view="pageBreakPreview" zoomScale="60" zoomScaleNormal="100" workbookViewId="0">
      <selection activeCell="A10" sqref="A10"/>
    </sheetView>
  </sheetViews>
  <sheetFormatPr defaultColWidth="8.85546875" defaultRowHeight="19.5" x14ac:dyDescent="0.55000000000000004"/>
  <cols>
    <col min="1" max="1" width="31.28515625" style="1" customWidth="1"/>
    <col min="2" max="2" width="1.42578125" style="1" customWidth="1"/>
    <col min="3" max="3" width="23.28515625" style="1" customWidth="1"/>
    <col min="4" max="4" width="1.42578125" style="1" customWidth="1"/>
    <col min="5" max="5" width="29.140625" style="1" customWidth="1"/>
    <col min="6" max="16384" width="8.85546875" style="1"/>
  </cols>
  <sheetData>
    <row r="1" spans="1:5" ht="19.899999999999999" customHeight="1" x14ac:dyDescent="0.55000000000000004">
      <c r="A1" s="38" t="s">
        <v>64</v>
      </c>
      <c r="B1" s="27"/>
      <c r="C1" s="27"/>
      <c r="D1" s="27"/>
      <c r="E1" s="27"/>
    </row>
    <row r="2" spans="1:5" ht="19.899999999999999" customHeight="1" x14ac:dyDescent="0.55000000000000004">
      <c r="A2" s="38" t="s">
        <v>25</v>
      </c>
      <c r="B2" s="27"/>
      <c r="C2" s="27"/>
      <c r="D2" s="27"/>
      <c r="E2" s="27"/>
    </row>
    <row r="3" spans="1:5" ht="19.899999999999999" customHeight="1" x14ac:dyDescent="0.55000000000000004">
      <c r="A3" s="38" t="s">
        <v>1</v>
      </c>
      <c r="B3" s="27"/>
      <c r="C3" s="27"/>
      <c r="D3" s="27"/>
      <c r="E3" s="27"/>
    </row>
    <row r="5" spans="1:5" ht="21" x14ac:dyDescent="0.55000000000000004">
      <c r="A5" s="39" t="s">
        <v>287</v>
      </c>
      <c r="B5" s="27"/>
      <c r="C5" s="27"/>
      <c r="D5" s="27"/>
      <c r="E5" s="27"/>
    </row>
    <row r="7" spans="1:5" ht="21" x14ac:dyDescent="0.55000000000000004">
      <c r="C7" s="12" t="s">
        <v>58</v>
      </c>
      <c r="E7" s="12" t="s">
        <v>59</v>
      </c>
    </row>
    <row r="8" spans="1:5" ht="21" x14ac:dyDescent="0.55000000000000004">
      <c r="A8" s="13" t="s">
        <v>139</v>
      </c>
      <c r="C8" s="13" t="s">
        <v>19</v>
      </c>
      <c r="E8" s="13" t="s">
        <v>19</v>
      </c>
    </row>
    <row r="9" spans="1:5" ht="21" x14ac:dyDescent="0.55000000000000004">
      <c r="A9" s="16" t="s">
        <v>288</v>
      </c>
      <c r="C9" s="17">
        <v>8794061</v>
      </c>
      <c r="E9" s="17">
        <v>90460082</v>
      </c>
    </row>
    <row r="10" spans="1:5" ht="21.75" thickBot="1" x14ac:dyDescent="0.6">
      <c r="A10" s="19" t="s">
        <v>9</v>
      </c>
      <c r="C10" s="19">
        <f>SUM(C9:$C$9)</f>
        <v>8794061</v>
      </c>
      <c r="E10" s="19">
        <f>SUM(E9:$E$9)</f>
        <v>90460082</v>
      </c>
    </row>
    <row r="11" spans="1:5" ht="21.75" thickTop="1" x14ac:dyDescent="0.55000000000000004">
      <c r="C11" s="21"/>
      <c r="E11" s="21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4FD-3EEC-4860-94A9-96E0DFD9EB3B}">
  <sheetPr>
    <pageSetUpPr fitToPage="1"/>
  </sheetPr>
  <dimension ref="A1:S19"/>
  <sheetViews>
    <sheetView rightToLeft="1" view="pageBreakPreview" zoomScale="60" zoomScaleNormal="100" workbookViewId="0">
      <selection sqref="A1:S1"/>
    </sheetView>
  </sheetViews>
  <sheetFormatPr defaultColWidth="8.85546875" defaultRowHeight="19.5" x14ac:dyDescent="0.55000000000000004"/>
  <cols>
    <col min="1" max="1" width="31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2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1:19" ht="21" x14ac:dyDescent="0.55000000000000004">
      <c r="A5" s="39" t="s">
        <v>140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7" spans="1:19" ht="21" x14ac:dyDescent="0.55000000000000004">
      <c r="C7" s="40" t="s">
        <v>141</v>
      </c>
      <c r="D7" s="41"/>
      <c r="E7" s="41"/>
      <c r="F7" s="41"/>
      <c r="G7" s="41"/>
      <c r="I7" s="40" t="s">
        <v>58</v>
      </c>
      <c r="J7" s="41"/>
      <c r="K7" s="41"/>
      <c r="L7" s="41"/>
      <c r="M7" s="41"/>
      <c r="O7" s="40" t="s">
        <v>59</v>
      </c>
      <c r="P7" s="41"/>
      <c r="Q7" s="41"/>
      <c r="R7" s="41"/>
      <c r="S7" s="41"/>
    </row>
    <row r="8" spans="1:19" ht="63" x14ac:dyDescent="0.55000000000000004">
      <c r="A8" s="12" t="s">
        <v>129</v>
      </c>
      <c r="C8" s="13" t="s">
        <v>142</v>
      </c>
      <c r="E8" s="13" t="s">
        <v>143</v>
      </c>
      <c r="G8" s="13" t="s">
        <v>144</v>
      </c>
      <c r="I8" s="13" t="s">
        <v>145</v>
      </c>
      <c r="K8" s="13" t="s">
        <v>32</v>
      </c>
      <c r="M8" s="13" t="s">
        <v>146</v>
      </c>
      <c r="O8" s="13" t="s">
        <v>145</v>
      </c>
      <c r="Q8" s="13" t="s">
        <v>32</v>
      </c>
      <c r="S8" s="13" t="s">
        <v>146</v>
      </c>
    </row>
    <row r="9" spans="1:19" ht="21" x14ac:dyDescent="0.55000000000000004">
      <c r="A9" s="16" t="s">
        <v>77</v>
      </c>
      <c r="C9" s="15" t="s">
        <v>147</v>
      </c>
      <c r="E9" s="17">
        <v>1700000</v>
      </c>
      <c r="G9" s="17">
        <v>560</v>
      </c>
      <c r="I9" s="17">
        <v>0</v>
      </c>
      <c r="K9" s="17">
        <v>0</v>
      </c>
      <c r="M9" s="17">
        <v>0</v>
      </c>
      <c r="N9" s="15"/>
      <c r="O9" s="17">
        <v>952000000</v>
      </c>
      <c r="Q9" s="17">
        <v>0</v>
      </c>
      <c r="S9" s="17">
        <v>952000000</v>
      </c>
    </row>
    <row r="10" spans="1:19" ht="21" x14ac:dyDescent="0.55000000000000004">
      <c r="A10" s="16" t="s">
        <v>78</v>
      </c>
      <c r="C10" s="15" t="s">
        <v>148</v>
      </c>
      <c r="E10" s="17">
        <v>285750</v>
      </c>
      <c r="G10" s="17">
        <v>4400</v>
      </c>
      <c r="I10" s="17">
        <v>0</v>
      </c>
      <c r="K10" s="17">
        <v>0</v>
      </c>
      <c r="M10" s="17">
        <v>0</v>
      </c>
      <c r="N10" s="15"/>
      <c r="O10" s="17">
        <v>1257300000</v>
      </c>
      <c r="Q10" s="17">
        <v>0</v>
      </c>
      <c r="S10" s="17">
        <v>1257300000</v>
      </c>
    </row>
    <row r="11" spans="1:19" ht="21" x14ac:dyDescent="0.55000000000000004">
      <c r="A11" s="16" t="s">
        <v>80</v>
      </c>
      <c r="C11" s="15" t="s">
        <v>149</v>
      </c>
      <c r="E11" s="17">
        <v>900000</v>
      </c>
      <c r="G11" s="17">
        <v>325</v>
      </c>
      <c r="I11" s="17">
        <v>0</v>
      </c>
      <c r="K11" s="17">
        <v>0</v>
      </c>
      <c r="M11" s="17">
        <v>0</v>
      </c>
      <c r="N11" s="15"/>
      <c r="O11" s="17">
        <v>292500000</v>
      </c>
      <c r="Q11" s="17">
        <v>0</v>
      </c>
      <c r="S11" s="17">
        <v>292500000</v>
      </c>
    </row>
    <row r="12" spans="1:19" ht="21" x14ac:dyDescent="0.55000000000000004">
      <c r="A12" s="16" t="s">
        <v>87</v>
      </c>
      <c r="C12" s="15" t="s">
        <v>150</v>
      </c>
      <c r="E12" s="17">
        <v>4279048</v>
      </c>
      <c r="G12" s="17">
        <v>1170</v>
      </c>
      <c r="I12" s="17">
        <v>0</v>
      </c>
      <c r="K12" s="17">
        <v>0</v>
      </c>
      <c r="M12" s="17">
        <v>0</v>
      </c>
      <c r="N12" s="15"/>
      <c r="O12" s="17">
        <v>5006486160</v>
      </c>
      <c r="Q12" s="17">
        <v>0</v>
      </c>
      <c r="S12" s="17">
        <v>5006486160</v>
      </c>
    </row>
    <row r="13" spans="1:19" ht="21" x14ac:dyDescent="0.55000000000000004">
      <c r="A13" s="16" t="s">
        <v>88</v>
      </c>
      <c r="C13" s="15" t="s">
        <v>151</v>
      </c>
      <c r="E13" s="17">
        <v>1285714</v>
      </c>
      <c r="G13" s="17">
        <v>500</v>
      </c>
      <c r="I13" s="17">
        <v>0</v>
      </c>
      <c r="K13" s="17">
        <v>0</v>
      </c>
      <c r="M13" s="17">
        <v>0</v>
      </c>
      <c r="N13" s="15"/>
      <c r="O13" s="17">
        <v>642857000</v>
      </c>
      <c r="Q13" s="17">
        <v>0</v>
      </c>
      <c r="S13" s="17">
        <v>642857000</v>
      </c>
    </row>
    <row r="14" spans="1:19" ht="21" x14ac:dyDescent="0.55000000000000004">
      <c r="A14" s="16" t="s">
        <v>92</v>
      </c>
      <c r="C14" s="15" t="s">
        <v>152</v>
      </c>
      <c r="E14" s="17">
        <v>2400000</v>
      </c>
      <c r="G14" s="17">
        <v>560</v>
      </c>
      <c r="I14" s="17">
        <v>0</v>
      </c>
      <c r="K14" s="17">
        <v>0</v>
      </c>
      <c r="M14" s="17">
        <v>0</v>
      </c>
      <c r="N14" s="15"/>
      <c r="O14" s="17">
        <v>1344000000</v>
      </c>
      <c r="Q14" s="17">
        <v>0</v>
      </c>
      <c r="S14" s="17">
        <v>1344000000</v>
      </c>
    </row>
    <row r="15" spans="1:19" ht="21" x14ac:dyDescent="0.55000000000000004">
      <c r="A15" s="16" t="s">
        <v>113</v>
      </c>
      <c r="C15" s="15" t="s">
        <v>153</v>
      </c>
      <c r="E15" s="17">
        <v>607000</v>
      </c>
      <c r="G15" s="17">
        <v>7240</v>
      </c>
      <c r="I15" s="17">
        <v>0</v>
      </c>
      <c r="K15" s="17">
        <v>0</v>
      </c>
      <c r="M15" s="17">
        <v>0</v>
      </c>
      <c r="N15" s="15"/>
      <c r="O15" s="17">
        <v>4394680000</v>
      </c>
      <c r="Q15" s="17">
        <v>0</v>
      </c>
      <c r="S15" s="17">
        <v>4394680000</v>
      </c>
    </row>
    <row r="16" spans="1:19" ht="21" x14ac:dyDescent="0.55000000000000004">
      <c r="A16" s="16" t="s">
        <v>114</v>
      </c>
      <c r="C16" s="15" t="s">
        <v>154</v>
      </c>
      <c r="E16" s="17">
        <v>4850000</v>
      </c>
      <c r="G16" s="17">
        <v>390</v>
      </c>
      <c r="I16" s="17">
        <v>1891500000</v>
      </c>
      <c r="K16" s="17">
        <v>-239831340</v>
      </c>
      <c r="M16" s="17">
        <v>1651668660</v>
      </c>
      <c r="O16" s="17">
        <v>1891500000</v>
      </c>
      <c r="Q16" s="17">
        <v>-239831340</v>
      </c>
      <c r="S16" s="17">
        <v>1651668660</v>
      </c>
    </row>
    <row r="17" spans="1:19" ht="21" x14ac:dyDescent="0.55000000000000004">
      <c r="A17" s="16" t="s">
        <v>122</v>
      </c>
      <c r="C17" s="15" t="s">
        <v>155</v>
      </c>
      <c r="E17" s="17">
        <v>350000</v>
      </c>
      <c r="G17" s="17">
        <v>5330</v>
      </c>
      <c r="I17" s="17">
        <v>0</v>
      </c>
      <c r="K17" s="17">
        <v>0</v>
      </c>
      <c r="M17" s="17">
        <v>0</v>
      </c>
      <c r="N17" s="15"/>
      <c r="O17" s="17">
        <v>1865500000</v>
      </c>
      <c r="Q17" s="17">
        <v>-217810950</v>
      </c>
      <c r="S17" s="17">
        <v>1647689050</v>
      </c>
    </row>
    <row r="18" spans="1:19" ht="21.75" thickBot="1" x14ac:dyDescent="0.6">
      <c r="A18" s="19" t="s">
        <v>9</v>
      </c>
      <c r="I18" s="19">
        <f>SUM(I9:$I$17)</f>
        <v>1891500000</v>
      </c>
      <c r="K18" s="19">
        <f>SUM(K9:$K$17)</f>
        <v>-239831340</v>
      </c>
      <c r="M18" s="19">
        <f>SUM(M9:$M$17)</f>
        <v>1651668660</v>
      </c>
      <c r="O18" s="19">
        <f>SUM(O9:$O$17)</f>
        <v>17646823160</v>
      </c>
      <c r="Q18" s="19">
        <f>SUM(Q9:$Q$17)</f>
        <v>-457642290</v>
      </c>
      <c r="S18" s="19">
        <f>SUM(S9:$S$17)</f>
        <v>17189180870</v>
      </c>
    </row>
    <row r="19" spans="1:19" ht="21.75" thickTop="1" x14ac:dyDescent="0.55000000000000004">
      <c r="I19" s="21"/>
      <c r="K19" s="21"/>
      <c r="M19" s="21"/>
      <c r="O19" s="21"/>
      <c r="Q19" s="21"/>
      <c r="S19" s="21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EB13-1D40-4EF1-B3BA-CB9A0CD65009}">
  <sheetPr>
    <pageSetUpPr fitToPage="1"/>
  </sheetPr>
  <dimension ref="A1:S12"/>
  <sheetViews>
    <sheetView rightToLeft="1" view="pageBreakPreview" zoomScale="60" zoomScaleNormal="100" workbookViewId="0">
      <selection sqref="A1:S1"/>
    </sheetView>
  </sheetViews>
  <sheetFormatPr defaultColWidth="8.85546875" defaultRowHeight="19.5" x14ac:dyDescent="0.55000000000000004"/>
  <cols>
    <col min="1" max="1" width="33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1:19" ht="21" x14ac:dyDescent="0.55000000000000004">
      <c r="A5" s="39" t="s">
        <v>62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7" spans="1:19" ht="21" x14ac:dyDescent="0.55000000000000004">
      <c r="I7" s="40" t="s">
        <v>58</v>
      </c>
      <c r="J7" s="41"/>
      <c r="K7" s="41"/>
      <c r="L7" s="41"/>
      <c r="M7" s="41"/>
      <c r="O7" s="40" t="s">
        <v>59</v>
      </c>
      <c r="P7" s="41"/>
      <c r="Q7" s="41"/>
      <c r="R7" s="41"/>
      <c r="S7" s="41"/>
    </row>
    <row r="8" spans="1:19" ht="42" x14ac:dyDescent="0.55000000000000004">
      <c r="A8" s="12" t="s">
        <v>27</v>
      </c>
      <c r="C8" s="13" t="s">
        <v>33</v>
      </c>
      <c r="E8" s="13" t="s">
        <v>10</v>
      </c>
      <c r="G8" s="13" t="s">
        <v>18</v>
      </c>
      <c r="I8" s="13" t="s">
        <v>34</v>
      </c>
      <c r="K8" s="13" t="s">
        <v>32</v>
      </c>
      <c r="M8" s="13" t="s">
        <v>35</v>
      </c>
      <c r="O8" s="13" t="s">
        <v>34</v>
      </c>
      <c r="Q8" s="13" t="s">
        <v>32</v>
      </c>
      <c r="S8" s="13" t="s">
        <v>35</v>
      </c>
    </row>
    <row r="9" spans="1:19" ht="42" x14ac:dyDescent="0.55000000000000004">
      <c r="A9" s="16" t="s">
        <v>156</v>
      </c>
      <c r="C9" s="15" t="s">
        <v>154</v>
      </c>
      <c r="E9" s="15" t="s">
        <v>12</v>
      </c>
      <c r="G9" s="15" t="s">
        <v>11</v>
      </c>
      <c r="I9" s="17">
        <v>104689897</v>
      </c>
      <c r="K9" s="17">
        <v>-2867729</v>
      </c>
      <c r="M9" s="17">
        <v>101822168</v>
      </c>
      <c r="O9" s="17">
        <v>4886164519</v>
      </c>
      <c r="Q9" s="17">
        <v>0</v>
      </c>
      <c r="S9" s="17">
        <v>4886164519</v>
      </c>
    </row>
    <row r="10" spans="1:19" ht="42" x14ac:dyDescent="0.55000000000000004">
      <c r="A10" s="16" t="s">
        <v>157</v>
      </c>
      <c r="C10" s="15" t="s">
        <v>36</v>
      </c>
      <c r="E10" s="15" t="s">
        <v>12</v>
      </c>
      <c r="G10" s="15">
        <v>10</v>
      </c>
      <c r="I10" s="17">
        <v>2696814</v>
      </c>
      <c r="K10" s="17">
        <v>0</v>
      </c>
      <c r="M10" s="17">
        <v>2696814</v>
      </c>
      <c r="O10" s="17">
        <v>20051716</v>
      </c>
      <c r="Q10" s="17">
        <v>0</v>
      </c>
      <c r="S10" s="17">
        <v>20051716</v>
      </c>
    </row>
    <row r="11" spans="1:19" ht="21.75" thickBot="1" x14ac:dyDescent="0.6">
      <c r="A11" s="19" t="s">
        <v>9</v>
      </c>
      <c r="I11" s="19">
        <f>SUM(I9:$I$10)</f>
        <v>107386711</v>
      </c>
      <c r="K11" s="19">
        <f>SUM(K9:$K$10)</f>
        <v>-2867729</v>
      </c>
      <c r="M11" s="19">
        <f>SUM(M9:$M$10)</f>
        <v>104518982</v>
      </c>
      <c r="O11" s="19">
        <f>SUM(O9:$O$10)</f>
        <v>4906216235</v>
      </c>
      <c r="Q11" s="19">
        <f>SUM(Q9:$Q$10)</f>
        <v>0</v>
      </c>
      <c r="S11" s="19">
        <f>SUM(S9:$S$10)</f>
        <v>4906216235</v>
      </c>
    </row>
    <row r="12" spans="1:19" ht="21.75" thickTop="1" x14ac:dyDescent="0.55000000000000004">
      <c r="I12" s="21"/>
      <c r="K12" s="21"/>
      <c r="M12" s="21"/>
      <c r="O12" s="21"/>
      <c r="Q12" s="21"/>
      <c r="S12" s="21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2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C2F1-1815-462F-9703-A57DD98B9E91}">
  <sheetPr>
    <pageSetUpPr fitToPage="1"/>
  </sheetPr>
  <dimension ref="A1:Q149"/>
  <sheetViews>
    <sheetView rightToLeft="1" view="pageBreakPreview" zoomScale="60" zoomScaleNormal="100" workbookViewId="0">
      <selection activeCell="A89" sqref="A89:XFD89"/>
    </sheetView>
  </sheetViews>
  <sheetFormatPr defaultColWidth="8.85546875" defaultRowHeight="19.5" x14ac:dyDescent="0.55000000000000004"/>
  <cols>
    <col min="1" max="1" width="39.85546875" style="1" customWidth="1"/>
    <col min="2" max="2" width="1.42578125" style="1" customWidth="1"/>
    <col min="3" max="3" width="12.855468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2.8554687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1:17" ht="21" x14ac:dyDescent="0.55000000000000004">
      <c r="A5" s="39" t="s">
        <v>158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7" spans="1:17" ht="21" x14ac:dyDescent="0.55000000000000004">
      <c r="C7" s="40" t="s">
        <v>58</v>
      </c>
      <c r="D7" s="41"/>
      <c r="E7" s="41"/>
      <c r="F7" s="41"/>
      <c r="G7" s="41"/>
      <c r="H7" s="41"/>
      <c r="I7" s="41"/>
      <c r="K7" s="40" t="s">
        <v>59</v>
      </c>
      <c r="L7" s="41"/>
      <c r="M7" s="41"/>
      <c r="N7" s="41"/>
      <c r="O7" s="41"/>
      <c r="P7" s="41"/>
      <c r="Q7" s="41"/>
    </row>
    <row r="8" spans="1:17" ht="42" x14ac:dyDescent="0.55000000000000004">
      <c r="A8" s="12" t="s">
        <v>27</v>
      </c>
      <c r="C8" s="13" t="s">
        <v>4</v>
      </c>
      <c r="E8" s="13" t="s">
        <v>6</v>
      </c>
      <c r="G8" s="13" t="s">
        <v>37</v>
      </c>
      <c r="I8" s="13" t="s">
        <v>159</v>
      </c>
      <c r="K8" s="13" t="s">
        <v>4</v>
      </c>
      <c r="M8" s="13" t="s">
        <v>6</v>
      </c>
      <c r="O8" s="13" t="s">
        <v>37</v>
      </c>
      <c r="Q8" s="13" t="s">
        <v>159</v>
      </c>
    </row>
    <row r="9" spans="1:17" ht="21" x14ac:dyDescent="0.55000000000000004">
      <c r="A9" s="16" t="s">
        <v>160</v>
      </c>
      <c r="C9" s="17">
        <v>0</v>
      </c>
      <c r="D9" s="17"/>
      <c r="E9" s="17">
        <v>0</v>
      </c>
      <c r="F9" s="17"/>
      <c r="G9" s="17">
        <v>0</v>
      </c>
      <c r="H9" s="17"/>
      <c r="I9" s="17">
        <v>0</v>
      </c>
      <c r="J9" s="15"/>
      <c r="K9" s="17">
        <v>579887</v>
      </c>
      <c r="M9" s="17">
        <v>3249801158</v>
      </c>
      <c r="O9" s="17">
        <v>2839489099</v>
      </c>
      <c r="Q9" s="17">
        <v>410312059</v>
      </c>
    </row>
    <row r="10" spans="1:17" ht="21" x14ac:dyDescent="0.55000000000000004">
      <c r="A10" s="16" t="s">
        <v>206</v>
      </c>
      <c r="C10" s="17">
        <v>0</v>
      </c>
      <c r="D10" s="17"/>
      <c r="E10" s="17">
        <v>0</v>
      </c>
      <c r="F10" s="17"/>
      <c r="G10" s="17">
        <v>0</v>
      </c>
      <c r="H10" s="17"/>
      <c r="I10" s="17">
        <v>0</v>
      </c>
      <c r="J10" s="15"/>
      <c r="K10" s="17"/>
      <c r="M10" s="17"/>
      <c r="O10" s="17"/>
      <c r="Q10" s="17">
        <v>2539867414</v>
      </c>
    </row>
    <row r="11" spans="1:17" ht="21" x14ac:dyDescent="0.55000000000000004">
      <c r="A11" s="16" t="s">
        <v>207</v>
      </c>
      <c r="C11" s="17">
        <v>0</v>
      </c>
      <c r="D11" s="17"/>
      <c r="E11" s="17">
        <v>0</v>
      </c>
      <c r="F11" s="17"/>
      <c r="G11" s="17">
        <v>0</v>
      </c>
      <c r="H11" s="17"/>
      <c r="I11" s="17">
        <v>0</v>
      </c>
      <c r="J11" s="15"/>
      <c r="K11" s="17"/>
      <c r="M11" s="17"/>
      <c r="O11" s="17"/>
      <c r="Q11" s="17">
        <v>798978106</v>
      </c>
    </row>
    <row r="12" spans="1:17" ht="21" x14ac:dyDescent="0.55000000000000004">
      <c r="A12" s="16" t="s">
        <v>208</v>
      </c>
      <c r="C12" s="17">
        <v>0</v>
      </c>
      <c r="D12" s="17"/>
      <c r="E12" s="17">
        <v>0</v>
      </c>
      <c r="F12" s="17"/>
      <c r="G12" s="17">
        <v>0</v>
      </c>
      <c r="H12" s="17"/>
      <c r="I12" s="17">
        <v>0</v>
      </c>
      <c r="J12" s="15"/>
      <c r="K12" s="17"/>
      <c r="M12" s="17"/>
      <c r="O12" s="17"/>
      <c r="Q12" s="17">
        <v>288880900</v>
      </c>
    </row>
    <row r="13" spans="1:17" ht="21" x14ac:dyDescent="0.55000000000000004">
      <c r="A13" s="16" t="s">
        <v>209</v>
      </c>
      <c r="C13" s="17">
        <v>0</v>
      </c>
      <c r="D13" s="17"/>
      <c r="E13" s="17">
        <v>0</v>
      </c>
      <c r="F13" s="17"/>
      <c r="G13" s="17">
        <v>0</v>
      </c>
      <c r="H13" s="17"/>
      <c r="I13" s="17">
        <v>0</v>
      </c>
      <c r="J13" s="15"/>
      <c r="K13" s="17"/>
      <c r="M13" s="17"/>
      <c r="O13" s="17"/>
      <c r="Q13" s="17">
        <v>416670792</v>
      </c>
    </row>
    <row r="14" spans="1:17" ht="21" x14ac:dyDescent="0.55000000000000004">
      <c r="A14" s="16" t="s">
        <v>210</v>
      </c>
      <c r="C14" s="17">
        <v>0</v>
      </c>
      <c r="D14" s="17"/>
      <c r="E14" s="17">
        <v>0</v>
      </c>
      <c r="F14" s="17"/>
      <c r="G14" s="17">
        <v>0</v>
      </c>
      <c r="H14" s="17"/>
      <c r="I14" s="17">
        <v>0</v>
      </c>
      <c r="J14" s="15"/>
      <c r="K14" s="17"/>
      <c r="M14" s="17"/>
      <c r="O14" s="17"/>
      <c r="Q14" s="17">
        <v>103932028</v>
      </c>
    </row>
    <row r="15" spans="1:17" ht="21" x14ac:dyDescent="0.55000000000000004">
      <c r="A15" s="16" t="s">
        <v>211</v>
      </c>
      <c r="C15" s="17">
        <v>0</v>
      </c>
      <c r="D15" s="17"/>
      <c r="E15" s="17">
        <v>0</v>
      </c>
      <c r="F15" s="17"/>
      <c r="G15" s="17">
        <v>0</v>
      </c>
      <c r="H15" s="17"/>
      <c r="I15" s="17">
        <v>0</v>
      </c>
      <c r="J15" s="15"/>
      <c r="K15" s="17"/>
      <c r="M15" s="17"/>
      <c r="O15" s="17"/>
      <c r="Q15" s="17">
        <v>818500907</v>
      </c>
    </row>
    <row r="16" spans="1:17" ht="21" x14ac:dyDescent="0.55000000000000004">
      <c r="A16" s="16" t="s">
        <v>212</v>
      </c>
      <c r="C16" s="17">
        <v>0</v>
      </c>
      <c r="D16" s="17"/>
      <c r="E16" s="17">
        <v>0</v>
      </c>
      <c r="F16" s="17"/>
      <c r="G16" s="17">
        <v>0</v>
      </c>
      <c r="H16" s="17"/>
      <c r="I16" s="17">
        <v>0</v>
      </c>
      <c r="J16" s="15"/>
      <c r="K16" s="17"/>
      <c r="M16" s="17"/>
      <c r="O16" s="17"/>
      <c r="Q16" s="17">
        <v>652987649</v>
      </c>
    </row>
    <row r="17" spans="1:17" ht="21" x14ac:dyDescent="0.55000000000000004">
      <c r="A17" s="16" t="s">
        <v>213</v>
      </c>
      <c r="C17" s="17">
        <v>0</v>
      </c>
      <c r="D17" s="17"/>
      <c r="E17" s="17">
        <v>0</v>
      </c>
      <c r="F17" s="17"/>
      <c r="G17" s="17">
        <v>0</v>
      </c>
      <c r="H17" s="17"/>
      <c r="I17" s="17">
        <v>0</v>
      </c>
      <c r="J17" s="15"/>
      <c r="K17" s="17"/>
      <c r="M17" s="17"/>
      <c r="O17" s="17"/>
      <c r="Q17" s="17">
        <v>1027103692</v>
      </c>
    </row>
    <row r="18" spans="1:17" ht="21" x14ac:dyDescent="0.55000000000000004">
      <c r="A18" s="16" t="s">
        <v>214</v>
      </c>
      <c r="C18" s="17">
        <v>0</v>
      </c>
      <c r="D18" s="17"/>
      <c r="E18" s="17">
        <v>0</v>
      </c>
      <c r="F18" s="17"/>
      <c r="G18" s="17">
        <v>0</v>
      </c>
      <c r="H18" s="17"/>
      <c r="I18" s="17">
        <v>0</v>
      </c>
      <c r="J18" s="15"/>
      <c r="K18" s="17"/>
      <c r="M18" s="17"/>
      <c r="O18" s="17"/>
      <c r="Q18" s="17">
        <v>394213597</v>
      </c>
    </row>
    <row r="19" spans="1:17" ht="21" x14ac:dyDescent="0.55000000000000004">
      <c r="A19" s="16" t="s">
        <v>215</v>
      </c>
      <c r="C19" s="17">
        <v>0</v>
      </c>
      <c r="D19" s="17"/>
      <c r="E19" s="17">
        <v>0</v>
      </c>
      <c r="F19" s="17"/>
      <c r="G19" s="17">
        <v>0</v>
      </c>
      <c r="H19" s="17"/>
      <c r="I19" s="17">
        <v>0</v>
      </c>
      <c r="J19" s="15"/>
      <c r="K19" s="17"/>
      <c r="M19" s="17"/>
      <c r="O19" s="17"/>
      <c r="Q19" s="17">
        <v>17872710</v>
      </c>
    </row>
    <row r="20" spans="1:17" ht="21" x14ac:dyDescent="0.55000000000000004">
      <c r="A20" s="16" t="s">
        <v>216</v>
      </c>
      <c r="C20" s="17">
        <v>0</v>
      </c>
      <c r="D20" s="17"/>
      <c r="E20" s="17">
        <v>0</v>
      </c>
      <c r="F20" s="17"/>
      <c r="G20" s="17">
        <v>0</v>
      </c>
      <c r="H20" s="17"/>
      <c r="I20" s="17">
        <v>0</v>
      </c>
      <c r="J20" s="15"/>
      <c r="K20" s="17"/>
      <c r="M20" s="17"/>
      <c r="O20" s="17"/>
      <c r="Q20" s="17">
        <v>330679973</v>
      </c>
    </row>
    <row r="21" spans="1:17" ht="21" x14ac:dyDescent="0.55000000000000004">
      <c r="A21" s="16" t="s">
        <v>217</v>
      </c>
      <c r="C21" s="17">
        <v>0</v>
      </c>
      <c r="D21" s="17"/>
      <c r="E21" s="17">
        <v>0</v>
      </c>
      <c r="F21" s="17"/>
      <c r="G21" s="17">
        <v>0</v>
      </c>
      <c r="H21" s="17"/>
      <c r="I21" s="17">
        <v>0</v>
      </c>
      <c r="J21" s="15"/>
      <c r="K21" s="17"/>
      <c r="M21" s="17"/>
      <c r="O21" s="17"/>
      <c r="Q21" s="17">
        <v>2313123597</v>
      </c>
    </row>
    <row r="22" spans="1:17" ht="21" x14ac:dyDescent="0.55000000000000004">
      <c r="A22" s="16" t="s">
        <v>218</v>
      </c>
      <c r="C22" s="17">
        <v>0</v>
      </c>
      <c r="D22" s="17"/>
      <c r="E22" s="17">
        <v>0</v>
      </c>
      <c r="F22" s="17"/>
      <c r="G22" s="17">
        <v>0</v>
      </c>
      <c r="H22" s="17"/>
      <c r="I22" s="17">
        <v>0</v>
      </c>
      <c r="J22" s="15"/>
      <c r="K22" s="17"/>
      <c r="M22" s="17"/>
      <c r="O22" s="17"/>
      <c r="Q22" s="17">
        <v>294439966</v>
      </c>
    </row>
    <row r="23" spans="1:17" ht="21" x14ac:dyDescent="0.55000000000000004">
      <c r="A23" s="16" t="s">
        <v>219</v>
      </c>
      <c r="C23" s="17">
        <v>0</v>
      </c>
      <c r="D23" s="17"/>
      <c r="E23" s="17">
        <v>0</v>
      </c>
      <c r="F23" s="17"/>
      <c r="G23" s="17">
        <v>0</v>
      </c>
      <c r="H23" s="17"/>
      <c r="I23" s="17">
        <v>0</v>
      </c>
      <c r="J23" s="15"/>
      <c r="K23" s="17"/>
      <c r="M23" s="17"/>
      <c r="O23" s="17"/>
      <c r="Q23" s="17">
        <v>1500319978</v>
      </c>
    </row>
    <row r="24" spans="1:17" ht="21" x14ac:dyDescent="0.55000000000000004">
      <c r="A24" s="16" t="s">
        <v>220</v>
      </c>
      <c r="C24" s="17">
        <v>0</v>
      </c>
      <c r="D24" s="17"/>
      <c r="E24" s="17">
        <v>0</v>
      </c>
      <c r="F24" s="17"/>
      <c r="G24" s="17">
        <v>0</v>
      </c>
      <c r="H24" s="17"/>
      <c r="I24" s="17">
        <v>0</v>
      </c>
      <c r="J24" s="15"/>
      <c r="K24" s="17"/>
      <c r="M24" s="17"/>
      <c r="O24" s="17"/>
      <c r="Q24" s="17">
        <v>593579598</v>
      </c>
    </row>
    <row r="25" spans="1:17" ht="21" x14ac:dyDescent="0.55000000000000004">
      <c r="A25" s="16" t="s">
        <v>221</v>
      </c>
      <c r="C25" s="17">
        <v>0</v>
      </c>
      <c r="D25" s="17"/>
      <c r="E25" s="17">
        <v>0</v>
      </c>
      <c r="F25" s="17"/>
      <c r="G25" s="17">
        <v>0</v>
      </c>
      <c r="H25" s="17"/>
      <c r="I25" s="17">
        <v>0</v>
      </c>
      <c r="J25" s="15"/>
      <c r="K25" s="17"/>
      <c r="M25" s="17"/>
      <c r="O25" s="17"/>
      <c r="Q25" s="17">
        <v>853398759</v>
      </c>
    </row>
    <row r="26" spans="1:17" ht="21" x14ac:dyDescent="0.55000000000000004">
      <c r="A26" s="16" t="s">
        <v>222</v>
      </c>
      <c r="C26" s="17">
        <v>0</v>
      </c>
      <c r="D26" s="17"/>
      <c r="E26" s="17">
        <v>0</v>
      </c>
      <c r="F26" s="17"/>
      <c r="G26" s="17">
        <v>0</v>
      </c>
      <c r="H26" s="17"/>
      <c r="I26" s="17">
        <v>0</v>
      </c>
      <c r="J26" s="15"/>
      <c r="K26" s="17"/>
      <c r="M26" s="17"/>
      <c r="O26" s="17"/>
      <c r="Q26" s="17">
        <v>836739081</v>
      </c>
    </row>
    <row r="27" spans="1:17" ht="21" x14ac:dyDescent="0.55000000000000004">
      <c r="A27" s="16" t="s">
        <v>223</v>
      </c>
      <c r="C27" s="17">
        <v>0</v>
      </c>
      <c r="D27" s="17"/>
      <c r="E27" s="17">
        <v>0</v>
      </c>
      <c r="F27" s="17"/>
      <c r="G27" s="17">
        <v>0</v>
      </c>
      <c r="H27" s="17"/>
      <c r="I27" s="17">
        <v>0</v>
      </c>
      <c r="J27" s="15"/>
      <c r="K27" s="17"/>
      <c r="M27" s="17"/>
      <c r="O27" s="17"/>
      <c r="Q27" s="17">
        <v>718657381</v>
      </c>
    </row>
    <row r="28" spans="1:17" ht="21" x14ac:dyDescent="0.55000000000000004">
      <c r="A28" s="16" t="s">
        <v>224</v>
      </c>
      <c r="C28" s="17">
        <v>0</v>
      </c>
      <c r="D28" s="17"/>
      <c r="E28" s="17">
        <v>0</v>
      </c>
      <c r="F28" s="17"/>
      <c r="G28" s="17">
        <v>0</v>
      </c>
      <c r="H28" s="17"/>
      <c r="I28" s="17">
        <v>0</v>
      </c>
      <c r="J28" s="15"/>
      <c r="K28" s="17"/>
      <c r="M28" s="17"/>
      <c r="O28" s="17"/>
      <c r="Q28" s="17">
        <v>1596292</v>
      </c>
    </row>
    <row r="29" spans="1:17" ht="21" x14ac:dyDescent="0.55000000000000004">
      <c r="A29" s="16" t="s">
        <v>225</v>
      </c>
      <c r="C29" s="17">
        <v>0</v>
      </c>
      <c r="D29" s="17"/>
      <c r="E29" s="17">
        <v>0</v>
      </c>
      <c r="F29" s="17"/>
      <c r="G29" s="17">
        <v>0</v>
      </c>
      <c r="H29" s="17"/>
      <c r="I29" s="17">
        <v>0</v>
      </c>
      <c r="J29" s="15"/>
      <c r="K29" s="17"/>
      <c r="M29" s="17"/>
      <c r="O29" s="17"/>
      <c r="Q29" s="17">
        <v>299720319</v>
      </c>
    </row>
    <row r="30" spans="1:17" ht="21" x14ac:dyDescent="0.55000000000000004">
      <c r="A30" s="16" t="s">
        <v>226</v>
      </c>
      <c r="C30" s="17">
        <v>0</v>
      </c>
      <c r="D30" s="17"/>
      <c r="E30" s="17">
        <v>0</v>
      </c>
      <c r="F30" s="17"/>
      <c r="G30" s="17">
        <v>0</v>
      </c>
      <c r="H30" s="17"/>
      <c r="I30" s="17">
        <v>0</v>
      </c>
      <c r="J30" s="15"/>
      <c r="K30" s="17"/>
      <c r="M30" s="17"/>
      <c r="O30" s="17"/>
      <c r="Q30" s="17">
        <v>429981911</v>
      </c>
    </row>
    <row r="31" spans="1:17" ht="21" x14ac:dyDescent="0.55000000000000004">
      <c r="A31" s="16" t="s">
        <v>227</v>
      </c>
      <c r="C31" s="17">
        <v>0</v>
      </c>
      <c r="D31" s="17"/>
      <c r="E31" s="17">
        <v>0</v>
      </c>
      <c r="F31" s="17"/>
      <c r="G31" s="17">
        <v>0</v>
      </c>
      <c r="H31" s="17"/>
      <c r="I31" s="17">
        <v>0</v>
      </c>
      <c r="J31" s="15"/>
      <c r="K31" s="17"/>
      <c r="M31" s="17"/>
      <c r="O31" s="17"/>
      <c r="Q31" s="17">
        <v>388881313</v>
      </c>
    </row>
    <row r="32" spans="1:17" ht="21" x14ac:dyDescent="0.55000000000000004">
      <c r="A32" s="16" t="s">
        <v>228</v>
      </c>
      <c r="C32" s="17">
        <v>0</v>
      </c>
      <c r="D32" s="17"/>
      <c r="E32" s="17">
        <v>0</v>
      </c>
      <c r="F32" s="17"/>
      <c r="G32" s="17">
        <v>0</v>
      </c>
      <c r="H32" s="17"/>
      <c r="I32" s="17">
        <v>0</v>
      </c>
      <c r="J32" s="15"/>
      <c r="K32" s="17"/>
      <c r="M32" s="17"/>
      <c r="O32" s="17"/>
      <c r="Q32" s="17">
        <v>153286869</v>
      </c>
    </row>
    <row r="33" spans="1:17" ht="21" x14ac:dyDescent="0.55000000000000004">
      <c r="A33" s="16" t="s">
        <v>229</v>
      </c>
      <c r="C33" s="17">
        <v>0</v>
      </c>
      <c r="D33" s="17"/>
      <c r="E33" s="17">
        <v>0</v>
      </c>
      <c r="F33" s="17"/>
      <c r="G33" s="17">
        <v>0</v>
      </c>
      <c r="H33" s="17"/>
      <c r="I33" s="17">
        <v>0</v>
      </c>
      <c r="J33" s="15"/>
      <c r="K33" s="17"/>
      <c r="M33" s="17"/>
      <c r="O33" s="17"/>
      <c r="Q33" s="17">
        <v>-2600103280</v>
      </c>
    </row>
    <row r="34" spans="1:17" ht="21" x14ac:dyDescent="0.55000000000000004">
      <c r="A34" s="16" t="s">
        <v>230</v>
      </c>
      <c r="C34" s="17">
        <v>0</v>
      </c>
      <c r="D34" s="17"/>
      <c r="E34" s="17">
        <v>0</v>
      </c>
      <c r="F34" s="17"/>
      <c r="G34" s="17">
        <v>0</v>
      </c>
      <c r="H34" s="17"/>
      <c r="I34" s="17">
        <v>0</v>
      </c>
      <c r="J34" s="15"/>
      <c r="K34" s="17"/>
      <c r="M34" s="17"/>
      <c r="O34" s="17"/>
      <c r="Q34" s="17">
        <v>-143352748</v>
      </c>
    </row>
    <row r="35" spans="1:17" ht="21" x14ac:dyDescent="0.55000000000000004">
      <c r="A35" s="16" t="s">
        <v>231</v>
      </c>
      <c r="C35" s="17">
        <v>0</v>
      </c>
      <c r="D35" s="17"/>
      <c r="E35" s="17">
        <v>0</v>
      </c>
      <c r="F35" s="17"/>
      <c r="G35" s="17">
        <v>0</v>
      </c>
      <c r="H35" s="17"/>
      <c r="I35" s="17">
        <v>0</v>
      </c>
      <c r="J35" s="15"/>
      <c r="K35" s="17"/>
      <c r="M35" s="17"/>
      <c r="O35" s="17"/>
      <c r="Q35" s="17">
        <v>64568918</v>
      </c>
    </row>
    <row r="36" spans="1:17" ht="21" x14ac:dyDescent="0.55000000000000004">
      <c r="A36" s="16" t="s">
        <v>232</v>
      </c>
      <c r="C36" s="17">
        <v>0</v>
      </c>
      <c r="D36" s="17"/>
      <c r="E36" s="17">
        <v>0</v>
      </c>
      <c r="F36" s="17"/>
      <c r="G36" s="17">
        <v>0</v>
      </c>
      <c r="H36" s="17"/>
      <c r="I36" s="17">
        <v>0</v>
      </c>
      <c r="J36" s="15"/>
      <c r="K36" s="17"/>
      <c r="M36" s="17"/>
      <c r="O36" s="17"/>
      <c r="Q36" s="17">
        <v>-987077134</v>
      </c>
    </row>
    <row r="37" spans="1:17" ht="21" x14ac:dyDescent="0.55000000000000004">
      <c r="A37" s="16" t="s">
        <v>233</v>
      </c>
      <c r="C37" s="17">
        <v>0</v>
      </c>
      <c r="D37" s="17"/>
      <c r="E37" s="17">
        <v>0</v>
      </c>
      <c r="F37" s="17"/>
      <c r="G37" s="17">
        <v>0</v>
      </c>
      <c r="H37" s="17"/>
      <c r="I37" s="17">
        <v>0</v>
      </c>
      <c r="J37" s="15"/>
      <c r="K37" s="17"/>
      <c r="M37" s="17"/>
      <c r="O37" s="17"/>
      <c r="Q37" s="17">
        <v>165978980</v>
      </c>
    </row>
    <row r="38" spans="1:17" ht="21" x14ac:dyDescent="0.55000000000000004">
      <c r="A38" s="16" t="s">
        <v>234</v>
      </c>
      <c r="C38" s="17">
        <v>0</v>
      </c>
      <c r="D38" s="17"/>
      <c r="E38" s="17">
        <v>0</v>
      </c>
      <c r="F38" s="17"/>
      <c r="G38" s="17">
        <v>0</v>
      </c>
      <c r="H38" s="17"/>
      <c r="I38" s="17">
        <v>0</v>
      </c>
      <c r="J38" s="15"/>
      <c r="K38" s="17"/>
      <c r="M38" s="17"/>
      <c r="O38" s="17"/>
      <c r="Q38" s="17">
        <v>-1836545797</v>
      </c>
    </row>
    <row r="39" spans="1:17" ht="21" x14ac:dyDescent="0.55000000000000004">
      <c r="A39" s="16" t="s">
        <v>235</v>
      </c>
      <c r="C39" s="17">
        <v>0</v>
      </c>
      <c r="D39" s="17"/>
      <c r="E39" s="17">
        <v>0</v>
      </c>
      <c r="F39" s="17"/>
      <c r="G39" s="17">
        <v>0</v>
      </c>
      <c r="H39" s="17"/>
      <c r="I39" s="17">
        <v>0</v>
      </c>
      <c r="J39" s="15"/>
      <c r="K39" s="17"/>
      <c r="M39" s="17"/>
      <c r="O39" s="17"/>
      <c r="Q39" s="17">
        <v>-1633923532</v>
      </c>
    </row>
    <row r="40" spans="1:17" ht="21" x14ac:dyDescent="0.55000000000000004">
      <c r="A40" s="16" t="s">
        <v>236</v>
      </c>
      <c r="C40" s="17"/>
      <c r="D40" s="17"/>
      <c r="E40" s="17"/>
      <c r="F40" s="17"/>
      <c r="G40" s="17"/>
      <c r="H40" s="17"/>
      <c r="I40" s="17">
        <v>402321974</v>
      </c>
      <c r="J40" s="15"/>
      <c r="K40" s="17"/>
      <c r="M40" s="17"/>
      <c r="O40" s="17"/>
      <c r="Q40" s="17">
        <v>903156644</v>
      </c>
    </row>
    <row r="41" spans="1:17" ht="21" x14ac:dyDescent="0.55000000000000004">
      <c r="A41" s="16" t="s">
        <v>237</v>
      </c>
      <c r="C41" s="17">
        <v>0</v>
      </c>
      <c r="D41" s="17"/>
      <c r="E41" s="17">
        <v>0</v>
      </c>
      <c r="F41" s="17"/>
      <c r="G41" s="17">
        <v>0</v>
      </c>
      <c r="H41" s="17"/>
      <c r="I41" s="17">
        <v>0</v>
      </c>
      <c r="J41" s="15"/>
      <c r="K41" s="17"/>
      <c r="M41" s="17"/>
      <c r="O41" s="17"/>
      <c r="Q41" s="17">
        <v>478416987</v>
      </c>
    </row>
    <row r="42" spans="1:17" ht="21" x14ac:dyDescent="0.55000000000000004">
      <c r="A42" s="16" t="s">
        <v>238</v>
      </c>
      <c r="C42" s="17"/>
      <c r="D42" s="17"/>
      <c r="E42" s="17"/>
      <c r="F42" s="17"/>
      <c r="G42" s="17"/>
      <c r="H42" s="17"/>
      <c r="I42" s="17">
        <v>488707904</v>
      </c>
      <c r="J42" s="15"/>
      <c r="K42" s="17"/>
      <c r="M42" s="17"/>
      <c r="O42" s="17"/>
      <c r="Q42" s="17">
        <v>-207613744</v>
      </c>
    </row>
    <row r="43" spans="1:17" ht="21" x14ac:dyDescent="0.55000000000000004">
      <c r="A43" s="16" t="s">
        <v>239</v>
      </c>
      <c r="C43" s="17">
        <v>0</v>
      </c>
      <c r="D43" s="17"/>
      <c r="E43" s="17">
        <v>0</v>
      </c>
      <c r="F43" s="17"/>
      <c r="G43" s="17">
        <v>0</v>
      </c>
      <c r="H43" s="17"/>
      <c r="I43" s="17">
        <v>0</v>
      </c>
      <c r="J43" s="15"/>
      <c r="K43" s="17"/>
      <c r="M43" s="17"/>
      <c r="O43" s="17"/>
      <c r="Q43" s="17">
        <v>450982632</v>
      </c>
    </row>
    <row r="44" spans="1:17" ht="21" x14ac:dyDescent="0.55000000000000004">
      <c r="A44" s="16" t="s">
        <v>240</v>
      </c>
      <c r="C44" s="17"/>
      <c r="D44" s="17"/>
      <c r="E44" s="17"/>
      <c r="F44" s="17"/>
      <c r="G44" s="17"/>
      <c r="H44" s="17"/>
      <c r="I44" s="17">
        <v>643341293</v>
      </c>
      <c r="J44" s="15"/>
      <c r="K44" s="17"/>
      <c r="M44" s="17"/>
      <c r="O44" s="17"/>
      <c r="Q44" s="17">
        <v>643341293</v>
      </c>
    </row>
    <row r="45" spans="1:17" ht="21" x14ac:dyDescent="0.55000000000000004">
      <c r="A45" s="16" t="s">
        <v>283</v>
      </c>
      <c r="C45" s="17"/>
      <c r="D45" s="17"/>
      <c r="E45" s="17"/>
      <c r="F45" s="17"/>
      <c r="G45" s="17"/>
      <c r="H45" s="17"/>
      <c r="I45" s="17">
        <v>1377570353</v>
      </c>
      <c r="J45" s="15"/>
      <c r="K45" s="17">
        <v>0</v>
      </c>
      <c r="L45" s="17"/>
      <c r="M45" s="17">
        <v>0</v>
      </c>
      <c r="N45" s="17"/>
      <c r="O45" s="17">
        <v>0</v>
      </c>
      <c r="Q45" s="17">
        <v>0</v>
      </c>
    </row>
    <row r="46" spans="1:17" ht="21" x14ac:dyDescent="0.55000000000000004">
      <c r="A46" s="16" t="s">
        <v>241</v>
      </c>
      <c r="C46" s="17">
        <v>0</v>
      </c>
      <c r="D46" s="17"/>
      <c r="E46" s="17">
        <v>0</v>
      </c>
      <c r="F46" s="17"/>
      <c r="G46" s="17">
        <v>0</v>
      </c>
      <c r="H46" s="17"/>
      <c r="I46" s="17">
        <v>0</v>
      </c>
      <c r="J46" s="15"/>
      <c r="K46" s="17"/>
      <c r="M46" s="17"/>
      <c r="O46" s="17"/>
      <c r="Q46" s="17">
        <v>246240351</v>
      </c>
    </row>
    <row r="47" spans="1:17" ht="21" x14ac:dyDescent="0.55000000000000004">
      <c r="A47" s="16" t="s">
        <v>242</v>
      </c>
      <c r="C47" s="17"/>
      <c r="D47" s="17"/>
      <c r="E47" s="17"/>
      <c r="F47" s="17"/>
      <c r="G47" s="17"/>
      <c r="H47" s="17"/>
      <c r="I47" s="17">
        <v>762470285</v>
      </c>
      <c r="J47" s="15"/>
      <c r="K47" s="17"/>
      <c r="M47" s="17"/>
      <c r="O47" s="17"/>
      <c r="Q47" s="17">
        <v>762470285</v>
      </c>
    </row>
    <row r="48" spans="1:17" ht="21" x14ac:dyDescent="0.55000000000000004">
      <c r="A48" s="16" t="s">
        <v>243</v>
      </c>
      <c r="C48" s="17">
        <v>0</v>
      </c>
      <c r="D48" s="17"/>
      <c r="E48" s="17">
        <v>0</v>
      </c>
      <c r="F48" s="17"/>
      <c r="G48" s="17">
        <v>0</v>
      </c>
      <c r="H48" s="17"/>
      <c r="I48" s="17">
        <v>0</v>
      </c>
      <c r="J48" s="15"/>
      <c r="K48" s="17"/>
      <c r="M48" s="17"/>
      <c r="O48" s="17"/>
      <c r="Q48" s="17">
        <v>67514952</v>
      </c>
    </row>
    <row r="49" spans="1:17" ht="21" x14ac:dyDescent="0.55000000000000004">
      <c r="A49" s="16" t="s">
        <v>244</v>
      </c>
      <c r="C49" s="17"/>
      <c r="D49" s="17"/>
      <c r="E49" s="17"/>
      <c r="F49" s="17"/>
      <c r="G49" s="17"/>
      <c r="H49" s="17"/>
      <c r="I49" s="17">
        <v>365668940</v>
      </c>
      <c r="J49" s="15"/>
      <c r="K49" s="17"/>
      <c r="M49" s="17"/>
      <c r="O49" s="17"/>
      <c r="Q49" s="17">
        <v>365668940</v>
      </c>
    </row>
    <row r="50" spans="1:17" ht="21" x14ac:dyDescent="0.55000000000000004">
      <c r="A50" s="16" t="s">
        <v>245</v>
      </c>
      <c r="C50" s="17">
        <v>0</v>
      </c>
      <c r="D50" s="17"/>
      <c r="E50" s="17">
        <v>0</v>
      </c>
      <c r="F50" s="17"/>
      <c r="G50" s="17">
        <v>0</v>
      </c>
      <c r="H50" s="17"/>
      <c r="I50" s="17">
        <v>0</v>
      </c>
      <c r="J50" s="15"/>
      <c r="K50" s="17"/>
      <c r="M50" s="17"/>
      <c r="O50" s="17"/>
      <c r="Q50" s="17">
        <v>292147825</v>
      </c>
    </row>
    <row r="51" spans="1:17" ht="21" x14ac:dyDescent="0.55000000000000004">
      <c r="A51" s="16" t="s">
        <v>246</v>
      </c>
      <c r="C51" s="17">
        <v>0</v>
      </c>
      <c r="D51" s="17"/>
      <c r="E51" s="17">
        <v>0</v>
      </c>
      <c r="F51" s="17"/>
      <c r="G51" s="17">
        <v>0</v>
      </c>
      <c r="H51" s="17"/>
      <c r="I51" s="17">
        <v>0</v>
      </c>
      <c r="J51" s="15"/>
      <c r="K51" s="17"/>
      <c r="M51" s="17"/>
      <c r="O51" s="17"/>
      <c r="Q51" s="17">
        <v>815842743</v>
      </c>
    </row>
    <row r="52" spans="1:17" ht="21" x14ac:dyDescent="0.55000000000000004">
      <c r="A52" s="16" t="s">
        <v>284</v>
      </c>
      <c r="C52" s="17"/>
      <c r="D52" s="17"/>
      <c r="E52" s="17"/>
      <c r="F52" s="17"/>
      <c r="G52" s="17"/>
      <c r="H52" s="17"/>
      <c r="I52" s="17">
        <v>139779875</v>
      </c>
      <c r="J52" s="15"/>
      <c r="K52" s="17"/>
      <c r="M52" s="17"/>
      <c r="O52" s="17"/>
      <c r="Q52" s="17">
        <v>139779875</v>
      </c>
    </row>
    <row r="53" spans="1:17" ht="21" x14ac:dyDescent="0.55000000000000004">
      <c r="A53" s="16" t="s">
        <v>247</v>
      </c>
      <c r="C53" s="17"/>
      <c r="D53" s="17"/>
      <c r="E53" s="17"/>
      <c r="F53" s="17"/>
      <c r="G53" s="17"/>
      <c r="H53" s="17"/>
      <c r="I53" s="17">
        <v>27528204</v>
      </c>
      <c r="J53" s="15"/>
      <c r="K53" s="17"/>
      <c r="M53" s="17"/>
      <c r="O53" s="17"/>
      <c r="Q53" s="17">
        <v>27528204</v>
      </c>
    </row>
    <row r="54" spans="1:17" ht="21" x14ac:dyDescent="0.55000000000000004">
      <c r="A54" s="16" t="s">
        <v>248</v>
      </c>
      <c r="C54" s="17"/>
      <c r="D54" s="17"/>
      <c r="E54" s="17"/>
      <c r="F54" s="17"/>
      <c r="G54" s="17"/>
      <c r="H54" s="17"/>
      <c r="I54" s="17">
        <v>407621359</v>
      </c>
      <c r="J54" s="15"/>
      <c r="K54" s="17"/>
      <c r="M54" s="17"/>
      <c r="O54" s="17"/>
      <c r="Q54" s="17">
        <v>407621359</v>
      </c>
    </row>
    <row r="55" spans="1:17" ht="21" x14ac:dyDescent="0.55000000000000004">
      <c r="A55" s="16" t="s">
        <v>250</v>
      </c>
      <c r="C55" s="17"/>
      <c r="D55" s="17"/>
      <c r="E55" s="17"/>
      <c r="F55" s="17"/>
      <c r="G55" s="17"/>
      <c r="H55" s="17"/>
      <c r="I55" s="17">
        <v>486645713</v>
      </c>
      <c r="J55" s="15"/>
      <c r="K55" s="17"/>
      <c r="M55" s="17"/>
      <c r="O55" s="17"/>
      <c r="Q55" s="17">
        <v>486645713</v>
      </c>
    </row>
    <row r="56" spans="1:17" ht="21" x14ac:dyDescent="0.55000000000000004">
      <c r="A56" s="16" t="s">
        <v>286</v>
      </c>
      <c r="C56" s="17"/>
      <c r="D56" s="17"/>
      <c r="E56" s="17"/>
      <c r="F56" s="17"/>
      <c r="G56" s="17"/>
      <c r="H56" s="17"/>
      <c r="I56" s="17">
        <v>41960571</v>
      </c>
      <c r="J56" s="15"/>
      <c r="K56" s="17">
        <v>0</v>
      </c>
      <c r="L56" s="17"/>
      <c r="M56" s="17">
        <v>0</v>
      </c>
      <c r="N56" s="17"/>
      <c r="O56" s="17">
        <v>0</v>
      </c>
      <c r="Q56" s="17">
        <v>0</v>
      </c>
    </row>
    <row r="57" spans="1:17" ht="21" x14ac:dyDescent="0.55000000000000004">
      <c r="A57" s="16" t="s">
        <v>251</v>
      </c>
      <c r="C57" s="17">
        <v>0</v>
      </c>
      <c r="D57" s="17"/>
      <c r="E57" s="17">
        <v>0</v>
      </c>
      <c r="F57" s="17"/>
      <c r="G57" s="17">
        <v>0</v>
      </c>
      <c r="H57" s="17"/>
      <c r="I57" s="17">
        <v>0</v>
      </c>
      <c r="J57" s="15"/>
      <c r="K57" s="17"/>
      <c r="M57" s="17"/>
      <c r="O57" s="17"/>
      <c r="Q57" s="17">
        <v>278569994</v>
      </c>
    </row>
    <row r="58" spans="1:17" ht="21" x14ac:dyDescent="0.55000000000000004">
      <c r="A58" s="16" t="s">
        <v>285</v>
      </c>
      <c r="C58" s="17"/>
      <c r="D58" s="17"/>
      <c r="E58" s="17"/>
      <c r="F58" s="17"/>
      <c r="G58" s="17"/>
      <c r="H58" s="17"/>
      <c r="I58" s="17">
        <v>278569994</v>
      </c>
      <c r="J58" s="15"/>
      <c r="K58" s="17">
        <v>0</v>
      </c>
      <c r="L58" s="17"/>
      <c r="M58" s="17">
        <v>0</v>
      </c>
      <c r="N58" s="17"/>
      <c r="O58" s="17">
        <v>0</v>
      </c>
      <c r="Q58" s="17">
        <v>0</v>
      </c>
    </row>
    <row r="59" spans="1:17" ht="21" x14ac:dyDescent="0.55000000000000004">
      <c r="A59" s="16" t="s">
        <v>253</v>
      </c>
      <c r="C59" s="17"/>
      <c r="D59" s="17"/>
      <c r="E59" s="17"/>
      <c r="F59" s="17"/>
      <c r="G59" s="17"/>
      <c r="H59" s="17"/>
      <c r="I59" s="17">
        <v>130771169</v>
      </c>
      <c r="J59" s="15"/>
      <c r="K59" s="17"/>
      <c r="M59" s="17"/>
      <c r="O59" s="17"/>
      <c r="Q59" s="17">
        <v>130771169</v>
      </c>
    </row>
    <row r="60" spans="1:17" ht="21" x14ac:dyDescent="0.55000000000000004">
      <c r="A60" s="16" t="s">
        <v>289</v>
      </c>
      <c r="C60" s="17">
        <v>0</v>
      </c>
      <c r="D60" s="17"/>
      <c r="E60" s="17">
        <v>0</v>
      </c>
      <c r="F60" s="17"/>
      <c r="G60" s="17">
        <v>0</v>
      </c>
      <c r="H60" s="17"/>
      <c r="I60" s="17">
        <v>0</v>
      </c>
      <c r="J60" s="15"/>
      <c r="K60" s="17"/>
      <c r="M60" s="17"/>
      <c r="O60" s="17"/>
      <c r="Q60" s="17">
        <v>-4999124626</v>
      </c>
    </row>
    <row r="61" spans="1:17" ht="21" x14ac:dyDescent="0.55000000000000004">
      <c r="A61" s="16" t="s">
        <v>290</v>
      </c>
      <c r="C61" s="17">
        <v>0</v>
      </c>
      <c r="D61" s="17"/>
      <c r="E61" s="17">
        <v>0</v>
      </c>
      <c r="F61" s="17"/>
      <c r="G61" s="17">
        <v>0</v>
      </c>
      <c r="H61" s="17"/>
      <c r="I61" s="17">
        <v>0</v>
      </c>
      <c r="J61" s="15"/>
      <c r="K61" s="17"/>
      <c r="M61" s="17"/>
      <c r="O61" s="17"/>
      <c r="Q61" s="17">
        <v>169892337</v>
      </c>
    </row>
    <row r="62" spans="1:17" ht="21" x14ac:dyDescent="0.55000000000000004">
      <c r="A62" s="16" t="s">
        <v>291</v>
      </c>
      <c r="C62" s="17">
        <v>0</v>
      </c>
      <c r="D62" s="17"/>
      <c r="E62" s="17">
        <v>0</v>
      </c>
      <c r="F62" s="17"/>
      <c r="G62" s="17">
        <v>0</v>
      </c>
      <c r="H62" s="17"/>
      <c r="I62" s="17">
        <v>0</v>
      </c>
      <c r="J62" s="15"/>
      <c r="K62" s="17"/>
      <c r="M62" s="17"/>
      <c r="O62" s="17"/>
      <c r="Q62" s="17">
        <v>152611430</v>
      </c>
    </row>
    <row r="63" spans="1:17" ht="21" x14ac:dyDescent="0.55000000000000004">
      <c r="A63" s="16" t="s">
        <v>292</v>
      </c>
      <c r="C63" s="17">
        <v>0</v>
      </c>
      <c r="D63" s="17"/>
      <c r="E63" s="17">
        <v>0</v>
      </c>
      <c r="F63" s="17"/>
      <c r="G63" s="17">
        <v>0</v>
      </c>
      <c r="H63" s="17"/>
      <c r="I63" s="17">
        <v>0</v>
      </c>
      <c r="J63" s="15"/>
      <c r="K63" s="17"/>
      <c r="M63" s="17"/>
      <c r="O63" s="17"/>
      <c r="Q63" s="17">
        <v>190746694</v>
      </c>
    </row>
    <row r="64" spans="1:17" ht="21" x14ac:dyDescent="0.55000000000000004">
      <c r="A64" s="16" t="s">
        <v>293</v>
      </c>
      <c r="C64" s="17">
        <v>0</v>
      </c>
      <c r="D64" s="17"/>
      <c r="E64" s="17">
        <v>0</v>
      </c>
      <c r="F64" s="17"/>
      <c r="G64" s="17">
        <v>0</v>
      </c>
      <c r="H64" s="17"/>
      <c r="I64" s="17">
        <v>0</v>
      </c>
      <c r="J64" s="15"/>
      <c r="K64" s="17"/>
      <c r="M64" s="17"/>
      <c r="O64" s="17"/>
      <c r="Q64" s="17">
        <v>37185668</v>
      </c>
    </row>
    <row r="65" spans="1:17" ht="21" x14ac:dyDescent="0.55000000000000004">
      <c r="A65" s="16" t="s">
        <v>294</v>
      </c>
      <c r="C65" s="17">
        <v>0</v>
      </c>
      <c r="D65" s="17"/>
      <c r="E65" s="17">
        <v>0</v>
      </c>
      <c r="F65" s="17"/>
      <c r="G65" s="17">
        <v>0</v>
      </c>
      <c r="H65" s="17"/>
      <c r="I65" s="17">
        <v>0</v>
      </c>
      <c r="J65" s="15"/>
      <c r="K65" s="17"/>
      <c r="M65" s="17"/>
      <c r="O65" s="17"/>
      <c r="Q65" s="17">
        <v>1377570353</v>
      </c>
    </row>
    <row r="66" spans="1:17" ht="21" x14ac:dyDescent="0.55000000000000004">
      <c r="A66" s="16" t="s">
        <v>295</v>
      </c>
      <c r="C66" s="17">
        <v>0</v>
      </c>
      <c r="D66" s="17"/>
      <c r="E66" s="17">
        <v>0</v>
      </c>
      <c r="F66" s="17"/>
      <c r="G66" s="17">
        <v>0</v>
      </c>
      <c r="H66" s="17"/>
      <c r="I66" s="17">
        <v>0</v>
      </c>
      <c r="J66" s="15"/>
      <c r="K66" s="17"/>
      <c r="M66" s="17"/>
      <c r="O66" s="17"/>
      <c r="Q66" s="17">
        <v>41960571</v>
      </c>
    </row>
    <row r="67" spans="1:17" ht="21" x14ac:dyDescent="0.55000000000000004">
      <c r="A67" s="16" t="s">
        <v>259</v>
      </c>
      <c r="C67" s="17">
        <v>0</v>
      </c>
      <c r="D67" s="17"/>
      <c r="E67" s="17">
        <v>0</v>
      </c>
      <c r="F67" s="17"/>
      <c r="G67" s="17">
        <v>0</v>
      </c>
      <c r="H67" s="17"/>
      <c r="I67" s="17">
        <v>0</v>
      </c>
      <c r="J67" s="15"/>
      <c r="K67" s="17"/>
      <c r="M67" s="17"/>
      <c r="O67" s="17"/>
      <c r="Q67" s="17">
        <v>2635614794</v>
      </c>
    </row>
    <row r="68" spans="1:17" ht="21" x14ac:dyDescent="0.55000000000000004">
      <c r="A68" s="16" t="s">
        <v>260</v>
      </c>
      <c r="C68" s="17">
        <v>0</v>
      </c>
      <c r="D68" s="17"/>
      <c r="E68" s="17">
        <v>0</v>
      </c>
      <c r="F68" s="17"/>
      <c r="G68" s="17">
        <v>0</v>
      </c>
      <c r="H68" s="17"/>
      <c r="I68" s="17">
        <v>0</v>
      </c>
      <c r="J68" s="15"/>
      <c r="K68" s="17"/>
      <c r="M68" s="17"/>
      <c r="O68" s="17"/>
      <c r="Q68" s="17">
        <v>220595472</v>
      </c>
    </row>
    <row r="69" spans="1:17" ht="21" x14ac:dyDescent="0.55000000000000004">
      <c r="A69" s="16" t="s">
        <v>261</v>
      </c>
      <c r="C69" s="17">
        <v>0</v>
      </c>
      <c r="D69" s="17"/>
      <c r="E69" s="17">
        <v>0</v>
      </c>
      <c r="F69" s="17"/>
      <c r="G69" s="17">
        <v>0</v>
      </c>
      <c r="H69" s="17"/>
      <c r="I69" s="17">
        <v>0</v>
      </c>
      <c r="J69" s="15"/>
      <c r="K69" s="17"/>
      <c r="M69" s="17"/>
      <c r="O69" s="17"/>
      <c r="Q69" s="17">
        <v>250998754</v>
      </c>
    </row>
    <row r="70" spans="1:17" ht="21" x14ac:dyDescent="0.55000000000000004">
      <c r="A70" s="16" t="s">
        <v>262</v>
      </c>
      <c r="C70" s="17">
        <v>0</v>
      </c>
      <c r="D70" s="17"/>
      <c r="E70" s="17">
        <v>0</v>
      </c>
      <c r="F70" s="17"/>
      <c r="G70" s="17">
        <v>0</v>
      </c>
      <c r="H70" s="17"/>
      <c r="I70" s="17">
        <v>0</v>
      </c>
      <c r="J70" s="15"/>
      <c r="K70" s="17"/>
      <c r="M70" s="17"/>
      <c r="O70" s="17"/>
      <c r="Q70" s="17">
        <v>137838676</v>
      </c>
    </row>
    <row r="71" spans="1:17" ht="21" x14ac:dyDescent="0.55000000000000004">
      <c r="A71" s="16" t="s">
        <v>263</v>
      </c>
      <c r="C71" s="17">
        <v>0</v>
      </c>
      <c r="D71" s="17"/>
      <c r="E71" s="17">
        <v>0</v>
      </c>
      <c r="F71" s="17"/>
      <c r="G71" s="17">
        <v>0</v>
      </c>
      <c r="H71" s="17"/>
      <c r="I71" s="17">
        <v>0</v>
      </c>
      <c r="J71" s="15"/>
      <c r="K71" s="17"/>
      <c r="M71" s="17"/>
      <c r="O71" s="17"/>
      <c r="Q71" s="17">
        <v>97524246</v>
      </c>
    </row>
    <row r="72" spans="1:17" ht="21" x14ac:dyDescent="0.55000000000000004">
      <c r="A72" s="16" t="s">
        <v>264</v>
      </c>
      <c r="C72" s="17">
        <v>0</v>
      </c>
      <c r="D72" s="17"/>
      <c r="E72" s="17">
        <v>0</v>
      </c>
      <c r="F72" s="17"/>
      <c r="G72" s="17">
        <v>0</v>
      </c>
      <c r="H72" s="17"/>
      <c r="I72" s="17">
        <v>0</v>
      </c>
      <c r="J72" s="15"/>
      <c r="K72" s="17"/>
      <c r="M72" s="17"/>
      <c r="O72" s="17"/>
      <c r="Q72" s="17">
        <v>1604128594</v>
      </c>
    </row>
    <row r="73" spans="1:17" ht="21" x14ac:dyDescent="0.55000000000000004">
      <c r="A73" s="16" t="s">
        <v>265</v>
      </c>
      <c r="C73" s="17">
        <v>0</v>
      </c>
      <c r="D73" s="17"/>
      <c r="E73" s="17">
        <v>0</v>
      </c>
      <c r="F73" s="17"/>
      <c r="G73" s="17">
        <v>0</v>
      </c>
      <c r="H73" s="17"/>
      <c r="I73" s="17">
        <v>0</v>
      </c>
      <c r="J73" s="15"/>
      <c r="K73" s="17"/>
      <c r="M73" s="17"/>
      <c r="O73" s="17"/>
      <c r="Q73" s="17">
        <v>798792798</v>
      </c>
    </row>
    <row r="74" spans="1:17" ht="21" x14ac:dyDescent="0.55000000000000004">
      <c r="A74" s="16" t="s">
        <v>266</v>
      </c>
      <c r="C74" s="17">
        <v>0</v>
      </c>
      <c r="D74" s="17"/>
      <c r="E74" s="17">
        <v>0</v>
      </c>
      <c r="F74" s="17"/>
      <c r="G74" s="17">
        <v>0</v>
      </c>
      <c r="H74" s="17"/>
      <c r="I74" s="17">
        <v>0</v>
      </c>
      <c r="J74" s="15"/>
      <c r="K74" s="17"/>
      <c r="M74" s="17"/>
      <c r="O74" s="17"/>
      <c r="Q74" s="17">
        <v>140314108</v>
      </c>
    </row>
    <row r="75" spans="1:17" ht="21" x14ac:dyDescent="0.55000000000000004">
      <c r="A75" s="16" t="s">
        <v>282</v>
      </c>
      <c r="C75" s="17">
        <v>0</v>
      </c>
      <c r="D75" s="17"/>
      <c r="E75" s="17">
        <v>0</v>
      </c>
      <c r="F75" s="17"/>
      <c r="G75" s="17">
        <v>0</v>
      </c>
      <c r="H75" s="17"/>
      <c r="I75" s="17">
        <v>0</v>
      </c>
      <c r="J75" s="15"/>
      <c r="K75" s="17"/>
      <c r="M75" s="17"/>
      <c r="O75" s="17"/>
      <c r="Q75" s="17">
        <v>769032514</v>
      </c>
    </row>
    <row r="76" spans="1:17" ht="21" x14ac:dyDescent="0.55000000000000004">
      <c r="A76" s="16" t="s">
        <v>267</v>
      </c>
      <c r="C76" s="17">
        <v>0</v>
      </c>
      <c r="D76" s="17"/>
      <c r="E76" s="17">
        <v>0</v>
      </c>
      <c r="F76" s="17"/>
      <c r="G76" s="17">
        <v>0</v>
      </c>
      <c r="H76" s="17"/>
      <c r="I76" s="17">
        <v>0</v>
      </c>
      <c r="J76" s="15"/>
      <c r="K76" s="17"/>
      <c r="M76" s="17"/>
      <c r="O76" s="17"/>
      <c r="Q76" s="17">
        <v>1173724363</v>
      </c>
    </row>
    <row r="77" spans="1:17" ht="21" x14ac:dyDescent="0.55000000000000004">
      <c r="A77" s="16" t="s">
        <v>268</v>
      </c>
      <c r="C77" s="17">
        <v>0</v>
      </c>
      <c r="D77" s="17"/>
      <c r="E77" s="17">
        <v>0</v>
      </c>
      <c r="F77" s="17"/>
      <c r="G77" s="17">
        <v>0</v>
      </c>
      <c r="H77" s="17"/>
      <c r="I77" s="17">
        <v>0</v>
      </c>
      <c r="J77" s="15"/>
      <c r="K77" s="17"/>
      <c r="M77" s="17"/>
      <c r="O77" s="17"/>
      <c r="Q77" s="17">
        <v>1155071</v>
      </c>
    </row>
    <row r="78" spans="1:17" ht="21" x14ac:dyDescent="0.55000000000000004">
      <c r="A78" s="16" t="s">
        <v>269</v>
      </c>
      <c r="C78" s="17">
        <v>0</v>
      </c>
      <c r="D78" s="17"/>
      <c r="E78" s="17">
        <v>0</v>
      </c>
      <c r="F78" s="17"/>
      <c r="G78" s="17">
        <v>0</v>
      </c>
      <c r="H78" s="17"/>
      <c r="I78" s="17">
        <v>0</v>
      </c>
      <c r="J78" s="15"/>
      <c r="K78" s="17"/>
      <c r="M78" s="17"/>
      <c r="O78" s="17"/>
      <c r="Q78" s="17">
        <v>1327034090</v>
      </c>
    </row>
    <row r="79" spans="1:17" ht="21" x14ac:dyDescent="0.55000000000000004">
      <c r="A79" s="16" t="s">
        <v>270</v>
      </c>
      <c r="C79" s="17">
        <v>0</v>
      </c>
      <c r="D79" s="17"/>
      <c r="E79" s="17">
        <v>0</v>
      </c>
      <c r="F79" s="17"/>
      <c r="G79" s="17">
        <v>0</v>
      </c>
      <c r="H79" s="17"/>
      <c r="I79" s="17">
        <v>0</v>
      </c>
      <c r="J79" s="15"/>
      <c r="K79" s="17"/>
      <c r="M79" s="17"/>
      <c r="O79" s="17"/>
      <c r="Q79" s="17">
        <v>-5922</v>
      </c>
    </row>
    <row r="80" spans="1:17" ht="21" x14ac:dyDescent="0.55000000000000004">
      <c r="A80" s="16" t="s">
        <v>271</v>
      </c>
      <c r="C80" s="17"/>
      <c r="D80" s="17"/>
      <c r="E80" s="17"/>
      <c r="F80" s="17"/>
      <c r="G80" s="17"/>
      <c r="H80" s="17"/>
      <c r="I80" s="17">
        <v>370921212</v>
      </c>
      <c r="J80" s="15"/>
      <c r="K80" s="17"/>
      <c r="M80" s="17"/>
      <c r="O80" s="17"/>
      <c r="Q80" s="17">
        <v>603719549</v>
      </c>
    </row>
    <row r="81" spans="1:17" ht="21" x14ac:dyDescent="0.55000000000000004">
      <c r="A81" s="16" t="s">
        <v>272</v>
      </c>
      <c r="C81" s="17">
        <v>0</v>
      </c>
      <c r="D81" s="17"/>
      <c r="E81" s="17">
        <v>0</v>
      </c>
      <c r="F81" s="17"/>
      <c r="G81" s="17">
        <v>0</v>
      </c>
      <c r="H81" s="17"/>
      <c r="I81" s="17">
        <v>0</v>
      </c>
      <c r="J81" s="15"/>
      <c r="K81" s="17"/>
      <c r="M81" s="17"/>
      <c r="O81" s="17"/>
      <c r="Q81" s="17">
        <v>315434648</v>
      </c>
    </row>
    <row r="82" spans="1:17" ht="21" x14ac:dyDescent="0.55000000000000004">
      <c r="A82" s="16" t="s">
        <v>273</v>
      </c>
      <c r="C82" s="17">
        <v>0</v>
      </c>
      <c r="D82" s="17"/>
      <c r="E82" s="17">
        <v>0</v>
      </c>
      <c r="F82" s="17"/>
      <c r="G82" s="17">
        <v>0</v>
      </c>
      <c r="H82" s="17"/>
      <c r="I82" s="17">
        <v>0</v>
      </c>
      <c r="J82" s="15"/>
      <c r="K82" s="17"/>
      <c r="M82" s="17"/>
      <c r="O82" s="17"/>
      <c r="Q82" s="17">
        <v>292526296</v>
      </c>
    </row>
    <row r="83" spans="1:17" ht="21" x14ac:dyDescent="0.55000000000000004">
      <c r="A83" s="16" t="s">
        <v>274</v>
      </c>
      <c r="C83" s="17"/>
      <c r="D83" s="17"/>
      <c r="E83" s="17"/>
      <c r="F83" s="17"/>
      <c r="G83" s="17"/>
      <c r="H83" s="17"/>
      <c r="I83" s="17">
        <v>-1476853916</v>
      </c>
      <c r="J83" s="15"/>
      <c r="K83" s="17"/>
      <c r="M83" s="17"/>
      <c r="O83" s="17"/>
      <c r="Q83" s="17">
        <v>-890035553</v>
      </c>
    </row>
    <row r="84" spans="1:17" ht="21" x14ac:dyDescent="0.55000000000000004">
      <c r="A84" s="16" t="s">
        <v>275</v>
      </c>
      <c r="C84" s="17">
        <v>0</v>
      </c>
      <c r="D84" s="17"/>
      <c r="E84" s="17">
        <v>0</v>
      </c>
      <c r="F84" s="17"/>
      <c r="G84" s="17">
        <v>0</v>
      </c>
      <c r="H84" s="17"/>
      <c r="I84" s="17">
        <v>0</v>
      </c>
      <c r="J84" s="15"/>
      <c r="K84" s="17"/>
      <c r="M84" s="17"/>
      <c r="O84" s="17"/>
      <c r="Q84" s="17">
        <v>4658928</v>
      </c>
    </row>
    <row r="85" spans="1:17" ht="21" x14ac:dyDescent="0.55000000000000004">
      <c r="A85" s="16" t="s">
        <v>276</v>
      </c>
      <c r="C85" s="17">
        <v>0</v>
      </c>
      <c r="D85" s="17"/>
      <c r="E85" s="17">
        <v>0</v>
      </c>
      <c r="F85" s="17"/>
      <c r="G85" s="17">
        <v>0</v>
      </c>
      <c r="H85" s="17"/>
      <c r="I85" s="17">
        <v>0</v>
      </c>
      <c r="J85" s="15"/>
      <c r="K85" s="17"/>
      <c r="M85" s="17"/>
      <c r="O85" s="17"/>
      <c r="Q85" s="17">
        <v>314113740</v>
      </c>
    </row>
    <row r="86" spans="1:17" ht="21" x14ac:dyDescent="0.55000000000000004">
      <c r="A86" s="16" t="s">
        <v>277</v>
      </c>
      <c r="C86" s="17">
        <v>0</v>
      </c>
      <c r="D86" s="17"/>
      <c r="E86" s="17">
        <v>0</v>
      </c>
      <c r="F86" s="17"/>
      <c r="G86" s="17">
        <v>0</v>
      </c>
      <c r="H86" s="17"/>
      <c r="I86" s="17">
        <v>0</v>
      </c>
      <c r="J86" s="15"/>
      <c r="K86" s="17"/>
      <c r="M86" s="17"/>
      <c r="O86" s="17"/>
      <c r="Q86" s="17">
        <v>3351200</v>
      </c>
    </row>
    <row r="87" spans="1:17" ht="21" x14ac:dyDescent="0.55000000000000004">
      <c r="A87" s="16" t="s">
        <v>279</v>
      </c>
      <c r="C87" s="17">
        <v>0</v>
      </c>
      <c r="D87" s="17"/>
      <c r="E87" s="17">
        <v>0</v>
      </c>
      <c r="F87" s="17"/>
      <c r="G87" s="17">
        <v>0</v>
      </c>
      <c r="H87" s="17"/>
      <c r="I87" s="17">
        <v>0</v>
      </c>
      <c r="J87" s="15"/>
      <c r="K87" s="17"/>
      <c r="M87" s="17"/>
      <c r="O87" s="17"/>
      <c r="Q87" s="17">
        <v>2056806</v>
      </c>
    </row>
    <row r="88" spans="1:17" ht="21" x14ac:dyDescent="0.55000000000000004">
      <c r="A88" s="16" t="s">
        <v>280</v>
      </c>
      <c r="C88" s="17"/>
      <c r="D88" s="17"/>
      <c r="E88" s="17"/>
      <c r="F88" s="17"/>
      <c r="G88" s="17"/>
      <c r="H88" s="17"/>
      <c r="I88" s="17">
        <v>15820222</v>
      </c>
      <c r="J88" s="15"/>
      <c r="K88" s="17"/>
      <c r="M88" s="17"/>
      <c r="O88" s="17"/>
      <c r="Q88" s="17">
        <v>15820222</v>
      </c>
    </row>
    <row r="89" spans="1:17" ht="21" x14ac:dyDescent="0.55000000000000004">
      <c r="A89" s="16" t="s">
        <v>296</v>
      </c>
      <c r="C89" s="17">
        <v>0</v>
      </c>
      <c r="D89" s="17"/>
      <c r="E89" s="17">
        <v>0</v>
      </c>
      <c r="F89" s="17"/>
      <c r="G89" s="17">
        <v>0</v>
      </c>
      <c r="H89" s="17"/>
      <c r="I89" s="17">
        <v>0</v>
      </c>
      <c r="J89" s="15"/>
      <c r="K89" s="17"/>
      <c r="M89" s="17"/>
      <c r="O89" s="17"/>
      <c r="Q89" s="17">
        <v>228052331</v>
      </c>
    </row>
    <row r="90" spans="1:17" ht="21" x14ac:dyDescent="0.55000000000000004">
      <c r="A90" s="16" t="s">
        <v>297</v>
      </c>
      <c r="C90" s="17">
        <v>0</v>
      </c>
      <c r="D90" s="17"/>
      <c r="E90" s="17">
        <v>0</v>
      </c>
      <c r="F90" s="17"/>
      <c r="G90" s="17">
        <v>0</v>
      </c>
      <c r="H90" s="17"/>
      <c r="I90" s="17">
        <v>0</v>
      </c>
      <c r="J90" s="15"/>
      <c r="K90" s="17"/>
      <c r="M90" s="17"/>
      <c r="O90" s="17"/>
      <c r="Q90" s="17">
        <v>2823802</v>
      </c>
    </row>
    <row r="91" spans="1:17" ht="21" x14ac:dyDescent="0.55000000000000004">
      <c r="A91" s="16" t="s">
        <v>298</v>
      </c>
      <c r="C91" s="17">
        <v>0</v>
      </c>
      <c r="D91" s="17"/>
      <c r="E91" s="17">
        <v>0</v>
      </c>
      <c r="F91" s="17"/>
      <c r="G91" s="17">
        <v>0</v>
      </c>
      <c r="H91" s="17"/>
      <c r="I91" s="17">
        <v>0</v>
      </c>
      <c r="J91" s="15"/>
      <c r="K91" s="17"/>
      <c r="M91" s="17"/>
      <c r="O91" s="17"/>
      <c r="Q91" s="17">
        <v>39885150</v>
      </c>
    </row>
    <row r="92" spans="1:17" ht="21" x14ac:dyDescent="0.55000000000000004">
      <c r="A92" s="16" t="s">
        <v>299</v>
      </c>
      <c r="C92" s="17">
        <v>0</v>
      </c>
      <c r="D92" s="17"/>
      <c r="E92" s="17">
        <v>0</v>
      </c>
      <c r="F92" s="17"/>
      <c r="G92" s="17">
        <v>0</v>
      </c>
      <c r="H92" s="17"/>
      <c r="I92" s="17">
        <v>0</v>
      </c>
      <c r="J92" s="15"/>
      <c r="K92" s="17"/>
      <c r="M92" s="17"/>
      <c r="O92" s="17"/>
      <c r="Q92" s="17">
        <v>-1001</v>
      </c>
    </row>
    <row r="93" spans="1:17" ht="21" x14ac:dyDescent="0.55000000000000004">
      <c r="A93" s="16" t="s">
        <v>300</v>
      </c>
      <c r="C93" s="17">
        <v>0</v>
      </c>
      <c r="D93" s="17"/>
      <c r="E93" s="17">
        <v>0</v>
      </c>
      <c r="F93" s="17"/>
      <c r="G93" s="17">
        <v>0</v>
      </c>
      <c r="H93" s="17"/>
      <c r="I93" s="17">
        <v>0</v>
      </c>
      <c r="J93" s="15"/>
      <c r="K93" s="17"/>
      <c r="M93" s="17"/>
      <c r="O93" s="17"/>
      <c r="Q93" s="17">
        <v>-2697975</v>
      </c>
    </row>
    <row r="94" spans="1:17" ht="21" x14ac:dyDescent="0.55000000000000004">
      <c r="A94" s="16" t="s">
        <v>69</v>
      </c>
      <c r="C94" s="17">
        <v>0</v>
      </c>
      <c r="D94" s="17"/>
      <c r="E94" s="17">
        <v>0</v>
      </c>
      <c r="F94" s="17"/>
      <c r="G94" s="17">
        <v>0</v>
      </c>
      <c r="H94" s="17"/>
      <c r="I94" s="17">
        <v>0</v>
      </c>
      <c r="J94" s="15"/>
      <c r="K94" s="17">
        <v>75000</v>
      </c>
      <c r="M94" s="17">
        <v>717207107</v>
      </c>
      <c r="O94" s="17">
        <v>521194307</v>
      </c>
      <c r="Q94" s="17">
        <v>196012800</v>
      </c>
    </row>
    <row r="95" spans="1:17" ht="21" x14ac:dyDescent="0.55000000000000004">
      <c r="A95" s="16" t="s">
        <v>70</v>
      </c>
      <c r="C95" s="17">
        <v>0</v>
      </c>
      <c r="D95" s="17"/>
      <c r="E95" s="17">
        <v>0</v>
      </c>
      <c r="F95" s="17"/>
      <c r="G95" s="17">
        <v>0</v>
      </c>
      <c r="H95" s="17"/>
      <c r="I95" s="17">
        <v>0</v>
      </c>
      <c r="J95" s="15"/>
      <c r="K95" s="17">
        <v>1000000</v>
      </c>
      <c r="M95" s="17">
        <v>4170420373</v>
      </c>
      <c r="O95" s="17">
        <v>4515857909</v>
      </c>
      <c r="Q95" s="17">
        <v>-345437536</v>
      </c>
    </row>
    <row r="96" spans="1:17" ht="21" x14ac:dyDescent="0.55000000000000004">
      <c r="A96" s="16" t="s">
        <v>71</v>
      </c>
      <c r="C96" s="17">
        <v>0</v>
      </c>
      <c r="D96" s="17"/>
      <c r="E96" s="17">
        <v>0</v>
      </c>
      <c r="F96" s="17"/>
      <c r="G96" s="17">
        <v>0</v>
      </c>
      <c r="H96" s="17"/>
      <c r="I96" s="17">
        <v>0</v>
      </c>
      <c r="J96" s="15"/>
      <c r="K96" s="17">
        <v>1000000</v>
      </c>
      <c r="M96" s="17">
        <v>3621324170</v>
      </c>
      <c r="O96" s="17">
        <v>2592569738</v>
      </c>
      <c r="Q96" s="17">
        <v>1028754432</v>
      </c>
    </row>
    <row r="97" spans="1:17" ht="21" x14ac:dyDescent="0.55000000000000004">
      <c r="A97" s="16" t="s">
        <v>72</v>
      </c>
      <c r="C97" s="17">
        <v>2700000</v>
      </c>
      <c r="D97" s="17"/>
      <c r="E97" s="17">
        <v>10139193638</v>
      </c>
      <c r="F97" s="17"/>
      <c r="G97" s="17">
        <v>11615719631</v>
      </c>
      <c r="H97" s="17"/>
      <c r="I97" s="17">
        <v>-1476525993</v>
      </c>
      <c r="K97" s="17">
        <v>2700000</v>
      </c>
      <c r="M97" s="17">
        <v>10139193638</v>
      </c>
      <c r="O97" s="17">
        <v>11615719631</v>
      </c>
      <c r="Q97" s="17">
        <v>-1476525993</v>
      </c>
    </row>
    <row r="98" spans="1:17" ht="21" x14ac:dyDescent="0.55000000000000004">
      <c r="A98" s="16" t="s">
        <v>74</v>
      </c>
      <c r="C98" s="17">
        <v>0</v>
      </c>
      <c r="D98" s="17"/>
      <c r="E98" s="17">
        <v>0</v>
      </c>
      <c r="F98" s="17"/>
      <c r="G98" s="17">
        <v>0</v>
      </c>
      <c r="H98" s="17"/>
      <c r="I98" s="17">
        <v>0</v>
      </c>
      <c r="J98" s="15"/>
      <c r="K98" s="17">
        <v>6000000</v>
      </c>
      <c r="M98" s="17">
        <v>3554722902</v>
      </c>
      <c r="O98" s="17">
        <v>2590949474</v>
      </c>
      <c r="Q98" s="17">
        <v>963773428</v>
      </c>
    </row>
    <row r="99" spans="1:17" ht="21" x14ac:dyDescent="0.55000000000000004">
      <c r="A99" s="16" t="s">
        <v>75</v>
      </c>
      <c r="C99" s="17">
        <v>17600000</v>
      </c>
      <c r="D99" s="17"/>
      <c r="E99" s="17">
        <v>11398324626</v>
      </c>
      <c r="F99" s="17"/>
      <c r="G99" s="17">
        <v>11418474273</v>
      </c>
      <c r="H99" s="17"/>
      <c r="I99" s="17">
        <v>-20149647</v>
      </c>
      <c r="K99" s="17">
        <v>17600000</v>
      </c>
      <c r="M99" s="17">
        <v>11398324626</v>
      </c>
      <c r="O99" s="17">
        <v>11418474273</v>
      </c>
      <c r="Q99" s="17">
        <v>-20149647</v>
      </c>
    </row>
    <row r="100" spans="1:17" ht="21" x14ac:dyDescent="0.55000000000000004">
      <c r="A100" s="16" t="s">
        <v>161</v>
      </c>
      <c r="C100" s="17">
        <v>0</v>
      </c>
      <c r="D100" s="17"/>
      <c r="E100" s="17">
        <v>0</v>
      </c>
      <c r="F100" s="17"/>
      <c r="G100" s="17">
        <v>0</v>
      </c>
      <c r="H100" s="17"/>
      <c r="I100" s="17">
        <v>0</v>
      </c>
      <c r="J100" s="15"/>
      <c r="K100" s="17">
        <v>491813</v>
      </c>
      <c r="M100" s="17">
        <v>2682696973</v>
      </c>
      <c r="O100" s="17">
        <v>2819485476</v>
      </c>
      <c r="Q100" s="17">
        <v>-136788503</v>
      </c>
    </row>
    <row r="101" spans="1:17" ht="21" x14ac:dyDescent="0.55000000000000004">
      <c r="A101" s="16" t="s">
        <v>78</v>
      </c>
      <c r="C101" s="17">
        <v>0</v>
      </c>
      <c r="D101" s="17"/>
      <c r="E101" s="17">
        <v>0</v>
      </c>
      <c r="F101" s="17"/>
      <c r="G101" s="17">
        <v>0</v>
      </c>
      <c r="H101" s="17"/>
      <c r="I101" s="17">
        <v>0</v>
      </c>
      <c r="J101" s="15"/>
      <c r="K101" s="17">
        <v>285750</v>
      </c>
      <c r="M101" s="17">
        <v>15769900291</v>
      </c>
      <c r="O101" s="17">
        <v>12919038315</v>
      </c>
      <c r="Q101" s="17">
        <v>2850861976</v>
      </c>
    </row>
    <row r="102" spans="1:17" ht="21" x14ac:dyDescent="0.55000000000000004">
      <c r="A102" s="16" t="s">
        <v>79</v>
      </c>
      <c r="C102" s="17">
        <v>0</v>
      </c>
      <c r="D102" s="17"/>
      <c r="E102" s="17">
        <v>0</v>
      </c>
      <c r="F102" s="17"/>
      <c r="G102" s="17">
        <v>0</v>
      </c>
      <c r="H102" s="17"/>
      <c r="I102" s="17">
        <v>0</v>
      </c>
      <c r="J102" s="15"/>
      <c r="K102" s="17">
        <v>2000000</v>
      </c>
      <c r="M102" s="17">
        <v>4769451925</v>
      </c>
      <c r="O102" s="17">
        <v>5871486070</v>
      </c>
      <c r="Q102" s="17">
        <v>-1102034145</v>
      </c>
    </row>
    <row r="103" spans="1:17" ht="21" x14ac:dyDescent="0.55000000000000004">
      <c r="A103" s="16" t="s">
        <v>80</v>
      </c>
      <c r="C103" s="17">
        <v>0</v>
      </c>
      <c r="D103" s="17"/>
      <c r="E103" s="17">
        <v>0</v>
      </c>
      <c r="F103" s="17"/>
      <c r="G103" s="17">
        <v>0</v>
      </c>
      <c r="H103" s="17"/>
      <c r="I103" s="17">
        <v>0</v>
      </c>
      <c r="J103" s="15"/>
      <c r="K103" s="17">
        <v>900000</v>
      </c>
      <c r="M103" s="17">
        <v>3867396344</v>
      </c>
      <c r="O103" s="17">
        <v>2909570409</v>
      </c>
      <c r="Q103" s="17">
        <v>957825935</v>
      </c>
    </row>
    <row r="104" spans="1:17" ht="21" x14ac:dyDescent="0.55000000000000004">
      <c r="A104" s="16" t="s">
        <v>81</v>
      </c>
      <c r="C104" s="17">
        <v>0</v>
      </c>
      <c r="D104" s="17"/>
      <c r="E104" s="17">
        <v>0</v>
      </c>
      <c r="F104" s="17"/>
      <c r="G104" s="17">
        <v>0</v>
      </c>
      <c r="H104" s="17"/>
      <c r="I104" s="17">
        <v>0</v>
      </c>
      <c r="J104" s="15"/>
      <c r="K104" s="17">
        <v>800000</v>
      </c>
      <c r="M104" s="17">
        <v>6202872074</v>
      </c>
      <c r="O104" s="17">
        <v>5195551274</v>
      </c>
      <c r="Q104" s="17">
        <v>1007320800</v>
      </c>
    </row>
    <row r="105" spans="1:17" ht="21" x14ac:dyDescent="0.55000000000000004">
      <c r="A105" s="16" t="s">
        <v>162</v>
      </c>
      <c r="C105" s="17">
        <v>0</v>
      </c>
      <c r="D105" s="17"/>
      <c r="E105" s="17">
        <v>0</v>
      </c>
      <c r="F105" s="17"/>
      <c r="G105" s="17">
        <v>0</v>
      </c>
      <c r="H105" s="17"/>
      <c r="I105" s="17">
        <v>0</v>
      </c>
      <c r="J105" s="15"/>
      <c r="K105" s="17">
        <v>595000</v>
      </c>
      <c r="M105" s="17">
        <v>17461482461</v>
      </c>
      <c r="O105" s="17">
        <v>11150692921</v>
      </c>
      <c r="Q105" s="17">
        <v>6310789540</v>
      </c>
    </row>
    <row r="106" spans="1:17" ht="21" x14ac:dyDescent="0.55000000000000004">
      <c r="A106" s="16" t="s">
        <v>163</v>
      </c>
      <c r="C106" s="17">
        <v>0</v>
      </c>
      <c r="D106" s="17"/>
      <c r="E106" s="17">
        <v>0</v>
      </c>
      <c r="F106" s="17"/>
      <c r="G106" s="17">
        <v>0</v>
      </c>
      <c r="H106" s="17"/>
      <c r="I106" s="17">
        <v>0</v>
      </c>
      <c r="J106" s="15"/>
      <c r="K106" s="17">
        <v>24500000</v>
      </c>
      <c r="M106" s="17">
        <v>10435935006</v>
      </c>
      <c r="O106" s="17">
        <v>12893982706</v>
      </c>
      <c r="Q106" s="17">
        <v>-2458047700</v>
      </c>
    </row>
    <row r="107" spans="1:17" ht="21" x14ac:dyDescent="0.55000000000000004">
      <c r="A107" s="16" t="s">
        <v>164</v>
      </c>
      <c r="C107" s="17">
        <v>0</v>
      </c>
      <c r="D107" s="17"/>
      <c r="E107" s="17">
        <v>0</v>
      </c>
      <c r="F107" s="17"/>
      <c r="G107" s="17">
        <v>0</v>
      </c>
      <c r="H107" s="17"/>
      <c r="I107" s="17">
        <v>0</v>
      </c>
      <c r="J107" s="15"/>
      <c r="K107" s="17">
        <v>700000</v>
      </c>
      <c r="M107" s="17">
        <v>13113781594</v>
      </c>
      <c r="O107" s="17">
        <v>11995700499</v>
      </c>
      <c r="Q107" s="17">
        <v>1118081095</v>
      </c>
    </row>
    <row r="108" spans="1:17" ht="21" x14ac:dyDescent="0.55000000000000004">
      <c r="A108" s="16" t="s">
        <v>84</v>
      </c>
      <c r="C108" s="17">
        <v>0</v>
      </c>
      <c r="D108" s="17"/>
      <c r="E108" s="17">
        <v>0</v>
      </c>
      <c r="F108" s="17"/>
      <c r="G108" s="17">
        <v>0</v>
      </c>
      <c r="H108" s="17"/>
      <c r="I108" s="17">
        <v>0</v>
      </c>
      <c r="J108" s="15"/>
      <c r="K108" s="17">
        <v>6600000</v>
      </c>
      <c r="M108" s="17">
        <v>8504700751</v>
      </c>
      <c r="O108" s="17">
        <v>9265330938</v>
      </c>
      <c r="Q108" s="17">
        <v>-760630187</v>
      </c>
    </row>
    <row r="109" spans="1:17" ht="21" x14ac:dyDescent="0.55000000000000004">
      <c r="A109" s="16" t="s">
        <v>165</v>
      </c>
      <c r="C109" s="17">
        <v>0</v>
      </c>
      <c r="D109" s="17"/>
      <c r="E109" s="17">
        <v>0</v>
      </c>
      <c r="F109" s="17"/>
      <c r="G109" s="17">
        <v>0</v>
      </c>
      <c r="H109" s="17"/>
      <c r="I109" s="17">
        <v>0</v>
      </c>
      <c r="J109" s="15"/>
      <c r="K109" s="17">
        <v>24869520</v>
      </c>
      <c r="M109" s="17">
        <v>29276157072</v>
      </c>
      <c r="O109" s="17">
        <v>29713114579</v>
      </c>
      <c r="Q109" s="17">
        <v>-436957507</v>
      </c>
    </row>
    <row r="110" spans="1:17" ht="21" x14ac:dyDescent="0.55000000000000004">
      <c r="A110" s="16" t="s">
        <v>85</v>
      </c>
      <c r="C110" s="17">
        <v>0</v>
      </c>
      <c r="D110" s="17"/>
      <c r="E110" s="17">
        <v>0</v>
      </c>
      <c r="F110" s="17"/>
      <c r="G110" s="17">
        <v>0</v>
      </c>
      <c r="H110" s="17"/>
      <c r="I110" s="17">
        <v>0</v>
      </c>
      <c r="J110" s="15"/>
      <c r="K110" s="17">
        <v>300000</v>
      </c>
      <c r="M110" s="17">
        <v>9187205683</v>
      </c>
      <c r="O110" s="17">
        <v>7809283394</v>
      </c>
      <c r="Q110" s="17">
        <v>1377922289</v>
      </c>
    </row>
    <row r="111" spans="1:17" ht="21" x14ac:dyDescent="0.55000000000000004">
      <c r="A111" s="16" t="s">
        <v>87</v>
      </c>
      <c r="C111" s="17">
        <v>0</v>
      </c>
      <c r="D111" s="17"/>
      <c r="E111" s="17">
        <v>0</v>
      </c>
      <c r="F111" s="17"/>
      <c r="G111" s="17">
        <v>0</v>
      </c>
      <c r="H111" s="17"/>
      <c r="I111" s="17">
        <v>0</v>
      </c>
      <c r="J111" s="15"/>
      <c r="K111" s="17">
        <v>379048</v>
      </c>
      <c r="M111" s="17">
        <v>3555752666</v>
      </c>
      <c r="O111" s="17">
        <v>3972718969</v>
      </c>
      <c r="Q111" s="17">
        <v>-416966303</v>
      </c>
    </row>
    <row r="112" spans="1:17" ht="21" x14ac:dyDescent="0.55000000000000004">
      <c r="A112" s="16" t="s">
        <v>88</v>
      </c>
      <c r="C112" s="17">
        <v>0</v>
      </c>
      <c r="D112" s="17"/>
      <c r="E112" s="17">
        <v>0</v>
      </c>
      <c r="F112" s="17"/>
      <c r="G112" s="17">
        <v>0</v>
      </c>
      <c r="H112" s="17"/>
      <c r="I112" s="17">
        <v>0</v>
      </c>
      <c r="J112" s="15"/>
      <c r="K112" s="17">
        <v>1500000</v>
      </c>
      <c r="M112" s="17">
        <v>7997741250</v>
      </c>
      <c r="O112" s="17">
        <v>7322627909</v>
      </c>
      <c r="Q112" s="17">
        <v>675113341</v>
      </c>
    </row>
    <row r="113" spans="1:17" ht="21" x14ac:dyDescent="0.55000000000000004">
      <c r="A113" s="16" t="s">
        <v>89</v>
      </c>
      <c r="C113" s="17">
        <v>750000</v>
      </c>
      <c r="D113" s="17"/>
      <c r="E113" s="17">
        <v>2859136320</v>
      </c>
      <c r="F113" s="17"/>
      <c r="G113" s="17">
        <v>2310043920</v>
      </c>
      <c r="H113" s="17"/>
      <c r="I113" s="17">
        <v>549092400</v>
      </c>
      <c r="K113" s="17">
        <v>750000</v>
      </c>
      <c r="M113" s="17">
        <v>2859136320</v>
      </c>
      <c r="O113" s="17">
        <v>2310043920</v>
      </c>
      <c r="Q113" s="17">
        <v>549092400</v>
      </c>
    </row>
    <row r="114" spans="1:17" ht="21" x14ac:dyDescent="0.55000000000000004">
      <c r="A114" s="16" t="s">
        <v>90</v>
      </c>
      <c r="C114" s="17">
        <v>0</v>
      </c>
      <c r="D114" s="17"/>
      <c r="E114" s="17">
        <v>0</v>
      </c>
      <c r="F114" s="17"/>
      <c r="G114" s="17">
        <v>0</v>
      </c>
      <c r="H114" s="17"/>
      <c r="I114" s="17">
        <v>0</v>
      </c>
      <c r="J114" s="15"/>
      <c r="K114" s="17">
        <v>3250000</v>
      </c>
      <c r="M114" s="17">
        <v>4755535365</v>
      </c>
      <c r="O114" s="17">
        <v>3875154565</v>
      </c>
      <c r="Q114" s="17">
        <v>880380800</v>
      </c>
    </row>
    <row r="115" spans="1:17" ht="21" x14ac:dyDescent="0.55000000000000004">
      <c r="A115" s="16" t="s">
        <v>91</v>
      </c>
      <c r="C115" s="17">
        <v>500000</v>
      </c>
      <c r="D115" s="17"/>
      <c r="E115" s="17">
        <v>6485320811</v>
      </c>
      <c r="F115" s="17"/>
      <c r="G115" s="17">
        <v>4844489105</v>
      </c>
      <c r="H115" s="17"/>
      <c r="I115" s="17">
        <v>1640831706</v>
      </c>
      <c r="K115" s="17">
        <v>500000</v>
      </c>
      <c r="M115" s="17">
        <v>6485320811</v>
      </c>
      <c r="O115" s="17">
        <v>4844489105</v>
      </c>
      <c r="Q115" s="17">
        <v>1640831706</v>
      </c>
    </row>
    <row r="116" spans="1:17" ht="21" x14ac:dyDescent="0.55000000000000004">
      <c r="A116" s="16" t="s">
        <v>166</v>
      </c>
      <c r="C116" s="17">
        <v>0</v>
      </c>
      <c r="D116" s="17"/>
      <c r="E116" s="17">
        <v>0</v>
      </c>
      <c r="F116" s="17"/>
      <c r="G116" s="17">
        <v>0</v>
      </c>
      <c r="H116" s="17"/>
      <c r="I116" s="17">
        <v>0</v>
      </c>
      <c r="J116" s="15"/>
      <c r="K116" s="17">
        <v>1383146</v>
      </c>
      <c r="M116" s="17">
        <v>16041014404</v>
      </c>
      <c r="O116" s="17">
        <v>13226976376</v>
      </c>
      <c r="Q116" s="17">
        <v>2814038028</v>
      </c>
    </row>
    <row r="117" spans="1:17" ht="21" x14ac:dyDescent="0.55000000000000004">
      <c r="A117" s="16" t="s">
        <v>92</v>
      </c>
      <c r="C117" s="17">
        <v>2400000</v>
      </c>
      <c r="D117" s="17"/>
      <c r="E117" s="17">
        <v>7129862097</v>
      </c>
      <c r="F117" s="17"/>
      <c r="G117" s="17">
        <v>11764251845</v>
      </c>
      <c r="H117" s="17"/>
      <c r="I117" s="17">
        <v>-4634389748</v>
      </c>
      <c r="K117" s="17">
        <v>2400000</v>
      </c>
      <c r="M117" s="17">
        <v>7129862097</v>
      </c>
      <c r="O117" s="17">
        <v>11764251845</v>
      </c>
      <c r="Q117" s="17">
        <v>-4634389748</v>
      </c>
    </row>
    <row r="118" spans="1:17" ht="21" x14ac:dyDescent="0.55000000000000004">
      <c r="A118" s="16" t="s">
        <v>93</v>
      </c>
      <c r="C118" s="17">
        <v>0</v>
      </c>
      <c r="D118" s="17"/>
      <c r="E118" s="17">
        <v>0</v>
      </c>
      <c r="F118" s="17"/>
      <c r="G118" s="17">
        <v>0</v>
      </c>
      <c r="H118" s="17"/>
      <c r="I118" s="17">
        <v>0</v>
      </c>
      <c r="J118" s="15"/>
      <c r="K118" s="17">
        <v>500001</v>
      </c>
      <c r="M118" s="17">
        <v>4453353147</v>
      </c>
      <c r="O118" s="17">
        <v>3550397338</v>
      </c>
      <c r="Q118" s="17">
        <v>902955809</v>
      </c>
    </row>
    <row r="119" spans="1:17" ht="21" x14ac:dyDescent="0.55000000000000004">
      <c r="A119" s="16" t="s">
        <v>94</v>
      </c>
      <c r="C119" s="17">
        <v>0</v>
      </c>
      <c r="D119" s="17"/>
      <c r="E119" s="17">
        <v>0</v>
      </c>
      <c r="F119" s="17"/>
      <c r="G119" s="17">
        <v>0</v>
      </c>
      <c r="H119" s="17"/>
      <c r="I119" s="17">
        <v>0</v>
      </c>
      <c r="J119" s="15"/>
      <c r="K119" s="17">
        <v>1500000</v>
      </c>
      <c r="M119" s="17">
        <v>5355941527</v>
      </c>
      <c r="O119" s="17">
        <v>4622256727</v>
      </c>
      <c r="Q119" s="17">
        <v>733684800</v>
      </c>
    </row>
    <row r="120" spans="1:17" ht="21" x14ac:dyDescent="0.55000000000000004">
      <c r="A120" s="16" t="s">
        <v>167</v>
      </c>
      <c r="C120" s="17">
        <v>0</v>
      </c>
      <c r="D120" s="17"/>
      <c r="E120" s="17">
        <v>0</v>
      </c>
      <c r="F120" s="17"/>
      <c r="G120" s="17">
        <v>0</v>
      </c>
      <c r="H120" s="17"/>
      <c r="I120" s="17">
        <v>0</v>
      </c>
      <c r="J120" s="15"/>
      <c r="K120" s="17">
        <v>9506493</v>
      </c>
      <c r="M120" s="17">
        <v>25599861319</v>
      </c>
      <c r="O120" s="17">
        <v>24151987937</v>
      </c>
      <c r="Q120" s="17">
        <v>1447873382</v>
      </c>
    </row>
    <row r="121" spans="1:17" ht="21" x14ac:dyDescent="0.55000000000000004">
      <c r="A121" s="16" t="s">
        <v>96</v>
      </c>
      <c r="C121" s="17">
        <v>600000</v>
      </c>
      <c r="E121" s="17">
        <v>5045539807</v>
      </c>
      <c r="G121" s="17">
        <v>4091717486</v>
      </c>
      <c r="I121" s="17">
        <v>953822321</v>
      </c>
      <c r="K121" s="17">
        <v>2499204</v>
      </c>
      <c r="M121" s="17">
        <v>25183326876</v>
      </c>
      <c r="O121" s="17">
        <v>21245500061</v>
      </c>
      <c r="Q121" s="17">
        <v>3937826815</v>
      </c>
    </row>
    <row r="122" spans="1:17" ht="21" x14ac:dyDescent="0.55000000000000004">
      <c r="A122" s="16" t="s">
        <v>97</v>
      </c>
      <c r="C122" s="17">
        <v>0</v>
      </c>
      <c r="D122" s="17"/>
      <c r="E122" s="17">
        <v>0</v>
      </c>
      <c r="F122" s="17"/>
      <c r="G122" s="17">
        <v>0</v>
      </c>
      <c r="H122" s="17"/>
      <c r="I122" s="17">
        <v>0</v>
      </c>
      <c r="J122" s="15"/>
      <c r="K122" s="17">
        <v>442665</v>
      </c>
      <c r="M122" s="17">
        <v>10269779848</v>
      </c>
      <c r="O122" s="17">
        <v>10032843674</v>
      </c>
      <c r="Q122" s="17">
        <v>236936174</v>
      </c>
    </row>
    <row r="123" spans="1:17" ht="21" x14ac:dyDescent="0.55000000000000004">
      <c r="A123" s="16" t="s">
        <v>168</v>
      </c>
      <c r="C123" s="17">
        <v>0</v>
      </c>
      <c r="D123" s="17"/>
      <c r="E123" s="17">
        <v>0</v>
      </c>
      <c r="F123" s="17"/>
      <c r="G123" s="17">
        <v>0</v>
      </c>
      <c r="H123" s="17"/>
      <c r="I123" s="17">
        <v>0</v>
      </c>
      <c r="J123" s="15"/>
      <c r="K123" s="17">
        <v>3800000</v>
      </c>
      <c r="M123" s="17">
        <v>23683463035</v>
      </c>
      <c r="O123" s="17">
        <v>25997778915</v>
      </c>
      <c r="Q123" s="17">
        <v>-2314315880</v>
      </c>
    </row>
    <row r="124" spans="1:17" ht="21" x14ac:dyDescent="0.55000000000000004">
      <c r="A124" s="16" t="s">
        <v>169</v>
      </c>
      <c r="C124" s="17">
        <v>0</v>
      </c>
      <c r="D124" s="17"/>
      <c r="E124" s="17">
        <v>0</v>
      </c>
      <c r="F124" s="17"/>
      <c r="G124" s="17">
        <v>0</v>
      </c>
      <c r="H124" s="17"/>
      <c r="I124" s="17">
        <v>0</v>
      </c>
      <c r="J124" s="15"/>
      <c r="K124" s="17">
        <v>265</v>
      </c>
      <c r="M124" s="17">
        <v>5023485</v>
      </c>
      <c r="O124" s="17">
        <v>4865758</v>
      </c>
      <c r="Q124" s="17">
        <v>157727</v>
      </c>
    </row>
    <row r="125" spans="1:17" ht="21" x14ac:dyDescent="0.55000000000000004">
      <c r="A125" s="16" t="s">
        <v>170</v>
      </c>
      <c r="C125" s="17">
        <v>0</v>
      </c>
      <c r="D125" s="17"/>
      <c r="E125" s="17">
        <v>0</v>
      </c>
      <c r="F125" s="17"/>
      <c r="G125" s="17">
        <v>0</v>
      </c>
      <c r="H125" s="17"/>
      <c r="I125" s="17">
        <v>0</v>
      </c>
      <c r="J125" s="15"/>
      <c r="K125" s="17">
        <v>800000</v>
      </c>
      <c r="M125" s="17">
        <v>2926501004</v>
      </c>
      <c r="O125" s="17">
        <v>3290681565</v>
      </c>
      <c r="Q125" s="17">
        <v>-364180561</v>
      </c>
    </row>
    <row r="126" spans="1:17" ht="21" x14ac:dyDescent="0.55000000000000004">
      <c r="A126" s="16" t="s">
        <v>171</v>
      </c>
      <c r="C126" s="17">
        <v>0</v>
      </c>
      <c r="D126" s="17"/>
      <c r="E126" s="17">
        <v>0</v>
      </c>
      <c r="F126" s="17"/>
      <c r="G126" s="17">
        <v>0</v>
      </c>
      <c r="H126" s="17"/>
      <c r="I126" s="17">
        <v>0</v>
      </c>
      <c r="J126" s="15"/>
      <c r="K126" s="17">
        <v>16214566</v>
      </c>
      <c r="M126" s="17">
        <v>32438711144</v>
      </c>
      <c r="O126" s="17">
        <v>39973740709</v>
      </c>
      <c r="Q126" s="17">
        <v>-7535029565</v>
      </c>
    </row>
    <row r="127" spans="1:17" ht="21" x14ac:dyDescent="0.55000000000000004">
      <c r="A127" s="16" t="s">
        <v>98</v>
      </c>
      <c r="C127" s="17">
        <v>1200000</v>
      </c>
      <c r="E127" s="17">
        <v>4615175357</v>
      </c>
      <c r="G127" s="17">
        <v>4983507181</v>
      </c>
      <c r="I127" s="17">
        <v>-368331824</v>
      </c>
      <c r="K127" s="17">
        <v>1200000</v>
      </c>
      <c r="M127" s="17">
        <v>4615175357</v>
      </c>
      <c r="O127" s="17">
        <v>4983507181</v>
      </c>
      <c r="Q127" s="17">
        <v>-368331824</v>
      </c>
    </row>
    <row r="128" spans="1:17" ht="21" x14ac:dyDescent="0.55000000000000004">
      <c r="A128" s="16" t="s">
        <v>99</v>
      </c>
      <c r="C128" s="17">
        <v>0</v>
      </c>
      <c r="D128" s="17"/>
      <c r="E128" s="17">
        <v>0</v>
      </c>
      <c r="F128" s="17"/>
      <c r="G128" s="17">
        <v>0</v>
      </c>
      <c r="H128" s="17"/>
      <c r="I128" s="17">
        <v>0</v>
      </c>
      <c r="J128" s="15"/>
      <c r="K128" s="17">
        <v>100000</v>
      </c>
      <c r="M128" s="17">
        <v>596430000</v>
      </c>
      <c r="O128" s="17">
        <v>536199150</v>
      </c>
      <c r="Q128" s="17">
        <v>60230850</v>
      </c>
    </row>
    <row r="129" spans="1:17" ht="21" x14ac:dyDescent="0.55000000000000004">
      <c r="A129" s="16" t="s">
        <v>102</v>
      </c>
      <c r="C129" s="17">
        <v>200000</v>
      </c>
      <c r="E129" s="17">
        <v>2425482010</v>
      </c>
      <c r="G129" s="17">
        <v>2325651668</v>
      </c>
      <c r="I129" s="17">
        <v>99830342</v>
      </c>
      <c r="K129" s="17">
        <v>200000</v>
      </c>
      <c r="M129" s="17">
        <v>2425482010</v>
      </c>
      <c r="O129" s="17">
        <v>2325651668</v>
      </c>
      <c r="Q129" s="17">
        <v>99830342</v>
      </c>
    </row>
    <row r="130" spans="1:17" ht="21" x14ac:dyDescent="0.55000000000000004">
      <c r="A130" s="16" t="s">
        <v>104</v>
      </c>
      <c r="C130" s="17">
        <v>0</v>
      </c>
      <c r="D130" s="17"/>
      <c r="E130" s="17">
        <v>0</v>
      </c>
      <c r="F130" s="17"/>
      <c r="G130" s="17">
        <v>0</v>
      </c>
      <c r="H130" s="17"/>
      <c r="I130" s="17">
        <v>0</v>
      </c>
      <c r="J130" s="15"/>
      <c r="K130" s="17">
        <v>800000</v>
      </c>
      <c r="M130" s="17">
        <v>14622475665</v>
      </c>
      <c r="O130" s="17">
        <v>12784409745</v>
      </c>
      <c r="Q130" s="17">
        <v>1838065920</v>
      </c>
    </row>
    <row r="131" spans="1:17" ht="21" x14ac:dyDescent="0.55000000000000004">
      <c r="A131" s="16" t="s">
        <v>172</v>
      </c>
      <c r="C131" s="17">
        <v>0</v>
      </c>
      <c r="D131" s="17"/>
      <c r="E131" s="17">
        <v>0</v>
      </c>
      <c r="F131" s="17"/>
      <c r="G131" s="17">
        <v>0</v>
      </c>
      <c r="H131" s="17"/>
      <c r="I131" s="17">
        <v>0</v>
      </c>
      <c r="J131" s="15"/>
      <c r="K131" s="17">
        <v>2421626</v>
      </c>
      <c r="M131" s="17">
        <v>13863899230</v>
      </c>
      <c r="O131" s="17">
        <v>14571250792</v>
      </c>
      <c r="Q131" s="17">
        <v>-707351562</v>
      </c>
    </row>
    <row r="132" spans="1:17" ht="21" x14ac:dyDescent="0.55000000000000004">
      <c r="A132" s="16" t="s">
        <v>105</v>
      </c>
      <c r="C132" s="17">
        <v>0</v>
      </c>
      <c r="D132" s="17"/>
      <c r="E132" s="17">
        <v>0</v>
      </c>
      <c r="F132" s="17"/>
      <c r="G132" s="17">
        <v>0</v>
      </c>
      <c r="H132" s="17"/>
      <c r="I132" s="17">
        <v>0</v>
      </c>
      <c r="J132" s="15"/>
      <c r="K132" s="17">
        <v>175000</v>
      </c>
      <c r="M132" s="17">
        <v>8066371716</v>
      </c>
      <c r="O132" s="17">
        <v>7133232866</v>
      </c>
      <c r="Q132" s="17">
        <v>933138850</v>
      </c>
    </row>
    <row r="133" spans="1:17" ht="21" x14ac:dyDescent="0.55000000000000004">
      <c r="A133" s="16" t="s">
        <v>106</v>
      </c>
      <c r="C133" s="17">
        <v>700000</v>
      </c>
      <c r="E133" s="17">
        <v>4892148382</v>
      </c>
      <c r="G133" s="17">
        <v>4049106126</v>
      </c>
      <c r="I133" s="17">
        <v>843042256</v>
      </c>
      <c r="K133" s="17">
        <v>1700000</v>
      </c>
      <c r="M133" s="17">
        <v>13509567671</v>
      </c>
      <c r="O133" s="17">
        <v>11840580185</v>
      </c>
      <c r="Q133" s="17">
        <v>1668987486</v>
      </c>
    </row>
    <row r="134" spans="1:17" ht="21" x14ac:dyDescent="0.55000000000000004">
      <c r="A134" s="16" t="s">
        <v>107</v>
      </c>
      <c r="C134" s="17">
        <v>0</v>
      </c>
      <c r="D134" s="17"/>
      <c r="E134" s="17">
        <v>0</v>
      </c>
      <c r="F134" s="17"/>
      <c r="G134" s="17">
        <v>0</v>
      </c>
      <c r="H134" s="17"/>
      <c r="I134" s="17">
        <v>0</v>
      </c>
      <c r="J134" s="15"/>
      <c r="K134" s="17">
        <v>335500</v>
      </c>
      <c r="M134" s="17">
        <v>4794225834</v>
      </c>
      <c r="O134" s="17">
        <v>4258900527</v>
      </c>
      <c r="Q134" s="17">
        <v>535325307</v>
      </c>
    </row>
    <row r="135" spans="1:17" ht="21" x14ac:dyDescent="0.55000000000000004">
      <c r="A135" s="16" t="s">
        <v>173</v>
      </c>
      <c r="C135" s="17">
        <v>0</v>
      </c>
      <c r="D135" s="17"/>
      <c r="E135" s="17">
        <v>0</v>
      </c>
      <c r="F135" s="17"/>
      <c r="G135" s="17">
        <v>0</v>
      </c>
      <c r="H135" s="17"/>
      <c r="I135" s="17">
        <v>0</v>
      </c>
      <c r="J135" s="15"/>
      <c r="K135" s="17">
        <v>450000</v>
      </c>
      <c r="M135" s="17">
        <v>5159086050</v>
      </c>
      <c r="O135" s="17">
        <v>2461380650</v>
      </c>
      <c r="Q135" s="17">
        <v>2697705400</v>
      </c>
    </row>
    <row r="136" spans="1:17" ht="21" x14ac:dyDescent="0.55000000000000004">
      <c r="A136" s="16" t="s">
        <v>108</v>
      </c>
      <c r="C136" s="17">
        <v>1250000</v>
      </c>
      <c r="E136" s="17">
        <v>5090847002</v>
      </c>
      <c r="G136" s="17">
        <v>4181115098</v>
      </c>
      <c r="I136" s="17">
        <v>909731904</v>
      </c>
      <c r="K136" s="17">
        <v>1250000</v>
      </c>
      <c r="M136" s="17">
        <v>5090847002</v>
      </c>
      <c r="O136" s="17">
        <v>4181115098</v>
      </c>
      <c r="Q136" s="17">
        <v>909731904</v>
      </c>
    </row>
    <row r="137" spans="1:17" ht="21" x14ac:dyDescent="0.55000000000000004">
      <c r="A137" s="16" t="s">
        <v>110</v>
      </c>
      <c r="C137" s="17">
        <v>0</v>
      </c>
      <c r="D137" s="17"/>
      <c r="E137" s="17">
        <v>0</v>
      </c>
      <c r="F137" s="17"/>
      <c r="G137" s="17">
        <v>0</v>
      </c>
      <c r="H137" s="17"/>
      <c r="I137" s="17">
        <v>0</v>
      </c>
      <c r="J137" s="15"/>
      <c r="K137" s="17">
        <v>200000</v>
      </c>
      <c r="M137" s="17">
        <v>2614598713</v>
      </c>
      <c r="O137" s="17">
        <v>3238722313</v>
      </c>
      <c r="Q137" s="17">
        <v>-624123600</v>
      </c>
    </row>
    <row r="138" spans="1:17" ht="21" x14ac:dyDescent="0.55000000000000004">
      <c r="A138" s="16" t="s">
        <v>113</v>
      </c>
      <c r="C138" s="17">
        <v>0</v>
      </c>
      <c r="D138" s="17"/>
      <c r="E138" s="17">
        <v>0</v>
      </c>
      <c r="F138" s="17"/>
      <c r="G138" s="17">
        <v>0</v>
      </c>
      <c r="H138" s="17"/>
      <c r="I138" s="17">
        <v>0</v>
      </c>
      <c r="J138" s="15"/>
      <c r="K138" s="17">
        <v>107000</v>
      </c>
      <c r="M138" s="17">
        <v>6157421097</v>
      </c>
      <c r="O138" s="17">
        <v>6384299567</v>
      </c>
      <c r="Q138" s="17">
        <v>-226878470</v>
      </c>
    </row>
    <row r="139" spans="1:17" ht="21" x14ac:dyDescent="0.55000000000000004">
      <c r="A139" s="16" t="s">
        <v>114</v>
      </c>
      <c r="C139" s="17">
        <v>0</v>
      </c>
      <c r="D139" s="17"/>
      <c r="E139" s="17">
        <v>0</v>
      </c>
      <c r="F139" s="17"/>
      <c r="G139" s="17">
        <v>0</v>
      </c>
      <c r="H139" s="17"/>
      <c r="I139" s="17">
        <v>0</v>
      </c>
      <c r="J139" s="15"/>
      <c r="K139" s="17">
        <v>800000</v>
      </c>
      <c r="M139" s="17">
        <v>4276005514</v>
      </c>
      <c r="O139" s="17">
        <v>3554111544</v>
      </c>
      <c r="Q139" s="17">
        <v>721893970</v>
      </c>
    </row>
    <row r="140" spans="1:17" ht="21" x14ac:dyDescent="0.55000000000000004">
      <c r="A140" s="16" t="s">
        <v>115</v>
      </c>
      <c r="C140" s="17">
        <v>0</v>
      </c>
      <c r="D140" s="17"/>
      <c r="E140" s="17">
        <v>0</v>
      </c>
      <c r="F140" s="17"/>
      <c r="G140" s="17">
        <v>0</v>
      </c>
      <c r="H140" s="17"/>
      <c r="I140" s="17">
        <v>0</v>
      </c>
      <c r="J140" s="15"/>
      <c r="K140" s="17">
        <v>80000</v>
      </c>
      <c r="M140" s="17">
        <v>5912445118</v>
      </c>
      <c r="O140" s="17">
        <v>5122337638</v>
      </c>
      <c r="Q140" s="17">
        <v>790107480</v>
      </c>
    </row>
    <row r="141" spans="1:17" ht="21" x14ac:dyDescent="0.55000000000000004">
      <c r="A141" s="16" t="s">
        <v>116</v>
      </c>
      <c r="C141" s="17">
        <v>0</v>
      </c>
      <c r="D141" s="17"/>
      <c r="E141" s="17">
        <v>0</v>
      </c>
      <c r="F141" s="17"/>
      <c r="G141" s="17">
        <v>0</v>
      </c>
      <c r="H141" s="17"/>
      <c r="I141" s="17">
        <v>0</v>
      </c>
      <c r="J141" s="15"/>
      <c r="K141" s="17">
        <v>57971</v>
      </c>
      <c r="M141" s="17">
        <v>3706094373</v>
      </c>
      <c r="O141" s="17">
        <v>2934034335</v>
      </c>
      <c r="Q141" s="17">
        <v>772060038</v>
      </c>
    </row>
    <row r="142" spans="1:17" ht="21" x14ac:dyDescent="0.55000000000000004">
      <c r="A142" s="16" t="s">
        <v>120</v>
      </c>
      <c r="C142" s="17">
        <v>0</v>
      </c>
      <c r="D142" s="17"/>
      <c r="E142" s="17">
        <v>0</v>
      </c>
      <c r="F142" s="17"/>
      <c r="G142" s="17">
        <v>0</v>
      </c>
      <c r="H142" s="17"/>
      <c r="I142" s="17">
        <v>0</v>
      </c>
      <c r="J142" s="15"/>
      <c r="K142" s="17">
        <v>20000</v>
      </c>
      <c r="M142" s="17">
        <v>4904535772</v>
      </c>
      <c r="O142" s="17">
        <v>4125772382</v>
      </c>
      <c r="Q142" s="17">
        <v>778763390</v>
      </c>
    </row>
    <row r="143" spans="1:17" ht="21" x14ac:dyDescent="0.55000000000000004">
      <c r="A143" s="16" t="s">
        <v>121</v>
      </c>
      <c r="C143" s="17">
        <v>0</v>
      </c>
      <c r="D143" s="17"/>
      <c r="E143" s="17">
        <v>0</v>
      </c>
      <c r="F143" s="17"/>
      <c r="G143" s="17">
        <v>0</v>
      </c>
      <c r="H143" s="17"/>
      <c r="I143" s="17">
        <v>0</v>
      </c>
      <c r="J143" s="15"/>
      <c r="K143" s="17">
        <v>300000</v>
      </c>
      <c r="M143" s="17">
        <v>5245904839</v>
      </c>
      <c r="O143" s="17">
        <v>5792252553</v>
      </c>
      <c r="Q143" s="17">
        <v>-546347714</v>
      </c>
    </row>
    <row r="144" spans="1:17" ht="21" x14ac:dyDescent="0.55000000000000004">
      <c r="A144" s="16" t="s">
        <v>122</v>
      </c>
      <c r="C144" s="17">
        <v>0</v>
      </c>
      <c r="D144" s="17"/>
      <c r="E144" s="17">
        <v>0</v>
      </c>
      <c r="F144" s="17"/>
      <c r="G144" s="17">
        <v>0</v>
      </c>
      <c r="H144" s="17"/>
      <c r="I144" s="17">
        <v>0</v>
      </c>
      <c r="J144" s="15"/>
      <c r="K144" s="17">
        <v>310000</v>
      </c>
      <c r="M144" s="17">
        <v>10283746872</v>
      </c>
      <c r="O144" s="17">
        <v>9634613371</v>
      </c>
      <c r="Q144" s="17">
        <v>649133501</v>
      </c>
    </row>
    <row r="145" spans="1:17" ht="21" x14ac:dyDescent="0.55000000000000004">
      <c r="A145" s="16" t="s">
        <v>125</v>
      </c>
      <c r="C145" s="17">
        <v>0</v>
      </c>
      <c r="D145" s="17"/>
      <c r="E145" s="17">
        <v>0</v>
      </c>
      <c r="F145" s="17"/>
      <c r="G145" s="17">
        <v>0</v>
      </c>
      <c r="H145" s="17"/>
      <c r="I145" s="17">
        <v>0</v>
      </c>
      <c r="J145" s="15"/>
      <c r="K145" s="17">
        <v>904441</v>
      </c>
      <c r="M145" s="17">
        <v>1483381171</v>
      </c>
      <c r="O145" s="17">
        <v>2677923172</v>
      </c>
      <c r="Q145" s="17">
        <v>-1194542001</v>
      </c>
    </row>
    <row r="146" spans="1:17" ht="21" x14ac:dyDescent="0.55000000000000004">
      <c r="A146" s="16" t="s">
        <v>127</v>
      </c>
      <c r="C146" s="17">
        <v>0</v>
      </c>
      <c r="D146" s="17"/>
      <c r="E146" s="17">
        <v>0</v>
      </c>
      <c r="F146" s="17"/>
      <c r="G146" s="17">
        <v>0</v>
      </c>
      <c r="H146" s="17"/>
      <c r="I146" s="17">
        <v>0</v>
      </c>
      <c r="J146" s="15"/>
      <c r="K146" s="17">
        <v>2400000</v>
      </c>
      <c r="M146" s="17">
        <v>13622461291</v>
      </c>
      <c r="O146" s="17">
        <v>12942136023</v>
      </c>
      <c r="Q146" s="17">
        <v>680325268</v>
      </c>
    </row>
    <row r="147" spans="1:17" ht="21" x14ac:dyDescent="0.55000000000000004">
      <c r="A147" s="16" t="s">
        <v>128</v>
      </c>
      <c r="C147" s="17">
        <v>0</v>
      </c>
      <c r="D147" s="17"/>
      <c r="E147" s="17">
        <v>0</v>
      </c>
      <c r="F147" s="17"/>
      <c r="G147" s="17">
        <v>0</v>
      </c>
      <c r="H147" s="17"/>
      <c r="I147" s="17">
        <v>0</v>
      </c>
      <c r="J147" s="15"/>
      <c r="K147" s="17">
        <v>1403444</v>
      </c>
      <c r="M147" s="17">
        <v>1452292363</v>
      </c>
      <c r="O147" s="17">
        <v>1615995500</v>
      </c>
      <c r="Q147" s="17">
        <v>-163703137</v>
      </c>
    </row>
    <row r="148" spans="1:17" ht="21.75" thickBot="1" x14ac:dyDescent="0.6">
      <c r="A148" s="19" t="s">
        <v>9</v>
      </c>
      <c r="C148" s="17"/>
      <c r="E148" s="19">
        <f>SUM(E9:$E$147)</f>
        <v>60081030050</v>
      </c>
      <c r="G148" s="19">
        <f>SUM(G9:$G$147)</f>
        <v>61584076333</v>
      </c>
      <c r="I148" s="19">
        <f>SUM(I9:$I$147)</f>
        <v>2959798869</v>
      </c>
      <c r="K148" s="17"/>
      <c r="M148" s="19">
        <f>SUM(M9:$M$147)</f>
        <v>469265346104</v>
      </c>
      <c r="O148" s="19">
        <f>SUM(O9:$O$147)</f>
        <v>451922232645</v>
      </c>
      <c r="Q148" s="19">
        <f>SUM(Q9:$Q$147)</f>
        <v>39492455048</v>
      </c>
    </row>
    <row r="149" spans="1:17" ht="21.75" thickTop="1" x14ac:dyDescent="0.55000000000000004">
      <c r="C149" s="17"/>
      <c r="E149" s="21"/>
      <c r="G149" s="21"/>
      <c r="I149" s="21"/>
      <c r="K149" s="17"/>
      <c r="M149" s="21"/>
      <c r="O149" s="21"/>
      <c r="Q149" s="21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92A5-37A4-425A-BA29-86ACD0D6A5A6}">
  <sheetPr>
    <pageSetUpPr fitToPage="1"/>
  </sheetPr>
  <dimension ref="A1:Q147"/>
  <sheetViews>
    <sheetView rightToLeft="1" view="pageBreakPreview" zoomScale="60" zoomScaleNormal="70" workbookViewId="0">
      <selection activeCell="C87" sqref="C87:I87"/>
    </sheetView>
  </sheetViews>
  <sheetFormatPr defaultColWidth="8.85546875" defaultRowHeight="19.5" x14ac:dyDescent="0.55000000000000004"/>
  <cols>
    <col min="1" max="1" width="37" style="1" customWidth="1"/>
    <col min="2" max="2" width="1.42578125" style="1" customWidth="1"/>
    <col min="3" max="3" width="14.14062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38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9.899999999999999" customHeight="1" x14ac:dyDescent="0.55000000000000004">
      <c r="A2" s="38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9.899999999999999" customHeight="1" x14ac:dyDescent="0.55000000000000004">
      <c r="A3" s="3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1:17" ht="21" x14ac:dyDescent="0.55000000000000004">
      <c r="A5" s="39" t="s">
        <v>38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7" spans="1:17" ht="21" x14ac:dyDescent="0.55000000000000004">
      <c r="C7" s="40" t="s">
        <v>58</v>
      </c>
      <c r="D7" s="41"/>
      <c r="E7" s="41"/>
      <c r="F7" s="41"/>
      <c r="G7" s="41"/>
      <c r="H7" s="41"/>
      <c r="I7" s="41"/>
      <c r="K7" s="40" t="s">
        <v>59</v>
      </c>
      <c r="L7" s="41"/>
      <c r="M7" s="41"/>
      <c r="N7" s="41"/>
      <c r="O7" s="41"/>
      <c r="P7" s="41"/>
      <c r="Q7" s="41"/>
    </row>
    <row r="8" spans="1:17" ht="42" x14ac:dyDescent="0.55000000000000004">
      <c r="A8" s="12" t="s">
        <v>27</v>
      </c>
      <c r="C8" s="13" t="s">
        <v>4</v>
      </c>
      <c r="E8" s="13" t="s">
        <v>6</v>
      </c>
      <c r="G8" s="13" t="s">
        <v>37</v>
      </c>
      <c r="I8" s="13" t="s">
        <v>39</v>
      </c>
      <c r="K8" s="13" t="s">
        <v>4</v>
      </c>
      <c r="M8" s="13" t="s">
        <v>6</v>
      </c>
      <c r="O8" s="13" t="s">
        <v>37</v>
      </c>
      <c r="Q8" s="13" t="s">
        <v>39</v>
      </c>
    </row>
    <row r="9" spans="1:17" ht="21" x14ac:dyDescent="0.55000000000000004">
      <c r="A9" s="16" t="s">
        <v>69</v>
      </c>
      <c r="C9" s="17">
        <v>75000</v>
      </c>
      <c r="E9" s="17">
        <v>610595212</v>
      </c>
      <c r="G9" s="17">
        <v>674711437</v>
      </c>
      <c r="I9" s="17">
        <v>-64116225</v>
      </c>
      <c r="K9" s="17">
        <v>75000</v>
      </c>
      <c r="M9" s="17">
        <v>610595212</v>
      </c>
      <c r="O9" s="17">
        <v>525487200</v>
      </c>
      <c r="Q9" s="17">
        <v>85108012</v>
      </c>
    </row>
    <row r="10" spans="1:17" ht="21" x14ac:dyDescent="0.55000000000000004">
      <c r="A10" s="16" t="s">
        <v>205</v>
      </c>
      <c r="C10" s="17">
        <v>0</v>
      </c>
      <c r="E10" s="17">
        <v>0</v>
      </c>
      <c r="G10" s="17">
        <v>0</v>
      </c>
      <c r="I10" s="17">
        <v>0</v>
      </c>
      <c r="K10" s="17"/>
      <c r="M10" s="17"/>
      <c r="O10" s="17"/>
      <c r="Q10" s="17">
        <v>-36632</v>
      </c>
    </row>
    <row r="11" spans="1:17" ht="21" x14ac:dyDescent="0.55000000000000004">
      <c r="A11" s="16" t="s">
        <v>206</v>
      </c>
      <c r="C11" s="17">
        <v>0</v>
      </c>
      <c r="E11" s="17">
        <v>0</v>
      </c>
      <c r="G11" s="17">
        <v>0</v>
      </c>
      <c r="I11" s="17">
        <v>0</v>
      </c>
      <c r="K11" s="17"/>
      <c r="M11" s="17"/>
      <c r="O11" s="17"/>
      <c r="Q11" s="17">
        <v>322177018</v>
      </c>
    </row>
    <row r="12" spans="1:17" ht="21" x14ac:dyDescent="0.55000000000000004">
      <c r="A12" s="16" t="s">
        <v>207</v>
      </c>
      <c r="C12" s="17">
        <v>0</v>
      </c>
      <c r="E12" s="17">
        <v>0</v>
      </c>
      <c r="G12" s="17">
        <v>0</v>
      </c>
      <c r="I12" s="17">
        <v>0</v>
      </c>
      <c r="K12" s="17"/>
      <c r="M12" s="17"/>
      <c r="O12" s="17"/>
      <c r="Q12" s="17">
        <v>26803097</v>
      </c>
    </row>
    <row r="13" spans="1:17" ht="21" x14ac:dyDescent="0.55000000000000004">
      <c r="A13" s="16" t="s">
        <v>208</v>
      </c>
      <c r="C13" s="17">
        <v>0</v>
      </c>
      <c r="E13" s="17">
        <v>0</v>
      </c>
      <c r="G13" s="17">
        <v>0</v>
      </c>
      <c r="I13" s="17">
        <v>0</v>
      </c>
      <c r="K13" s="17"/>
      <c r="M13" s="17"/>
      <c r="O13" s="17"/>
      <c r="Q13" s="17">
        <v>136568824</v>
      </c>
    </row>
    <row r="14" spans="1:17" ht="21" x14ac:dyDescent="0.55000000000000004">
      <c r="A14" s="16" t="s">
        <v>209</v>
      </c>
      <c r="C14" s="17">
        <v>0</v>
      </c>
      <c r="E14" s="17">
        <v>0</v>
      </c>
      <c r="G14" s="17">
        <v>0</v>
      </c>
      <c r="I14" s="17">
        <v>0</v>
      </c>
      <c r="K14" s="17"/>
      <c r="M14" s="17"/>
      <c r="O14" s="17"/>
      <c r="Q14" s="17">
        <v>25493434</v>
      </c>
    </row>
    <row r="15" spans="1:17" ht="21" x14ac:dyDescent="0.55000000000000004">
      <c r="A15" s="16" t="s">
        <v>210</v>
      </c>
      <c r="C15" s="17">
        <v>0</v>
      </c>
      <c r="E15" s="17">
        <v>0</v>
      </c>
      <c r="G15" s="17">
        <v>0</v>
      </c>
      <c r="I15" s="17">
        <v>0</v>
      </c>
      <c r="K15" s="17"/>
      <c r="M15" s="17"/>
      <c r="O15" s="17"/>
      <c r="Q15" s="17">
        <v>-1999485</v>
      </c>
    </row>
    <row r="16" spans="1:17" ht="21" x14ac:dyDescent="0.55000000000000004">
      <c r="A16" s="16" t="s">
        <v>211</v>
      </c>
      <c r="C16" s="17">
        <v>0</v>
      </c>
      <c r="E16" s="17">
        <v>0</v>
      </c>
      <c r="G16" s="17">
        <v>0</v>
      </c>
      <c r="I16" s="17">
        <v>0</v>
      </c>
      <c r="K16" s="17"/>
      <c r="M16" s="17"/>
      <c r="O16" s="17"/>
      <c r="Q16" s="17">
        <v>-11996910</v>
      </c>
    </row>
    <row r="17" spans="1:17" ht="21" x14ac:dyDescent="0.55000000000000004">
      <c r="A17" s="16" t="s">
        <v>212</v>
      </c>
      <c r="C17" s="17">
        <v>0</v>
      </c>
      <c r="E17" s="17">
        <v>0</v>
      </c>
      <c r="G17" s="17">
        <v>0</v>
      </c>
      <c r="I17" s="17">
        <v>0</v>
      </c>
      <c r="K17" s="17"/>
      <c r="M17" s="17"/>
      <c r="O17" s="17"/>
      <c r="Q17" s="17">
        <v>552857603</v>
      </c>
    </row>
    <row r="18" spans="1:17" ht="21" x14ac:dyDescent="0.55000000000000004">
      <c r="A18" s="16" t="s">
        <v>213</v>
      </c>
      <c r="C18" s="17">
        <v>0</v>
      </c>
      <c r="E18" s="17">
        <v>0</v>
      </c>
      <c r="G18" s="17">
        <v>0</v>
      </c>
      <c r="I18" s="17">
        <v>0</v>
      </c>
      <c r="K18" s="17"/>
      <c r="M18" s="17"/>
      <c r="O18" s="17"/>
      <c r="Q18" s="17">
        <v>-3551085</v>
      </c>
    </row>
    <row r="19" spans="1:17" ht="21" x14ac:dyDescent="0.55000000000000004">
      <c r="A19" s="16" t="s">
        <v>214</v>
      </c>
      <c r="C19" s="17">
        <v>0</v>
      </c>
      <c r="E19" s="17">
        <v>0</v>
      </c>
      <c r="G19" s="17">
        <v>0</v>
      </c>
      <c r="I19" s="17">
        <v>0</v>
      </c>
      <c r="K19" s="17"/>
      <c r="M19" s="17"/>
      <c r="O19" s="17"/>
      <c r="Q19" s="17">
        <v>-2469364</v>
      </c>
    </row>
    <row r="20" spans="1:17" ht="21" x14ac:dyDescent="0.55000000000000004">
      <c r="A20" s="16" t="s">
        <v>215</v>
      </c>
      <c r="C20" s="17">
        <v>0</v>
      </c>
      <c r="E20" s="17">
        <v>0</v>
      </c>
      <c r="G20" s="17">
        <v>0</v>
      </c>
      <c r="I20" s="17">
        <v>0</v>
      </c>
      <c r="K20" s="17"/>
      <c r="M20" s="17"/>
      <c r="O20" s="17"/>
      <c r="Q20" s="17">
        <v>18005293</v>
      </c>
    </row>
    <row r="21" spans="1:17" ht="21" x14ac:dyDescent="0.55000000000000004">
      <c r="A21" s="16" t="s">
        <v>216</v>
      </c>
      <c r="C21" s="17">
        <v>0</v>
      </c>
      <c r="E21" s="17">
        <v>0</v>
      </c>
      <c r="G21" s="17">
        <v>0</v>
      </c>
      <c r="I21" s="17">
        <v>0</v>
      </c>
      <c r="K21" s="17"/>
      <c r="M21" s="17"/>
      <c r="O21" s="17"/>
      <c r="Q21" s="17">
        <v>-3898996</v>
      </c>
    </row>
    <row r="22" spans="1:17" ht="21" x14ac:dyDescent="0.55000000000000004">
      <c r="A22" s="16" t="s">
        <v>217</v>
      </c>
      <c r="C22" s="17">
        <v>0</v>
      </c>
      <c r="E22" s="17">
        <v>0</v>
      </c>
      <c r="G22" s="17">
        <v>0</v>
      </c>
      <c r="I22" s="17">
        <v>0</v>
      </c>
      <c r="K22" s="17"/>
      <c r="M22" s="17"/>
      <c r="O22" s="17"/>
      <c r="Q22" s="17">
        <v>-79979</v>
      </c>
    </row>
    <row r="23" spans="1:17" ht="21" x14ac:dyDescent="0.55000000000000004">
      <c r="A23" s="16" t="s">
        <v>218</v>
      </c>
      <c r="C23" s="17">
        <v>0</v>
      </c>
      <c r="E23" s="17">
        <v>0</v>
      </c>
      <c r="G23" s="17">
        <v>0</v>
      </c>
      <c r="I23" s="17">
        <v>0</v>
      </c>
      <c r="K23" s="17"/>
      <c r="M23" s="17"/>
      <c r="O23" s="17"/>
      <c r="Q23" s="17">
        <v>180993382</v>
      </c>
    </row>
    <row r="24" spans="1:17" ht="21" x14ac:dyDescent="0.55000000000000004">
      <c r="A24" s="16" t="s">
        <v>219</v>
      </c>
      <c r="C24" s="17">
        <v>0</v>
      </c>
      <c r="E24" s="17">
        <v>0</v>
      </c>
      <c r="G24" s="17">
        <v>0</v>
      </c>
      <c r="I24" s="17">
        <v>0</v>
      </c>
      <c r="K24" s="17"/>
      <c r="M24" s="17"/>
      <c r="O24" s="17"/>
      <c r="Q24" s="17">
        <v>1769544</v>
      </c>
    </row>
    <row r="25" spans="1:17" ht="21" x14ac:dyDescent="0.55000000000000004">
      <c r="A25" s="16" t="s">
        <v>220</v>
      </c>
      <c r="C25" s="17">
        <v>0</v>
      </c>
      <c r="E25" s="17">
        <v>0</v>
      </c>
      <c r="G25" s="17">
        <v>0</v>
      </c>
      <c r="I25" s="17">
        <v>0</v>
      </c>
      <c r="K25" s="17"/>
      <c r="M25" s="17"/>
      <c r="O25" s="17"/>
      <c r="Q25" s="17">
        <v>-2499356</v>
      </c>
    </row>
    <row r="26" spans="1:17" ht="21" x14ac:dyDescent="0.55000000000000004">
      <c r="A26" s="16" t="s">
        <v>221</v>
      </c>
      <c r="C26" s="17">
        <v>0</v>
      </c>
      <c r="E26" s="17">
        <v>0</v>
      </c>
      <c r="G26" s="17">
        <v>0</v>
      </c>
      <c r="I26" s="17">
        <v>0</v>
      </c>
      <c r="K26" s="17"/>
      <c r="M26" s="17"/>
      <c r="O26" s="17"/>
      <c r="Q26" s="17">
        <v>-9760486</v>
      </c>
    </row>
    <row r="27" spans="1:17" ht="21" x14ac:dyDescent="0.55000000000000004">
      <c r="A27" s="16" t="s">
        <v>222</v>
      </c>
      <c r="C27" s="17">
        <v>0</v>
      </c>
      <c r="E27" s="17">
        <v>0</v>
      </c>
      <c r="G27" s="17">
        <v>0</v>
      </c>
      <c r="I27" s="17">
        <v>0</v>
      </c>
      <c r="K27" s="17"/>
      <c r="M27" s="17"/>
      <c r="O27" s="17"/>
      <c r="Q27" s="17">
        <v>29992</v>
      </c>
    </row>
    <row r="28" spans="1:17" ht="21" x14ac:dyDescent="0.55000000000000004">
      <c r="A28" s="16" t="s">
        <v>223</v>
      </c>
      <c r="C28" s="17">
        <v>0</v>
      </c>
      <c r="E28" s="17">
        <v>0</v>
      </c>
      <c r="G28" s="17">
        <v>0</v>
      </c>
      <c r="I28" s="17">
        <v>0</v>
      </c>
      <c r="K28" s="17"/>
      <c r="M28" s="17"/>
      <c r="O28" s="17"/>
      <c r="Q28" s="17">
        <v>6238393</v>
      </c>
    </row>
    <row r="29" spans="1:17" ht="21" x14ac:dyDescent="0.55000000000000004">
      <c r="A29" s="16" t="s">
        <v>224</v>
      </c>
      <c r="C29" s="17">
        <v>0</v>
      </c>
      <c r="E29" s="17">
        <v>0</v>
      </c>
      <c r="G29" s="17">
        <v>0</v>
      </c>
      <c r="I29" s="17">
        <v>0</v>
      </c>
      <c r="K29" s="17"/>
      <c r="M29" s="17"/>
      <c r="O29" s="17"/>
      <c r="Q29" s="17">
        <v>1519609</v>
      </c>
    </row>
    <row r="30" spans="1:17" ht="21" x14ac:dyDescent="0.55000000000000004">
      <c r="A30" s="16" t="s">
        <v>225</v>
      </c>
      <c r="C30" s="17">
        <v>0</v>
      </c>
      <c r="E30" s="17">
        <v>0</v>
      </c>
      <c r="G30" s="17">
        <v>0</v>
      </c>
      <c r="I30" s="17">
        <v>0</v>
      </c>
      <c r="K30" s="17"/>
      <c r="M30" s="17"/>
      <c r="O30" s="17"/>
      <c r="Q30" s="17">
        <v>-22527198</v>
      </c>
    </row>
    <row r="31" spans="1:17" ht="21" x14ac:dyDescent="0.55000000000000004">
      <c r="A31" s="16" t="s">
        <v>226</v>
      </c>
      <c r="C31" s="17">
        <v>0</v>
      </c>
      <c r="E31" s="17">
        <v>0</v>
      </c>
      <c r="G31" s="17">
        <v>0</v>
      </c>
      <c r="I31" s="17">
        <v>0</v>
      </c>
      <c r="K31" s="17"/>
      <c r="M31" s="17"/>
      <c r="O31" s="17"/>
      <c r="Q31" s="17">
        <v>-15336050</v>
      </c>
    </row>
    <row r="32" spans="1:17" ht="21" x14ac:dyDescent="0.55000000000000004">
      <c r="A32" s="16" t="s">
        <v>227</v>
      </c>
      <c r="C32" s="17">
        <v>0</v>
      </c>
      <c r="E32" s="17">
        <v>0</v>
      </c>
      <c r="G32" s="17">
        <v>0</v>
      </c>
      <c r="I32" s="17">
        <v>0</v>
      </c>
      <c r="K32" s="17"/>
      <c r="M32" s="17"/>
      <c r="O32" s="17"/>
      <c r="Q32" s="17">
        <v>-85859485</v>
      </c>
    </row>
    <row r="33" spans="1:17" ht="21" x14ac:dyDescent="0.55000000000000004">
      <c r="A33" s="16" t="s">
        <v>228</v>
      </c>
      <c r="C33" s="17">
        <v>0</v>
      </c>
      <c r="E33" s="17">
        <v>0</v>
      </c>
      <c r="G33" s="17">
        <v>0</v>
      </c>
      <c r="I33" s="17">
        <v>0</v>
      </c>
      <c r="K33" s="17"/>
      <c r="M33" s="17"/>
      <c r="O33" s="17"/>
      <c r="Q33" s="17">
        <v>6998198</v>
      </c>
    </row>
    <row r="34" spans="1:17" ht="21" x14ac:dyDescent="0.55000000000000004">
      <c r="A34" s="16" t="s">
        <v>229</v>
      </c>
      <c r="C34" s="17">
        <v>0</v>
      </c>
      <c r="E34" s="17">
        <v>0</v>
      </c>
      <c r="G34" s="17">
        <v>0</v>
      </c>
      <c r="I34" s="17">
        <v>0</v>
      </c>
      <c r="K34" s="17"/>
      <c r="M34" s="17"/>
      <c r="O34" s="17"/>
      <c r="Q34" s="17">
        <v>2998</v>
      </c>
    </row>
    <row r="35" spans="1:17" ht="21" x14ac:dyDescent="0.55000000000000004">
      <c r="A35" s="16" t="s">
        <v>230</v>
      </c>
      <c r="C35" s="17">
        <v>0</v>
      </c>
      <c r="E35" s="17">
        <v>0</v>
      </c>
      <c r="G35" s="17">
        <v>0</v>
      </c>
      <c r="I35" s="17">
        <v>0</v>
      </c>
      <c r="K35" s="17"/>
      <c r="M35" s="17"/>
      <c r="O35" s="17"/>
      <c r="Q35" s="17">
        <v>36052714</v>
      </c>
    </row>
    <row r="36" spans="1:17" ht="21" x14ac:dyDescent="0.55000000000000004">
      <c r="A36" s="16" t="s">
        <v>231</v>
      </c>
      <c r="C36" s="17">
        <v>0</v>
      </c>
      <c r="E36" s="17">
        <v>0</v>
      </c>
      <c r="G36" s="17">
        <v>0</v>
      </c>
      <c r="I36" s="17">
        <v>0</v>
      </c>
      <c r="K36" s="17"/>
      <c r="M36" s="17"/>
      <c r="O36" s="17"/>
      <c r="Q36" s="17">
        <v>-59984550</v>
      </c>
    </row>
    <row r="37" spans="1:17" ht="21" x14ac:dyDescent="0.55000000000000004">
      <c r="A37" s="16" t="s">
        <v>232</v>
      </c>
      <c r="C37" s="17">
        <v>0</v>
      </c>
      <c r="E37" s="17">
        <v>0</v>
      </c>
      <c r="G37" s="17">
        <v>0</v>
      </c>
      <c r="I37" s="17">
        <v>0</v>
      </c>
      <c r="K37" s="17"/>
      <c r="M37" s="17"/>
      <c r="O37" s="17"/>
      <c r="Q37" s="17">
        <v>-132110973</v>
      </c>
    </row>
    <row r="38" spans="1:17" ht="21" x14ac:dyDescent="0.55000000000000004">
      <c r="A38" s="16" t="s">
        <v>233</v>
      </c>
      <c r="C38" s="17">
        <v>0</v>
      </c>
      <c r="E38" s="17">
        <v>0</v>
      </c>
      <c r="G38" s="17">
        <v>0</v>
      </c>
      <c r="I38" s="17">
        <v>0</v>
      </c>
      <c r="K38" s="17"/>
      <c r="M38" s="17"/>
      <c r="O38" s="17"/>
      <c r="Q38" s="17">
        <v>3399125</v>
      </c>
    </row>
    <row r="39" spans="1:17" ht="21" x14ac:dyDescent="0.55000000000000004">
      <c r="A39" s="16" t="s">
        <v>234</v>
      </c>
      <c r="C39" s="17">
        <v>0</v>
      </c>
      <c r="E39" s="17">
        <v>0</v>
      </c>
      <c r="G39" s="17">
        <v>0</v>
      </c>
      <c r="I39" s="17">
        <v>0</v>
      </c>
      <c r="K39" s="17"/>
      <c r="M39" s="17"/>
      <c r="O39" s="17"/>
      <c r="Q39" s="17">
        <v>-20820926</v>
      </c>
    </row>
    <row r="40" spans="1:17" ht="21" x14ac:dyDescent="0.55000000000000004">
      <c r="A40" s="16" t="s">
        <v>235</v>
      </c>
      <c r="C40" s="17">
        <v>0</v>
      </c>
      <c r="E40" s="17">
        <v>0</v>
      </c>
      <c r="G40" s="17">
        <v>0</v>
      </c>
      <c r="I40" s="17">
        <v>0</v>
      </c>
      <c r="K40" s="17"/>
      <c r="M40" s="17"/>
      <c r="O40" s="17"/>
      <c r="Q40" s="17">
        <v>1811533</v>
      </c>
    </row>
    <row r="41" spans="1:17" ht="21" x14ac:dyDescent="0.55000000000000004">
      <c r="A41" s="16" t="s">
        <v>236</v>
      </c>
      <c r="C41" s="17"/>
      <c r="E41" s="17"/>
      <c r="G41" s="17"/>
      <c r="I41" s="17">
        <v>36908117</v>
      </c>
      <c r="K41" s="17"/>
      <c r="M41" s="17"/>
      <c r="O41" s="17"/>
      <c r="Q41" s="17">
        <v>26575555</v>
      </c>
    </row>
    <row r="42" spans="1:17" ht="21" x14ac:dyDescent="0.55000000000000004">
      <c r="A42" s="16" t="s">
        <v>237</v>
      </c>
      <c r="C42" s="17">
        <v>0</v>
      </c>
      <c r="E42" s="17">
        <v>0</v>
      </c>
      <c r="G42" s="17">
        <v>0</v>
      </c>
      <c r="I42" s="17">
        <v>0</v>
      </c>
      <c r="K42" s="17"/>
      <c r="M42" s="17"/>
      <c r="O42" s="17"/>
      <c r="Q42" s="17">
        <v>-15082116</v>
      </c>
    </row>
    <row r="43" spans="1:17" ht="21" x14ac:dyDescent="0.55000000000000004">
      <c r="A43" s="16" t="s">
        <v>238</v>
      </c>
      <c r="C43" s="17"/>
      <c r="E43" s="17"/>
      <c r="G43" s="17"/>
      <c r="I43" s="17">
        <v>34990986</v>
      </c>
      <c r="K43" s="17"/>
      <c r="M43" s="17"/>
      <c r="O43" s="17"/>
      <c r="Q43" s="17">
        <v>69981974</v>
      </c>
    </row>
    <row r="44" spans="1:17" ht="21" x14ac:dyDescent="0.55000000000000004">
      <c r="A44" s="16" t="s">
        <v>239</v>
      </c>
      <c r="C44" s="17">
        <v>0</v>
      </c>
      <c r="E44" s="17">
        <v>0</v>
      </c>
      <c r="G44" s="17">
        <v>0</v>
      </c>
      <c r="I44" s="17">
        <v>0</v>
      </c>
      <c r="K44" s="17"/>
      <c r="M44" s="17"/>
      <c r="O44" s="17"/>
      <c r="Q44" s="17">
        <v>336473735</v>
      </c>
    </row>
    <row r="45" spans="1:17" ht="21" x14ac:dyDescent="0.55000000000000004">
      <c r="A45" s="16" t="s">
        <v>240</v>
      </c>
      <c r="C45" s="17"/>
      <c r="E45" s="17"/>
      <c r="G45" s="17"/>
      <c r="I45" s="17">
        <v>-708245140</v>
      </c>
      <c r="K45" s="17"/>
      <c r="M45" s="17"/>
      <c r="O45" s="17"/>
      <c r="Q45" s="17">
        <v>-449884125</v>
      </c>
    </row>
    <row r="46" spans="1:17" ht="21" x14ac:dyDescent="0.55000000000000004">
      <c r="A46" s="16" t="s">
        <v>283</v>
      </c>
      <c r="C46" s="17"/>
      <c r="E46" s="17"/>
      <c r="G46" s="17"/>
      <c r="I46" s="17">
        <v>-899003100</v>
      </c>
      <c r="K46" s="17">
        <v>0</v>
      </c>
      <c r="M46" s="17">
        <v>0</v>
      </c>
      <c r="O46" s="17">
        <v>0</v>
      </c>
      <c r="Q46" s="17">
        <v>0</v>
      </c>
    </row>
    <row r="47" spans="1:17" ht="21" x14ac:dyDescent="0.55000000000000004">
      <c r="A47" s="16" t="s">
        <v>241</v>
      </c>
      <c r="C47" s="17">
        <v>0</v>
      </c>
      <c r="E47" s="17">
        <v>0</v>
      </c>
      <c r="G47" s="17">
        <v>0</v>
      </c>
      <c r="I47" s="17">
        <v>0</v>
      </c>
      <c r="K47" s="17"/>
      <c r="M47" s="17"/>
      <c r="O47" s="17"/>
      <c r="Q47" s="17">
        <v>-6289548</v>
      </c>
    </row>
    <row r="48" spans="1:17" ht="21" x14ac:dyDescent="0.55000000000000004">
      <c r="A48" s="16" t="s">
        <v>242</v>
      </c>
      <c r="C48" s="17"/>
      <c r="E48" s="17"/>
      <c r="G48" s="17"/>
      <c r="I48" s="17">
        <v>-336707555</v>
      </c>
      <c r="K48" s="17"/>
      <c r="M48" s="17"/>
      <c r="O48" s="17"/>
      <c r="Q48" s="17">
        <v>53986095</v>
      </c>
    </row>
    <row r="49" spans="1:17" ht="21" x14ac:dyDescent="0.55000000000000004">
      <c r="A49" s="16" t="s">
        <v>243</v>
      </c>
      <c r="C49" s="17">
        <v>0</v>
      </c>
      <c r="E49" s="17">
        <v>0</v>
      </c>
      <c r="G49" s="17">
        <v>0</v>
      </c>
      <c r="I49" s="17">
        <v>0</v>
      </c>
      <c r="K49" s="17"/>
      <c r="M49" s="17"/>
      <c r="O49" s="17"/>
      <c r="Q49" s="17">
        <v>1319210</v>
      </c>
    </row>
    <row r="50" spans="1:17" ht="21" x14ac:dyDescent="0.55000000000000004">
      <c r="A50" s="16" t="s">
        <v>244</v>
      </c>
      <c r="C50" s="17"/>
      <c r="E50" s="17"/>
      <c r="G50" s="17"/>
      <c r="I50" s="17">
        <v>-218755734</v>
      </c>
      <c r="K50" s="17"/>
      <c r="M50" s="17"/>
      <c r="O50" s="17"/>
      <c r="Q50" s="17">
        <v>32176865</v>
      </c>
    </row>
    <row r="51" spans="1:17" ht="21" x14ac:dyDescent="0.55000000000000004">
      <c r="A51" s="16" t="s">
        <v>245</v>
      </c>
      <c r="C51" s="17">
        <v>0</v>
      </c>
      <c r="E51" s="17">
        <v>0</v>
      </c>
      <c r="G51" s="17">
        <v>0</v>
      </c>
      <c r="I51" s="17">
        <v>0</v>
      </c>
      <c r="K51" s="17"/>
      <c r="M51" s="17"/>
      <c r="O51" s="17"/>
      <c r="Q51" s="17">
        <v>-24993562</v>
      </c>
    </row>
    <row r="52" spans="1:17" ht="21" x14ac:dyDescent="0.55000000000000004">
      <c r="A52" s="16" t="s">
        <v>246</v>
      </c>
      <c r="C52" s="17">
        <v>0</v>
      </c>
      <c r="E52" s="17">
        <v>0</v>
      </c>
      <c r="G52" s="17">
        <v>0</v>
      </c>
      <c r="I52" s="17">
        <v>0</v>
      </c>
      <c r="K52" s="17"/>
      <c r="M52" s="17"/>
      <c r="O52" s="17"/>
      <c r="Q52" s="17">
        <v>169936230</v>
      </c>
    </row>
    <row r="53" spans="1:17" ht="21" x14ac:dyDescent="0.55000000000000004">
      <c r="A53" s="16" t="s">
        <v>284</v>
      </c>
      <c r="C53" s="17"/>
      <c r="E53" s="17"/>
      <c r="G53" s="17"/>
      <c r="I53" s="17">
        <v>-100861165</v>
      </c>
      <c r="K53" s="17">
        <v>0</v>
      </c>
      <c r="M53" s="17">
        <v>0</v>
      </c>
      <c r="O53" s="17">
        <v>0</v>
      </c>
      <c r="Q53" s="17">
        <v>0</v>
      </c>
    </row>
    <row r="54" spans="1:17" ht="21" x14ac:dyDescent="0.55000000000000004">
      <c r="A54" s="16" t="s">
        <v>247</v>
      </c>
      <c r="C54" s="17"/>
      <c r="E54" s="17"/>
      <c r="G54" s="17"/>
      <c r="I54" s="17">
        <v>-15223984</v>
      </c>
      <c r="K54" s="17"/>
      <c r="M54" s="17"/>
      <c r="O54" s="17"/>
      <c r="Q54" s="17">
        <v>-2397382</v>
      </c>
    </row>
    <row r="55" spans="1:17" ht="21" x14ac:dyDescent="0.55000000000000004">
      <c r="A55" s="16" t="s">
        <v>248</v>
      </c>
      <c r="C55" s="17"/>
      <c r="E55" s="17"/>
      <c r="G55" s="17"/>
      <c r="I55" s="17">
        <v>-35046202</v>
      </c>
      <c r="K55" s="17"/>
      <c r="M55" s="17"/>
      <c r="O55" s="17"/>
      <c r="Q55" s="17">
        <v>402706</v>
      </c>
    </row>
    <row r="56" spans="1:17" ht="21" x14ac:dyDescent="0.55000000000000004">
      <c r="A56" s="16" t="s">
        <v>249</v>
      </c>
      <c r="C56" s="17"/>
      <c r="E56" s="17"/>
      <c r="G56" s="17"/>
      <c r="I56" s="17">
        <v>42458426</v>
      </c>
      <c r="K56" s="17"/>
      <c r="M56" s="17"/>
      <c r="O56" s="17"/>
      <c r="Q56" s="17">
        <v>42458426</v>
      </c>
    </row>
    <row r="57" spans="1:17" ht="21" x14ac:dyDescent="0.55000000000000004">
      <c r="A57" s="16" t="s">
        <v>250</v>
      </c>
      <c r="C57" s="17"/>
      <c r="E57" s="17"/>
      <c r="G57" s="17"/>
      <c r="I57" s="17">
        <v>-111971160</v>
      </c>
      <c r="K57" s="17"/>
      <c r="M57" s="17"/>
      <c r="O57" s="17"/>
      <c r="Q57" s="17">
        <v>-111971160</v>
      </c>
    </row>
    <row r="58" spans="1:17" ht="21" x14ac:dyDescent="0.55000000000000004">
      <c r="A58" s="16" t="s">
        <v>251</v>
      </c>
      <c r="C58" s="17"/>
      <c r="E58" s="17"/>
      <c r="G58" s="17"/>
      <c r="I58" s="17">
        <v>-15508006</v>
      </c>
      <c r="K58" s="17"/>
      <c r="M58" s="17"/>
      <c r="O58" s="17"/>
      <c r="Q58" s="17">
        <v>-15508006</v>
      </c>
    </row>
    <row r="59" spans="1:17" ht="21" x14ac:dyDescent="0.55000000000000004">
      <c r="A59" s="16" t="s">
        <v>252</v>
      </c>
      <c r="C59" s="17"/>
      <c r="E59" s="17"/>
      <c r="G59" s="17"/>
      <c r="I59" s="17">
        <v>85420893</v>
      </c>
      <c r="K59" s="17"/>
      <c r="M59" s="17"/>
      <c r="O59" s="17"/>
      <c r="Q59" s="17">
        <v>85420893</v>
      </c>
    </row>
    <row r="60" spans="1:17" ht="21" x14ac:dyDescent="0.55000000000000004">
      <c r="A60" s="16" t="s">
        <v>253</v>
      </c>
      <c r="C60" s="17"/>
      <c r="E60" s="17"/>
      <c r="G60" s="17"/>
      <c r="I60" s="17">
        <v>10997168</v>
      </c>
      <c r="K60" s="17"/>
      <c r="M60" s="17"/>
      <c r="O60" s="17"/>
      <c r="Q60" s="17">
        <v>10997168</v>
      </c>
    </row>
    <row r="61" spans="1:17" ht="21" x14ac:dyDescent="0.55000000000000004">
      <c r="A61" s="16" t="s">
        <v>254</v>
      </c>
      <c r="C61" s="17"/>
      <c r="E61" s="17"/>
      <c r="G61" s="17"/>
      <c r="I61" s="17">
        <v>-13980945</v>
      </c>
      <c r="K61" s="17"/>
      <c r="M61" s="17"/>
      <c r="O61" s="17"/>
      <c r="Q61" s="17">
        <v>-13980945</v>
      </c>
    </row>
    <row r="62" spans="1:17" ht="21" x14ac:dyDescent="0.55000000000000004">
      <c r="A62" s="16" t="s">
        <v>255</v>
      </c>
      <c r="C62" s="17"/>
      <c r="E62" s="17"/>
      <c r="G62" s="17"/>
      <c r="I62" s="17">
        <v>66600160</v>
      </c>
      <c r="K62" s="17"/>
      <c r="M62" s="17"/>
      <c r="O62" s="17"/>
      <c r="Q62" s="17">
        <v>66600160</v>
      </c>
    </row>
    <row r="63" spans="1:17" ht="21" x14ac:dyDescent="0.55000000000000004">
      <c r="A63" s="16" t="s">
        <v>256</v>
      </c>
      <c r="C63" s="17"/>
      <c r="E63" s="17"/>
      <c r="G63" s="17"/>
      <c r="I63" s="17">
        <v>40092700</v>
      </c>
      <c r="K63" s="17"/>
      <c r="M63" s="17"/>
      <c r="O63" s="17"/>
      <c r="Q63" s="17">
        <v>40092700</v>
      </c>
    </row>
    <row r="64" spans="1:17" ht="21" x14ac:dyDescent="0.55000000000000004">
      <c r="A64" s="16" t="s">
        <v>257</v>
      </c>
      <c r="C64" s="17"/>
      <c r="E64" s="17"/>
      <c r="G64" s="17"/>
      <c r="I64" s="17">
        <v>17035816</v>
      </c>
      <c r="K64" s="17"/>
      <c r="M64" s="17"/>
      <c r="O64" s="17"/>
      <c r="Q64" s="17">
        <v>17035816</v>
      </c>
    </row>
    <row r="65" spans="1:17" ht="21" x14ac:dyDescent="0.55000000000000004">
      <c r="A65" s="16" t="s">
        <v>258</v>
      </c>
      <c r="C65" s="17"/>
      <c r="E65" s="17"/>
      <c r="G65" s="17"/>
      <c r="I65" s="17">
        <v>13468</v>
      </c>
      <c r="K65" s="17"/>
      <c r="M65" s="17"/>
      <c r="O65" s="17"/>
      <c r="Q65" s="17">
        <v>13468</v>
      </c>
    </row>
    <row r="66" spans="1:17" ht="21" x14ac:dyDescent="0.55000000000000004">
      <c r="A66" s="16" t="s">
        <v>259</v>
      </c>
      <c r="C66" s="17">
        <v>0</v>
      </c>
      <c r="E66" s="17">
        <v>0</v>
      </c>
      <c r="G66" s="17">
        <v>0</v>
      </c>
      <c r="I66" s="17">
        <v>0</v>
      </c>
      <c r="K66" s="17"/>
      <c r="M66" s="17"/>
      <c r="O66" s="17"/>
      <c r="Q66" s="17">
        <v>-24993562</v>
      </c>
    </row>
    <row r="67" spans="1:17" ht="21" x14ac:dyDescent="0.55000000000000004">
      <c r="A67" s="16" t="s">
        <v>260</v>
      </c>
      <c r="C67" s="17">
        <v>0</v>
      </c>
      <c r="E67" s="17">
        <v>0</v>
      </c>
      <c r="G67" s="17">
        <v>0</v>
      </c>
      <c r="I67" s="17">
        <v>0</v>
      </c>
      <c r="K67" s="17"/>
      <c r="M67" s="17"/>
      <c r="O67" s="17"/>
      <c r="Q67" s="17">
        <v>51986610</v>
      </c>
    </row>
    <row r="68" spans="1:17" ht="21" x14ac:dyDescent="0.55000000000000004">
      <c r="A68" s="16" t="s">
        <v>261</v>
      </c>
      <c r="C68" s="17">
        <v>0</v>
      </c>
      <c r="E68" s="17">
        <v>0</v>
      </c>
      <c r="G68" s="17">
        <v>0</v>
      </c>
      <c r="I68" s="17">
        <v>0</v>
      </c>
      <c r="K68" s="17"/>
      <c r="M68" s="17"/>
      <c r="O68" s="17"/>
      <c r="Q68" s="17">
        <v>-1887514</v>
      </c>
    </row>
    <row r="69" spans="1:17" ht="21" x14ac:dyDescent="0.55000000000000004">
      <c r="A69" s="16" t="s">
        <v>262</v>
      </c>
      <c r="C69" s="17">
        <v>0</v>
      </c>
      <c r="E69" s="17">
        <v>0</v>
      </c>
      <c r="G69" s="17">
        <v>0</v>
      </c>
      <c r="I69" s="17">
        <v>0</v>
      </c>
      <c r="K69" s="17"/>
      <c r="M69" s="17"/>
      <c r="O69" s="17"/>
      <c r="Q69" s="17">
        <v>24667646</v>
      </c>
    </row>
    <row r="70" spans="1:17" ht="21" x14ac:dyDescent="0.55000000000000004">
      <c r="A70" s="16" t="s">
        <v>263</v>
      </c>
      <c r="C70" s="17">
        <v>0</v>
      </c>
      <c r="E70" s="17">
        <v>0</v>
      </c>
      <c r="G70" s="17">
        <v>0</v>
      </c>
      <c r="I70" s="17">
        <v>0</v>
      </c>
      <c r="K70" s="17"/>
      <c r="M70" s="17"/>
      <c r="O70" s="17"/>
      <c r="Q70" s="17">
        <v>-20994592</v>
      </c>
    </row>
    <row r="71" spans="1:17" ht="21" x14ac:dyDescent="0.55000000000000004">
      <c r="A71" s="16" t="s">
        <v>264</v>
      </c>
      <c r="C71" s="17">
        <v>0</v>
      </c>
      <c r="E71" s="17">
        <v>0</v>
      </c>
      <c r="G71" s="17">
        <v>0</v>
      </c>
      <c r="I71" s="17">
        <v>0</v>
      </c>
      <c r="K71" s="17"/>
      <c r="M71" s="17"/>
      <c r="O71" s="17"/>
      <c r="Q71" s="17">
        <v>2000</v>
      </c>
    </row>
    <row r="72" spans="1:17" ht="21" x14ac:dyDescent="0.55000000000000004">
      <c r="A72" s="16" t="s">
        <v>265</v>
      </c>
      <c r="C72" s="17">
        <v>0</v>
      </c>
      <c r="E72" s="17">
        <v>0</v>
      </c>
      <c r="G72" s="17">
        <v>0</v>
      </c>
      <c r="I72" s="17">
        <v>0</v>
      </c>
      <c r="K72" s="17"/>
      <c r="M72" s="17"/>
      <c r="O72" s="17"/>
      <c r="Q72" s="17">
        <v>17717036</v>
      </c>
    </row>
    <row r="73" spans="1:17" ht="21" x14ac:dyDescent="0.55000000000000004">
      <c r="A73" s="16" t="s">
        <v>266</v>
      </c>
      <c r="C73" s="17">
        <v>0</v>
      </c>
      <c r="E73" s="17">
        <v>0</v>
      </c>
      <c r="G73" s="17">
        <v>0</v>
      </c>
      <c r="I73" s="17">
        <v>0</v>
      </c>
      <c r="K73" s="17"/>
      <c r="M73" s="17"/>
      <c r="O73" s="17"/>
      <c r="Q73" s="17">
        <v>3478672</v>
      </c>
    </row>
    <row r="74" spans="1:17" ht="21" x14ac:dyDescent="0.55000000000000004">
      <c r="A74" s="16" t="s">
        <v>282</v>
      </c>
      <c r="C74" s="17">
        <v>0</v>
      </c>
      <c r="E74" s="17">
        <v>0</v>
      </c>
      <c r="G74" s="17">
        <v>0</v>
      </c>
      <c r="I74" s="17">
        <v>0</v>
      </c>
      <c r="K74" s="17"/>
      <c r="M74" s="17"/>
      <c r="O74" s="17"/>
      <c r="Q74" s="17">
        <v>-998</v>
      </c>
    </row>
    <row r="75" spans="1:17" ht="21" x14ac:dyDescent="0.55000000000000004">
      <c r="A75" s="16" t="s">
        <v>267</v>
      </c>
      <c r="C75" s="17">
        <v>0</v>
      </c>
      <c r="E75" s="17">
        <v>0</v>
      </c>
      <c r="G75" s="17">
        <v>0</v>
      </c>
      <c r="I75" s="17">
        <v>0</v>
      </c>
      <c r="K75" s="17"/>
      <c r="M75" s="17"/>
      <c r="O75" s="17"/>
      <c r="Q75" s="17">
        <v>50986</v>
      </c>
    </row>
    <row r="76" spans="1:17" ht="21" x14ac:dyDescent="0.55000000000000004">
      <c r="A76" s="16" t="s">
        <v>268</v>
      </c>
      <c r="C76" s="17">
        <v>0</v>
      </c>
      <c r="E76" s="17">
        <v>0</v>
      </c>
      <c r="G76" s="17">
        <v>0</v>
      </c>
      <c r="I76" s="17">
        <v>0</v>
      </c>
      <c r="K76" s="17"/>
      <c r="M76" s="17"/>
      <c r="O76" s="17"/>
      <c r="Q76" s="17">
        <v>57921</v>
      </c>
    </row>
    <row r="77" spans="1:17" ht="21" x14ac:dyDescent="0.55000000000000004">
      <c r="A77" s="16" t="s">
        <v>269</v>
      </c>
      <c r="C77" s="17">
        <v>0</v>
      </c>
      <c r="E77" s="17">
        <v>0</v>
      </c>
      <c r="G77" s="17">
        <v>0</v>
      </c>
      <c r="I77" s="17">
        <v>0</v>
      </c>
      <c r="K77" s="17"/>
      <c r="M77" s="17"/>
      <c r="O77" s="17"/>
      <c r="Q77" s="17">
        <v>186951848</v>
      </c>
    </row>
    <row r="78" spans="1:17" ht="21" x14ac:dyDescent="0.55000000000000004">
      <c r="A78" s="16" t="s">
        <v>270</v>
      </c>
      <c r="C78" s="17">
        <v>0</v>
      </c>
      <c r="E78" s="17">
        <v>0</v>
      </c>
      <c r="G78" s="17">
        <v>0</v>
      </c>
      <c r="I78" s="17">
        <v>0</v>
      </c>
      <c r="K78" s="17"/>
      <c r="M78" s="17"/>
      <c r="O78" s="17"/>
      <c r="Q78" s="17">
        <v>-17246938</v>
      </c>
    </row>
    <row r="79" spans="1:17" ht="21" x14ac:dyDescent="0.55000000000000004">
      <c r="A79" s="16" t="s">
        <v>271</v>
      </c>
      <c r="C79" s="17"/>
      <c r="E79" s="17"/>
      <c r="G79" s="17"/>
      <c r="I79" s="17">
        <v>-267410296</v>
      </c>
      <c r="K79" s="17"/>
      <c r="M79" s="17"/>
      <c r="O79" s="17"/>
      <c r="Q79" s="17">
        <v>851781</v>
      </c>
    </row>
    <row r="80" spans="1:17" ht="21" x14ac:dyDescent="0.55000000000000004">
      <c r="A80" s="16" t="s">
        <v>272</v>
      </c>
      <c r="C80" s="17">
        <v>0</v>
      </c>
      <c r="E80" s="17">
        <v>0</v>
      </c>
      <c r="G80" s="17">
        <v>0</v>
      </c>
      <c r="I80" s="17">
        <v>0</v>
      </c>
      <c r="K80" s="17"/>
      <c r="M80" s="17"/>
      <c r="O80" s="17"/>
      <c r="Q80" s="17">
        <v>239938200</v>
      </c>
    </row>
    <row r="81" spans="1:17" ht="21" x14ac:dyDescent="0.55000000000000004">
      <c r="A81" s="16" t="s">
        <v>273</v>
      </c>
      <c r="C81" s="17">
        <v>0</v>
      </c>
      <c r="E81" s="17">
        <v>0</v>
      </c>
      <c r="G81" s="17">
        <v>0</v>
      </c>
      <c r="I81" s="17">
        <v>0</v>
      </c>
      <c r="K81" s="17"/>
      <c r="M81" s="17"/>
      <c r="O81" s="17"/>
      <c r="Q81" s="17">
        <v>19187058</v>
      </c>
    </row>
    <row r="82" spans="1:17" ht="21" x14ac:dyDescent="0.55000000000000004">
      <c r="A82" s="16" t="s">
        <v>274</v>
      </c>
      <c r="C82" s="17"/>
      <c r="E82" s="17"/>
      <c r="G82" s="17"/>
      <c r="I82" s="17">
        <v>1961455</v>
      </c>
      <c r="K82" s="17"/>
      <c r="M82" s="17"/>
      <c r="O82" s="17"/>
      <c r="Q82" s="17">
        <v>662751298</v>
      </c>
    </row>
    <row r="83" spans="1:17" ht="21" x14ac:dyDescent="0.55000000000000004">
      <c r="A83" s="16" t="s">
        <v>275</v>
      </c>
      <c r="C83" s="17">
        <v>0</v>
      </c>
      <c r="E83" s="17">
        <v>0</v>
      </c>
      <c r="G83" s="17">
        <v>0</v>
      </c>
      <c r="I83" s="17">
        <v>0</v>
      </c>
      <c r="K83" s="17"/>
      <c r="M83" s="17"/>
      <c r="O83" s="17"/>
      <c r="Q83" s="17">
        <v>2659259</v>
      </c>
    </row>
    <row r="84" spans="1:17" ht="21" x14ac:dyDescent="0.55000000000000004">
      <c r="A84" s="16" t="s">
        <v>276</v>
      </c>
      <c r="C84" s="17">
        <v>0</v>
      </c>
      <c r="E84" s="17">
        <v>0</v>
      </c>
      <c r="G84" s="17">
        <v>0</v>
      </c>
      <c r="I84" s="17">
        <v>0</v>
      </c>
      <c r="K84" s="17"/>
      <c r="M84" s="17"/>
      <c r="O84" s="17"/>
      <c r="Q84" s="17">
        <v>6839138</v>
      </c>
    </row>
    <row r="85" spans="1:17" ht="21" x14ac:dyDescent="0.55000000000000004">
      <c r="A85" s="16" t="s">
        <v>277</v>
      </c>
      <c r="C85" s="17"/>
      <c r="E85" s="17"/>
      <c r="G85" s="17"/>
      <c r="I85" s="17">
        <v>-4798364</v>
      </c>
      <c r="K85" s="17"/>
      <c r="M85" s="17"/>
      <c r="O85" s="17"/>
      <c r="Q85" s="17">
        <v>6028728</v>
      </c>
    </row>
    <row r="86" spans="1:17" ht="21" x14ac:dyDescent="0.55000000000000004">
      <c r="A86" s="16" t="s">
        <v>278</v>
      </c>
      <c r="C86" s="17"/>
      <c r="E86" s="17"/>
      <c r="G86" s="17"/>
      <c r="I86" s="17">
        <v>-431888760</v>
      </c>
      <c r="K86" s="17"/>
      <c r="M86" s="17"/>
      <c r="O86" s="17"/>
      <c r="Q86" s="17">
        <v>-398835457</v>
      </c>
    </row>
    <row r="87" spans="1:17" ht="21" x14ac:dyDescent="0.55000000000000004">
      <c r="A87" s="16" t="s">
        <v>279</v>
      </c>
      <c r="C87" s="17">
        <v>0</v>
      </c>
      <c r="E87" s="17">
        <v>0</v>
      </c>
      <c r="G87" s="17">
        <v>0</v>
      </c>
      <c r="I87" s="17">
        <v>0</v>
      </c>
      <c r="K87" s="17"/>
      <c r="M87" s="17"/>
      <c r="O87" s="17"/>
      <c r="Q87" s="17">
        <v>-1058727</v>
      </c>
    </row>
    <row r="88" spans="1:17" ht="21" x14ac:dyDescent="0.55000000000000004">
      <c r="A88" s="16" t="s">
        <v>280</v>
      </c>
      <c r="C88" s="17"/>
      <c r="E88" s="17"/>
      <c r="G88" s="17"/>
      <c r="I88" s="17">
        <v>7210143</v>
      </c>
      <c r="K88" s="17"/>
      <c r="M88" s="17"/>
      <c r="O88" s="17"/>
      <c r="Q88" s="17">
        <v>7210143</v>
      </c>
    </row>
    <row r="89" spans="1:17" ht="21" x14ac:dyDescent="0.55000000000000004">
      <c r="A89" s="16" t="s">
        <v>281</v>
      </c>
      <c r="C89" s="17"/>
      <c r="E89" s="17"/>
      <c r="G89" s="17"/>
      <c r="I89" s="17">
        <v>466113408</v>
      </c>
      <c r="K89" s="17"/>
      <c r="M89" s="17"/>
      <c r="O89" s="17"/>
      <c r="Q89" s="17">
        <v>466113408</v>
      </c>
    </row>
    <row r="90" spans="1:17" ht="21" x14ac:dyDescent="0.55000000000000004">
      <c r="A90" s="16" t="s">
        <v>70</v>
      </c>
      <c r="C90" s="17">
        <v>1000000</v>
      </c>
      <c r="E90" s="17">
        <v>5218762500</v>
      </c>
      <c r="G90" s="17">
        <v>5347989000</v>
      </c>
      <c r="I90" s="17">
        <v>-129226500</v>
      </c>
      <c r="K90" s="17">
        <v>1000000</v>
      </c>
      <c r="M90" s="17">
        <v>5218762500</v>
      </c>
      <c r="O90" s="17">
        <v>4540820400</v>
      </c>
      <c r="Q90" s="17">
        <v>677942100</v>
      </c>
    </row>
    <row r="91" spans="1:17" ht="21" x14ac:dyDescent="0.55000000000000004">
      <c r="A91" s="16" t="s">
        <v>71</v>
      </c>
      <c r="C91" s="17">
        <v>5242039</v>
      </c>
      <c r="E91" s="17">
        <v>20947612449</v>
      </c>
      <c r="G91" s="17">
        <v>23212242577</v>
      </c>
      <c r="I91" s="17">
        <v>-2264630128</v>
      </c>
      <c r="K91" s="17">
        <v>5242039</v>
      </c>
      <c r="M91" s="17">
        <v>20947612449</v>
      </c>
      <c r="O91" s="17">
        <v>17597870612</v>
      </c>
      <c r="Q91" s="17">
        <v>3349741837</v>
      </c>
    </row>
    <row r="92" spans="1:17" ht="21" x14ac:dyDescent="0.55000000000000004">
      <c r="A92" s="16" t="s">
        <v>73</v>
      </c>
      <c r="C92" s="17">
        <v>75670591</v>
      </c>
      <c r="E92" s="17">
        <v>43703023921</v>
      </c>
      <c r="G92" s="17">
        <v>45959634451</v>
      </c>
      <c r="I92" s="17">
        <v>-2256610530</v>
      </c>
      <c r="K92" s="17">
        <v>75670591</v>
      </c>
      <c r="M92" s="17">
        <v>43703023921</v>
      </c>
      <c r="O92" s="17">
        <v>32881630396</v>
      </c>
      <c r="Q92" s="17">
        <v>10821393525</v>
      </c>
    </row>
    <row r="93" spans="1:17" ht="21" x14ac:dyDescent="0.55000000000000004">
      <c r="A93" s="16" t="s">
        <v>74</v>
      </c>
      <c r="C93" s="17">
        <v>38066235</v>
      </c>
      <c r="E93" s="17">
        <v>19411787083</v>
      </c>
      <c r="G93" s="17">
        <v>22022729205</v>
      </c>
      <c r="I93" s="17">
        <v>-2610942122</v>
      </c>
      <c r="K93" s="17">
        <v>38066235</v>
      </c>
      <c r="M93" s="17">
        <v>19411787083</v>
      </c>
      <c r="O93" s="17">
        <v>16572938428</v>
      </c>
      <c r="Q93" s="17">
        <v>2838848655</v>
      </c>
    </row>
    <row r="94" spans="1:17" ht="21" x14ac:dyDescent="0.55000000000000004">
      <c r="A94" s="16" t="s">
        <v>75</v>
      </c>
      <c r="C94" s="17">
        <v>35960926</v>
      </c>
      <c r="E94" s="17">
        <v>22627824724</v>
      </c>
      <c r="G94" s="17">
        <v>23706419735</v>
      </c>
      <c r="I94" s="17">
        <v>-1078595011</v>
      </c>
      <c r="K94" s="17">
        <v>35960926</v>
      </c>
      <c r="M94" s="17">
        <v>22627824724</v>
      </c>
      <c r="O94" s="17">
        <v>23470020757</v>
      </c>
      <c r="Q94" s="17">
        <v>-842196033</v>
      </c>
    </row>
    <row r="95" spans="1:17" ht="21" x14ac:dyDescent="0.55000000000000004">
      <c r="A95" s="16" t="s">
        <v>76</v>
      </c>
      <c r="C95" s="17">
        <v>25392957</v>
      </c>
      <c r="E95" s="17">
        <v>62271690591</v>
      </c>
      <c r="G95" s="17">
        <v>66007487189</v>
      </c>
      <c r="I95" s="17">
        <v>-3735796598</v>
      </c>
      <c r="K95" s="17">
        <v>25392957</v>
      </c>
      <c r="M95" s="17">
        <v>62271690591</v>
      </c>
      <c r="O95" s="17">
        <v>48018380490</v>
      </c>
      <c r="Q95" s="17">
        <v>14253310101</v>
      </c>
    </row>
    <row r="96" spans="1:17" ht="21" x14ac:dyDescent="0.55000000000000004">
      <c r="A96" s="16" t="s">
        <v>77</v>
      </c>
      <c r="C96" s="17">
        <v>1700000</v>
      </c>
      <c r="E96" s="17">
        <v>7256366190</v>
      </c>
      <c r="G96" s="17">
        <v>7513228710</v>
      </c>
      <c r="I96" s="17">
        <v>-256862520</v>
      </c>
      <c r="K96" s="17">
        <v>1700000</v>
      </c>
      <c r="M96" s="17">
        <v>7256366190</v>
      </c>
      <c r="O96" s="17">
        <v>9023985900</v>
      </c>
      <c r="Q96" s="17">
        <v>-1767619710</v>
      </c>
    </row>
    <row r="97" spans="1:17" ht="21" x14ac:dyDescent="0.55000000000000004">
      <c r="A97" s="16" t="s">
        <v>78</v>
      </c>
      <c r="C97" s="17">
        <v>285750</v>
      </c>
      <c r="E97" s="17">
        <v>14855803886</v>
      </c>
      <c r="G97" s="17">
        <v>15693750759</v>
      </c>
      <c r="I97" s="17">
        <v>-837946873</v>
      </c>
      <c r="K97" s="17">
        <v>285750</v>
      </c>
      <c r="M97" s="17">
        <v>14855803886</v>
      </c>
      <c r="O97" s="17">
        <v>13013430474</v>
      </c>
      <c r="Q97" s="17">
        <v>1842373412</v>
      </c>
    </row>
    <row r="98" spans="1:17" ht="21" x14ac:dyDescent="0.55000000000000004">
      <c r="A98" s="16" t="s">
        <v>79</v>
      </c>
      <c r="C98" s="17">
        <v>6603333</v>
      </c>
      <c r="E98" s="17">
        <v>14486843273</v>
      </c>
      <c r="G98" s="17">
        <v>15635550828</v>
      </c>
      <c r="I98" s="17">
        <v>-1148707555</v>
      </c>
      <c r="K98" s="17">
        <v>6603333</v>
      </c>
      <c r="M98" s="17">
        <v>14486843273</v>
      </c>
      <c r="O98" s="17">
        <v>18202576065</v>
      </c>
      <c r="Q98" s="17">
        <v>-3715732792</v>
      </c>
    </row>
    <row r="99" spans="1:17" ht="21" x14ac:dyDescent="0.55000000000000004">
      <c r="A99" s="16" t="s">
        <v>80</v>
      </c>
      <c r="C99" s="17">
        <v>900000</v>
      </c>
      <c r="E99" s="17">
        <v>3834448470</v>
      </c>
      <c r="G99" s="17">
        <v>3436331445</v>
      </c>
      <c r="I99" s="17">
        <v>398117025</v>
      </c>
      <c r="K99" s="17">
        <v>900000</v>
      </c>
      <c r="M99" s="17">
        <v>3834448470</v>
      </c>
      <c r="O99" s="17">
        <v>2932719040</v>
      </c>
      <c r="Q99" s="17">
        <v>901729430</v>
      </c>
    </row>
    <row r="100" spans="1:17" ht="21" x14ac:dyDescent="0.55000000000000004">
      <c r="A100" s="16" t="s">
        <v>81</v>
      </c>
      <c r="C100" s="17">
        <v>800000</v>
      </c>
      <c r="E100" s="17">
        <v>5717775600</v>
      </c>
      <c r="G100" s="17">
        <v>5916585600</v>
      </c>
      <c r="I100" s="17">
        <v>-198810000</v>
      </c>
      <c r="K100" s="17">
        <v>800000</v>
      </c>
      <c r="M100" s="17">
        <v>5717775600</v>
      </c>
      <c r="O100" s="17">
        <v>5232679200</v>
      </c>
      <c r="Q100" s="17">
        <v>485096400</v>
      </c>
    </row>
    <row r="101" spans="1:17" ht="21" x14ac:dyDescent="0.55000000000000004">
      <c r="A101" s="16" t="s">
        <v>82</v>
      </c>
      <c r="C101" s="17">
        <v>200000</v>
      </c>
      <c r="E101" s="17">
        <v>1598432400</v>
      </c>
      <c r="G101" s="17">
        <v>1665510906</v>
      </c>
      <c r="I101" s="17">
        <v>-67078506</v>
      </c>
      <c r="K101" s="17">
        <v>200000</v>
      </c>
      <c r="M101" s="17">
        <v>1598432400</v>
      </c>
      <c r="O101" s="17">
        <v>1665510906</v>
      </c>
      <c r="Q101" s="17">
        <v>-67078506</v>
      </c>
    </row>
    <row r="102" spans="1:17" ht="21" x14ac:dyDescent="0.55000000000000004">
      <c r="A102" s="16" t="s">
        <v>83</v>
      </c>
      <c r="C102" s="17">
        <v>28192301</v>
      </c>
      <c r="E102" s="17">
        <v>13872155620</v>
      </c>
      <c r="G102" s="17">
        <v>15413506245</v>
      </c>
      <c r="I102" s="17">
        <v>-1541350625</v>
      </c>
      <c r="K102" s="17">
        <v>28192301</v>
      </c>
      <c r="M102" s="17">
        <v>13872155620</v>
      </c>
      <c r="O102" s="17">
        <v>9709785882</v>
      </c>
      <c r="Q102" s="17">
        <v>4162369738</v>
      </c>
    </row>
    <row r="103" spans="1:17" ht="21" x14ac:dyDescent="0.55000000000000004">
      <c r="A103" s="16" t="s">
        <v>84</v>
      </c>
      <c r="C103" s="17">
        <v>40600000</v>
      </c>
      <c r="E103" s="17">
        <v>58802232510</v>
      </c>
      <c r="G103" s="17">
        <v>67398578100</v>
      </c>
      <c r="I103" s="17">
        <v>-8596345590</v>
      </c>
      <c r="K103" s="17">
        <v>40600000</v>
      </c>
      <c r="M103" s="17">
        <v>58802232510</v>
      </c>
      <c r="O103" s="17">
        <v>59510273778</v>
      </c>
      <c r="Q103" s="17">
        <v>-708041268</v>
      </c>
    </row>
    <row r="104" spans="1:17" ht="21" x14ac:dyDescent="0.55000000000000004">
      <c r="A104" s="16" t="s">
        <v>85</v>
      </c>
      <c r="C104" s="17">
        <v>600000</v>
      </c>
      <c r="E104" s="17">
        <v>18220936500</v>
      </c>
      <c r="G104" s="17">
        <v>17845185600</v>
      </c>
      <c r="I104" s="17">
        <v>375750900</v>
      </c>
      <c r="K104" s="17">
        <v>600000</v>
      </c>
      <c r="M104" s="17">
        <v>18220936500</v>
      </c>
      <c r="O104" s="17">
        <v>16040071563</v>
      </c>
      <c r="Q104" s="17">
        <v>2180864937</v>
      </c>
    </row>
    <row r="105" spans="1:17" ht="21" x14ac:dyDescent="0.55000000000000004">
      <c r="A105" s="16" t="s">
        <v>86</v>
      </c>
      <c r="C105" s="17">
        <v>1288004</v>
      </c>
      <c r="E105" s="17">
        <v>14352615617</v>
      </c>
      <c r="G105" s="17">
        <v>16324339797</v>
      </c>
      <c r="I105" s="17">
        <v>-1971724180</v>
      </c>
      <c r="K105" s="17">
        <v>1288004</v>
      </c>
      <c r="M105" s="17">
        <v>14352615617</v>
      </c>
      <c r="O105" s="17">
        <v>15830540555</v>
      </c>
      <c r="Q105" s="17">
        <v>-1477924938</v>
      </c>
    </row>
    <row r="106" spans="1:17" ht="21" x14ac:dyDescent="0.55000000000000004">
      <c r="A106" s="16" t="s">
        <v>87</v>
      </c>
      <c r="C106" s="17">
        <v>5300000</v>
      </c>
      <c r="E106" s="17">
        <v>52421226750</v>
      </c>
      <c r="G106" s="17">
        <v>57004791300</v>
      </c>
      <c r="I106" s="17">
        <v>-4583564550</v>
      </c>
      <c r="K106" s="17">
        <v>5300000</v>
      </c>
      <c r="M106" s="17">
        <v>52421226750</v>
      </c>
      <c r="O106" s="17">
        <v>56816603946</v>
      </c>
      <c r="Q106" s="17">
        <v>-4395377196</v>
      </c>
    </row>
    <row r="107" spans="1:17" ht="21" x14ac:dyDescent="0.55000000000000004">
      <c r="A107" s="16" t="s">
        <v>88</v>
      </c>
      <c r="C107" s="17">
        <v>1285714</v>
      </c>
      <c r="E107" s="17">
        <v>6914326249</v>
      </c>
      <c r="G107" s="17">
        <v>7144377770</v>
      </c>
      <c r="I107" s="17">
        <v>-230051521</v>
      </c>
      <c r="K107" s="17">
        <v>1285714</v>
      </c>
      <c r="M107" s="17">
        <v>6914326249</v>
      </c>
      <c r="O107" s="17">
        <v>6317569321</v>
      </c>
      <c r="Q107" s="17">
        <v>596756928</v>
      </c>
    </row>
    <row r="108" spans="1:17" ht="21" x14ac:dyDescent="0.55000000000000004">
      <c r="A108" s="16" t="s">
        <v>89</v>
      </c>
      <c r="C108" s="17">
        <v>750000</v>
      </c>
      <c r="E108" s="17">
        <v>3129766425</v>
      </c>
      <c r="G108" s="17">
        <v>3225605700</v>
      </c>
      <c r="I108" s="17">
        <v>-95839275</v>
      </c>
      <c r="K108" s="17">
        <v>750000</v>
      </c>
      <c r="M108" s="17">
        <v>3129766425</v>
      </c>
      <c r="O108" s="17">
        <v>2327157600</v>
      </c>
      <c r="Q108" s="17">
        <v>802608825</v>
      </c>
    </row>
    <row r="109" spans="1:17" ht="21" x14ac:dyDescent="0.55000000000000004">
      <c r="A109" s="16" t="s">
        <v>90</v>
      </c>
      <c r="C109" s="17">
        <v>3250000</v>
      </c>
      <c r="E109" s="17">
        <v>4329087750</v>
      </c>
      <c r="G109" s="17">
        <v>4371086362</v>
      </c>
      <c r="I109" s="17">
        <v>-41998612</v>
      </c>
      <c r="K109" s="17">
        <v>3250000</v>
      </c>
      <c r="M109" s="17">
        <v>4329087750</v>
      </c>
      <c r="O109" s="17">
        <v>3903619200</v>
      </c>
      <c r="Q109" s="17">
        <v>425468550</v>
      </c>
    </row>
    <row r="110" spans="1:17" ht="21" x14ac:dyDescent="0.55000000000000004">
      <c r="A110" s="16" t="s">
        <v>91</v>
      </c>
      <c r="C110" s="17">
        <v>2000000</v>
      </c>
      <c r="E110" s="17">
        <v>23300532000</v>
      </c>
      <c r="G110" s="17">
        <v>26478969806</v>
      </c>
      <c r="I110" s="17">
        <v>-3178437806</v>
      </c>
      <c r="K110" s="17">
        <v>2000000</v>
      </c>
      <c r="M110" s="17">
        <v>23300532000</v>
      </c>
      <c r="O110" s="17">
        <v>19533230776</v>
      </c>
      <c r="Q110" s="17">
        <v>3767301224</v>
      </c>
    </row>
    <row r="111" spans="1:17" ht="21" x14ac:dyDescent="0.55000000000000004">
      <c r="A111" s="16" t="s">
        <v>93</v>
      </c>
      <c r="C111" s="17">
        <v>249999</v>
      </c>
      <c r="E111" s="17">
        <v>1925964171</v>
      </c>
      <c r="G111" s="17">
        <v>2283820740</v>
      </c>
      <c r="I111" s="17">
        <v>-357856569</v>
      </c>
      <c r="K111" s="17">
        <v>249999</v>
      </c>
      <c r="M111" s="17">
        <v>1925964171</v>
      </c>
      <c r="O111" s="17">
        <v>1867954462</v>
      </c>
      <c r="Q111" s="17">
        <v>58009709</v>
      </c>
    </row>
    <row r="112" spans="1:17" ht="21" x14ac:dyDescent="0.55000000000000004">
      <c r="A112" s="16" t="s">
        <v>94</v>
      </c>
      <c r="C112" s="17">
        <v>1500000</v>
      </c>
      <c r="E112" s="17">
        <v>7186981500</v>
      </c>
      <c r="G112" s="17">
        <v>7082606250</v>
      </c>
      <c r="I112" s="17">
        <v>104375250</v>
      </c>
      <c r="K112" s="17">
        <v>1500000</v>
      </c>
      <c r="M112" s="17">
        <v>7186981500</v>
      </c>
      <c r="O112" s="17">
        <v>4654315200</v>
      </c>
      <c r="Q112" s="17">
        <v>2532666300</v>
      </c>
    </row>
    <row r="113" spans="1:17" ht="21" x14ac:dyDescent="0.55000000000000004">
      <c r="A113" s="16" t="s">
        <v>95</v>
      </c>
      <c r="C113" s="17">
        <v>3750000</v>
      </c>
      <c r="E113" s="17">
        <v>12938803312</v>
      </c>
      <c r="G113" s="17">
        <v>12197891796</v>
      </c>
      <c r="I113" s="17">
        <v>740911516</v>
      </c>
      <c r="K113" s="17">
        <v>3750000</v>
      </c>
      <c r="M113" s="17">
        <v>12938803312</v>
      </c>
      <c r="O113" s="17">
        <v>12197891796</v>
      </c>
      <c r="Q113" s="17">
        <v>740911516</v>
      </c>
    </row>
    <row r="114" spans="1:17" ht="21" x14ac:dyDescent="0.55000000000000004">
      <c r="A114" s="16" t="s">
        <v>96</v>
      </c>
      <c r="C114" s="17">
        <v>12666666</v>
      </c>
      <c r="E114" s="17">
        <v>101234046672</v>
      </c>
      <c r="G114" s="17">
        <v>110611327166</v>
      </c>
      <c r="I114" s="17">
        <v>-9377280494</v>
      </c>
      <c r="K114" s="17">
        <v>12666666</v>
      </c>
      <c r="M114" s="17">
        <v>101234046672</v>
      </c>
      <c r="O114" s="17">
        <v>87018265765</v>
      </c>
      <c r="Q114" s="17">
        <v>14215780907</v>
      </c>
    </row>
    <row r="115" spans="1:17" ht="21" x14ac:dyDescent="0.55000000000000004">
      <c r="A115" s="16" t="s">
        <v>97</v>
      </c>
      <c r="C115" s="17">
        <v>650000</v>
      </c>
      <c r="E115" s="17">
        <v>14150301750</v>
      </c>
      <c r="G115" s="17">
        <v>15623483850</v>
      </c>
      <c r="I115" s="17">
        <v>-1473182100</v>
      </c>
      <c r="K115" s="17">
        <v>650000</v>
      </c>
      <c r="M115" s="17">
        <v>14150301750</v>
      </c>
      <c r="O115" s="17">
        <v>14822279550</v>
      </c>
      <c r="Q115" s="17">
        <v>-671977800</v>
      </c>
    </row>
    <row r="116" spans="1:17" ht="21" x14ac:dyDescent="0.55000000000000004">
      <c r="A116" s="16" t="s">
        <v>98</v>
      </c>
      <c r="C116" s="17">
        <v>19566211</v>
      </c>
      <c r="E116" s="17">
        <v>68074272156</v>
      </c>
      <c r="G116" s="17">
        <v>72791023732</v>
      </c>
      <c r="I116" s="17">
        <v>-4716751576</v>
      </c>
      <c r="K116" s="17">
        <v>19566211</v>
      </c>
      <c r="M116" s="17">
        <v>68074272156</v>
      </c>
      <c r="O116" s="17">
        <v>81707385506</v>
      </c>
      <c r="Q116" s="17">
        <v>-13633113350</v>
      </c>
    </row>
    <row r="117" spans="1:17" ht="21" x14ac:dyDescent="0.55000000000000004">
      <c r="A117" s="16" t="s">
        <v>99</v>
      </c>
      <c r="C117" s="17">
        <v>1800000</v>
      </c>
      <c r="E117" s="17">
        <v>6799302000</v>
      </c>
      <c r="G117" s="17">
        <v>7337878290</v>
      </c>
      <c r="I117" s="17">
        <v>-538576290</v>
      </c>
      <c r="K117" s="17">
        <v>1800000</v>
      </c>
      <c r="M117" s="17">
        <v>6799302000</v>
      </c>
      <c r="O117" s="17">
        <v>7757852041</v>
      </c>
      <c r="Q117" s="17">
        <v>-958550041</v>
      </c>
    </row>
    <row r="118" spans="1:17" ht="21" x14ac:dyDescent="0.55000000000000004">
      <c r="A118" s="16" t="s">
        <v>100</v>
      </c>
      <c r="C118" s="17">
        <v>200000</v>
      </c>
      <c r="E118" s="17">
        <v>2890697400</v>
      </c>
      <c r="G118" s="17">
        <v>2954316600</v>
      </c>
      <c r="I118" s="17">
        <v>-63619200</v>
      </c>
      <c r="K118" s="17">
        <v>200000</v>
      </c>
      <c r="M118" s="17">
        <v>2890697400</v>
      </c>
      <c r="O118" s="17">
        <v>3632258700</v>
      </c>
      <c r="Q118" s="17">
        <v>-741561300</v>
      </c>
    </row>
    <row r="119" spans="1:17" ht="21" x14ac:dyDescent="0.55000000000000004">
      <c r="A119" s="16" t="s">
        <v>101</v>
      </c>
      <c r="C119" s="17">
        <v>2308532</v>
      </c>
      <c r="E119" s="17">
        <v>19749016395</v>
      </c>
      <c r="G119" s="17">
        <v>21314899868</v>
      </c>
      <c r="I119" s="17">
        <v>-1565883473</v>
      </c>
      <c r="K119" s="17">
        <v>2308532</v>
      </c>
      <c r="M119" s="17">
        <v>19749016395</v>
      </c>
      <c r="O119" s="17">
        <v>18663728023</v>
      </c>
      <c r="Q119" s="17">
        <v>1085288372</v>
      </c>
    </row>
    <row r="120" spans="1:17" ht="21" x14ac:dyDescent="0.55000000000000004">
      <c r="A120" s="16" t="s">
        <v>103</v>
      </c>
      <c r="C120" s="17">
        <v>29010652</v>
      </c>
      <c r="E120" s="17">
        <v>19177295683</v>
      </c>
      <c r="G120" s="17">
        <v>20417331343</v>
      </c>
      <c r="I120" s="17">
        <v>-1240035660</v>
      </c>
      <c r="K120" s="17">
        <v>29010652</v>
      </c>
      <c r="M120" s="17">
        <v>19177295683</v>
      </c>
      <c r="O120" s="17">
        <v>17878019607</v>
      </c>
      <c r="Q120" s="17">
        <v>1299276076</v>
      </c>
    </row>
    <row r="121" spans="1:17" ht="21" x14ac:dyDescent="0.55000000000000004">
      <c r="A121" s="16" t="s">
        <v>104</v>
      </c>
      <c r="C121" s="17">
        <v>1000000</v>
      </c>
      <c r="E121" s="17">
        <v>19483380000</v>
      </c>
      <c r="G121" s="17">
        <v>17624506500</v>
      </c>
      <c r="I121" s="17">
        <v>1858873500</v>
      </c>
      <c r="K121" s="17">
        <v>1000000</v>
      </c>
      <c r="M121" s="17">
        <v>19483380000</v>
      </c>
      <c r="O121" s="17">
        <v>16415148388</v>
      </c>
      <c r="Q121" s="17">
        <v>3068231612</v>
      </c>
    </row>
    <row r="122" spans="1:17" ht="21" x14ac:dyDescent="0.55000000000000004">
      <c r="A122" s="16" t="s">
        <v>105</v>
      </c>
      <c r="C122" s="17">
        <v>175000</v>
      </c>
      <c r="E122" s="17">
        <v>8854500375</v>
      </c>
      <c r="G122" s="17">
        <v>8576166375</v>
      </c>
      <c r="I122" s="17">
        <v>278334000</v>
      </c>
      <c r="K122" s="17">
        <v>175000</v>
      </c>
      <c r="M122" s="17">
        <v>8854500375</v>
      </c>
      <c r="O122" s="17">
        <v>7181514900</v>
      </c>
      <c r="Q122" s="17">
        <v>1672985475</v>
      </c>
    </row>
    <row r="123" spans="1:17" ht="21" x14ac:dyDescent="0.55000000000000004">
      <c r="A123" s="16" t="s">
        <v>106</v>
      </c>
      <c r="C123" s="17">
        <v>14538461</v>
      </c>
      <c r="E123" s="17">
        <v>95382917237</v>
      </c>
      <c r="G123" s="17">
        <v>99078076106</v>
      </c>
      <c r="I123" s="17">
        <v>-3695158869</v>
      </c>
      <c r="K123" s="17">
        <v>14538461</v>
      </c>
      <c r="M123" s="17">
        <v>95382917237</v>
      </c>
      <c r="O123" s="17">
        <v>84704988456</v>
      </c>
      <c r="Q123" s="17">
        <v>10677928781</v>
      </c>
    </row>
    <row r="124" spans="1:17" ht="21" x14ac:dyDescent="0.55000000000000004">
      <c r="A124" s="16" t="s">
        <v>107</v>
      </c>
      <c r="C124" s="17">
        <v>1164500</v>
      </c>
      <c r="E124" s="17">
        <v>17502476922</v>
      </c>
      <c r="G124" s="17">
        <v>19343015170</v>
      </c>
      <c r="I124" s="17">
        <v>-1840538248</v>
      </c>
      <c r="K124" s="17">
        <v>1164500</v>
      </c>
      <c r="M124" s="17">
        <v>17502476922</v>
      </c>
      <c r="O124" s="17">
        <v>16528576490</v>
      </c>
      <c r="Q124" s="17">
        <v>973900432</v>
      </c>
    </row>
    <row r="125" spans="1:17" ht="21" x14ac:dyDescent="0.55000000000000004">
      <c r="A125" s="16" t="s">
        <v>108</v>
      </c>
      <c r="C125" s="17">
        <v>12950000</v>
      </c>
      <c r="E125" s="17">
        <v>51877978425</v>
      </c>
      <c r="G125" s="17">
        <v>55779330660</v>
      </c>
      <c r="I125" s="17">
        <v>-3901352235</v>
      </c>
      <c r="K125" s="17">
        <v>12950000</v>
      </c>
      <c r="M125" s="17">
        <v>51877978425</v>
      </c>
      <c r="O125" s="17">
        <v>43632039660</v>
      </c>
      <c r="Q125" s="17">
        <v>8245938765</v>
      </c>
    </row>
    <row r="126" spans="1:17" ht="21" x14ac:dyDescent="0.55000000000000004">
      <c r="A126" s="16" t="s">
        <v>109</v>
      </c>
      <c r="C126" s="17">
        <v>1500000</v>
      </c>
      <c r="E126" s="17">
        <v>15894859500</v>
      </c>
      <c r="G126" s="17">
        <v>15934678143</v>
      </c>
      <c r="I126" s="17">
        <v>-39818643</v>
      </c>
      <c r="K126" s="17">
        <v>1500000</v>
      </c>
      <c r="M126" s="17">
        <v>15894859500</v>
      </c>
      <c r="O126" s="17">
        <v>15412896106</v>
      </c>
      <c r="Q126" s="17">
        <v>481963394</v>
      </c>
    </row>
    <row r="127" spans="1:17" ht="21" x14ac:dyDescent="0.55000000000000004">
      <c r="A127" s="16" t="s">
        <v>110</v>
      </c>
      <c r="C127" s="17">
        <v>400000</v>
      </c>
      <c r="E127" s="17">
        <v>7379827200</v>
      </c>
      <c r="G127" s="17">
        <v>7236684000</v>
      </c>
      <c r="I127" s="17">
        <v>143143200</v>
      </c>
      <c r="K127" s="17">
        <v>400000</v>
      </c>
      <c r="M127" s="17">
        <v>7379827200</v>
      </c>
      <c r="O127" s="17">
        <v>6508744501</v>
      </c>
      <c r="Q127" s="17">
        <v>871082699</v>
      </c>
    </row>
    <row r="128" spans="1:17" ht="21" x14ac:dyDescent="0.55000000000000004">
      <c r="A128" s="16" t="s">
        <v>111</v>
      </c>
      <c r="C128" s="17">
        <v>650000</v>
      </c>
      <c r="E128" s="17">
        <v>13549398525</v>
      </c>
      <c r="G128" s="17">
        <v>15500718675</v>
      </c>
      <c r="I128" s="17">
        <v>-1951320150</v>
      </c>
      <c r="K128" s="17">
        <v>650000</v>
      </c>
      <c r="M128" s="17">
        <v>13549398525</v>
      </c>
      <c r="O128" s="17">
        <v>10809035837</v>
      </c>
      <c r="Q128" s="17">
        <v>2740362688</v>
      </c>
    </row>
    <row r="129" spans="1:17" ht="21" x14ac:dyDescent="0.55000000000000004">
      <c r="A129" s="16" t="s">
        <v>112</v>
      </c>
      <c r="C129" s="17">
        <v>6485981</v>
      </c>
      <c r="E129" s="17">
        <v>16086236586</v>
      </c>
      <c r="G129" s="17">
        <v>17775452612</v>
      </c>
      <c r="I129" s="17">
        <v>-1689216026</v>
      </c>
      <c r="K129" s="17">
        <v>6485981</v>
      </c>
      <c r="M129" s="17">
        <v>16086236586</v>
      </c>
      <c r="O129" s="17">
        <v>13744591464</v>
      </c>
      <c r="Q129" s="17">
        <v>2341645122</v>
      </c>
    </row>
    <row r="130" spans="1:17" ht="21" x14ac:dyDescent="0.55000000000000004">
      <c r="A130" s="16" t="s">
        <v>113</v>
      </c>
      <c r="C130" s="17">
        <v>500000</v>
      </c>
      <c r="E130" s="17">
        <v>28832420250</v>
      </c>
      <c r="G130" s="17">
        <v>30810579750</v>
      </c>
      <c r="I130" s="17">
        <v>-1978159500</v>
      </c>
      <c r="K130" s="17">
        <v>500000</v>
      </c>
      <c r="M130" s="17">
        <v>28832420250</v>
      </c>
      <c r="O130" s="17">
        <v>30005399249</v>
      </c>
      <c r="Q130" s="17">
        <v>-1172978999</v>
      </c>
    </row>
    <row r="131" spans="1:17" ht="21" x14ac:dyDescent="0.55000000000000004">
      <c r="A131" s="16" t="s">
        <v>114</v>
      </c>
      <c r="C131" s="17">
        <v>4850000</v>
      </c>
      <c r="E131" s="17">
        <v>22124222932</v>
      </c>
      <c r="G131" s="17">
        <v>25600266675</v>
      </c>
      <c r="I131" s="17">
        <v>-3476043743</v>
      </c>
      <c r="K131" s="17">
        <v>4850000</v>
      </c>
      <c r="M131" s="17">
        <v>22124222932</v>
      </c>
      <c r="O131" s="17">
        <v>21701967809</v>
      </c>
      <c r="Q131" s="17">
        <v>422255123</v>
      </c>
    </row>
    <row r="132" spans="1:17" ht="21" x14ac:dyDescent="0.55000000000000004">
      <c r="A132" s="16" t="s">
        <v>115</v>
      </c>
      <c r="C132" s="17">
        <v>220000</v>
      </c>
      <c r="E132" s="17">
        <v>15505191900</v>
      </c>
      <c r="G132" s="17">
        <v>16379955900</v>
      </c>
      <c r="I132" s="17">
        <v>-874764000</v>
      </c>
      <c r="K132" s="17">
        <v>220000</v>
      </c>
      <c r="M132" s="17">
        <v>15505191900</v>
      </c>
      <c r="O132" s="17">
        <v>14183749608</v>
      </c>
      <c r="Q132" s="17">
        <v>1321442292</v>
      </c>
    </row>
    <row r="133" spans="1:17" ht="21" x14ac:dyDescent="0.55000000000000004">
      <c r="A133" s="16" t="s">
        <v>116</v>
      </c>
      <c r="C133" s="17">
        <v>227029</v>
      </c>
      <c r="E133" s="17">
        <v>14131967472</v>
      </c>
      <c r="G133" s="17">
        <v>15899027601</v>
      </c>
      <c r="I133" s="17">
        <v>-1767060129</v>
      </c>
      <c r="K133" s="17">
        <v>227029</v>
      </c>
      <c r="M133" s="17">
        <v>14131967472</v>
      </c>
      <c r="O133" s="17">
        <v>11577290503</v>
      </c>
      <c r="Q133" s="17">
        <v>2554676969</v>
      </c>
    </row>
    <row r="134" spans="1:17" ht="21" x14ac:dyDescent="0.55000000000000004">
      <c r="A134" s="16" t="s">
        <v>117</v>
      </c>
      <c r="C134" s="17">
        <v>400000</v>
      </c>
      <c r="E134" s="17">
        <v>14115510000</v>
      </c>
      <c r="G134" s="17">
        <v>14421677400</v>
      </c>
      <c r="I134" s="17">
        <v>-306167400</v>
      </c>
      <c r="K134" s="17">
        <v>400000</v>
      </c>
      <c r="M134" s="17">
        <v>14115510000</v>
      </c>
      <c r="O134" s="17">
        <v>14190122526</v>
      </c>
      <c r="Q134" s="17">
        <v>-74612526</v>
      </c>
    </row>
    <row r="135" spans="1:17" ht="21" x14ac:dyDescent="0.55000000000000004">
      <c r="A135" s="16" t="s">
        <v>118</v>
      </c>
      <c r="C135" s="17">
        <v>924900</v>
      </c>
      <c r="E135" s="17">
        <v>43055354251</v>
      </c>
      <c r="G135" s="17">
        <v>44287346024</v>
      </c>
      <c r="I135" s="17">
        <v>-1231991773</v>
      </c>
      <c r="K135" s="17">
        <v>924900</v>
      </c>
      <c r="M135" s="17">
        <v>43055354251</v>
      </c>
      <c r="O135" s="17">
        <v>30816321742</v>
      </c>
      <c r="Q135" s="17">
        <v>12239032509</v>
      </c>
    </row>
    <row r="136" spans="1:17" ht="21" x14ac:dyDescent="0.55000000000000004">
      <c r="A136" s="16" t="s">
        <v>119</v>
      </c>
      <c r="C136" s="17">
        <v>5400000</v>
      </c>
      <c r="E136" s="17">
        <v>20048994450</v>
      </c>
      <c r="G136" s="17">
        <v>19855751130</v>
      </c>
      <c r="I136" s="17">
        <v>193243320</v>
      </c>
      <c r="K136" s="17">
        <v>5400000</v>
      </c>
      <c r="M136" s="17">
        <v>20048994450</v>
      </c>
      <c r="O136" s="17">
        <v>16905321117</v>
      </c>
      <c r="Q136" s="17">
        <v>3143673333</v>
      </c>
    </row>
    <row r="137" spans="1:17" ht="21" x14ac:dyDescent="0.55000000000000004">
      <c r="A137" s="16" t="s">
        <v>120</v>
      </c>
      <c r="C137" s="17">
        <v>108000</v>
      </c>
      <c r="E137" s="17">
        <v>28800769698</v>
      </c>
      <c r="G137" s="17">
        <v>30473397990</v>
      </c>
      <c r="I137" s="17">
        <v>-1672628292</v>
      </c>
      <c r="K137" s="17">
        <v>108000</v>
      </c>
      <c r="M137" s="17">
        <v>28800769698</v>
      </c>
      <c r="O137" s="17">
        <v>22437696600</v>
      </c>
      <c r="Q137" s="17">
        <v>6363073098</v>
      </c>
    </row>
    <row r="138" spans="1:17" ht="21" x14ac:dyDescent="0.55000000000000004">
      <c r="A138" s="16" t="s">
        <v>121</v>
      </c>
      <c r="C138" s="17">
        <v>1718099</v>
      </c>
      <c r="E138" s="17">
        <v>31834814436</v>
      </c>
      <c r="G138" s="17">
        <v>37009679658</v>
      </c>
      <c r="I138" s="17">
        <v>-5174865222</v>
      </c>
      <c r="K138" s="17">
        <v>1718099</v>
      </c>
      <c r="M138" s="17">
        <v>31834814436</v>
      </c>
      <c r="O138" s="17">
        <v>33703858184</v>
      </c>
      <c r="Q138" s="17">
        <v>-1869043748</v>
      </c>
    </row>
    <row r="139" spans="1:17" ht="21" x14ac:dyDescent="0.55000000000000004">
      <c r="A139" s="16" t="s">
        <v>122</v>
      </c>
      <c r="C139" s="17">
        <v>4517187</v>
      </c>
      <c r="E139" s="17">
        <v>11445799521</v>
      </c>
      <c r="G139" s="17">
        <v>11202943500</v>
      </c>
      <c r="I139" s="17">
        <v>242856021</v>
      </c>
      <c r="K139" s="17">
        <v>4517187</v>
      </c>
      <c r="M139" s="17">
        <v>11445799521</v>
      </c>
      <c r="O139" s="17">
        <v>10947286168</v>
      </c>
      <c r="Q139" s="17">
        <v>498513353</v>
      </c>
    </row>
    <row r="140" spans="1:17" ht="21" x14ac:dyDescent="0.55000000000000004">
      <c r="A140" s="16" t="s">
        <v>123</v>
      </c>
      <c r="C140" s="17">
        <v>3600000</v>
      </c>
      <c r="E140" s="17">
        <v>29272784400</v>
      </c>
      <c r="G140" s="17">
        <v>30382144200</v>
      </c>
      <c r="I140" s="17">
        <v>-1109359800</v>
      </c>
      <c r="K140" s="17">
        <v>3600000</v>
      </c>
      <c r="M140" s="17">
        <v>29272784400</v>
      </c>
      <c r="O140" s="17">
        <v>18787545000</v>
      </c>
      <c r="Q140" s="17">
        <v>10485239400</v>
      </c>
    </row>
    <row r="141" spans="1:17" ht="21" x14ac:dyDescent="0.55000000000000004">
      <c r="A141" s="16" t="s">
        <v>124</v>
      </c>
      <c r="C141" s="17">
        <v>200000</v>
      </c>
      <c r="E141" s="17">
        <v>6033883500</v>
      </c>
      <c r="G141" s="17">
        <v>5104732800</v>
      </c>
      <c r="I141" s="17">
        <v>929150700</v>
      </c>
      <c r="K141" s="17">
        <v>200000</v>
      </c>
      <c r="M141" s="17">
        <v>6033883500</v>
      </c>
      <c r="O141" s="17">
        <v>5104732800</v>
      </c>
      <c r="Q141" s="17">
        <v>929150700</v>
      </c>
    </row>
    <row r="142" spans="1:17" ht="21" x14ac:dyDescent="0.55000000000000004">
      <c r="A142" s="16" t="s">
        <v>125</v>
      </c>
      <c r="C142" s="17">
        <v>6602960</v>
      </c>
      <c r="E142" s="17">
        <v>17800679516</v>
      </c>
      <c r="G142" s="17">
        <v>18371719014</v>
      </c>
      <c r="I142" s="17">
        <v>-571039498</v>
      </c>
      <c r="K142" s="17">
        <v>6602960</v>
      </c>
      <c r="M142" s="17">
        <v>17800679516</v>
      </c>
      <c r="O142" s="17">
        <v>20603166326</v>
      </c>
      <c r="Q142" s="17">
        <v>-2802486810</v>
      </c>
    </row>
    <row r="143" spans="1:17" ht="21" x14ac:dyDescent="0.55000000000000004">
      <c r="A143" s="16" t="s">
        <v>126</v>
      </c>
      <c r="C143" s="17">
        <v>3550000</v>
      </c>
      <c r="E143" s="17">
        <v>14083750102</v>
      </c>
      <c r="G143" s="17">
        <v>14535446422</v>
      </c>
      <c r="I143" s="17">
        <v>-451696320</v>
      </c>
      <c r="K143" s="17">
        <v>3550000</v>
      </c>
      <c r="M143" s="17">
        <v>14083750102</v>
      </c>
      <c r="O143" s="17">
        <v>15523583393</v>
      </c>
      <c r="Q143" s="17">
        <v>-1439833291</v>
      </c>
    </row>
    <row r="144" spans="1:17" ht="21" x14ac:dyDescent="0.55000000000000004">
      <c r="A144" s="16" t="s">
        <v>127</v>
      </c>
      <c r="C144" s="17">
        <v>2000000</v>
      </c>
      <c r="E144" s="17">
        <v>9960381000</v>
      </c>
      <c r="G144" s="17">
        <v>11530980000</v>
      </c>
      <c r="I144" s="17">
        <v>-1570599000</v>
      </c>
      <c r="K144" s="17">
        <v>2000000</v>
      </c>
      <c r="M144" s="17">
        <v>9960381000</v>
      </c>
      <c r="O144" s="17">
        <v>10997396074</v>
      </c>
      <c r="Q144" s="17">
        <v>-1037015074</v>
      </c>
    </row>
    <row r="145" spans="1:17" ht="21" x14ac:dyDescent="0.55000000000000004">
      <c r="A145" s="16" t="s">
        <v>128</v>
      </c>
      <c r="C145" s="17">
        <v>6710221</v>
      </c>
      <c r="E145" s="17">
        <v>15821940179</v>
      </c>
      <c r="G145" s="17">
        <v>16342223203</v>
      </c>
      <c r="I145" s="17">
        <v>-520283024</v>
      </c>
      <c r="K145" s="17">
        <v>6710221</v>
      </c>
      <c r="M145" s="17">
        <v>15821940179</v>
      </c>
      <c r="O145" s="17">
        <v>21921018887</v>
      </c>
      <c r="Q145" s="17">
        <v>-6099078708</v>
      </c>
    </row>
    <row r="146" spans="1:17" ht="21.75" thickBot="1" x14ac:dyDescent="0.6">
      <c r="A146" s="19" t="s">
        <v>9</v>
      </c>
      <c r="C146" s="17"/>
      <c r="E146" s="19">
        <f>SUM(E9:$E$145)</f>
        <v>1240890565136</v>
      </c>
      <c r="G146" s="19">
        <f>SUM(G9:$G$145)</f>
        <v>1323669691665</v>
      </c>
      <c r="I146" s="19">
        <f>SUM(I9:$I$145)</f>
        <v>-85128724200</v>
      </c>
      <c r="K146" s="17"/>
      <c r="M146" s="19">
        <f>SUM(M9:$M$145)</f>
        <v>1240890565136</v>
      </c>
      <c r="O146" s="19">
        <f>SUM(O9:$O$145)</f>
        <v>1148210844927</v>
      </c>
      <c r="Q146" s="19">
        <f>SUM(Q9:$Q$145)</f>
        <v>95172347592</v>
      </c>
    </row>
    <row r="147" spans="1:17" ht="21.75" thickTop="1" x14ac:dyDescent="0.55000000000000004">
      <c r="C147" s="17"/>
      <c r="E147" s="21"/>
      <c r="G147" s="21"/>
      <c r="I147" s="21"/>
      <c r="K147" s="17"/>
      <c r="M147" s="21"/>
      <c r="O147" s="21"/>
      <c r="Q147" s="21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'0'!Print_Area</vt:lpstr>
      <vt:lpstr>'1'!Print_Area</vt:lpstr>
      <vt:lpstr>'2'!Print_Area</vt:lpstr>
      <vt:lpstr>'3'!Print_Area</vt:lpstr>
      <vt:lpstr>'1'!Print_Titles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2025-07-01T16:29:54Z</cp:lastPrinted>
  <dcterms:created xsi:type="dcterms:W3CDTF">2025-06-30T22:42:38Z</dcterms:created>
  <dcterms:modified xsi:type="dcterms:W3CDTF">2025-07-01T16:29:55Z</dcterms:modified>
</cp:coreProperties>
</file>