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98933\Desktop\"/>
    </mc:Choice>
  </mc:AlternateContent>
  <xr:revisionPtr revIDLastSave="0" documentId="13_ncr:1_{4FA6A912-1202-4D1D-9CC6-871472FF7D30}" xr6:coauthVersionLast="47" xr6:coauthVersionMax="47" xr10:uidLastSave="{00000000-0000-0000-0000-000000000000}"/>
  <bookViews>
    <workbookView xWindow="-108" yWindow="-108" windowWidth="23256" windowHeight="12456" tabRatio="897" xr2:uid="{00000000-000D-0000-FFFF-FFFF00000000}"/>
  </bookViews>
  <sheets>
    <sheet name="سربرگ" sheetId="29" r:id="rId1"/>
    <sheet name=" سهام" sheetId="21" r:id="rId2"/>
    <sheet name="اوراق مشتقه" sheetId="9" r:id="rId3"/>
    <sheet name="سپرده" sheetId="2" r:id="rId4"/>
    <sheet name="درآمدها" sheetId="11" r:id="rId5"/>
    <sheet name="درآمد سرمایه گذاری در سهام " sheetId="5" r:id="rId6"/>
    <sheet name="درآمد سرمایه گذاری مشتقه " sheetId="25" r:id="rId7"/>
    <sheet name="درآمد سپرده بانکی" sheetId="7" r:id="rId8"/>
    <sheet name="سایر درآمدها" sheetId="8" r:id="rId9"/>
    <sheet name="درآمد سود سهام" sheetId="12" r:id="rId10"/>
    <sheet name="سود  سپرده بانکی" sheetId="22" r:id="rId11"/>
    <sheet name="درآمد ناشی ازفروش" sheetId="15" r:id="rId12"/>
    <sheet name="درآمد ناشی از تغییر قیمت اوراق " sheetId="14" r:id="rId13"/>
  </sheets>
  <definedNames>
    <definedName name="_xlnm.Print_Area" localSheetId="1">' سهام'!$A$1:$M$51</definedName>
    <definedName name="_xlnm.Print_Area" localSheetId="2">'اوراق مشتقه'!$A$1:$M$30</definedName>
    <definedName name="_xlnm.Print_Area" localSheetId="7">'درآمد سپرده بانکی'!$A$1:$E$12</definedName>
    <definedName name="_xlnm.Print_Area" localSheetId="5">'درآمد سرمایه گذاری در سهام '!$A$1:$K$55</definedName>
    <definedName name="_xlnm.Print_Area" localSheetId="6">'درآمد سرمایه گذاری مشتقه '!$A$1:$I$47</definedName>
    <definedName name="_xlnm.Print_Area" localSheetId="9">'درآمد سود سهام'!$A$1:$J$12</definedName>
    <definedName name="_xlnm.Print_Area" localSheetId="12">'درآمد ناشی از تغییر قیمت اوراق '!$A$1:$J$93</definedName>
    <definedName name="_xlnm.Print_Area" localSheetId="11">'درآمد ناشی ازفروش'!$A$1:$J$74</definedName>
    <definedName name="_xlnm.Print_Area" localSheetId="4">درآمدها!$A$1:$E$14</definedName>
    <definedName name="_xlnm.Print_Area" localSheetId="8">'سایر درآمدها'!$A$1:$C$13</definedName>
    <definedName name="_xlnm.Print_Area" localSheetId="3">سپرده!$A$1:$F$12</definedName>
    <definedName name="_xlnm.Print_Area" localSheetId="0">سربرگ!$A$1:$J$29</definedName>
    <definedName name="_xlnm.Print_Area" localSheetId="10">'سود  سپرده بانکی'!$A$1:$G$11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1" l="1"/>
  <c r="C11" i="11"/>
  <c r="C10" i="11"/>
  <c r="C9" i="11"/>
  <c r="C12" i="8"/>
  <c r="B12" i="8"/>
  <c r="J92" i="14"/>
  <c r="I92" i="14"/>
  <c r="H92" i="14"/>
  <c r="E92" i="14"/>
  <c r="D92" i="14"/>
  <c r="C92" i="14"/>
  <c r="J61" i="14"/>
  <c r="I61" i="14"/>
  <c r="H61" i="14"/>
  <c r="E61" i="14"/>
  <c r="D61" i="14"/>
  <c r="C61" i="14"/>
  <c r="J52" i="14"/>
  <c r="I52" i="14"/>
  <c r="H52" i="14"/>
  <c r="E52" i="14"/>
  <c r="D52" i="14"/>
  <c r="C52" i="14"/>
  <c r="J73" i="15" l="1"/>
  <c r="I73" i="15"/>
  <c r="H73" i="15"/>
  <c r="E73" i="15"/>
  <c r="D73" i="15"/>
  <c r="C73" i="15"/>
  <c r="G10" i="22"/>
  <c r="F10" i="22"/>
  <c r="E10" i="22"/>
  <c r="D10" i="22"/>
  <c r="C10" i="22"/>
  <c r="B10" i="22"/>
  <c r="J10" i="12"/>
  <c r="I10" i="12"/>
  <c r="H10" i="12"/>
  <c r="G10" i="12"/>
  <c r="F10" i="12"/>
  <c r="E10" i="12"/>
  <c r="I46" i="25"/>
  <c r="H46" i="25"/>
  <c r="G46" i="25"/>
  <c r="F46" i="25"/>
  <c r="E46" i="25"/>
  <c r="D46" i="25"/>
  <c r="C46" i="25"/>
  <c r="B46" i="25"/>
  <c r="D11" i="7"/>
  <c r="E9" i="7" s="1"/>
  <c r="B11" i="7"/>
  <c r="C10" i="7" s="1"/>
  <c r="K54" i="5"/>
  <c r="J54" i="5"/>
  <c r="I54" i="5"/>
  <c r="H54" i="5"/>
  <c r="G54" i="5"/>
  <c r="F54" i="5"/>
  <c r="E54" i="5"/>
  <c r="D54" i="5"/>
  <c r="C54" i="5"/>
  <c r="B54" i="5"/>
  <c r="C13" i="11"/>
  <c r="E12" i="11"/>
  <c r="D12" i="11"/>
  <c r="E10" i="11"/>
  <c r="D10" i="11"/>
  <c r="E11" i="11"/>
  <c r="D11" i="11"/>
  <c r="E9" i="11"/>
  <c r="D9" i="11"/>
  <c r="F11" i="2"/>
  <c r="E11" i="2"/>
  <c r="D11" i="2"/>
  <c r="C11" i="2"/>
  <c r="B11" i="2"/>
  <c r="M49" i="21"/>
  <c r="L49" i="21"/>
  <c r="K49" i="21"/>
  <c r="H49" i="21"/>
  <c r="F49" i="21"/>
  <c r="D49" i="21"/>
  <c r="C49" i="21"/>
  <c r="D13" i="11" l="1"/>
  <c r="E13" i="11"/>
  <c r="E10" i="7"/>
  <c r="E11" i="7" s="1"/>
  <c r="C9" i="7"/>
  <c r="C11" i="7" s="1"/>
</calcChain>
</file>

<file path=xl/sharedStrings.xml><?xml version="1.0" encoding="utf-8"?>
<sst xmlns="http://schemas.openxmlformats.org/spreadsheetml/2006/main" count="635" uniqueCount="213">
  <si>
    <t>بهای تمام شده</t>
  </si>
  <si>
    <t>شرکت</t>
  </si>
  <si>
    <t>جمع</t>
  </si>
  <si>
    <t>تعداد</t>
  </si>
  <si>
    <t>مبلغ</t>
  </si>
  <si>
    <t>درآمد سود سهام</t>
  </si>
  <si>
    <t>درآمد تغییر ارزش</t>
  </si>
  <si>
    <t>درآمد فروش</t>
  </si>
  <si>
    <t>درصد از کل درآمد ها</t>
  </si>
  <si>
    <t>سود سپرده بانکی و گواهی سپرده</t>
  </si>
  <si>
    <t>درصد از کل درآمدها</t>
  </si>
  <si>
    <t>خالص ارزش فروش</t>
  </si>
  <si>
    <t>درصد به کل دارایی‌ها</t>
  </si>
  <si>
    <t>درصد به کل  دارایی‌ها</t>
  </si>
  <si>
    <t>سهام</t>
  </si>
  <si>
    <t>1- سرمایه گذاری ها</t>
  </si>
  <si>
    <t>1-1-سرمایه‌گذاری در سهام و حق تقدم سهام</t>
  </si>
  <si>
    <t>2- درآمد حاصل از سرمایه گذاری ها</t>
  </si>
  <si>
    <t>سایر درآمدها</t>
  </si>
  <si>
    <t>قیمت بازار هر سهم</t>
  </si>
  <si>
    <t>نام سهام</t>
  </si>
  <si>
    <t>تعداد اوراق تبعی</t>
  </si>
  <si>
    <t xml:space="preserve">قیمت اعمال </t>
  </si>
  <si>
    <t>تاریخ اعمال</t>
  </si>
  <si>
    <t xml:space="preserve">نرخ سود مؤثر </t>
  </si>
  <si>
    <t>افزایش</t>
  </si>
  <si>
    <t>شرح</t>
  </si>
  <si>
    <t>یادداشت</t>
  </si>
  <si>
    <t>تاریخ تشکیل مجمع</t>
  </si>
  <si>
    <t>سود متعلق به هر سهم</t>
  </si>
  <si>
    <t>جمع درآمد سود سهام</t>
  </si>
  <si>
    <t>هزینه تنزیل</t>
  </si>
  <si>
    <t>خالص درآمد سود سهام</t>
  </si>
  <si>
    <t>تعداد سهام متعلقه در زمان مجمع</t>
  </si>
  <si>
    <t>اطلاعات مجمع</t>
  </si>
  <si>
    <t>خالص درآمد</t>
  </si>
  <si>
    <t>درآمد ناشی از تغییر قیمت اوراق بهادار</t>
  </si>
  <si>
    <t>ارزش دفتری</t>
  </si>
  <si>
    <t>سود و زیان ناشی از تغییر قیمت</t>
  </si>
  <si>
    <t>سود و زیان ناشی از فروش</t>
  </si>
  <si>
    <t>درآمد حاصل از سرمایه گذاری در سهام و حق تقدم سهام</t>
  </si>
  <si>
    <t>درآمد حاصل از سرمایه گذاری در سپرده بانکی و گواهی سپرده</t>
  </si>
  <si>
    <t>سود(زیان) حاصل از فروش اوراق بهادار</t>
  </si>
  <si>
    <t>مبلغ فروش</t>
  </si>
  <si>
    <t xml:space="preserve">صورت وضعیت پرتفوی </t>
  </si>
  <si>
    <t>اطلاعات آماری مرتبط با اوراق اختیار فروش تبعی خریداری شده توسط صندوق سرمایه گذاری:</t>
  </si>
  <si>
    <t>2-2</t>
  </si>
  <si>
    <t xml:space="preserve">صورت وضعیت درآمدها </t>
  </si>
  <si>
    <t xml:space="preserve">درآمد سود </t>
  </si>
  <si>
    <t>یادداشت ...</t>
  </si>
  <si>
    <t xml:space="preserve"> </t>
  </si>
  <si>
    <t>درصد از کل دارایی ها</t>
  </si>
  <si>
    <t>تعداد اوراق</t>
  </si>
  <si>
    <t>مدیر صندوق</t>
  </si>
  <si>
    <t>اطلاعات آماری مرتبط با موقعیت های اخذ شده در اوراق اختیار معامله توسط صندوق سرمایه گذاری:</t>
  </si>
  <si>
    <t>نوع موقعیت</t>
  </si>
  <si>
    <t>نوع اختیار</t>
  </si>
  <si>
    <t>استراتژی ماخوذه</t>
  </si>
  <si>
    <t>سود سپرده بانکی</t>
  </si>
  <si>
    <t>‫صورت وضعیت پورتفوی</t>
  </si>
  <si>
    <t>درآمد حاصل از سرمایه گذاری در اوراق مشتقه</t>
  </si>
  <si>
    <t>اوراق مشتقه</t>
  </si>
  <si>
    <t>کاهش</t>
  </si>
  <si>
    <t>سرمایه گذاری قابل معامله شاخصی بازار آشنا</t>
  </si>
  <si>
    <t>سرمایه گذاری قابل معامله شاخصی بازار آشنا</t>
  </si>
  <si>
    <t>برای ماه منتهی به 1404/11/30</t>
  </si>
  <si>
    <t>برای ماه منتهی به 1404/11/30</t>
  </si>
  <si>
    <t>1404/11/30</t>
  </si>
  <si>
    <t>پاسارگاد</t>
  </si>
  <si>
    <t>1404/10/30</t>
  </si>
  <si>
    <t>گردشگري</t>
  </si>
  <si>
    <t>اختيارف ت اروند-50625-05/10/01</t>
  </si>
  <si>
    <t>1405/10/01</t>
  </si>
  <si>
    <t>س. و توسعه صنايع لاستيك</t>
  </si>
  <si>
    <t>ايران خودرو</t>
  </si>
  <si>
    <t>ذغال سنگ نگين طبس</t>
  </si>
  <si>
    <t>سرمايه گذاري دارويي تامين</t>
  </si>
  <si>
    <t>سيمان فارس و خوزستان</t>
  </si>
  <si>
    <t>فولاد مباركه اصفهان</t>
  </si>
  <si>
    <t>ملي صنايع مس ايران</t>
  </si>
  <si>
    <t>پالايش نفت تبريز</t>
  </si>
  <si>
    <t>پتروشيمي جم</t>
  </si>
  <si>
    <t>معدني و صنعتي چادر ملو</t>
  </si>
  <si>
    <t>پالايش نفت اصفهان</t>
  </si>
  <si>
    <t>بانك ملت</t>
  </si>
  <si>
    <t>سرمايه گذاري غدير (هلدينگ)</t>
  </si>
  <si>
    <t>پتروشيمي شيراز</t>
  </si>
  <si>
    <t>آلياژ گستر هامون</t>
  </si>
  <si>
    <t>سرمايه گذاري توسعه معادن و فلزات (هلدينگ)</t>
  </si>
  <si>
    <t>كيميا كالاي رازي</t>
  </si>
  <si>
    <t>س. نفت و گاز و پتروشيمي تامين</t>
  </si>
  <si>
    <t>مجتمع كاشي و سنگ پرسپوليس يزد</t>
  </si>
  <si>
    <t>پتروشيمي اروند</t>
  </si>
  <si>
    <t>شركت گسترش نفت و گاز پارسيان</t>
  </si>
  <si>
    <t>مبين انرژي خليج فارس</t>
  </si>
  <si>
    <t>آلومينيوم ايران</t>
  </si>
  <si>
    <t>پالايش نفت تهران</t>
  </si>
  <si>
    <t>سرمايه گذاري تامين اجتماعي</t>
  </si>
  <si>
    <t>صنايع پتروشيمي خليج فارس</t>
  </si>
  <si>
    <t>ذوب آهن اصفهان</t>
  </si>
  <si>
    <t>صنايع غذايي رضوي</t>
  </si>
  <si>
    <t>پويا زركان آق دره</t>
  </si>
  <si>
    <t>بانك اقتصاد نوين</t>
  </si>
  <si>
    <t>پتروشيمي پارس</t>
  </si>
  <si>
    <t>گروه صنعتي درپاد تبريز</t>
  </si>
  <si>
    <t>پتروشيمي نوري</t>
  </si>
  <si>
    <t>مس شهيد باهنر</t>
  </si>
  <si>
    <t>سرمايه گذاري صندوق بازنشستگي كشوري (هلدينگ)</t>
  </si>
  <si>
    <t>سرمايه گذاري صدرتامين</t>
  </si>
  <si>
    <t>شركت پالايش نفت بندر عباس</t>
  </si>
  <si>
    <t>پتروشيمي پرديس</t>
  </si>
  <si>
    <t>سيمان شاهرود</t>
  </si>
  <si>
    <t>پارس مينو</t>
  </si>
  <si>
    <t>بانك تجارت</t>
  </si>
  <si>
    <t>گروه مالي نماد غدير(سهامي عام)</t>
  </si>
  <si>
    <t>پست بانك ايران</t>
  </si>
  <si>
    <t>گروه مپنا</t>
  </si>
  <si>
    <t>نفت و گاز پارسیان</t>
  </si>
  <si>
    <t>1404/10/23</t>
  </si>
  <si>
    <t>1404/11/28</t>
  </si>
  <si>
    <t>اختيارف خودرو-550-1404/11/01</t>
  </si>
  <si>
    <t>اختيارخ خودرو-700-1404/11/01</t>
  </si>
  <si>
    <t>اختيارخ شستا-1810-1404/10/10</t>
  </si>
  <si>
    <t>اختيارف شستا-1610-1404/10/10</t>
  </si>
  <si>
    <t>اختيارف شستا-1710-1404/10/10</t>
  </si>
  <si>
    <t>اختيارف خودرو-600-1404/11/01</t>
  </si>
  <si>
    <t>اختيارخ ذوب-450-1404/11/21</t>
  </si>
  <si>
    <t>اختيارخ خودرو-750-1404/11/01</t>
  </si>
  <si>
    <t>اختيارخ ذوب-500-1404/11/21</t>
  </si>
  <si>
    <t>ملي مس</t>
  </si>
  <si>
    <t>اختيارخ خودرو-600-1404/11/01</t>
  </si>
  <si>
    <t>اختيارخ وبملت-1100-1404/10/17</t>
  </si>
  <si>
    <t>نفت تبريز</t>
  </si>
  <si>
    <t>اختيارخ فولاد-4000-1404/11/08</t>
  </si>
  <si>
    <t>صندوق بازنشستگي</t>
  </si>
  <si>
    <t>اختيارخ شستا-1610-1404/11/08</t>
  </si>
  <si>
    <t>اختيارخ وبملت-1600-1404/11/21</t>
  </si>
  <si>
    <t>اختيارخ خودرو-650-1404/11/01</t>
  </si>
  <si>
    <t>پتروشیمی تامین</t>
  </si>
  <si>
    <t>نفت بندر عباس</t>
  </si>
  <si>
    <t>اختيارخ شپنا-8000-1404/12/19</t>
  </si>
  <si>
    <t>اختيارخ وبملت-1900-1404/11/21</t>
  </si>
  <si>
    <t>مپنا</t>
  </si>
  <si>
    <t>اختيارف اهرم-42000-1404/11/29</t>
  </si>
  <si>
    <t>اختيارخ خودرو-700-1404/12/06</t>
  </si>
  <si>
    <t>اختيارخ فزر-120000-14041112</t>
  </si>
  <si>
    <t>اختيارخ شستا-2010-1404/11/08</t>
  </si>
  <si>
    <t>اختيارخ وبملت-1800-1404/11/21</t>
  </si>
  <si>
    <t>اختيارخ وبملت-1700-1404/11/21</t>
  </si>
  <si>
    <t>ذوب آهن  اصفهان</t>
  </si>
  <si>
    <t>فولاد مباركه</t>
  </si>
  <si>
    <t>اختيارخ وبملت-1500-1404/11/21</t>
  </si>
  <si>
    <t>سرمايه گذاري غدير</t>
  </si>
  <si>
    <t>نفت تهران</t>
  </si>
  <si>
    <t>اختيارخ فزر-110000-14041112</t>
  </si>
  <si>
    <t>اختيارف شستا-1210-1404/12/13</t>
  </si>
  <si>
    <t>اختيارخ وبملت-1400-1404/11/21</t>
  </si>
  <si>
    <t>اختيارف وبملت-1100-1404/11/21</t>
  </si>
  <si>
    <t>اختيارف وبملت-900-1404/12/19</t>
  </si>
  <si>
    <t>اختيارخ فزر-120750-14041210</t>
  </si>
  <si>
    <t>اختيارف شستا-1510-1404/12/13</t>
  </si>
  <si>
    <t>اختيارخ وبملت-1300-1404/11/21</t>
  </si>
  <si>
    <t>اختيارخ شستا-2010-1404/12/13</t>
  </si>
  <si>
    <t>اختيارخ وبملت-1600-1404/12/19</t>
  </si>
  <si>
    <t>اختيارخ وبملت-1300-1404/10/17</t>
  </si>
  <si>
    <t>اختيارخ فزر-130000-14041210</t>
  </si>
  <si>
    <t>اختيارخ فزر-100000-14041210</t>
  </si>
  <si>
    <t>اختيارخ خودرو-600-1404/10/03</t>
  </si>
  <si>
    <t>اختيارخ شستا-1310-1404/10/10</t>
  </si>
  <si>
    <t>اختيارخ فزر-90750-14041210</t>
  </si>
  <si>
    <t>اقتصاد نوين</t>
  </si>
  <si>
    <t>توسعه‌معادن‌وفلزات‌</t>
  </si>
  <si>
    <t>نفت اصفهان</t>
  </si>
  <si>
    <t>نگين طبس</t>
  </si>
  <si>
    <t>پتروشيمی پردیس</t>
  </si>
  <si>
    <t>چادرملو</t>
  </si>
  <si>
    <t>اختيار معامله خرید</t>
  </si>
  <si>
    <t>موقعیت فروش</t>
  </si>
  <si>
    <t/>
  </si>
  <si>
    <t>1404/12/06</t>
  </si>
  <si>
    <t>1404/11/21</t>
  </si>
  <si>
    <t>1404/11/08</t>
  </si>
  <si>
    <t>1404/12/19</t>
  </si>
  <si>
    <t>1404/11/12</t>
  </si>
  <si>
    <t>1404/12/10</t>
  </si>
  <si>
    <t>موقعیت خرید</t>
  </si>
  <si>
    <t>صندوق ‫سرمایه گذاری قابل معامله شاخصی بازار آشنا</t>
  </si>
  <si>
    <t>رکن صندوق</t>
  </si>
  <si>
    <t>نماینده</t>
  </si>
  <si>
    <t xml:space="preserve">امضا </t>
  </si>
  <si>
    <t>شرکت سبدگردان سهم آشنا</t>
  </si>
  <si>
    <t>‫برای ماه منتهی به 1404/11/30</t>
  </si>
  <si>
    <t>علی اسماعیلی</t>
  </si>
  <si>
    <t>تغییرات طی بهمن ماه</t>
  </si>
  <si>
    <t>خرید طی بهمن ماه</t>
  </si>
  <si>
    <t>فروش طی بهمن ماه</t>
  </si>
  <si>
    <t>نام اختیار معامله</t>
  </si>
  <si>
    <t>-</t>
  </si>
  <si>
    <t>نام بانک</t>
  </si>
  <si>
    <t>1-2- سرمایه‌گذاری در سپرده‌ بانکی</t>
  </si>
  <si>
    <t>2-1- درآمد حاصل از سرمایه­گذاری در سهام و حق تقدم سهام:</t>
  </si>
  <si>
    <t>طی بهمن ماه</t>
  </si>
  <si>
    <t>از ابتدای سال مالی تا پایان بهمن ماه</t>
  </si>
  <si>
    <t>2-2- درآمد حاصل از سرمایه­گذاری در اوراق مشتقه:</t>
  </si>
  <si>
    <t>2-3- درآمد حاصل از سرمایه­گذاری در سپرده بانکی و گواهی سپرده:</t>
  </si>
  <si>
    <t>درصد سود به کل سود سپرده</t>
  </si>
  <si>
    <t>2-4- سایر درآمدها:</t>
  </si>
  <si>
    <t>تعدیل کارمزد کارگزاری</t>
  </si>
  <si>
    <t>2-1</t>
  </si>
  <si>
    <t>2-3</t>
  </si>
  <si>
    <t>2-4</t>
  </si>
  <si>
    <t>نقل به صفحه بعد</t>
  </si>
  <si>
    <t>نقل از صفحه قبل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</si>
</sst>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 * #,##0_-_ ;_ * #,##0\-_ ;_ * &quot;-&quot;??_-_ ;_ @_ "/>
    <numFmt numFmtId="165" formatCode="#,##0;[Red]\(#,##0\);0"/>
    <numFmt numFmtId="166" formatCode="0.00%;[Red]\(0.00%\);0%"/>
    <numFmt numFmtId="167" formatCode="0.0000%;[Red]\(0.0000%\);0.00%"/>
    <numFmt numFmtId="168" formatCode="0%;[Red]\(0%\);0%"/>
  </numFmts>
  <fonts count="16" x14ac:knownFonts="1">
    <font>
      <sz val="11"/>
      <color theme="1"/>
      <name val="Arial"/>
      <family val="2"/>
      <charset val="178"/>
      <scheme val="minor"/>
    </font>
    <font>
      <sz val="11"/>
      <color theme="1"/>
      <name val="B Zar"/>
      <charset val="178"/>
    </font>
    <font>
      <b/>
      <sz val="11"/>
      <color theme="1"/>
      <name val="B Zar"/>
      <charset val="178"/>
    </font>
    <font>
      <b/>
      <sz val="12"/>
      <color theme="1"/>
      <name val="B Zar"/>
      <charset val="178"/>
    </font>
    <font>
      <b/>
      <sz val="10"/>
      <color rgb="FF000000"/>
      <name val="B Zar"/>
      <charset val="178"/>
    </font>
    <font>
      <sz val="11"/>
      <color theme="1"/>
      <name val="Arial"/>
      <family val="2"/>
      <charset val="178"/>
      <scheme val="minor"/>
    </font>
    <font>
      <sz val="11"/>
      <color indexed="8"/>
      <name val="Arial"/>
      <family val="2"/>
      <scheme val="minor"/>
    </font>
    <font>
      <b/>
      <u/>
      <sz val="18"/>
      <name val="B Zar"/>
      <charset val="178"/>
    </font>
    <font>
      <sz val="11"/>
      <color indexed="8"/>
      <name val="B Zar"/>
      <charset val="178"/>
    </font>
    <font>
      <b/>
      <sz val="13"/>
      <color rgb="FFFFFFFF"/>
      <name val="B Zar"/>
      <charset val="178"/>
    </font>
    <font>
      <b/>
      <sz val="13"/>
      <color theme="1"/>
      <name val="B Zar"/>
      <charset val="178"/>
    </font>
    <font>
      <sz val="10"/>
      <color theme="1"/>
      <name val="B Zar"/>
      <charset val="178"/>
    </font>
    <font>
      <b/>
      <sz val="12"/>
      <color rgb="FF0062AC"/>
      <name val="B Zar"/>
      <charset val="178"/>
    </font>
    <font>
      <b/>
      <sz val="10"/>
      <color theme="1"/>
      <name val="B Zar"/>
      <charset val="178"/>
    </font>
    <font>
      <sz val="10"/>
      <color indexed="8"/>
      <name val="B Zar"/>
      <charset val="178"/>
    </font>
    <font>
      <b/>
      <sz val="12"/>
      <color rgb="FF0070C0"/>
      <name val="B Zar"/>
      <charset val="178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6" fillId="0" borderId="0"/>
  </cellStyleXfs>
  <cellXfs count="9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2"/>
    </xf>
    <xf numFmtId="0" fontId="8" fillId="0" borderId="0" xfId="2" applyFont="1"/>
    <xf numFmtId="0" fontId="13" fillId="0" borderId="0" xfId="0" applyFont="1" applyAlignment="1">
      <alignment horizontal="center" vertical="center" wrapText="1" readingOrder="2"/>
    </xf>
    <xf numFmtId="165" fontId="14" fillId="0" borderId="0" xfId="0" applyNumberFormat="1" applyFont="1"/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5" fontId="14" fillId="0" borderId="0" xfId="0" applyNumberFormat="1" applyFont="1" applyAlignment="1">
      <alignment vertical="center"/>
    </xf>
    <xf numFmtId="0" fontId="13" fillId="0" borderId="1" xfId="0" applyFont="1" applyBorder="1" applyAlignment="1">
      <alignment horizontal="center" vertical="center" wrapText="1" readingOrder="2"/>
    </xf>
    <xf numFmtId="0" fontId="11" fillId="0" borderId="0" xfId="0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167" fontId="14" fillId="0" borderId="0" xfId="0" applyNumberFormat="1" applyFont="1" applyAlignment="1">
      <alignment horizontal="center" vertical="center"/>
    </xf>
    <xf numFmtId="165" fontId="14" fillId="0" borderId="5" xfId="0" applyNumberFormat="1" applyFont="1" applyBorder="1" applyAlignment="1">
      <alignment horizontal="center" vertical="center"/>
    </xf>
    <xf numFmtId="166" fontId="14" fillId="0" borderId="5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 readingOrder="2"/>
    </xf>
    <xf numFmtId="0" fontId="11" fillId="0" borderId="0" xfId="0" applyFont="1" applyAlignment="1">
      <alignment vertical="center" wrapText="1" readingOrder="2"/>
    </xf>
    <xf numFmtId="0" fontId="3" fillId="0" borderId="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3" xfId="0" applyFont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 readingOrder="2"/>
    </xf>
    <xf numFmtId="0" fontId="12" fillId="0" borderId="0" xfId="0" applyFont="1" applyAlignment="1">
      <alignment horizontal="center" vertical="center" readingOrder="2"/>
    </xf>
    <xf numFmtId="0" fontId="13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center" wrapText="1" readingOrder="2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 readingOrder="2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readingOrder="2"/>
    </xf>
    <xf numFmtId="0" fontId="11" fillId="0" borderId="3" xfId="0" applyFont="1" applyBorder="1" applyAlignment="1">
      <alignment horizontal="center" vertical="center" wrapText="1" readingOrder="2"/>
    </xf>
    <xf numFmtId="0" fontId="12" fillId="0" borderId="0" xfId="0" applyFont="1" applyAlignment="1">
      <alignment horizontal="right" vertical="center" readingOrder="2"/>
    </xf>
    <xf numFmtId="0" fontId="12" fillId="0" borderId="0" xfId="0" applyFont="1" applyBorder="1" applyAlignment="1">
      <alignment horizontal="right" vertical="center" readingOrder="2"/>
    </xf>
    <xf numFmtId="0" fontId="4" fillId="0" borderId="3" xfId="0" applyFont="1" applyBorder="1" applyAlignment="1">
      <alignment horizontal="center" vertical="center" wrapText="1" readingOrder="2"/>
    </xf>
    <xf numFmtId="0" fontId="1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1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 readingOrder="2"/>
    </xf>
    <xf numFmtId="0" fontId="11" fillId="0" borderId="0" xfId="0" applyFont="1" applyAlignment="1">
      <alignment vertical="center" wrapText="1"/>
    </xf>
    <xf numFmtId="0" fontId="4" fillId="0" borderId="0" xfId="0" applyFont="1" applyBorder="1" applyAlignment="1">
      <alignment horizontal="center" vertical="center" wrapText="1" readingOrder="2"/>
    </xf>
    <xf numFmtId="168" fontId="14" fillId="0" borderId="5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right" vertical="center" wrapText="1" readingOrder="2"/>
    </xf>
    <xf numFmtId="0" fontId="2" fillId="0" borderId="0" xfId="0" applyFont="1" applyAlignment="1">
      <alignment horizontal="right" vertical="center" readingOrder="2"/>
    </xf>
    <xf numFmtId="49" fontId="1" fillId="0" borderId="0" xfId="0" applyNumberFormat="1" applyFont="1" applyAlignment="1">
      <alignment horizontal="center" vertical="center" readingOrder="2"/>
    </xf>
    <xf numFmtId="0" fontId="1" fillId="0" borderId="0" xfId="0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165" fontId="14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 wrapText="1"/>
    </xf>
    <xf numFmtId="165" fontId="14" fillId="0" borderId="4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10" fillId="0" borderId="0" xfId="2" applyFont="1" applyAlignment="1">
      <alignment horizontal="center" vertical="center" wrapText="1" readingOrder="2"/>
    </xf>
    <xf numFmtId="37" fontId="7" fillId="0" borderId="0" xfId="2" applyNumberFormat="1" applyFont="1" applyAlignment="1">
      <alignment horizontal="center" vertical="center"/>
    </xf>
    <xf numFmtId="0" fontId="8" fillId="0" borderId="0" xfId="2" applyFont="1"/>
    <xf numFmtId="0" fontId="9" fillId="2" borderId="0" xfId="2" applyFont="1" applyFill="1" applyAlignment="1">
      <alignment horizontal="center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0" fontId="11" fillId="0" borderId="0" xfId="0" applyFont="1" applyAlignment="1">
      <alignment horizontal="center" vertical="center" wrapText="1" readingOrder="2"/>
    </xf>
    <xf numFmtId="0" fontId="11" fillId="0" borderId="1" xfId="0" applyFont="1" applyBorder="1" applyAlignment="1">
      <alignment horizontal="center" vertical="center" wrapText="1" readingOrder="2"/>
    </xf>
    <xf numFmtId="0" fontId="11" fillId="0" borderId="0" xfId="0" applyFont="1" applyAlignment="1">
      <alignment horizontal="center" vertical="center" readingOrder="2"/>
    </xf>
    <xf numFmtId="0" fontId="11" fillId="0" borderId="1" xfId="0" applyFont="1" applyBorder="1" applyAlignment="1">
      <alignment horizontal="center" vertical="center" readingOrder="2"/>
    </xf>
    <xf numFmtId="0" fontId="11" fillId="0" borderId="2" xfId="0" applyFont="1" applyBorder="1" applyAlignment="1">
      <alignment horizontal="center" vertical="center" wrapText="1" readingOrder="2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 readingOrder="2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 readingOrder="2"/>
    </xf>
    <xf numFmtId="0" fontId="13" fillId="0" borderId="0" xfId="0" applyFont="1" applyBorder="1" applyAlignment="1">
      <alignment horizontal="center" vertical="center" readingOrder="2"/>
    </xf>
    <xf numFmtId="0" fontId="15" fillId="0" borderId="1" xfId="0" applyFont="1" applyBorder="1" applyAlignment="1">
      <alignment horizontal="center" vertical="center" readingOrder="2"/>
    </xf>
    <xf numFmtId="0" fontId="4" fillId="0" borderId="1" xfId="0" applyFont="1" applyBorder="1" applyAlignment="1">
      <alignment horizontal="center" vertical="center" wrapText="1" readingOrder="2"/>
    </xf>
    <xf numFmtId="0" fontId="11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 readingOrder="2"/>
    </xf>
    <xf numFmtId="0" fontId="1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64" fontId="4" fillId="0" borderId="2" xfId="1" applyNumberFormat="1" applyFont="1" applyBorder="1" applyAlignment="1">
      <alignment horizontal="center" vertical="center" wrapText="1" readingOrder="2"/>
    </xf>
    <xf numFmtId="164" fontId="4" fillId="0" borderId="1" xfId="1" applyNumberFormat="1" applyFont="1" applyBorder="1" applyAlignment="1">
      <alignment horizontal="center" vertical="center" wrapText="1" readingOrder="2"/>
    </xf>
    <xf numFmtId="0" fontId="13" fillId="0" borderId="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A13F7693-9D3A-434A-AF5C-95B65CECE08D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270330</xdr:colOff>
      <xdr:row>6</xdr:row>
      <xdr:rowOff>76200</xdr:rowOff>
    </xdr:from>
    <xdr:to>
      <xdr:col>6</xdr:col>
      <xdr:colOff>235378</xdr:colOff>
      <xdr:row>13</xdr:row>
      <xdr:rowOff>155575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CF1074-1B58-413C-A3EB-044A8FB7F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6996662" y="1493520"/>
          <a:ext cx="1999588" cy="1732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1059174</xdr:colOff>
      <xdr:row>3</xdr:row>
      <xdr:rowOff>134471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98AFAD-B134-411B-ADAA-3B29B9114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6935791" y="0"/>
          <a:ext cx="1059174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1059174</xdr:colOff>
      <xdr:row>3</xdr:row>
      <xdr:rowOff>144251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D1F93D-5A86-41EA-80D1-15A8E0BE6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6989579" y="0"/>
          <a:ext cx="1059174" cy="9241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1059174</xdr:colOff>
      <xdr:row>3</xdr:row>
      <xdr:rowOff>150782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F53A46-B5DD-466D-9C6B-F0C79F931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6365386" y="0"/>
          <a:ext cx="1059174" cy="92802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1006518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B65700-60ED-4BE8-8408-AA136147C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0348182" y="0"/>
          <a:ext cx="1006517" cy="891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1059174</xdr:colOff>
      <xdr:row>3</xdr:row>
      <xdr:rowOff>144251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4B74DB-F821-4AAD-8963-C7CB23134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1723597" y="0"/>
          <a:ext cx="1059174" cy="92802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1059174</xdr:colOff>
      <xdr:row>3</xdr:row>
      <xdr:rowOff>144251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AACB08-98A7-4E61-B569-8E8B12853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4193197" y="0"/>
          <a:ext cx="1059174" cy="92802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1024170</xdr:colOff>
      <xdr:row>3</xdr:row>
      <xdr:rowOff>99061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91A826-89FA-473E-A08D-AA2ECDF49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000090" y="1"/>
          <a:ext cx="1024169" cy="8763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1024169</xdr:colOff>
      <xdr:row>3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BA8A23-8E9F-49E5-98F0-6C522D71C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9187531" y="0"/>
          <a:ext cx="1024169" cy="8763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1024169</xdr:colOff>
      <xdr:row>3</xdr:row>
      <xdr:rowOff>95218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0B44B2-29A4-4104-9EC9-267669837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0626488" y="0"/>
          <a:ext cx="1024169" cy="87898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1024169</xdr:colOff>
      <xdr:row>3</xdr:row>
      <xdr:rowOff>156334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C96126-8438-4F60-AB42-5819FDB6C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2875611" y="0"/>
          <a:ext cx="1024169" cy="86499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1024169</xdr:colOff>
      <xdr:row>3</xdr:row>
      <xdr:rowOff>87754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4A8B72-3AA2-4DCD-A2EF-AE543D2E9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3866211" y="0"/>
          <a:ext cx="1024169" cy="86499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1024169</xdr:colOff>
      <xdr:row>3</xdr:row>
      <xdr:rowOff>72514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C6766B-03D8-4D93-92C6-CCD3E0143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5359731" y="0"/>
          <a:ext cx="1024169" cy="849754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53</xdr:row>
      <xdr:rowOff>0</xdr:rowOff>
    </xdr:from>
    <xdr:ext cx="1024169" cy="856285"/>
    <xdr:pic>
      <xdr:nvPicPr>
        <xdr:cNvPr id="3" name="Picture 2">
          <a:extLst>
            <a:ext uri="{FF2B5EF4-FFF2-40B4-BE49-F238E27FC236}">
              <a16:creationId xmlns:a16="http://schemas.microsoft.com/office/drawing/2014/main" id="{8B67E713-E448-4128-9170-E94E14D01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6459774" y="0"/>
          <a:ext cx="1024169" cy="85628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0B4A-156D-4E13-9056-808880A69FAB}">
  <sheetPr>
    <pageSetUpPr fitToPage="1"/>
  </sheetPr>
  <dimension ref="A18:J25"/>
  <sheetViews>
    <sheetView rightToLeft="1" tabSelected="1" view="pageBreakPreview" zoomScale="55" zoomScaleNormal="100" zoomScaleSheetLayoutView="55" workbookViewId="0">
      <selection activeCell="F25" sqref="F25:G25"/>
    </sheetView>
  </sheetViews>
  <sheetFormatPr defaultColWidth="8.8984375" defaultRowHeight="18.600000000000001" x14ac:dyDescent="0.65"/>
  <cols>
    <col min="1" max="16384" width="8.8984375" style="7"/>
  </cols>
  <sheetData>
    <row r="18" spans="1:10" ht="40.200000000000003" customHeight="1" x14ac:dyDescent="0.65">
      <c r="A18" s="66" t="s">
        <v>186</v>
      </c>
      <c r="B18" s="67"/>
      <c r="C18" s="67"/>
      <c r="D18" s="67"/>
      <c r="E18" s="67"/>
      <c r="F18" s="67"/>
      <c r="G18" s="67"/>
      <c r="H18" s="67"/>
      <c r="I18" s="67"/>
      <c r="J18" s="67"/>
    </row>
    <row r="19" spans="1:10" ht="40.200000000000003" customHeight="1" x14ac:dyDescent="0.65">
      <c r="A19" s="66" t="s">
        <v>59</v>
      </c>
      <c r="B19" s="67"/>
      <c r="C19" s="67"/>
      <c r="D19" s="67"/>
      <c r="E19" s="67"/>
      <c r="F19" s="67"/>
      <c r="G19" s="67"/>
      <c r="H19" s="67"/>
      <c r="I19" s="67"/>
      <c r="J19" s="67"/>
    </row>
    <row r="20" spans="1:10" ht="40.200000000000003" customHeight="1" x14ac:dyDescent="0.65">
      <c r="A20" s="66" t="s">
        <v>191</v>
      </c>
      <c r="B20" s="67"/>
      <c r="C20" s="67"/>
      <c r="D20" s="67"/>
      <c r="E20" s="67"/>
      <c r="F20" s="67"/>
      <c r="G20" s="67"/>
      <c r="H20" s="67"/>
      <c r="I20" s="67"/>
      <c r="J20" s="67"/>
    </row>
    <row r="24" spans="1:10" ht="43.5" customHeight="1" x14ac:dyDescent="0.65">
      <c r="B24" s="68" t="s">
        <v>187</v>
      </c>
      <c r="C24" s="68"/>
      <c r="D24" s="68" t="s">
        <v>1</v>
      </c>
      <c r="E24" s="68"/>
      <c r="F24" s="68" t="s">
        <v>188</v>
      </c>
      <c r="G24" s="68"/>
      <c r="H24" s="68" t="s">
        <v>189</v>
      </c>
      <c r="I24" s="68"/>
    </row>
    <row r="25" spans="1:10" ht="39.75" customHeight="1" x14ac:dyDescent="0.65">
      <c r="B25" s="65" t="s">
        <v>53</v>
      </c>
      <c r="C25" s="65"/>
      <c r="D25" s="65" t="s">
        <v>190</v>
      </c>
      <c r="E25" s="65"/>
      <c r="F25" s="65" t="s">
        <v>192</v>
      </c>
      <c r="G25" s="65"/>
      <c r="H25" s="65"/>
      <c r="I25" s="65"/>
    </row>
  </sheetData>
  <mergeCells count="11">
    <mergeCell ref="B25:C25"/>
    <mergeCell ref="D25:E25"/>
    <mergeCell ref="F25:G25"/>
    <mergeCell ref="H25:I25"/>
    <mergeCell ref="A18:J18"/>
    <mergeCell ref="A19:J19"/>
    <mergeCell ref="A20:J20"/>
    <mergeCell ref="B24:C24"/>
    <mergeCell ref="D24:E24"/>
    <mergeCell ref="F24:G24"/>
    <mergeCell ref="H24:I24"/>
  </mergeCells>
  <pageMargins left="0.7" right="0.7" top="0.75" bottom="0.75" header="0.3" footer="0.3"/>
  <pageSetup paperSize="9" scale="91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rightToLeft="1" view="pageBreakPreview" zoomScaleNormal="85" zoomScaleSheetLayoutView="100" workbookViewId="0">
      <selection activeCell="F14" sqref="F14"/>
    </sheetView>
  </sheetViews>
  <sheetFormatPr defaultColWidth="9.09765625" defaultRowHeight="18" x14ac:dyDescent="0.25"/>
  <cols>
    <col min="1" max="1" width="29.09765625" style="10" customWidth="1"/>
    <col min="2" max="2" width="12.3984375" style="10" customWidth="1"/>
    <col min="3" max="4" width="17.8984375" style="10" customWidth="1"/>
    <col min="5" max="5" width="11.3984375" style="10" customWidth="1"/>
    <col min="6" max="6" width="14.3984375" style="10" customWidth="1"/>
    <col min="7" max="7" width="12.8984375" style="10" customWidth="1"/>
    <col min="8" max="8" width="14.19921875" style="10" customWidth="1"/>
    <col min="9" max="9" width="13.796875" style="10" customWidth="1"/>
    <col min="10" max="10" width="14" style="10" customWidth="1"/>
    <col min="11" max="11" width="17" style="10" customWidth="1"/>
    <col min="12" max="12" width="16.8984375" style="10" customWidth="1"/>
    <col min="13" max="13" width="13.3984375" style="10" customWidth="1"/>
    <col min="14" max="16384" width="9.09765625" style="10"/>
  </cols>
  <sheetData>
    <row r="1" spans="1:13" ht="20.399999999999999" x14ac:dyDescent="0.25">
      <c r="A1" s="77" t="s">
        <v>64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1:13" ht="20.399999999999999" x14ac:dyDescent="0.25">
      <c r="A2" s="77" t="s">
        <v>44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ht="20.399999999999999" x14ac:dyDescent="0.25">
      <c r="A3" s="77" t="s">
        <v>66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ht="20.399999999999999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20.399999999999999" x14ac:dyDescent="0.25">
      <c r="A5" s="78" t="s">
        <v>15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</row>
    <row r="6" spans="1:13" ht="20.399999999999999" x14ac:dyDescent="0.25">
      <c r="A6" s="78" t="s">
        <v>16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</row>
    <row r="8" spans="1:13" ht="18.75" customHeight="1" thickBot="1" x14ac:dyDescent="0.3">
      <c r="A8" s="8"/>
      <c r="B8" s="69" t="s">
        <v>69</v>
      </c>
      <c r="C8" s="69"/>
      <c r="D8" s="69"/>
      <c r="E8" s="69" t="s">
        <v>193</v>
      </c>
      <c r="F8" s="69"/>
      <c r="G8" s="69"/>
      <c r="H8" s="69"/>
      <c r="I8" s="69" t="s">
        <v>67</v>
      </c>
      <c r="J8" s="69"/>
      <c r="K8" s="69"/>
      <c r="L8" s="69"/>
      <c r="M8" s="69"/>
    </row>
    <row r="9" spans="1:13" ht="17.25" customHeight="1" x14ac:dyDescent="0.25">
      <c r="A9" s="70" t="s">
        <v>1</v>
      </c>
      <c r="B9" s="72" t="s">
        <v>3</v>
      </c>
      <c r="C9" s="72" t="s">
        <v>0</v>
      </c>
      <c r="D9" s="74" t="s">
        <v>11</v>
      </c>
      <c r="E9" s="75" t="s">
        <v>194</v>
      </c>
      <c r="F9" s="75"/>
      <c r="G9" s="75" t="s">
        <v>195</v>
      </c>
      <c r="H9" s="75"/>
      <c r="I9" s="76" t="s">
        <v>3</v>
      </c>
      <c r="J9" s="74" t="s">
        <v>19</v>
      </c>
      <c r="K9" s="76" t="s">
        <v>0</v>
      </c>
      <c r="L9" s="74" t="s">
        <v>11</v>
      </c>
      <c r="M9" s="74" t="s">
        <v>13</v>
      </c>
    </row>
    <row r="10" spans="1:13" ht="20.25" customHeight="1" thickBot="1" x14ac:dyDescent="0.3">
      <c r="A10" s="71"/>
      <c r="B10" s="73"/>
      <c r="C10" s="73"/>
      <c r="D10" s="71"/>
      <c r="E10" s="11" t="s">
        <v>3</v>
      </c>
      <c r="F10" s="11" t="s">
        <v>0</v>
      </c>
      <c r="G10" s="11" t="s">
        <v>3</v>
      </c>
      <c r="H10" s="11" t="s">
        <v>43</v>
      </c>
      <c r="I10" s="73"/>
      <c r="J10" s="71"/>
      <c r="K10" s="73"/>
      <c r="L10" s="71"/>
      <c r="M10" s="71"/>
    </row>
    <row r="11" spans="1:13" x14ac:dyDescent="0.25">
      <c r="A11" s="12" t="s">
        <v>95</v>
      </c>
      <c r="B11" s="15">
        <v>1100000</v>
      </c>
      <c r="C11" s="15">
        <v>7490912606</v>
      </c>
      <c r="D11" s="15">
        <v>7433094570</v>
      </c>
      <c r="E11" s="15">
        <v>500000</v>
      </c>
      <c r="F11" s="15">
        <v>2932792172</v>
      </c>
      <c r="G11" s="15">
        <v>0</v>
      </c>
      <c r="H11" s="15">
        <v>0</v>
      </c>
      <c r="I11" s="15">
        <v>1600000</v>
      </c>
      <c r="J11" s="15">
        <v>5920</v>
      </c>
      <c r="K11" s="15">
        <v>10423704772</v>
      </c>
      <c r="L11" s="15">
        <v>9398781440</v>
      </c>
      <c r="M11" s="16">
        <v>8.4259376048076463E-3</v>
      </c>
    </row>
    <row r="12" spans="1:13" x14ac:dyDescent="0.25">
      <c r="A12" s="12" t="s">
        <v>87</v>
      </c>
      <c r="B12" s="15">
        <v>1675000</v>
      </c>
      <c r="C12" s="15">
        <v>7250093696</v>
      </c>
      <c r="D12" s="15">
        <v>7394470460</v>
      </c>
      <c r="E12" s="15">
        <v>0</v>
      </c>
      <c r="F12" s="15">
        <v>0</v>
      </c>
      <c r="G12" s="15">
        <v>837500</v>
      </c>
      <c r="H12" s="15">
        <v>4535170175</v>
      </c>
      <c r="I12" s="15">
        <v>837500</v>
      </c>
      <c r="J12" s="15">
        <v>4467</v>
      </c>
      <c r="K12" s="15">
        <v>3625046848</v>
      </c>
      <c r="L12" s="15">
        <v>3712193700</v>
      </c>
      <c r="M12" s="16">
        <v>3.327954021788598E-3</v>
      </c>
    </row>
    <row r="13" spans="1:13" x14ac:dyDescent="0.25">
      <c r="A13" s="12" t="s">
        <v>170</v>
      </c>
      <c r="B13" s="15">
        <v>9890291</v>
      </c>
      <c r="C13" s="15">
        <v>14099676972</v>
      </c>
      <c r="D13" s="15">
        <v>21924116439</v>
      </c>
      <c r="E13" s="15">
        <v>0</v>
      </c>
      <c r="F13" s="15">
        <v>0</v>
      </c>
      <c r="G13" s="15">
        <v>0</v>
      </c>
      <c r="H13" s="15">
        <v>0</v>
      </c>
      <c r="I13" s="15">
        <v>9890291</v>
      </c>
      <c r="J13" s="15">
        <v>1962</v>
      </c>
      <c r="K13" s="15">
        <v>14099676972</v>
      </c>
      <c r="L13" s="15">
        <v>19254752217</v>
      </c>
      <c r="M13" s="16">
        <v>1.7261742047325838E-2</v>
      </c>
    </row>
    <row r="14" spans="1:13" x14ac:dyDescent="0.25">
      <c r="A14" s="12" t="s">
        <v>74</v>
      </c>
      <c r="B14" s="15">
        <v>43438000</v>
      </c>
      <c r="C14" s="15">
        <v>14441147939</v>
      </c>
      <c r="D14" s="15">
        <v>26378561247</v>
      </c>
      <c r="E14" s="15">
        <v>0</v>
      </c>
      <c r="F14" s="15">
        <v>0</v>
      </c>
      <c r="G14" s="15">
        <v>0</v>
      </c>
      <c r="H14" s="15">
        <v>0</v>
      </c>
      <c r="I14" s="15">
        <v>43438000</v>
      </c>
      <c r="J14" s="15">
        <v>502</v>
      </c>
      <c r="K14" s="15">
        <v>14441147939</v>
      </c>
      <c r="L14" s="15">
        <v>21637316579</v>
      </c>
      <c r="M14" s="16">
        <v>1.9397693264173194E-2</v>
      </c>
    </row>
    <row r="15" spans="1:13" x14ac:dyDescent="0.25">
      <c r="A15" s="12" t="s">
        <v>84</v>
      </c>
      <c r="B15" s="15">
        <v>44333000</v>
      </c>
      <c r="C15" s="15">
        <v>40494480432</v>
      </c>
      <c r="D15" s="15">
        <v>64665749688</v>
      </c>
      <c r="E15" s="15">
        <v>0</v>
      </c>
      <c r="F15" s="15">
        <v>0</v>
      </c>
      <c r="G15" s="15">
        <v>3653000</v>
      </c>
      <c r="H15" s="15">
        <v>4764192553</v>
      </c>
      <c r="I15" s="15">
        <v>40680000</v>
      </c>
      <c r="J15" s="15">
        <v>1257</v>
      </c>
      <c r="K15" s="15">
        <v>37157771050</v>
      </c>
      <c r="L15" s="15">
        <v>50739488305</v>
      </c>
      <c r="M15" s="16">
        <v>4.5487573605903241E-2</v>
      </c>
    </row>
    <row r="16" spans="1:13" x14ac:dyDescent="0.25">
      <c r="A16" s="12" t="s">
        <v>171</v>
      </c>
      <c r="B16" s="15">
        <v>5850000</v>
      </c>
      <c r="C16" s="15">
        <v>13285816292</v>
      </c>
      <c r="D16" s="15">
        <v>17362095484</v>
      </c>
      <c r="E16" s="15">
        <v>0</v>
      </c>
      <c r="F16" s="15">
        <v>0</v>
      </c>
      <c r="G16" s="15">
        <v>0</v>
      </c>
      <c r="H16" s="15">
        <v>0</v>
      </c>
      <c r="I16" s="15">
        <v>5850000</v>
      </c>
      <c r="J16" s="15">
        <v>2151</v>
      </c>
      <c r="K16" s="15">
        <v>13285816292</v>
      </c>
      <c r="L16" s="15">
        <v>12486080704</v>
      </c>
      <c r="M16" s="16">
        <v>1.1193678415879487E-2</v>
      </c>
    </row>
    <row r="17" spans="1:13" x14ac:dyDescent="0.25">
      <c r="A17" s="12" t="s">
        <v>149</v>
      </c>
      <c r="B17" s="15">
        <v>6000000</v>
      </c>
      <c r="C17" s="15">
        <v>2833528390</v>
      </c>
      <c r="D17" s="15">
        <v>2637453660</v>
      </c>
      <c r="E17" s="15">
        <v>0</v>
      </c>
      <c r="F17" s="15">
        <v>0</v>
      </c>
      <c r="G17" s="15">
        <v>6000000</v>
      </c>
      <c r="H17" s="15">
        <v>2470752400</v>
      </c>
      <c r="I17" s="15">
        <v>0</v>
      </c>
      <c r="J17" s="15">
        <v>0</v>
      </c>
      <c r="K17" s="15">
        <v>0</v>
      </c>
      <c r="L17" s="15">
        <v>0</v>
      </c>
      <c r="M17" s="17">
        <v>0</v>
      </c>
    </row>
    <row r="18" spans="1:13" x14ac:dyDescent="0.25">
      <c r="A18" s="12" t="s">
        <v>73</v>
      </c>
      <c r="B18" s="15">
        <v>562500</v>
      </c>
      <c r="C18" s="15">
        <v>5123397825</v>
      </c>
      <c r="D18" s="15">
        <v>5497795969</v>
      </c>
      <c r="E18" s="15">
        <v>0</v>
      </c>
      <c r="F18" s="15">
        <v>0</v>
      </c>
      <c r="G18" s="15">
        <v>562500</v>
      </c>
      <c r="H18" s="15">
        <v>4950825640</v>
      </c>
      <c r="I18" s="15">
        <v>0</v>
      </c>
      <c r="J18" s="15">
        <v>0</v>
      </c>
      <c r="K18" s="15">
        <v>0</v>
      </c>
      <c r="L18" s="15">
        <v>0</v>
      </c>
      <c r="M18" s="17">
        <v>0</v>
      </c>
    </row>
    <row r="19" spans="1:13" x14ac:dyDescent="0.25">
      <c r="A19" s="12" t="s">
        <v>97</v>
      </c>
      <c r="B19" s="15">
        <v>25941000</v>
      </c>
      <c r="C19" s="15">
        <v>38056949814</v>
      </c>
      <c r="D19" s="15">
        <v>49009866437</v>
      </c>
      <c r="E19" s="15">
        <v>0</v>
      </c>
      <c r="F19" s="15">
        <v>0</v>
      </c>
      <c r="G19" s="15">
        <v>5941000</v>
      </c>
      <c r="H19" s="15">
        <v>9847781711</v>
      </c>
      <c r="I19" s="15">
        <v>20000000</v>
      </c>
      <c r="J19" s="15">
        <v>1647</v>
      </c>
      <c r="K19" s="15">
        <v>29341158640</v>
      </c>
      <c r="L19" s="15">
        <v>32685373800</v>
      </c>
      <c r="M19" s="16">
        <v>2.9302194330908346E-2</v>
      </c>
    </row>
    <row r="20" spans="1:13" x14ac:dyDescent="0.25">
      <c r="A20" s="12" t="s">
        <v>76</v>
      </c>
      <c r="B20" s="15">
        <v>350000</v>
      </c>
      <c r="C20" s="15">
        <v>8636181592</v>
      </c>
      <c r="D20" s="15">
        <v>15155931980</v>
      </c>
      <c r="E20" s="15">
        <v>0</v>
      </c>
      <c r="F20" s="15">
        <v>0</v>
      </c>
      <c r="G20" s="15">
        <v>0</v>
      </c>
      <c r="H20" s="15">
        <v>0</v>
      </c>
      <c r="I20" s="15">
        <v>350000</v>
      </c>
      <c r="J20" s="15">
        <v>37100</v>
      </c>
      <c r="K20" s="15">
        <v>8636181592</v>
      </c>
      <c r="L20" s="15">
        <v>12884625950</v>
      </c>
      <c r="M20" s="16">
        <v>1.1550971262502881E-2</v>
      </c>
    </row>
    <row r="21" spans="1:13" x14ac:dyDescent="0.25">
      <c r="A21" s="12" t="s">
        <v>108</v>
      </c>
      <c r="B21" s="15">
        <v>2250000</v>
      </c>
      <c r="C21" s="15">
        <v>23137117508</v>
      </c>
      <c r="D21" s="15">
        <v>36570110850</v>
      </c>
      <c r="E21" s="15">
        <v>0</v>
      </c>
      <c r="F21" s="15">
        <v>0</v>
      </c>
      <c r="G21" s="15">
        <v>0</v>
      </c>
      <c r="H21" s="15">
        <v>0</v>
      </c>
      <c r="I21" s="15">
        <v>2250000</v>
      </c>
      <c r="J21" s="15">
        <v>13450</v>
      </c>
      <c r="K21" s="15">
        <v>23137117508</v>
      </c>
      <c r="L21" s="15">
        <v>30028570875</v>
      </c>
      <c r="M21" s="16">
        <v>2.6920390283518936E-2</v>
      </c>
    </row>
    <row r="22" spans="1:13" x14ac:dyDescent="0.25">
      <c r="A22" s="12" t="s">
        <v>152</v>
      </c>
      <c r="B22" s="15">
        <v>3600000</v>
      </c>
      <c r="C22" s="15">
        <v>30631938014</v>
      </c>
      <c r="D22" s="15">
        <v>58797951120</v>
      </c>
      <c r="E22" s="15">
        <v>0</v>
      </c>
      <c r="F22" s="15">
        <v>0</v>
      </c>
      <c r="G22" s="15">
        <v>301000</v>
      </c>
      <c r="H22" s="15">
        <v>4325866110</v>
      </c>
      <c r="I22" s="15">
        <v>3299000</v>
      </c>
      <c r="J22" s="15">
        <v>15000</v>
      </c>
      <c r="K22" s="15">
        <v>28070767641</v>
      </c>
      <c r="L22" s="15">
        <v>49102480950</v>
      </c>
      <c r="M22" s="16">
        <v>4.4020008696569503E-2</v>
      </c>
    </row>
    <row r="23" spans="1:13" x14ac:dyDescent="0.25">
      <c r="A23" s="12" t="s">
        <v>77</v>
      </c>
      <c r="B23" s="15">
        <v>1100000</v>
      </c>
      <c r="C23" s="15">
        <v>18985514881</v>
      </c>
      <c r="D23" s="15">
        <v>19406816660</v>
      </c>
      <c r="E23" s="15">
        <v>0</v>
      </c>
      <c r="F23" s="15">
        <v>0</v>
      </c>
      <c r="G23" s="15">
        <v>0</v>
      </c>
      <c r="H23" s="15">
        <v>0</v>
      </c>
      <c r="I23" s="15">
        <v>1100000</v>
      </c>
      <c r="J23" s="15">
        <v>15520</v>
      </c>
      <c r="K23" s="15">
        <v>18985514881</v>
      </c>
      <c r="L23" s="15">
        <v>16940033440</v>
      </c>
      <c r="M23" s="16">
        <v>1.5186613892448915E-2</v>
      </c>
    </row>
    <row r="24" spans="1:13" x14ac:dyDescent="0.25">
      <c r="A24" s="12" t="s">
        <v>100</v>
      </c>
      <c r="B24" s="15">
        <v>2000000</v>
      </c>
      <c r="C24" s="15">
        <v>6993120398</v>
      </c>
      <c r="D24" s="15">
        <v>8606949980</v>
      </c>
      <c r="E24" s="15">
        <v>0</v>
      </c>
      <c r="F24" s="15">
        <v>0</v>
      </c>
      <c r="G24" s="15">
        <v>2000000</v>
      </c>
      <c r="H24" s="15">
        <v>7358474199</v>
      </c>
      <c r="I24" s="15">
        <v>0</v>
      </c>
      <c r="J24" s="15">
        <v>0</v>
      </c>
      <c r="K24" s="15">
        <v>0</v>
      </c>
      <c r="L24" s="15">
        <v>0</v>
      </c>
      <c r="M24" s="17">
        <v>0</v>
      </c>
    </row>
    <row r="25" spans="1:13" x14ac:dyDescent="0.25">
      <c r="A25" s="12" t="s">
        <v>98</v>
      </c>
      <c r="B25" s="15">
        <v>9600000</v>
      </c>
      <c r="C25" s="15">
        <v>51525015617</v>
      </c>
      <c r="D25" s="15">
        <v>127550354880</v>
      </c>
      <c r="E25" s="15">
        <v>0</v>
      </c>
      <c r="F25" s="15">
        <v>0</v>
      </c>
      <c r="G25" s="15">
        <v>400000</v>
      </c>
      <c r="H25" s="15">
        <v>4735112467</v>
      </c>
      <c r="I25" s="15">
        <v>9200000</v>
      </c>
      <c r="J25" s="15">
        <v>10800</v>
      </c>
      <c r="K25" s="15">
        <v>49378139966</v>
      </c>
      <c r="L25" s="15">
        <v>98591947200</v>
      </c>
      <c r="M25" s="16">
        <v>8.8386946834215344E-2</v>
      </c>
    </row>
    <row r="26" spans="1:13" x14ac:dyDescent="0.25">
      <c r="A26" s="12" t="s">
        <v>134</v>
      </c>
      <c r="B26" s="15">
        <v>600000</v>
      </c>
      <c r="C26" s="15">
        <v>10079181611</v>
      </c>
      <c r="D26" s="15">
        <v>14407760400</v>
      </c>
      <c r="E26" s="15">
        <v>0</v>
      </c>
      <c r="F26" s="15">
        <v>0</v>
      </c>
      <c r="G26" s="15">
        <v>0</v>
      </c>
      <c r="H26" s="15">
        <v>0</v>
      </c>
      <c r="I26" s="15">
        <v>600000</v>
      </c>
      <c r="J26" s="15">
        <v>17850</v>
      </c>
      <c r="K26" s="15">
        <v>10079181611</v>
      </c>
      <c r="L26" s="15">
        <v>10627211700</v>
      </c>
      <c r="M26" s="16">
        <v>9.5272161895576316E-3</v>
      </c>
    </row>
    <row r="27" spans="1:13" x14ac:dyDescent="0.25">
      <c r="A27" s="12" t="s">
        <v>150</v>
      </c>
      <c r="B27" s="15">
        <v>20890000</v>
      </c>
      <c r="C27" s="15">
        <v>69880638858</v>
      </c>
      <c r="D27" s="15">
        <v>82250768550</v>
      </c>
      <c r="E27" s="15">
        <v>0</v>
      </c>
      <c r="F27" s="15">
        <v>0</v>
      </c>
      <c r="G27" s="15">
        <v>3200000</v>
      </c>
      <c r="H27" s="15">
        <v>11113821014</v>
      </c>
      <c r="I27" s="15">
        <v>17690000</v>
      </c>
      <c r="J27" s="15">
        <v>3370</v>
      </c>
      <c r="K27" s="15">
        <v>59176089105</v>
      </c>
      <c r="L27" s="15">
        <v>59154473731</v>
      </c>
      <c r="M27" s="16">
        <v>5.3031545406660607E-2</v>
      </c>
    </row>
    <row r="28" spans="1:13" x14ac:dyDescent="0.25">
      <c r="A28" s="12" t="s">
        <v>89</v>
      </c>
      <c r="B28" s="15">
        <v>133750</v>
      </c>
      <c r="C28" s="15">
        <v>3835363961</v>
      </c>
      <c r="D28" s="15">
        <v>5580712531</v>
      </c>
      <c r="E28" s="15">
        <v>0</v>
      </c>
      <c r="F28" s="15">
        <v>0</v>
      </c>
      <c r="G28" s="15">
        <v>0</v>
      </c>
      <c r="H28" s="15">
        <v>0</v>
      </c>
      <c r="I28" s="15">
        <v>133750</v>
      </c>
      <c r="J28" s="15">
        <v>38600</v>
      </c>
      <c r="K28" s="15">
        <v>3835363961</v>
      </c>
      <c r="L28" s="15">
        <v>5122841942</v>
      </c>
      <c r="M28" s="16">
        <v>4.592589671133328E-3</v>
      </c>
    </row>
    <row r="29" spans="1:13" x14ac:dyDescent="0.25">
      <c r="A29" s="12" t="s">
        <v>94</v>
      </c>
      <c r="B29" s="15">
        <v>800000</v>
      </c>
      <c r="C29" s="15">
        <v>11513575776</v>
      </c>
      <c r="D29" s="15">
        <v>14788792080</v>
      </c>
      <c r="E29" s="15">
        <v>0</v>
      </c>
      <c r="F29" s="15">
        <v>0</v>
      </c>
      <c r="G29" s="15">
        <v>0</v>
      </c>
      <c r="H29" s="15">
        <v>0</v>
      </c>
      <c r="I29" s="15">
        <v>800000</v>
      </c>
      <c r="J29" s="15">
        <v>15150</v>
      </c>
      <c r="K29" s="15">
        <v>11513575776</v>
      </c>
      <c r="L29" s="15">
        <v>12026312400</v>
      </c>
      <c r="M29" s="16">
        <v>1.0781499553448972E-2</v>
      </c>
    </row>
    <row r="30" spans="1:13" x14ac:dyDescent="0.25">
      <c r="A30" s="12" t="s">
        <v>91</v>
      </c>
      <c r="B30" s="15">
        <v>2513000</v>
      </c>
      <c r="C30" s="15">
        <v>15896436339</v>
      </c>
      <c r="D30" s="15">
        <v>18302836903</v>
      </c>
      <c r="E30" s="15">
        <v>0</v>
      </c>
      <c r="F30" s="15">
        <v>0</v>
      </c>
      <c r="G30" s="15">
        <v>1256501</v>
      </c>
      <c r="H30" s="15">
        <v>9700012759</v>
      </c>
      <c r="I30" s="15">
        <v>1256499</v>
      </c>
      <c r="J30" s="15">
        <v>6550</v>
      </c>
      <c r="K30" s="15">
        <v>7948211844</v>
      </c>
      <c r="L30" s="15">
        <v>8166450021</v>
      </c>
      <c r="M30" s="16">
        <v>7.3211616600509103E-3</v>
      </c>
    </row>
    <row r="31" spans="1:13" x14ac:dyDescent="0.25">
      <c r="A31" s="12" t="s">
        <v>106</v>
      </c>
      <c r="B31" s="15">
        <v>1200000</v>
      </c>
      <c r="C31" s="15">
        <v>10450623609</v>
      </c>
      <c r="D31" s="15">
        <v>11990590680</v>
      </c>
      <c r="E31" s="15">
        <v>0</v>
      </c>
      <c r="F31" s="15">
        <v>0</v>
      </c>
      <c r="G31" s="15">
        <v>0</v>
      </c>
      <c r="H31" s="15">
        <v>0</v>
      </c>
      <c r="I31" s="15">
        <v>1200000</v>
      </c>
      <c r="J31" s="15">
        <v>7710</v>
      </c>
      <c r="K31" s="15">
        <v>10450623609</v>
      </c>
      <c r="L31" s="15">
        <v>9180482040</v>
      </c>
      <c r="M31" s="16">
        <v>8.2302338175338201E-3</v>
      </c>
    </row>
    <row r="32" spans="1:13" x14ac:dyDescent="0.25">
      <c r="A32" s="12" t="s">
        <v>129</v>
      </c>
      <c r="B32" s="15">
        <v>11000000</v>
      </c>
      <c r="C32" s="15">
        <v>47033944822</v>
      </c>
      <c r="D32" s="15">
        <v>173220573900</v>
      </c>
      <c r="E32" s="15">
        <v>0</v>
      </c>
      <c r="F32" s="15">
        <v>0</v>
      </c>
      <c r="G32" s="15">
        <v>800000</v>
      </c>
      <c r="H32" s="15">
        <v>10983809609</v>
      </c>
      <c r="I32" s="15">
        <v>10200000</v>
      </c>
      <c r="J32" s="15">
        <v>13540</v>
      </c>
      <c r="K32" s="15">
        <v>43613294290</v>
      </c>
      <c r="L32" s="15">
        <v>137040425160</v>
      </c>
      <c r="M32" s="16">
        <v>0.12285572114915269</v>
      </c>
    </row>
    <row r="33" spans="1:13" x14ac:dyDescent="0.25">
      <c r="A33" s="12" t="s">
        <v>172</v>
      </c>
      <c r="B33" s="15">
        <v>11650000</v>
      </c>
      <c r="C33" s="15">
        <v>46975684774</v>
      </c>
      <c r="D33" s="15">
        <v>92826362365</v>
      </c>
      <c r="E33" s="15">
        <v>0</v>
      </c>
      <c r="F33" s="15">
        <v>0</v>
      </c>
      <c r="G33" s="15">
        <v>0</v>
      </c>
      <c r="H33" s="15">
        <v>0</v>
      </c>
      <c r="I33" s="15">
        <v>11650000</v>
      </c>
      <c r="J33" s="15">
        <v>6330</v>
      </c>
      <c r="K33" s="15">
        <v>46975684774</v>
      </c>
      <c r="L33" s="15">
        <v>73174455015</v>
      </c>
      <c r="M33" s="16">
        <v>6.5600354275521272E-2</v>
      </c>
    </row>
    <row r="34" spans="1:13" x14ac:dyDescent="0.25">
      <c r="A34" s="12" t="s">
        <v>139</v>
      </c>
      <c r="B34" s="15">
        <v>5175000</v>
      </c>
      <c r="C34" s="15">
        <v>20373014627</v>
      </c>
      <c r="D34" s="15">
        <v>46625775030</v>
      </c>
      <c r="E34" s="15">
        <v>0</v>
      </c>
      <c r="F34" s="15">
        <v>0</v>
      </c>
      <c r="G34" s="15">
        <v>0</v>
      </c>
      <c r="H34" s="15">
        <v>0</v>
      </c>
      <c r="I34" s="15">
        <v>5175000</v>
      </c>
      <c r="J34" s="15">
        <v>7540</v>
      </c>
      <c r="K34" s="15">
        <v>20373014627</v>
      </c>
      <c r="L34" s="15">
        <v>38717879265</v>
      </c>
      <c r="M34" s="16">
        <v>3.4710290579686651E-2</v>
      </c>
    </row>
    <row r="35" spans="1:13" x14ac:dyDescent="0.25">
      <c r="A35" s="12" t="s">
        <v>132</v>
      </c>
      <c r="B35" s="15">
        <v>200000</v>
      </c>
      <c r="C35" s="15">
        <v>3358420121</v>
      </c>
      <c r="D35" s="15">
        <v>7432102300</v>
      </c>
      <c r="E35" s="15">
        <v>0</v>
      </c>
      <c r="F35" s="15">
        <v>0</v>
      </c>
      <c r="G35" s="15">
        <v>0</v>
      </c>
      <c r="H35" s="15">
        <v>0</v>
      </c>
      <c r="I35" s="15">
        <v>200000</v>
      </c>
      <c r="J35" s="15">
        <v>27280</v>
      </c>
      <c r="K35" s="15">
        <v>3358420121</v>
      </c>
      <c r="L35" s="15">
        <v>5413825120</v>
      </c>
      <c r="M35" s="16">
        <v>4.8534539243908909E-3</v>
      </c>
    </row>
    <row r="36" spans="1:13" x14ac:dyDescent="0.25">
      <c r="A36" s="12" t="s">
        <v>153</v>
      </c>
      <c r="B36" s="15">
        <v>5500000</v>
      </c>
      <c r="C36" s="15">
        <v>10982072329</v>
      </c>
      <c r="D36" s="15">
        <v>26179555545</v>
      </c>
      <c r="E36" s="15">
        <v>0</v>
      </c>
      <c r="F36" s="15">
        <v>0</v>
      </c>
      <c r="G36" s="15">
        <v>800000</v>
      </c>
      <c r="H36" s="15">
        <v>3354666439</v>
      </c>
      <c r="I36" s="15">
        <v>4700000</v>
      </c>
      <c r="J36" s="15">
        <v>3916</v>
      </c>
      <c r="K36" s="15">
        <v>9384679990</v>
      </c>
      <c r="L36" s="15">
        <v>18262927804</v>
      </c>
      <c r="M36" s="16">
        <v>1.6372578843328302E-2</v>
      </c>
    </row>
    <row r="37" spans="1:13" x14ac:dyDescent="0.25">
      <c r="A37" s="12" t="s">
        <v>117</v>
      </c>
      <c r="B37" s="15">
        <v>1650000</v>
      </c>
      <c r="C37" s="15">
        <v>26828196226</v>
      </c>
      <c r="D37" s="15">
        <v>41962602165</v>
      </c>
      <c r="E37" s="15">
        <v>0</v>
      </c>
      <c r="F37" s="15">
        <v>0</v>
      </c>
      <c r="G37" s="15">
        <v>200000</v>
      </c>
      <c r="H37" s="15">
        <v>5665861700</v>
      </c>
      <c r="I37" s="15">
        <v>1450000</v>
      </c>
      <c r="J37" s="15">
        <v>27920</v>
      </c>
      <c r="K37" s="15">
        <v>23576293653</v>
      </c>
      <c r="L37" s="15">
        <v>40171058680</v>
      </c>
      <c r="M37" s="16">
        <v>3.6013055109061734E-2</v>
      </c>
    </row>
    <row r="38" spans="1:13" x14ac:dyDescent="0.25">
      <c r="A38" s="12" t="s">
        <v>173</v>
      </c>
      <c r="B38" s="15">
        <v>2000000</v>
      </c>
      <c r="C38" s="15">
        <v>18890189691</v>
      </c>
      <c r="D38" s="15">
        <v>19567564400</v>
      </c>
      <c r="E38" s="15">
        <v>0</v>
      </c>
      <c r="F38" s="15">
        <v>0</v>
      </c>
      <c r="G38" s="15">
        <v>0</v>
      </c>
      <c r="H38" s="15">
        <v>0</v>
      </c>
      <c r="I38" s="15">
        <v>2000000</v>
      </c>
      <c r="J38" s="15">
        <v>8880</v>
      </c>
      <c r="K38" s="15">
        <v>18890189691</v>
      </c>
      <c r="L38" s="15">
        <v>17622715200</v>
      </c>
      <c r="M38" s="16">
        <v>1.5798633009014337E-2</v>
      </c>
    </row>
    <row r="39" spans="1:13" x14ac:dyDescent="0.25">
      <c r="A39" s="12" t="s">
        <v>92</v>
      </c>
      <c r="B39" s="15">
        <v>100454</v>
      </c>
      <c r="C39" s="15">
        <v>4372643222</v>
      </c>
      <c r="D39" s="15">
        <v>6323540002</v>
      </c>
      <c r="E39" s="15">
        <v>0</v>
      </c>
      <c r="F39" s="15">
        <v>0</v>
      </c>
      <c r="G39" s="15">
        <v>100000</v>
      </c>
      <c r="H39" s="15">
        <v>6318775366</v>
      </c>
      <c r="I39" s="15">
        <v>454</v>
      </c>
      <c r="J39" s="15">
        <v>52150</v>
      </c>
      <c r="K39" s="15">
        <v>19762080</v>
      </c>
      <c r="L39" s="15">
        <v>23493084</v>
      </c>
      <c r="M39" s="16">
        <v>2.1061374944420967E-5</v>
      </c>
    </row>
    <row r="40" spans="1:13" x14ac:dyDescent="0.25">
      <c r="A40" s="12" t="s">
        <v>81</v>
      </c>
      <c r="B40" s="15">
        <v>200000</v>
      </c>
      <c r="C40" s="15">
        <v>8564224465</v>
      </c>
      <c r="D40" s="15">
        <v>12014405160</v>
      </c>
      <c r="E40" s="15">
        <v>0</v>
      </c>
      <c r="F40" s="15">
        <v>0</v>
      </c>
      <c r="G40" s="15">
        <v>0</v>
      </c>
      <c r="H40" s="15">
        <v>0</v>
      </c>
      <c r="I40" s="15">
        <v>200000</v>
      </c>
      <c r="J40" s="15">
        <v>46820</v>
      </c>
      <c r="K40" s="15">
        <v>8564224465</v>
      </c>
      <c r="L40" s="15">
        <v>9291616280</v>
      </c>
      <c r="M40" s="16">
        <v>8.3298648365095849E-3</v>
      </c>
    </row>
    <row r="41" spans="1:13" x14ac:dyDescent="0.25">
      <c r="A41" s="12" t="s">
        <v>86</v>
      </c>
      <c r="B41" s="15">
        <v>800000</v>
      </c>
      <c r="C41" s="15">
        <v>30673225424</v>
      </c>
      <c r="D41" s="15">
        <v>54701860560</v>
      </c>
      <c r="E41" s="15">
        <v>0</v>
      </c>
      <c r="F41" s="15">
        <v>0</v>
      </c>
      <c r="G41" s="15">
        <v>50000</v>
      </c>
      <c r="H41" s="15">
        <v>3345438305</v>
      </c>
      <c r="I41" s="15">
        <v>750000</v>
      </c>
      <c r="J41" s="15">
        <v>60340</v>
      </c>
      <c r="K41" s="15">
        <v>28756148835</v>
      </c>
      <c r="L41" s="15">
        <v>44905178850</v>
      </c>
      <c r="M41" s="16">
        <v>4.0257158604895482E-2</v>
      </c>
    </row>
    <row r="42" spans="1:13" x14ac:dyDescent="0.25">
      <c r="A42" s="12" t="s">
        <v>105</v>
      </c>
      <c r="B42" s="15">
        <v>500000</v>
      </c>
      <c r="C42" s="15">
        <v>13078980565</v>
      </c>
      <c r="D42" s="15">
        <v>30110433150</v>
      </c>
      <c r="E42" s="15">
        <v>0</v>
      </c>
      <c r="F42" s="15">
        <v>0</v>
      </c>
      <c r="G42" s="15">
        <v>50000</v>
      </c>
      <c r="H42" s="15">
        <v>2588588775</v>
      </c>
      <c r="I42" s="15">
        <v>450000</v>
      </c>
      <c r="J42" s="15">
        <v>46140</v>
      </c>
      <c r="K42" s="15">
        <v>11771082508</v>
      </c>
      <c r="L42" s="15">
        <v>20602502010</v>
      </c>
      <c r="M42" s="16">
        <v>1.8469989705302062E-2</v>
      </c>
    </row>
    <row r="43" spans="1:13" x14ac:dyDescent="0.25">
      <c r="A43" s="12" t="s">
        <v>103</v>
      </c>
      <c r="B43" s="15">
        <v>3000000</v>
      </c>
      <c r="C43" s="15">
        <v>8292444580</v>
      </c>
      <c r="D43" s="15">
        <v>11877471900</v>
      </c>
      <c r="E43" s="15">
        <v>0</v>
      </c>
      <c r="F43" s="15">
        <v>0</v>
      </c>
      <c r="G43" s="15">
        <v>0</v>
      </c>
      <c r="H43" s="15">
        <v>0</v>
      </c>
      <c r="I43" s="15">
        <v>3000000</v>
      </c>
      <c r="J43" s="15">
        <v>2820</v>
      </c>
      <c r="K43" s="15">
        <v>8292444580</v>
      </c>
      <c r="L43" s="15">
        <v>8394604200</v>
      </c>
      <c r="M43" s="16">
        <v>7.5257001833480448E-3</v>
      </c>
    </row>
    <row r="44" spans="1:13" x14ac:dyDescent="0.25">
      <c r="A44" s="12" t="s">
        <v>174</v>
      </c>
      <c r="B44" s="15">
        <v>120000</v>
      </c>
      <c r="C44" s="15">
        <v>18239142954</v>
      </c>
      <c r="D44" s="15">
        <v>72149539332</v>
      </c>
      <c r="E44" s="15">
        <v>0</v>
      </c>
      <c r="F44" s="15">
        <v>0</v>
      </c>
      <c r="G44" s="15">
        <v>0</v>
      </c>
      <c r="H44" s="15">
        <v>0</v>
      </c>
      <c r="I44" s="15">
        <v>120000</v>
      </c>
      <c r="J44" s="15">
        <v>525730</v>
      </c>
      <c r="K44" s="15">
        <v>18239142954</v>
      </c>
      <c r="L44" s="15">
        <v>62599932852</v>
      </c>
      <c r="M44" s="16">
        <v>5.6120373863710181E-2</v>
      </c>
    </row>
    <row r="45" spans="1:13" x14ac:dyDescent="0.25">
      <c r="A45" s="12" t="s">
        <v>138</v>
      </c>
      <c r="B45" s="15">
        <v>1200000</v>
      </c>
      <c r="C45" s="15">
        <v>20469168747</v>
      </c>
      <c r="D45" s="15">
        <v>32590115880</v>
      </c>
      <c r="E45" s="15">
        <v>0</v>
      </c>
      <c r="F45" s="15">
        <v>0</v>
      </c>
      <c r="G45" s="15">
        <v>0</v>
      </c>
      <c r="H45" s="15">
        <v>0</v>
      </c>
      <c r="I45" s="15">
        <v>1200000</v>
      </c>
      <c r="J45" s="15">
        <v>19670</v>
      </c>
      <c r="K45" s="15">
        <v>20469168747</v>
      </c>
      <c r="L45" s="15">
        <v>23421541080</v>
      </c>
      <c r="M45" s="16">
        <v>2.0997237249142701E-2</v>
      </c>
    </row>
    <row r="46" spans="1:13" x14ac:dyDescent="0.25">
      <c r="A46" s="12" t="s">
        <v>101</v>
      </c>
      <c r="B46" s="15">
        <v>350000</v>
      </c>
      <c r="C46" s="15">
        <v>16628233734</v>
      </c>
      <c r="D46" s="15">
        <v>35840792400</v>
      </c>
      <c r="E46" s="15">
        <v>0</v>
      </c>
      <c r="F46" s="15">
        <v>0</v>
      </c>
      <c r="G46" s="15">
        <v>0</v>
      </c>
      <c r="H46" s="15">
        <v>0</v>
      </c>
      <c r="I46" s="15">
        <v>350000</v>
      </c>
      <c r="J46" s="15">
        <v>105600</v>
      </c>
      <c r="K46" s="15">
        <v>16628233734</v>
      </c>
      <c r="L46" s="15">
        <v>36674299200</v>
      </c>
      <c r="M46" s="16">
        <v>3.2878236262002807E-2</v>
      </c>
    </row>
    <row r="47" spans="1:13" x14ac:dyDescent="0.25">
      <c r="A47" s="12" t="s">
        <v>175</v>
      </c>
      <c r="B47" s="15">
        <v>5802960</v>
      </c>
      <c r="C47" s="15">
        <v>17199552966</v>
      </c>
      <c r="D47" s="15">
        <v>17447052451</v>
      </c>
      <c r="E47" s="15">
        <v>0</v>
      </c>
      <c r="F47" s="15">
        <v>0</v>
      </c>
      <c r="G47" s="15">
        <v>0</v>
      </c>
      <c r="H47" s="15">
        <v>0</v>
      </c>
      <c r="I47" s="15">
        <v>5802960</v>
      </c>
      <c r="J47" s="15">
        <v>2516</v>
      </c>
      <c r="K47" s="15">
        <v>17199552966</v>
      </c>
      <c r="L47" s="15">
        <v>14487387448</v>
      </c>
      <c r="M47" s="16">
        <v>1.2987835015931754E-2</v>
      </c>
    </row>
    <row r="48" spans="1:13" x14ac:dyDescent="0.25">
      <c r="A48" s="12" t="s">
        <v>104</v>
      </c>
      <c r="B48" s="15">
        <v>750000</v>
      </c>
      <c r="C48" s="15">
        <v>6166260600</v>
      </c>
      <c r="D48" s="15">
        <v>8550886725</v>
      </c>
      <c r="E48" s="15">
        <v>0</v>
      </c>
      <c r="F48" s="15">
        <v>0</v>
      </c>
      <c r="G48" s="15">
        <v>750000</v>
      </c>
      <c r="H48" s="15">
        <v>9053223432</v>
      </c>
      <c r="I48" s="15">
        <v>0</v>
      </c>
      <c r="J48" s="15">
        <v>0</v>
      </c>
      <c r="K48" s="15">
        <v>0</v>
      </c>
      <c r="L48" s="15">
        <v>0</v>
      </c>
      <c r="M48" s="17">
        <v>0</v>
      </c>
    </row>
    <row r="49" spans="1:13" ht="18.600000000000001" thickBot="1" x14ac:dyDescent="0.3">
      <c r="A49" s="12" t="s">
        <v>2</v>
      </c>
      <c r="B49" s="15"/>
      <c r="C49" s="18">
        <f t="shared" ref="C49:H49" si="0">SUM(C11:C48)</f>
        <v>722766111977</v>
      </c>
      <c r="D49" s="18">
        <f t="shared" si="0"/>
        <v>1305133413833</v>
      </c>
      <c r="E49" s="15"/>
      <c r="F49" s="18">
        <f t="shared" si="0"/>
        <v>2932792172</v>
      </c>
      <c r="G49" s="15"/>
      <c r="H49" s="18">
        <f t="shared" si="0"/>
        <v>105112372654</v>
      </c>
      <c r="I49" s="15"/>
      <c r="J49" s="14"/>
      <c r="K49" s="18">
        <f>SUM(K11:K48)</f>
        <v>649696428022</v>
      </c>
      <c r="L49" s="18">
        <f>SUM(L11:L48)</f>
        <v>1012543258242</v>
      </c>
      <c r="M49" s="19">
        <f>SUM(M11:M48)</f>
        <v>0.90773749454437003</v>
      </c>
    </row>
    <row r="50" spans="1:13" ht="18.600000000000001" thickTop="1" x14ac:dyDescent="0.25"/>
  </sheetData>
  <mergeCells count="19">
    <mergeCell ref="A1:M1"/>
    <mergeCell ref="A2:M2"/>
    <mergeCell ref="A3:M3"/>
    <mergeCell ref="A5:M5"/>
    <mergeCell ref="A6:M6"/>
    <mergeCell ref="B8:D8"/>
    <mergeCell ref="E8:H8"/>
    <mergeCell ref="I8:M8"/>
    <mergeCell ref="A9:A10"/>
    <mergeCell ref="B9:B10"/>
    <mergeCell ref="C9:C10"/>
    <mergeCell ref="L9:L10"/>
    <mergeCell ref="M9:M10"/>
    <mergeCell ref="G9:H9"/>
    <mergeCell ref="I9:I10"/>
    <mergeCell ref="J9:J10"/>
    <mergeCell ref="K9:K10"/>
    <mergeCell ref="E9:F9"/>
    <mergeCell ref="D9:D10"/>
  </mergeCells>
  <pageMargins left="0.7" right="0.7" top="0.75" bottom="0.75" header="0.3" footer="0.3"/>
  <pageSetup scale="5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4"/>
  <sheetViews>
    <sheetView rightToLeft="1" view="pageBreakPreview" zoomScale="70" zoomScaleNormal="70" zoomScaleSheetLayoutView="70" workbookViewId="0">
      <selection activeCell="A5" sqref="A5"/>
    </sheetView>
  </sheetViews>
  <sheetFormatPr defaultColWidth="9.09765625" defaultRowHeight="18" x14ac:dyDescent="0.25"/>
  <cols>
    <col min="1" max="1" width="30.8984375" style="10" customWidth="1"/>
    <col min="2" max="2" width="18.59765625" style="10" customWidth="1"/>
    <col min="3" max="3" width="12" style="10" customWidth="1"/>
    <col min="4" max="4" width="14.19921875" style="10" customWidth="1"/>
    <col min="5" max="5" width="15" style="10" customWidth="1"/>
    <col min="6" max="6" width="12.59765625" style="10" customWidth="1"/>
    <col min="7" max="7" width="15.3984375" style="10" customWidth="1"/>
    <col min="8" max="8" width="14.59765625" style="10" customWidth="1"/>
    <col min="9" max="9" width="12.296875" style="10" customWidth="1"/>
    <col min="10" max="10" width="12.3984375" style="10" customWidth="1"/>
    <col min="11" max="11" width="11.69921875" style="10" customWidth="1"/>
    <col min="12" max="12" width="12.69921875" style="10" customWidth="1"/>
    <col min="13" max="13" width="13.59765625" style="10" customWidth="1"/>
    <col min="14" max="16384" width="9.09765625" style="10"/>
  </cols>
  <sheetData>
    <row r="1" spans="1:13" ht="20.399999999999999" x14ac:dyDescent="0.25">
      <c r="A1" s="77" t="s">
        <v>64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1:13" ht="20.399999999999999" x14ac:dyDescent="0.25">
      <c r="A2" s="77" t="s">
        <v>44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ht="20.399999999999999" x14ac:dyDescent="0.25">
      <c r="A3" s="77" t="s">
        <v>66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ht="20.399999999999999" x14ac:dyDescent="0.25">
      <c r="A4" s="22"/>
      <c r="B4" s="22"/>
      <c r="C4" s="22"/>
      <c r="D4" s="22"/>
      <c r="E4" s="22"/>
      <c r="F4" s="22"/>
      <c r="G4" s="22"/>
      <c r="H4" s="22"/>
      <c r="I4" s="22"/>
    </row>
    <row r="5" spans="1:13" ht="20.399999999999999" x14ac:dyDescent="0.25">
      <c r="A5" s="28" t="s">
        <v>45</v>
      </c>
      <c r="B5" s="28"/>
      <c r="C5" s="28"/>
      <c r="D5" s="28"/>
      <c r="E5" s="28"/>
      <c r="F5" s="28"/>
      <c r="G5" s="28"/>
      <c r="H5" s="28"/>
      <c r="I5" s="28"/>
    </row>
    <row r="6" spans="1:13" x14ac:dyDescent="0.25">
      <c r="A6" s="23"/>
      <c r="B6" s="26"/>
      <c r="C6" s="26"/>
      <c r="D6" s="26"/>
      <c r="E6" s="26"/>
      <c r="F6" s="27"/>
      <c r="G6" s="27"/>
      <c r="H6" s="27"/>
      <c r="I6" s="27"/>
    </row>
    <row r="7" spans="1:13" ht="18.600000000000001" thickBot="1" x14ac:dyDescent="0.3">
      <c r="A7" s="26"/>
      <c r="B7" s="79" t="s">
        <v>69</v>
      </c>
      <c r="C7" s="79"/>
      <c r="D7" s="79"/>
      <c r="E7" s="79"/>
      <c r="F7" s="79" t="s">
        <v>67</v>
      </c>
      <c r="G7" s="79"/>
      <c r="H7" s="79"/>
      <c r="I7" s="79"/>
    </row>
    <row r="8" spans="1:13" ht="18.600000000000001" thickBot="1" x14ac:dyDescent="0.3">
      <c r="A8" s="24" t="s">
        <v>196</v>
      </c>
      <c r="B8" s="25" t="s">
        <v>21</v>
      </c>
      <c r="C8" s="25" t="s">
        <v>22</v>
      </c>
      <c r="D8" s="25" t="s">
        <v>23</v>
      </c>
      <c r="E8" s="25" t="s">
        <v>24</v>
      </c>
      <c r="F8" s="25" t="s">
        <v>21</v>
      </c>
      <c r="G8" s="25" t="s">
        <v>22</v>
      </c>
      <c r="H8" s="25" t="s">
        <v>23</v>
      </c>
      <c r="I8" s="25" t="s">
        <v>24</v>
      </c>
      <c r="J8" s="14"/>
      <c r="K8" s="14"/>
      <c r="L8" s="14"/>
      <c r="M8" s="14"/>
    </row>
    <row r="9" spans="1:13" x14ac:dyDescent="0.25">
      <c r="A9" s="12" t="s">
        <v>71</v>
      </c>
      <c r="B9" s="15">
        <v>454</v>
      </c>
      <c r="C9" s="15">
        <v>50625</v>
      </c>
      <c r="D9" s="15" t="s">
        <v>72</v>
      </c>
      <c r="E9" s="16">
        <v>0.36163587513117978</v>
      </c>
      <c r="F9" s="15">
        <v>454</v>
      </c>
      <c r="G9" s="15">
        <v>50625</v>
      </c>
      <c r="H9" s="15" t="s">
        <v>72</v>
      </c>
      <c r="I9" s="16">
        <v>0.36163587513117978</v>
      </c>
      <c r="J9" s="14"/>
      <c r="K9" s="14"/>
      <c r="L9" s="14"/>
      <c r="M9" s="14"/>
    </row>
    <row r="10" spans="1:13" ht="20.399999999999999" x14ac:dyDescent="0.25">
      <c r="A10" s="5"/>
      <c r="B10" s="5"/>
      <c r="C10" s="5"/>
      <c r="D10" s="5"/>
      <c r="E10" s="5"/>
      <c r="F10" s="5"/>
      <c r="G10" s="5"/>
      <c r="H10" s="5"/>
      <c r="I10" s="5"/>
      <c r="J10" s="14"/>
      <c r="K10" s="14"/>
      <c r="L10" s="14"/>
      <c r="M10" s="14"/>
    </row>
    <row r="11" spans="1:13" x14ac:dyDescent="0.25"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  <row r="12" spans="1:13" ht="20.399999999999999" x14ac:dyDescent="0.25">
      <c r="A12" s="20" t="s">
        <v>54</v>
      </c>
      <c r="B12" s="29"/>
      <c r="C12" s="29"/>
      <c r="D12" s="29"/>
      <c r="E12" s="29"/>
      <c r="F12" s="29"/>
      <c r="G12" s="29"/>
      <c r="H12" s="29"/>
      <c r="I12" s="29"/>
      <c r="J12" s="14"/>
      <c r="K12" s="14"/>
      <c r="L12" s="14"/>
      <c r="M12" s="14"/>
    </row>
    <row r="13" spans="1:13" x14ac:dyDescent="0.25">
      <c r="A13" s="23"/>
      <c r="B13" s="33"/>
      <c r="C13" s="33"/>
      <c r="D13" s="33"/>
      <c r="E13" s="33"/>
      <c r="F13" s="33"/>
      <c r="G13" s="33"/>
      <c r="H13" s="33"/>
      <c r="I13" s="34"/>
      <c r="J13" s="34"/>
      <c r="K13" s="34"/>
      <c r="L13" s="34"/>
      <c r="M13" s="34"/>
    </row>
    <row r="14" spans="1:13" ht="18.600000000000001" customHeight="1" thickBot="1" x14ac:dyDescent="0.3">
      <c r="A14" s="26"/>
      <c r="B14" s="79" t="s">
        <v>69</v>
      </c>
      <c r="C14" s="79"/>
      <c r="D14" s="79"/>
      <c r="E14" s="79"/>
      <c r="F14" s="79"/>
      <c r="G14" s="79"/>
      <c r="H14" s="79" t="s">
        <v>67</v>
      </c>
      <c r="I14" s="79"/>
      <c r="J14" s="79"/>
      <c r="K14" s="79"/>
      <c r="L14" s="79"/>
      <c r="M14" s="79"/>
    </row>
    <row r="15" spans="1:13" ht="18.600000000000001" thickBot="1" x14ac:dyDescent="0.3">
      <c r="A15" s="24" t="s">
        <v>196</v>
      </c>
      <c r="B15" s="25" t="s">
        <v>56</v>
      </c>
      <c r="C15" s="25" t="s">
        <v>55</v>
      </c>
      <c r="D15" s="25" t="s">
        <v>57</v>
      </c>
      <c r="E15" s="25" t="s">
        <v>52</v>
      </c>
      <c r="F15" s="25" t="s">
        <v>22</v>
      </c>
      <c r="G15" s="25" t="s">
        <v>23</v>
      </c>
      <c r="H15" s="25" t="s">
        <v>56</v>
      </c>
      <c r="I15" s="25" t="s">
        <v>55</v>
      </c>
      <c r="J15" s="25" t="s">
        <v>57</v>
      </c>
      <c r="K15" s="25" t="s">
        <v>52</v>
      </c>
      <c r="L15" s="25" t="s">
        <v>22</v>
      </c>
      <c r="M15" s="25" t="s">
        <v>23</v>
      </c>
    </row>
    <row r="16" spans="1:13" x14ac:dyDescent="0.25">
      <c r="A16" s="12" t="s">
        <v>144</v>
      </c>
      <c r="B16" s="15" t="s">
        <v>176</v>
      </c>
      <c r="C16" s="15" t="s">
        <v>177</v>
      </c>
      <c r="D16" s="15" t="s">
        <v>178</v>
      </c>
      <c r="E16" s="15">
        <v>15424000</v>
      </c>
      <c r="F16" s="15">
        <v>700</v>
      </c>
      <c r="G16" s="15" t="s">
        <v>179</v>
      </c>
      <c r="H16" s="35" t="s">
        <v>197</v>
      </c>
      <c r="I16" s="35" t="s">
        <v>197</v>
      </c>
      <c r="J16" s="15" t="s">
        <v>178</v>
      </c>
      <c r="K16" s="15">
        <v>0</v>
      </c>
      <c r="L16" s="15">
        <v>0</v>
      </c>
      <c r="M16" s="35" t="s">
        <v>197</v>
      </c>
    </row>
    <row r="17" spans="1:13" x14ac:dyDescent="0.25">
      <c r="A17" s="12" t="s">
        <v>126</v>
      </c>
      <c r="B17" s="15" t="s">
        <v>176</v>
      </c>
      <c r="C17" s="15" t="s">
        <v>177</v>
      </c>
      <c r="D17" s="15" t="s">
        <v>178</v>
      </c>
      <c r="E17" s="15">
        <v>1000000</v>
      </c>
      <c r="F17" s="15">
        <v>450</v>
      </c>
      <c r="G17" s="15" t="s">
        <v>180</v>
      </c>
      <c r="H17" s="35" t="s">
        <v>197</v>
      </c>
      <c r="I17" s="35" t="s">
        <v>197</v>
      </c>
      <c r="J17" s="15" t="s">
        <v>178</v>
      </c>
      <c r="K17" s="15">
        <v>0</v>
      </c>
      <c r="L17" s="15">
        <v>0</v>
      </c>
      <c r="M17" s="35" t="s">
        <v>197</v>
      </c>
    </row>
    <row r="18" spans="1:13" x14ac:dyDescent="0.25">
      <c r="A18" s="12" t="s">
        <v>128</v>
      </c>
      <c r="B18" s="15" t="s">
        <v>176</v>
      </c>
      <c r="C18" s="15" t="s">
        <v>177</v>
      </c>
      <c r="D18" s="15" t="s">
        <v>178</v>
      </c>
      <c r="E18" s="15">
        <v>5000000</v>
      </c>
      <c r="F18" s="15">
        <v>500</v>
      </c>
      <c r="G18" s="15" t="s">
        <v>180</v>
      </c>
      <c r="H18" s="35" t="s">
        <v>197</v>
      </c>
      <c r="I18" s="35" t="s">
        <v>197</v>
      </c>
      <c r="J18" s="15" t="s">
        <v>178</v>
      </c>
      <c r="K18" s="15">
        <v>0</v>
      </c>
      <c r="L18" s="15">
        <v>0</v>
      </c>
      <c r="M18" s="35" t="s">
        <v>197</v>
      </c>
    </row>
    <row r="19" spans="1:13" x14ac:dyDescent="0.25">
      <c r="A19" s="12" t="s">
        <v>146</v>
      </c>
      <c r="B19" s="15" t="s">
        <v>176</v>
      </c>
      <c r="C19" s="15" t="s">
        <v>177</v>
      </c>
      <c r="D19" s="15" t="s">
        <v>178</v>
      </c>
      <c r="E19" s="15">
        <v>5000000</v>
      </c>
      <c r="F19" s="15">
        <v>2010</v>
      </c>
      <c r="G19" s="15" t="s">
        <v>181</v>
      </c>
      <c r="H19" s="35" t="s">
        <v>197</v>
      </c>
      <c r="I19" s="35" t="s">
        <v>197</v>
      </c>
      <c r="J19" s="15" t="s">
        <v>178</v>
      </c>
      <c r="K19" s="15">
        <v>0</v>
      </c>
      <c r="L19" s="15">
        <v>0</v>
      </c>
      <c r="M19" s="35" t="s">
        <v>197</v>
      </c>
    </row>
    <row r="20" spans="1:13" x14ac:dyDescent="0.25">
      <c r="A20" s="12" t="s">
        <v>140</v>
      </c>
      <c r="B20" s="15" t="s">
        <v>176</v>
      </c>
      <c r="C20" s="15" t="s">
        <v>177</v>
      </c>
      <c r="D20" s="15" t="s">
        <v>178</v>
      </c>
      <c r="E20" s="15">
        <v>3000000</v>
      </c>
      <c r="F20" s="15">
        <v>8000</v>
      </c>
      <c r="G20" s="15" t="s">
        <v>182</v>
      </c>
      <c r="H20" s="15" t="s">
        <v>176</v>
      </c>
      <c r="I20" s="15" t="s">
        <v>177</v>
      </c>
      <c r="J20" s="15" t="s">
        <v>178</v>
      </c>
      <c r="K20" s="15">
        <v>3500000</v>
      </c>
      <c r="L20" s="15">
        <v>8000</v>
      </c>
      <c r="M20" s="15" t="s">
        <v>182</v>
      </c>
    </row>
    <row r="21" spans="1:13" x14ac:dyDescent="0.25">
      <c r="A21" s="12" t="s">
        <v>145</v>
      </c>
      <c r="B21" s="15" t="s">
        <v>176</v>
      </c>
      <c r="C21" s="15" t="s">
        <v>177</v>
      </c>
      <c r="D21" s="15" t="s">
        <v>178</v>
      </c>
      <c r="E21" s="15">
        <v>100000</v>
      </c>
      <c r="F21" s="15">
        <v>120000</v>
      </c>
      <c r="G21" s="15" t="s">
        <v>183</v>
      </c>
      <c r="H21" s="35" t="s">
        <v>197</v>
      </c>
      <c r="I21" s="35" t="s">
        <v>197</v>
      </c>
      <c r="J21" s="15" t="s">
        <v>178</v>
      </c>
      <c r="K21" s="15">
        <v>0</v>
      </c>
      <c r="L21" s="15">
        <v>0</v>
      </c>
      <c r="M21" s="35" t="s">
        <v>197</v>
      </c>
    </row>
    <row r="22" spans="1:13" x14ac:dyDescent="0.25">
      <c r="A22" s="12" t="s">
        <v>159</v>
      </c>
      <c r="B22" s="35" t="s">
        <v>197</v>
      </c>
      <c r="C22" s="35" t="s">
        <v>197</v>
      </c>
      <c r="D22" s="15" t="s">
        <v>178</v>
      </c>
      <c r="E22" s="15">
        <v>0</v>
      </c>
      <c r="F22" s="15">
        <v>0</v>
      </c>
      <c r="G22" s="35" t="s">
        <v>197</v>
      </c>
      <c r="H22" s="15" t="s">
        <v>176</v>
      </c>
      <c r="I22" s="15" t="s">
        <v>177</v>
      </c>
      <c r="J22" s="15" t="s">
        <v>178</v>
      </c>
      <c r="K22" s="15">
        <v>100000</v>
      </c>
      <c r="L22" s="15">
        <v>120750</v>
      </c>
      <c r="M22" s="15" t="s">
        <v>184</v>
      </c>
    </row>
    <row r="23" spans="1:13" x14ac:dyDescent="0.25">
      <c r="A23" s="12" t="s">
        <v>169</v>
      </c>
      <c r="B23" s="35" t="s">
        <v>197</v>
      </c>
      <c r="C23" s="35" t="s">
        <v>197</v>
      </c>
      <c r="D23" s="15" t="s">
        <v>178</v>
      </c>
      <c r="E23" s="15">
        <v>0</v>
      </c>
      <c r="F23" s="15">
        <v>0</v>
      </c>
      <c r="G23" s="35" t="s">
        <v>197</v>
      </c>
      <c r="H23" s="15" t="s">
        <v>176</v>
      </c>
      <c r="I23" s="15" t="s">
        <v>185</v>
      </c>
      <c r="J23" s="15" t="s">
        <v>178</v>
      </c>
      <c r="K23" s="15">
        <v>50000</v>
      </c>
      <c r="L23" s="15">
        <v>90750</v>
      </c>
      <c r="M23" s="15" t="s">
        <v>184</v>
      </c>
    </row>
    <row r="24" spans="1:13" x14ac:dyDescent="0.25">
      <c r="A24" s="12" t="s">
        <v>133</v>
      </c>
      <c r="B24" s="15" t="s">
        <v>176</v>
      </c>
      <c r="C24" s="15" t="s">
        <v>177</v>
      </c>
      <c r="D24" s="15" t="s">
        <v>178</v>
      </c>
      <c r="E24" s="15">
        <v>5000000</v>
      </c>
      <c r="F24" s="15">
        <v>4000</v>
      </c>
      <c r="G24" s="15" t="s">
        <v>181</v>
      </c>
      <c r="H24" s="35" t="s">
        <v>197</v>
      </c>
      <c r="I24" s="35" t="s">
        <v>197</v>
      </c>
      <c r="J24" s="15" t="s">
        <v>178</v>
      </c>
      <c r="K24" s="15">
        <v>0</v>
      </c>
      <c r="L24" s="15">
        <v>0</v>
      </c>
      <c r="M24" s="35" t="s">
        <v>197</v>
      </c>
    </row>
    <row r="25" spans="1:13" x14ac:dyDescent="0.25">
      <c r="A25" s="12" t="s">
        <v>136</v>
      </c>
      <c r="B25" s="15" t="s">
        <v>176</v>
      </c>
      <c r="C25" s="15" t="s">
        <v>177</v>
      </c>
      <c r="D25" s="15" t="s">
        <v>178</v>
      </c>
      <c r="E25" s="15">
        <v>11000000</v>
      </c>
      <c r="F25" s="15">
        <v>1600</v>
      </c>
      <c r="G25" s="15" t="s">
        <v>180</v>
      </c>
      <c r="H25" s="35" t="s">
        <v>197</v>
      </c>
      <c r="I25" s="35" t="s">
        <v>197</v>
      </c>
      <c r="J25" s="15" t="s">
        <v>178</v>
      </c>
      <c r="K25" s="15">
        <v>0</v>
      </c>
      <c r="L25" s="15">
        <v>0</v>
      </c>
      <c r="M25" s="35" t="s">
        <v>197</v>
      </c>
    </row>
    <row r="26" spans="1:13" x14ac:dyDescent="0.25">
      <c r="A26" s="12" t="s">
        <v>163</v>
      </c>
      <c r="B26" s="35" t="s">
        <v>197</v>
      </c>
      <c r="C26" s="35" t="s">
        <v>197</v>
      </c>
      <c r="D26" s="15" t="s">
        <v>178</v>
      </c>
      <c r="E26" s="15">
        <v>0</v>
      </c>
      <c r="F26" s="15">
        <v>0</v>
      </c>
      <c r="G26" s="35" t="s">
        <v>197</v>
      </c>
      <c r="H26" s="15" t="s">
        <v>176</v>
      </c>
      <c r="I26" s="15" t="s">
        <v>177</v>
      </c>
      <c r="J26" s="15" t="s">
        <v>178</v>
      </c>
      <c r="K26" s="15">
        <v>15000000</v>
      </c>
      <c r="L26" s="15">
        <v>1600</v>
      </c>
      <c r="M26" s="15" t="s">
        <v>182</v>
      </c>
    </row>
    <row r="27" spans="1:13" x14ac:dyDescent="0.25">
      <c r="A27" s="12" t="s">
        <v>148</v>
      </c>
      <c r="B27" s="15" t="s">
        <v>176</v>
      </c>
      <c r="C27" s="15" t="s">
        <v>177</v>
      </c>
      <c r="D27" s="15" t="s">
        <v>178</v>
      </c>
      <c r="E27" s="15">
        <v>8000000</v>
      </c>
      <c r="F27" s="15">
        <v>1700</v>
      </c>
      <c r="G27" s="15" t="s">
        <v>180</v>
      </c>
      <c r="H27" s="35" t="s">
        <v>197</v>
      </c>
      <c r="I27" s="35" t="s">
        <v>197</v>
      </c>
      <c r="J27" s="15" t="s">
        <v>178</v>
      </c>
      <c r="K27" s="15">
        <v>0</v>
      </c>
      <c r="L27" s="15">
        <v>0</v>
      </c>
      <c r="M27" s="35" t="s">
        <v>197</v>
      </c>
    </row>
    <row r="28" spans="1:13" x14ac:dyDescent="0.25">
      <c r="A28" s="12" t="s">
        <v>147</v>
      </c>
      <c r="B28" s="15" t="s">
        <v>176</v>
      </c>
      <c r="C28" s="15" t="s">
        <v>177</v>
      </c>
      <c r="D28" s="15" t="s">
        <v>178</v>
      </c>
      <c r="E28" s="15">
        <v>8000000</v>
      </c>
      <c r="F28" s="15">
        <v>1800</v>
      </c>
      <c r="G28" s="15" t="s">
        <v>180</v>
      </c>
      <c r="H28" s="35" t="s">
        <v>197</v>
      </c>
      <c r="I28" s="35" t="s">
        <v>197</v>
      </c>
      <c r="J28" s="15" t="s">
        <v>178</v>
      </c>
      <c r="K28" s="15">
        <v>0</v>
      </c>
      <c r="L28" s="15">
        <v>0</v>
      </c>
      <c r="M28" s="35" t="s">
        <v>197</v>
      </c>
    </row>
    <row r="29" spans="1:13" x14ac:dyDescent="0.25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x14ac:dyDescent="0.25">
      <c r="A31" s="21"/>
      <c r="B31" s="31"/>
      <c r="C31" s="31"/>
      <c r="D31" s="31"/>
      <c r="E31" s="31"/>
      <c r="F31" s="31"/>
      <c r="G31" s="31"/>
      <c r="H31" s="31"/>
      <c r="I31" s="31"/>
      <c r="J31" s="14"/>
      <c r="K31" s="14"/>
      <c r="L31" s="14"/>
      <c r="M31" s="14"/>
    </row>
    <row r="32" spans="1:13" x14ac:dyDescent="0.25">
      <c r="A32" s="21"/>
      <c r="B32" s="31"/>
      <c r="C32" s="31"/>
      <c r="D32" s="31"/>
      <c r="E32" s="31"/>
      <c r="F32" s="31"/>
      <c r="G32" s="31"/>
      <c r="H32" s="31"/>
      <c r="I32" s="31"/>
      <c r="J32" s="14"/>
      <c r="K32" s="14"/>
      <c r="L32" s="14"/>
      <c r="M32" s="14"/>
    </row>
    <row r="33" spans="1:13" x14ac:dyDescent="0.25">
      <c r="A33" s="21"/>
      <c r="B33" s="31"/>
      <c r="C33" s="31"/>
      <c r="D33" s="31"/>
      <c r="E33" s="31"/>
      <c r="F33" s="31"/>
      <c r="G33" s="31"/>
      <c r="H33" s="31"/>
      <c r="I33" s="31"/>
      <c r="J33" s="14"/>
      <c r="K33" s="14"/>
      <c r="L33" s="14"/>
      <c r="M33" s="14"/>
    </row>
    <row r="34" spans="1:13" x14ac:dyDescent="0.25">
      <c r="A34" s="21"/>
      <c r="B34" s="31"/>
      <c r="C34" s="31"/>
      <c r="D34" s="31"/>
      <c r="E34" s="31"/>
      <c r="F34" s="31"/>
      <c r="G34" s="31"/>
      <c r="H34" s="31"/>
      <c r="I34" s="31"/>
      <c r="J34" s="14"/>
      <c r="K34" s="14"/>
      <c r="L34" s="14"/>
      <c r="M34" s="14"/>
    </row>
    <row r="35" spans="1:13" x14ac:dyDescent="0.25">
      <c r="A35" s="21"/>
      <c r="B35" s="21"/>
      <c r="C35" s="21"/>
      <c r="D35" s="21"/>
      <c r="E35" s="21"/>
      <c r="F35" s="21"/>
      <c r="G35" s="21"/>
      <c r="H35" s="21"/>
      <c r="I35" s="21"/>
    </row>
    <row r="36" spans="1:13" x14ac:dyDescent="0.25">
      <c r="A36" s="21"/>
      <c r="B36" s="21"/>
      <c r="C36" s="21"/>
      <c r="D36" s="21"/>
      <c r="E36" s="21"/>
      <c r="F36" s="21"/>
      <c r="G36" s="21"/>
      <c r="H36" s="21"/>
      <c r="I36" s="21"/>
    </row>
    <row r="37" spans="1:13" x14ac:dyDescent="0.25">
      <c r="A37" s="21"/>
      <c r="B37" s="21"/>
      <c r="C37" s="21"/>
      <c r="D37" s="21"/>
      <c r="E37" s="21"/>
      <c r="F37" s="21"/>
      <c r="G37" s="21"/>
      <c r="H37" s="21"/>
      <c r="I37" s="21"/>
    </row>
    <row r="38" spans="1:13" x14ac:dyDescent="0.25">
      <c r="A38" s="21"/>
      <c r="B38" s="21"/>
      <c r="C38" s="21"/>
      <c r="D38" s="21"/>
      <c r="E38" s="21"/>
      <c r="F38" s="21"/>
      <c r="G38" s="21"/>
      <c r="H38" s="21"/>
      <c r="I38" s="21"/>
    </row>
    <row r="39" spans="1:13" x14ac:dyDescent="0.25">
      <c r="A39" s="21"/>
      <c r="B39" s="21"/>
      <c r="C39" s="21"/>
      <c r="D39" s="21"/>
      <c r="E39" s="21"/>
      <c r="F39" s="21"/>
      <c r="G39" s="21"/>
      <c r="H39" s="21"/>
      <c r="I39" s="21"/>
    </row>
    <row r="40" spans="1:13" x14ac:dyDescent="0.25">
      <c r="A40" s="21"/>
      <c r="B40" s="21"/>
      <c r="C40" s="21"/>
      <c r="D40" s="21"/>
      <c r="E40" s="21"/>
      <c r="F40" s="21"/>
      <c r="G40" s="21"/>
      <c r="H40" s="21"/>
      <c r="I40" s="21"/>
    </row>
    <row r="41" spans="1:13" x14ac:dyDescent="0.25">
      <c r="A41" s="21"/>
      <c r="B41" s="21"/>
      <c r="C41" s="21"/>
      <c r="D41" s="21"/>
      <c r="E41" s="21"/>
      <c r="F41" s="21"/>
      <c r="G41" s="21"/>
      <c r="H41" s="21"/>
      <c r="I41" s="21"/>
    </row>
    <row r="42" spans="1:13" x14ac:dyDescent="0.25">
      <c r="A42" s="21"/>
      <c r="B42" s="21"/>
      <c r="C42" s="21"/>
      <c r="D42" s="21"/>
      <c r="E42" s="21"/>
      <c r="F42" s="21"/>
      <c r="G42" s="21"/>
      <c r="H42" s="21"/>
      <c r="I42" s="21"/>
    </row>
    <row r="43" spans="1:13" x14ac:dyDescent="0.25">
      <c r="A43" s="21"/>
      <c r="B43" s="21"/>
      <c r="C43" s="21"/>
      <c r="D43" s="21"/>
      <c r="E43" s="21"/>
      <c r="F43" s="21"/>
      <c r="G43" s="21"/>
      <c r="H43" s="21"/>
      <c r="I43" s="21"/>
    </row>
    <row r="44" spans="1:13" x14ac:dyDescent="0.25">
      <c r="A44" s="21"/>
      <c r="B44" s="21"/>
      <c r="C44" s="21"/>
      <c r="D44" s="21"/>
      <c r="E44" s="21"/>
      <c r="F44" s="21"/>
      <c r="G44" s="21"/>
      <c r="H44" s="21"/>
      <c r="I44" s="21"/>
    </row>
  </sheetData>
  <mergeCells count="7">
    <mergeCell ref="B14:G14"/>
    <mergeCell ref="H14:M14"/>
    <mergeCell ref="A1:M1"/>
    <mergeCell ref="A2:M2"/>
    <mergeCell ref="A3:M3"/>
    <mergeCell ref="B7:E7"/>
    <mergeCell ref="F7:I7"/>
  </mergeCells>
  <pageMargins left="0.7" right="0.7" top="0.75" bottom="0.75" header="0.3" footer="0.3"/>
  <pageSetup scale="5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rightToLeft="1" view="pageBreakPreview" zoomScale="90" zoomScaleNormal="100" zoomScaleSheetLayoutView="90" workbookViewId="0">
      <selection activeCell="A5" sqref="A5"/>
    </sheetView>
  </sheetViews>
  <sheetFormatPr defaultColWidth="9.09765625" defaultRowHeight="18" x14ac:dyDescent="0.25"/>
  <cols>
    <col min="1" max="1" width="30.5" style="10" customWidth="1"/>
    <col min="2" max="5" width="16.09765625" style="10" customWidth="1"/>
    <col min="6" max="6" width="14.796875" style="10" customWidth="1"/>
    <col min="7" max="16384" width="9.09765625" style="10"/>
  </cols>
  <sheetData>
    <row r="1" spans="1:6" ht="20.399999999999999" x14ac:dyDescent="0.25">
      <c r="A1" s="77" t="s">
        <v>64</v>
      </c>
      <c r="B1" s="77"/>
      <c r="C1" s="77"/>
      <c r="D1" s="77"/>
      <c r="E1" s="77"/>
      <c r="F1" s="77"/>
    </row>
    <row r="2" spans="1:6" ht="20.399999999999999" x14ac:dyDescent="0.25">
      <c r="A2" s="77" t="s">
        <v>44</v>
      </c>
      <c r="B2" s="77"/>
      <c r="C2" s="77"/>
      <c r="D2" s="77"/>
      <c r="E2" s="77"/>
      <c r="F2" s="77"/>
    </row>
    <row r="3" spans="1:6" ht="20.399999999999999" x14ac:dyDescent="0.25">
      <c r="A3" s="77" t="s">
        <v>66</v>
      </c>
      <c r="B3" s="77"/>
      <c r="C3" s="77"/>
      <c r="D3" s="77"/>
      <c r="E3" s="77"/>
      <c r="F3" s="77"/>
    </row>
    <row r="4" spans="1:6" ht="20.399999999999999" x14ac:dyDescent="0.25">
      <c r="A4" s="5"/>
      <c r="B4" s="5"/>
      <c r="C4" s="5"/>
      <c r="D4" s="5"/>
      <c r="E4" s="5"/>
      <c r="F4" s="5"/>
    </row>
    <row r="5" spans="1:6" ht="20.399999999999999" x14ac:dyDescent="0.25">
      <c r="A5" s="41" t="s">
        <v>199</v>
      </c>
      <c r="B5" s="41"/>
      <c r="C5" s="41"/>
      <c r="D5" s="41"/>
      <c r="E5" s="41"/>
      <c r="F5" s="41"/>
    </row>
    <row r="6" spans="1:6" x14ac:dyDescent="0.25">
      <c r="B6" s="27"/>
      <c r="C6" s="27"/>
      <c r="D6" s="27"/>
      <c r="E6" s="27"/>
      <c r="F6" s="27"/>
    </row>
    <row r="7" spans="1:6" ht="18.75" customHeight="1" thickBot="1" x14ac:dyDescent="0.3">
      <c r="A7" s="8"/>
      <c r="B7" s="13" t="s">
        <v>69</v>
      </c>
      <c r="C7" s="69" t="s">
        <v>193</v>
      </c>
      <c r="D7" s="69"/>
      <c r="E7" s="69" t="s">
        <v>67</v>
      </c>
      <c r="F7" s="69"/>
    </row>
    <row r="8" spans="1:6" ht="24" customHeight="1" thickBot="1" x14ac:dyDescent="0.3">
      <c r="A8" s="36" t="s">
        <v>198</v>
      </c>
      <c r="B8" s="36" t="s">
        <v>4</v>
      </c>
      <c r="C8" s="37" t="s">
        <v>25</v>
      </c>
      <c r="D8" s="37" t="s">
        <v>62</v>
      </c>
      <c r="E8" s="38" t="s">
        <v>4</v>
      </c>
      <c r="F8" s="39" t="s">
        <v>12</v>
      </c>
    </row>
    <row r="9" spans="1:6" x14ac:dyDescent="0.25">
      <c r="A9" s="12" t="s">
        <v>68</v>
      </c>
      <c r="B9" s="15">
        <v>891534467</v>
      </c>
      <c r="C9" s="15">
        <v>6542663840</v>
      </c>
      <c r="D9" s="15">
        <v>2174846848</v>
      </c>
      <c r="E9" s="15">
        <v>5259351459</v>
      </c>
      <c r="F9" s="16">
        <v>4.714969437068648E-3</v>
      </c>
    </row>
    <row r="10" spans="1:6" x14ac:dyDescent="0.25">
      <c r="A10" s="12" t="s">
        <v>70</v>
      </c>
      <c r="B10" s="15">
        <v>29788837638</v>
      </c>
      <c r="C10" s="15">
        <v>121915562078</v>
      </c>
      <c r="D10" s="15">
        <v>67183075000</v>
      </c>
      <c r="E10" s="15">
        <v>84521324716</v>
      </c>
      <c r="F10" s="16">
        <v>7.577273850648264E-2</v>
      </c>
    </row>
    <row r="11" spans="1:6" ht="18.600000000000001" thickBot="1" x14ac:dyDescent="0.3">
      <c r="A11" s="12" t="s">
        <v>2</v>
      </c>
      <c r="B11" s="18">
        <f>SUM(B9:B10)</f>
        <v>30680372105</v>
      </c>
      <c r="C11" s="18">
        <f>SUM(C9:C10)</f>
        <v>128458225918</v>
      </c>
      <c r="D11" s="18">
        <f>SUM(D9:D10)</f>
        <v>69357921848</v>
      </c>
      <c r="E11" s="18">
        <f>SUM(E9:E10)</f>
        <v>89780676175</v>
      </c>
      <c r="F11" s="19">
        <f>SUM(F9:F10)</f>
        <v>8.0487707943551284E-2</v>
      </c>
    </row>
    <row r="12" spans="1:6" ht="18.600000000000001" thickTop="1" x14ac:dyDescent="0.25">
      <c r="C12" s="10" t="s">
        <v>50</v>
      </c>
    </row>
  </sheetData>
  <mergeCells count="5">
    <mergeCell ref="A1:F1"/>
    <mergeCell ref="A2:F2"/>
    <mergeCell ref="A3:F3"/>
    <mergeCell ref="E7:F7"/>
    <mergeCell ref="C7:D7"/>
  </mergeCells>
  <pageMargins left="0.7" right="0.7" top="0.75" bottom="0.75" header="0.3" footer="0.3"/>
  <pageSetup scale="8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4"/>
  <sheetViews>
    <sheetView rightToLeft="1" view="pageBreakPreview" zoomScaleNormal="100" zoomScaleSheetLayoutView="100" workbookViewId="0">
      <selection activeCell="C13" sqref="C13"/>
    </sheetView>
  </sheetViews>
  <sheetFormatPr defaultRowHeight="18.600000000000001" x14ac:dyDescent="0.65"/>
  <cols>
    <col min="1" max="1" width="46.09765625" style="54" customWidth="1"/>
    <col min="2" max="2" width="9.8984375" style="1" customWidth="1"/>
    <col min="3" max="3" width="19.69921875" style="1" customWidth="1"/>
    <col min="4" max="4" width="16" style="1" customWidth="1"/>
    <col min="5" max="5" width="16.59765625" style="1" customWidth="1"/>
    <col min="6" max="16384" width="8.796875" style="1"/>
  </cols>
  <sheetData>
    <row r="1" spans="1:19" ht="20.399999999999999" x14ac:dyDescent="0.65">
      <c r="A1" s="77" t="s">
        <v>64</v>
      </c>
      <c r="B1" s="77"/>
      <c r="C1" s="77"/>
      <c r="D1" s="77"/>
      <c r="E1" s="77"/>
    </row>
    <row r="2" spans="1:19" ht="20.399999999999999" x14ac:dyDescent="0.65">
      <c r="A2" s="77" t="s">
        <v>47</v>
      </c>
      <c r="B2" s="77"/>
      <c r="C2" s="77"/>
      <c r="D2" s="77"/>
      <c r="E2" s="77"/>
    </row>
    <row r="3" spans="1:19" ht="20.399999999999999" x14ac:dyDescent="0.65">
      <c r="A3" s="77" t="s">
        <v>66</v>
      </c>
      <c r="B3" s="77"/>
      <c r="C3" s="77"/>
      <c r="D3" s="77"/>
      <c r="E3" s="77"/>
    </row>
    <row r="4" spans="1:19" ht="20.399999999999999" x14ac:dyDescent="0.65">
      <c r="A4" s="5"/>
      <c r="B4" s="5"/>
      <c r="C4" s="5"/>
      <c r="D4" s="5"/>
      <c r="E4" s="5"/>
    </row>
    <row r="5" spans="1:19" ht="20.399999999999999" x14ac:dyDescent="0.65">
      <c r="A5" s="78" t="s">
        <v>17</v>
      </c>
      <c r="B5" s="78"/>
      <c r="C5" s="78"/>
      <c r="D5" s="78"/>
      <c r="E5" s="78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</row>
    <row r="6" spans="1:19" ht="20.399999999999999" x14ac:dyDescent="0.65">
      <c r="A6" s="40"/>
      <c r="B6" s="40"/>
      <c r="C6" s="40"/>
      <c r="D6" s="40"/>
      <c r="E6" s="4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</row>
    <row r="7" spans="1:19" ht="21" thickBot="1" x14ac:dyDescent="0.7">
      <c r="A7" s="40"/>
      <c r="B7" s="40"/>
      <c r="C7" s="80" t="s">
        <v>202</v>
      </c>
      <c r="D7" s="80"/>
      <c r="E7" s="8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</row>
    <row r="8" spans="1:19" ht="19.2" thickBot="1" x14ac:dyDescent="0.7">
      <c r="A8" s="32" t="s">
        <v>26</v>
      </c>
      <c r="B8" s="30" t="s">
        <v>27</v>
      </c>
      <c r="C8" s="30" t="s">
        <v>4</v>
      </c>
      <c r="D8" s="30" t="s">
        <v>10</v>
      </c>
      <c r="E8" s="30" t="s">
        <v>51</v>
      </c>
    </row>
    <row r="9" spans="1:19" ht="20.399999999999999" x14ac:dyDescent="0.65">
      <c r="A9" s="52" t="s">
        <v>40</v>
      </c>
      <c r="B9" s="53" t="s">
        <v>208</v>
      </c>
      <c r="C9" s="15">
        <f>'درآمد سرمایه گذاری در سهام '!J54</f>
        <v>15648358371</v>
      </c>
      <c r="D9" s="16">
        <f t="shared" ref="D9:D12" si="0">C9/32251386877</f>
        <v>0.48519954911333096</v>
      </c>
      <c r="E9" s="16">
        <f t="shared" ref="E9:E12" si="1">C9/1115458229199</f>
        <v>1.4028636807168421E-2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</row>
    <row r="10" spans="1:19" ht="20.399999999999999" x14ac:dyDescent="0.65">
      <c r="A10" s="52" t="s">
        <v>60</v>
      </c>
      <c r="B10" s="53" t="s">
        <v>46</v>
      </c>
      <c r="C10" s="15">
        <f>'درآمد سرمایه گذاری مشتقه '!H46</f>
        <v>13934162374</v>
      </c>
      <c r="D10" s="16">
        <f>C10/32251386877</f>
        <v>0.43204847057095441</v>
      </c>
      <c r="E10" s="16">
        <f>C10/1115458229199</f>
        <v>1.2491872854805141E-2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1:19" ht="20.399999999999999" x14ac:dyDescent="0.65">
      <c r="A11" s="52" t="s">
        <v>41</v>
      </c>
      <c r="B11" s="53" t="s">
        <v>209</v>
      </c>
      <c r="C11" s="15">
        <f>'درآمد سپرده بانکی'!$D$11</f>
        <v>2167378805</v>
      </c>
      <c r="D11" s="16">
        <f t="shared" si="0"/>
        <v>6.7202654362304687E-2</v>
      </c>
      <c r="E11" s="16">
        <f t="shared" si="1"/>
        <v>1.9430389666463567E-3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</row>
    <row r="12" spans="1:19" ht="20.399999999999999" x14ac:dyDescent="0.65">
      <c r="A12" s="52" t="s">
        <v>18</v>
      </c>
      <c r="B12" s="53" t="s">
        <v>210</v>
      </c>
      <c r="C12" s="15">
        <f>'سایر درآمدها'!$C$12</f>
        <v>501487327</v>
      </c>
      <c r="D12" s="16">
        <f t="shared" si="0"/>
        <v>1.5549325953409913E-2</v>
      </c>
      <c r="E12" s="16">
        <f t="shared" si="1"/>
        <v>4.4957965603078951E-4</v>
      </c>
      <c r="F12" s="20"/>
      <c r="G12" s="20"/>
    </row>
    <row r="13" spans="1:19" ht="19.2" thickBot="1" x14ac:dyDescent="0.7">
      <c r="A13" s="9" t="s">
        <v>2</v>
      </c>
      <c r="C13" s="18">
        <f>SUM(C9:C12)</f>
        <v>32251386877</v>
      </c>
      <c r="D13" s="50">
        <f>SUM(D9:D12)</f>
        <v>1</v>
      </c>
      <c r="E13" s="19">
        <f>SUM(E9:E12)</f>
        <v>2.8913128284650712E-2</v>
      </c>
    </row>
    <row r="14" spans="1:19" ht="19.2" thickTop="1" x14ac:dyDescent="0.65"/>
  </sheetData>
  <mergeCells count="5">
    <mergeCell ref="A5:E5"/>
    <mergeCell ref="A3:E3"/>
    <mergeCell ref="A2:E2"/>
    <mergeCell ref="A1:E1"/>
    <mergeCell ref="C7:E7"/>
  </mergeCells>
  <pageMargins left="0.7" right="0.7" top="0.75" bottom="0.75" header="0.3" footer="0.3"/>
  <pageSetup orientation="landscape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5"/>
  <sheetViews>
    <sheetView rightToLeft="1" view="pageBreakPreview" topLeftCell="A43" zoomScale="70" zoomScaleNormal="70" zoomScaleSheetLayoutView="70" workbookViewId="0">
      <selection activeCell="A5" sqref="A5"/>
    </sheetView>
  </sheetViews>
  <sheetFormatPr defaultColWidth="9.09765625" defaultRowHeight="18" x14ac:dyDescent="0.25"/>
  <cols>
    <col min="1" max="1" width="33.796875" style="10" customWidth="1"/>
    <col min="2" max="5" width="17.3984375" style="10" customWidth="1"/>
    <col min="6" max="6" width="13" style="10" customWidth="1"/>
    <col min="7" max="10" width="17.3984375" style="10" customWidth="1"/>
    <col min="11" max="11" width="10.59765625" style="10" customWidth="1"/>
    <col min="12" max="16384" width="9.09765625" style="10"/>
  </cols>
  <sheetData>
    <row r="1" spans="1:11" ht="20.399999999999999" x14ac:dyDescent="0.25">
      <c r="A1" s="77" t="s">
        <v>64</v>
      </c>
      <c r="B1" s="77"/>
      <c r="C1" s="77"/>
      <c r="D1" s="77"/>
      <c r="E1" s="77"/>
      <c r="F1" s="77"/>
      <c r="G1" s="77"/>
      <c r="H1" s="77"/>
      <c r="I1" s="77"/>
      <c r="J1" s="77"/>
      <c r="K1" s="77"/>
    </row>
    <row r="2" spans="1:11" ht="20.399999999999999" x14ac:dyDescent="0.25">
      <c r="A2" s="77" t="s">
        <v>47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11" ht="20.399999999999999" x14ac:dyDescent="0.25">
      <c r="A3" s="77" t="s">
        <v>66</v>
      </c>
      <c r="B3" s="77"/>
      <c r="C3" s="77"/>
      <c r="D3" s="77"/>
      <c r="E3" s="77"/>
      <c r="F3" s="77"/>
      <c r="G3" s="77"/>
      <c r="H3" s="77"/>
      <c r="I3" s="77"/>
      <c r="J3" s="77"/>
      <c r="K3" s="77"/>
    </row>
    <row r="5" spans="1:11" ht="20.399999999999999" x14ac:dyDescent="0.25">
      <c r="A5" s="41" t="s">
        <v>200</v>
      </c>
      <c r="B5" s="41"/>
      <c r="C5" s="41"/>
      <c r="D5" s="41"/>
      <c r="E5" s="41"/>
      <c r="F5" s="41"/>
      <c r="G5" s="41"/>
      <c r="H5" s="41"/>
      <c r="I5" s="41"/>
      <c r="J5" s="41"/>
      <c r="K5" s="41"/>
    </row>
    <row r="7" spans="1:11" ht="19.5" customHeight="1" thickBot="1" x14ac:dyDescent="0.3">
      <c r="A7" s="43"/>
      <c r="B7" s="81" t="s">
        <v>201</v>
      </c>
      <c r="C7" s="81"/>
      <c r="D7" s="81"/>
      <c r="E7" s="81"/>
      <c r="F7" s="81"/>
      <c r="G7" s="81" t="s">
        <v>202</v>
      </c>
      <c r="H7" s="81"/>
      <c r="I7" s="81"/>
      <c r="J7" s="81"/>
      <c r="K7" s="81"/>
    </row>
    <row r="8" spans="1:11" ht="19.5" customHeight="1" thickBot="1" x14ac:dyDescent="0.3">
      <c r="A8" s="82" t="s">
        <v>14</v>
      </c>
      <c r="B8" s="84" t="s">
        <v>5</v>
      </c>
      <c r="C8" s="84" t="s">
        <v>6</v>
      </c>
      <c r="D8" s="84" t="s">
        <v>7</v>
      </c>
      <c r="E8" s="84" t="s">
        <v>2</v>
      </c>
      <c r="F8" s="84"/>
      <c r="G8" s="84" t="s">
        <v>5</v>
      </c>
      <c r="H8" s="84" t="s">
        <v>6</v>
      </c>
      <c r="I8" s="84" t="s">
        <v>7</v>
      </c>
      <c r="J8" s="84" t="s">
        <v>2</v>
      </c>
      <c r="K8" s="84"/>
    </row>
    <row r="9" spans="1:11" ht="36" customHeight="1" thickBot="1" x14ac:dyDescent="0.3">
      <c r="A9" s="83"/>
      <c r="B9" s="81"/>
      <c r="C9" s="81" t="s">
        <v>49</v>
      </c>
      <c r="D9" s="81" t="s">
        <v>49</v>
      </c>
      <c r="E9" s="42" t="s">
        <v>4</v>
      </c>
      <c r="F9" s="42" t="s">
        <v>8</v>
      </c>
      <c r="G9" s="81"/>
      <c r="H9" s="81" t="s">
        <v>49</v>
      </c>
      <c r="I9" s="81" t="s">
        <v>49</v>
      </c>
      <c r="J9" s="42" t="s">
        <v>4</v>
      </c>
      <c r="K9" s="42" t="s">
        <v>8</v>
      </c>
    </row>
    <row r="10" spans="1:11" x14ac:dyDescent="0.25">
      <c r="A10" s="12" t="s">
        <v>73</v>
      </c>
      <c r="B10" s="15">
        <v>0</v>
      </c>
      <c r="C10" s="15">
        <v>44652150</v>
      </c>
      <c r="D10" s="15">
        <v>-553054609</v>
      </c>
      <c r="E10" s="15">
        <v>-508402459</v>
      </c>
      <c r="F10" s="16">
        <v>2.8570275723027632E-3</v>
      </c>
      <c r="G10" s="15">
        <v>0</v>
      </c>
      <c r="H10" s="15">
        <v>0</v>
      </c>
      <c r="I10" s="15">
        <v>-553054609</v>
      </c>
      <c r="J10" s="15">
        <v>-553054609</v>
      </c>
      <c r="K10" s="16">
        <v>-1.7148242682066165E-2</v>
      </c>
    </row>
    <row r="11" spans="1:11" x14ac:dyDescent="0.25">
      <c r="A11" s="12" t="s">
        <v>74</v>
      </c>
      <c r="B11" s="15">
        <v>0</v>
      </c>
      <c r="C11" s="15">
        <v>-4741244668</v>
      </c>
      <c r="D11" s="15">
        <v>0</v>
      </c>
      <c r="E11" s="15">
        <v>-4741244668</v>
      </c>
      <c r="F11" s="16">
        <v>2.6643983528626992E-2</v>
      </c>
      <c r="G11" s="15">
        <v>0</v>
      </c>
      <c r="H11" s="15">
        <v>-5172266911</v>
      </c>
      <c r="I11" s="15">
        <v>0</v>
      </c>
      <c r="J11" s="15">
        <v>-5172266911</v>
      </c>
      <c r="K11" s="16">
        <v>-0.16037347264246146</v>
      </c>
    </row>
    <row r="12" spans="1:11" x14ac:dyDescent="0.25">
      <c r="A12" s="12" t="s">
        <v>75</v>
      </c>
      <c r="B12" s="15">
        <v>0</v>
      </c>
      <c r="C12" s="15">
        <v>-1944849200</v>
      </c>
      <c r="D12" s="15">
        <v>0</v>
      </c>
      <c r="E12" s="15">
        <v>-1944849200</v>
      </c>
      <c r="F12" s="16">
        <v>1.0929309428007647E-2</v>
      </c>
      <c r="G12" s="15">
        <v>0</v>
      </c>
      <c r="H12" s="15">
        <v>-1267474491</v>
      </c>
      <c r="I12" s="15">
        <v>0</v>
      </c>
      <c r="J12" s="15">
        <v>-1267474491</v>
      </c>
      <c r="K12" s="16">
        <v>-3.9299844556573052E-2</v>
      </c>
    </row>
    <row r="13" spans="1:11" x14ac:dyDescent="0.25">
      <c r="A13" s="12" t="s">
        <v>76</v>
      </c>
      <c r="B13" s="15">
        <v>0</v>
      </c>
      <c r="C13" s="15">
        <v>-2271306030</v>
      </c>
      <c r="D13" s="15">
        <v>0</v>
      </c>
      <c r="E13" s="15">
        <v>-2271306030</v>
      </c>
      <c r="F13" s="16">
        <v>1.2763872081994644E-2</v>
      </c>
      <c r="G13" s="15">
        <v>0</v>
      </c>
      <c r="H13" s="15">
        <v>-500104080</v>
      </c>
      <c r="I13" s="15">
        <v>0</v>
      </c>
      <c r="J13" s="15">
        <v>-500104080</v>
      </c>
      <c r="K13" s="16">
        <v>-1.5506436417983873E-2</v>
      </c>
    </row>
    <row r="14" spans="1:11" x14ac:dyDescent="0.25">
      <c r="A14" s="12" t="s">
        <v>77</v>
      </c>
      <c r="B14" s="15">
        <v>0</v>
      </c>
      <c r="C14" s="15">
        <v>-2466783220</v>
      </c>
      <c r="D14" s="15">
        <v>0</v>
      </c>
      <c r="E14" s="15">
        <v>-2466783220</v>
      </c>
      <c r="F14" s="16">
        <v>1.3862379203075004E-2</v>
      </c>
      <c r="G14" s="15">
        <v>0</v>
      </c>
      <c r="H14" s="15">
        <v>-3700174830</v>
      </c>
      <c r="I14" s="15">
        <v>0</v>
      </c>
      <c r="J14" s="15">
        <v>-3700174830</v>
      </c>
      <c r="K14" s="16">
        <v>-0.11472916944972593</v>
      </c>
    </row>
    <row r="15" spans="1:11" x14ac:dyDescent="0.25">
      <c r="A15" s="12" t="s">
        <v>78</v>
      </c>
      <c r="B15" s="15">
        <v>0</v>
      </c>
      <c r="C15" s="15">
        <v>-10593217326</v>
      </c>
      <c r="D15" s="15">
        <v>-1302677493</v>
      </c>
      <c r="E15" s="15">
        <v>-11895894819</v>
      </c>
      <c r="F15" s="16">
        <v>6.6850383772625671E-2</v>
      </c>
      <c r="G15" s="15">
        <v>0</v>
      </c>
      <c r="H15" s="15">
        <v>-9964101530</v>
      </c>
      <c r="I15" s="15">
        <v>-1302677493</v>
      </c>
      <c r="J15" s="15">
        <v>-11266779023</v>
      </c>
      <c r="K15" s="16">
        <v>-0.3493424659835288</v>
      </c>
    </row>
    <row r="16" spans="1:11" x14ac:dyDescent="0.25">
      <c r="A16" s="12" t="s">
        <v>79</v>
      </c>
      <c r="B16" s="15">
        <v>0</v>
      </c>
      <c r="C16" s="15">
        <v>-26967821708</v>
      </c>
      <c r="D16" s="15">
        <v>1857048708</v>
      </c>
      <c r="E16" s="15">
        <v>-25110773000</v>
      </c>
      <c r="F16" s="16">
        <v>0.14111295009065991</v>
      </c>
      <c r="G16" s="15">
        <v>0</v>
      </c>
      <c r="H16" s="15">
        <v>19583255507</v>
      </c>
      <c r="I16" s="15">
        <v>2284426071</v>
      </c>
      <c r="J16" s="15">
        <v>21867681578</v>
      </c>
      <c r="K16" s="16">
        <v>0.67803848750438966</v>
      </c>
    </row>
    <row r="17" spans="1:11" x14ac:dyDescent="0.25">
      <c r="A17" s="12" t="s">
        <v>80</v>
      </c>
      <c r="B17" s="15">
        <v>0</v>
      </c>
      <c r="C17" s="15">
        <v>-2018277180</v>
      </c>
      <c r="D17" s="15">
        <v>0</v>
      </c>
      <c r="E17" s="15">
        <v>-2018277180</v>
      </c>
      <c r="F17" s="16">
        <v>1.1341946620697731E-2</v>
      </c>
      <c r="G17" s="15">
        <v>0</v>
      </c>
      <c r="H17" s="15">
        <v>144871420</v>
      </c>
      <c r="I17" s="15">
        <v>164896344</v>
      </c>
      <c r="J17" s="15">
        <v>309767764</v>
      </c>
      <c r="K17" s="16">
        <v>9.6047889407481612E-3</v>
      </c>
    </row>
    <row r="18" spans="1:11" x14ac:dyDescent="0.25">
      <c r="A18" s="12" t="s">
        <v>81</v>
      </c>
      <c r="B18" s="15">
        <v>0</v>
      </c>
      <c r="C18" s="15">
        <v>-2722788880</v>
      </c>
      <c r="D18" s="15">
        <v>0</v>
      </c>
      <c r="E18" s="15">
        <v>-2722788880</v>
      </c>
      <c r="F18" s="16">
        <v>1.5301033199210706E-2</v>
      </c>
      <c r="G18" s="15">
        <v>0</v>
      </c>
      <c r="H18" s="15">
        <v>-2804155020</v>
      </c>
      <c r="I18" s="15">
        <v>0</v>
      </c>
      <c r="J18" s="15">
        <v>-2804155020</v>
      </c>
      <c r="K18" s="16">
        <v>-8.6946804200838154E-2</v>
      </c>
    </row>
    <row r="19" spans="1:11" x14ac:dyDescent="0.25">
      <c r="A19" s="12" t="s">
        <v>82</v>
      </c>
      <c r="B19" s="15">
        <v>0</v>
      </c>
      <c r="C19" s="15">
        <v>-2959665003</v>
      </c>
      <c r="D19" s="15">
        <v>0</v>
      </c>
      <c r="E19" s="15">
        <v>-2959665003</v>
      </c>
      <c r="F19" s="16">
        <v>1.6632186506301969E-2</v>
      </c>
      <c r="G19" s="15">
        <v>0</v>
      </c>
      <c r="H19" s="15">
        <v>-3259086365</v>
      </c>
      <c r="I19" s="15">
        <v>0</v>
      </c>
      <c r="J19" s="15">
        <v>-3259086365</v>
      </c>
      <c r="K19" s="16">
        <v>-0.10105259589082073</v>
      </c>
    </row>
    <row r="20" spans="1:11" x14ac:dyDescent="0.25">
      <c r="A20" s="12" t="s">
        <v>83</v>
      </c>
      <c r="B20" s="15">
        <v>0</v>
      </c>
      <c r="C20" s="15">
        <v>-19651907350</v>
      </c>
      <c r="D20" s="15">
        <v>0</v>
      </c>
      <c r="E20" s="15">
        <v>-19651907350</v>
      </c>
      <c r="F20" s="16">
        <v>0.11043621082739359</v>
      </c>
      <c r="G20" s="15">
        <v>0</v>
      </c>
      <c r="H20" s="15">
        <v>-3624858721</v>
      </c>
      <c r="I20" s="15">
        <v>0</v>
      </c>
      <c r="J20" s="15">
        <v>-3624858721</v>
      </c>
      <c r="K20" s="16">
        <v>-0.11239388665127636</v>
      </c>
    </row>
    <row r="21" spans="1:11" x14ac:dyDescent="0.25">
      <c r="A21" s="12" t="s">
        <v>84</v>
      </c>
      <c r="B21" s="15">
        <v>0</v>
      </c>
      <c r="C21" s="15">
        <v>-8444745505</v>
      </c>
      <c r="D21" s="15">
        <v>-681315878</v>
      </c>
      <c r="E21" s="15">
        <v>-9126061383</v>
      </c>
      <c r="F21" s="16">
        <v>5.1284978143188893E-2</v>
      </c>
      <c r="G21" s="15">
        <v>0</v>
      </c>
      <c r="H21" s="15">
        <v>-10302960621</v>
      </c>
      <c r="I21" s="15">
        <v>-3261816427</v>
      </c>
      <c r="J21" s="15">
        <v>-13564777048</v>
      </c>
      <c r="K21" s="16">
        <v>-0.42059515455050672</v>
      </c>
    </row>
    <row r="22" spans="1:11" x14ac:dyDescent="0.25">
      <c r="A22" s="12" t="s">
        <v>85</v>
      </c>
      <c r="B22" s="15">
        <v>0</v>
      </c>
      <c r="C22" s="15">
        <v>-5454309735</v>
      </c>
      <c r="D22" s="15">
        <v>118405085</v>
      </c>
      <c r="E22" s="15">
        <v>-5335904650</v>
      </c>
      <c r="F22" s="16">
        <v>2.9985745423447143E-2</v>
      </c>
      <c r="G22" s="15">
        <v>0</v>
      </c>
      <c r="H22" s="15">
        <v>2618798985</v>
      </c>
      <c r="I22" s="15">
        <v>118405085</v>
      </c>
      <c r="J22" s="15">
        <v>2737204070</v>
      </c>
      <c r="K22" s="16">
        <v>8.4870895023495277E-2</v>
      </c>
    </row>
    <row r="23" spans="1:11" x14ac:dyDescent="0.25">
      <c r="A23" s="12" t="s">
        <v>86</v>
      </c>
      <c r="B23" s="15">
        <v>0</v>
      </c>
      <c r="C23" s="15">
        <v>-7446981629</v>
      </c>
      <c r="D23" s="15">
        <v>1021799919</v>
      </c>
      <c r="E23" s="15">
        <v>-6425181710</v>
      </c>
      <c r="F23" s="16">
        <v>3.6107066316383447E-2</v>
      </c>
      <c r="G23" s="15">
        <v>0</v>
      </c>
      <c r="H23" s="15">
        <v>9659677639</v>
      </c>
      <c r="I23" s="15">
        <v>1021799919</v>
      </c>
      <c r="J23" s="15">
        <v>10681477558</v>
      </c>
      <c r="K23" s="16">
        <v>0.33119436378773126</v>
      </c>
    </row>
    <row r="24" spans="1:11" x14ac:dyDescent="0.25">
      <c r="A24" s="12" t="s">
        <v>87</v>
      </c>
      <c r="B24" s="15">
        <v>0</v>
      </c>
      <c r="C24" s="15">
        <v>-57229912</v>
      </c>
      <c r="D24" s="15">
        <v>945453152</v>
      </c>
      <c r="E24" s="15">
        <v>888223240</v>
      </c>
      <c r="F24" s="16">
        <v>-4.991475241940351E-3</v>
      </c>
      <c r="G24" s="15">
        <v>0</v>
      </c>
      <c r="H24" s="15">
        <v>87146852</v>
      </c>
      <c r="I24" s="15">
        <v>945453152</v>
      </c>
      <c r="J24" s="15">
        <v>1032600004</v>
      </c>
      <c r="K24" s="16">
        <v>3.2017227908310394E-2</v>
      </c>
    </row>
    <row r="25" spans="1:11" x14ac:dyDescent="0.25">
      <c r="A25" s="12" t="s">
        <v>88</v>
      </c>
      <c r="B25" s="15">
        <v>0</v>
      </c>
      <c r="C25" s="15">
        <v>-4876014780</v>
      </c>
      <c r="D25" s="15">
        <v>0</v>
      </c>
      <c r="E25" s="15">
        <v>-4876014780</v>
      </c>
      <c r="F25" s="16">
        <v>2.7401340065933456E-2</v>
      </c>
      <c r="G25" s="15">
        <v>0</v>
      </c>
      <c r="H25" s="15">
        <v>-3025811460</v>
      </c>
      <c r="I25" s="15">
        <v>0</v>
      </c>
      <c r="J25" s="15">
        <v>-3025811460</v>
      </c>
      <c r="K25" s="16">
        <v>-9.3819576551538941E-2</v>
      </c>
    </row>
    <row r="26" spans="1:11" x14ac:dyDescent="0.25">
      <c r="A26" s="12" t="s">
        <v>89</v>
      </c>
      <c r="B26" s="15">
        <v>0</v>
      </c>
      <c r="C26" s="15">
        <v>-457870589</v>
      </c>
      <c r="D26" s="15">
        <v>0</v>
      </c>
      <c r="E26" s="15">
        <v>-457870589</v>
      </c>
      <c r="F26" s="16">
        <v>2.5730577698081241E-3</v>
      </c>
      <c r="G26" s="15">
        <v>0</v>
      </c>
      <c r="H26" s="15">
        <v>1181173401</v>
      </c>
      <c r="I26" s="15">
        <v>913456459</v>
      </c>
      <c r="J26" s="15">
        <v>2094629860</v>
      </c>
      <c r="K26" s="16">
        <v>6.4946970125299638E-2</v>
      </c>
    </row>
    <row r="27" spans="1:11" x14ac:dyDescent="0.25">
      <c r="A27" s="12" t="s">
        <v>90</v>
      </c>
      <c r="B27" s="15">
        <v>0</v>
      </c>
      <c r="C27" s="15">
        <v>-9168574800</v>
      </c>
      <c r="D27" s="15">
        <v>0</v>
      </c>
      <c r="E27" s="15">
        <v>-9168574800</v>
      </c>
      <c r="F27" s="16">
        <v>5.1523887303464619E-2</v>
      </c>
      <c r="G27" s="15">
        <v>0</v>
      </c>
      <c r="H27" s="15">
        <v>-3398638464</v>
      </c>
      <c r="I27" s="15">
        <v>716160076</v>
      </c>
      <c r="J27" s="15">
        <v>-2682478388</v>
      </c>
      <c r="K27" s="16">
        <v>-8.3174047622522645E-2</v>
      </c>
    </row>
    <row r="28" spans="1:11" x14ac:dyDescent="0.25">
      <c r="A28" s="12" t="s">
        <v>91</v>
      </c>
      <c r="B28" s="15">
        <v>0</v>
      </c>
      <c r="C28" s="15">
        <v>-2188162387</v>
      </c>
      <c r="D28" s="15">
        <v>1827353285</v>
      </c>
      <c r="E28" s="15">
        <v>-360809102</v>
      </c>
      <c r="F28" s="16">
        <v>2.0276092975226936E-3</v>
      </c>
      <c r="G28" s="15">
        <v>0</v>
      </c>
      <c r="H28" s="15">
        <v>218238177</v>
      </c>
      <c r="I28" s="15">
        <v>1827353285</v>
      </c>
      <c r="J28" s="15">
        <v>2045591462</v>
      </c>
      <c r="K28" s="16">
        <v>6.3426465032386206E-2</v>
      </c>
    </row>
    <row r="29" spans="1:11" x14ac:dyDescent="0.25">
      <c r="A29" s="12" t="s">
        <v>92</v>
      </c>
      <c r="B29" s="15">
        <v>0</v>
      </c>
      <c r="C29" s="15">
        <v>-1947165776</v>
      </c>
      <c r="D29" s="15">
        <v>2015118858</v>
      </c>
      <c r="E29" s="15">
        <v>67953082</v>
      </c>
      <c r="F29" s="16">
        <v>-3.8187035774535973E-4</v>
      </c>
      <c r="G29" s="15">
        <v>0</v>
      </c>
      <c r="H29" s="15">
        <v>3731004</v>
      </c>
      <c r="I29" s="15">
        <v>2015118858</v>
      </c>
      <c r="J29" s="15">
        <v>2018849862</v>
      </c>
      <c r="K29" s="16">
        <v>6.2597303790360034E-2</v>
      </c>
    </row>
    <row r="30" spans="1:11" x14ac:dyDescent="0.25">
      <c r="A30" s="12" t="s">
        <v>93</v>
      </c>
      <c r="B30" s="15">
        <v>0</v>
      </c>
      <c r="C30" s="15">
        <v>3763183975</v>
      </c>
      <c r="D30" s="15">
        <v>155272540</v>
      </c>
      <c r="E30" s="15">
        <v>3918456515</v>
      </c>
      <c r="F30" s="16">
        <v>-2.2020228474592007E-2</v>
      </c>
      <c r="G30" s="15">
        <v>4785000000</v>
      </c>
      <c r="H30" s="15">
        <v>-100715405</v>
      </c>
      <c r="I30" s="15">
        <v>155272540</v>
      </c>
      <c r="J30" s="15">
        <v>4839557135</v>
      </c>
      <c r="K30" s="16">
        <v>0.15005733407549424</v>
      </c>
    </row>
    <row r="31" spans="1:11" x14ac:dyDescent="0.25">
      <c r="A31" s="12" t="s">
        <v>94</v>
      </c>
      <c r="B31" s="15">
        <v>0</v>
      </c>
      <c r="C31" s="15">
        <v>-2762479680</v>
      </c>
      <c r="D31" s="15">
        <v>0</v>
      </c>
      <c r="E31" s="15">
        <v>-2762479680</v>
      </c>
      <c r="F31" s="16">
        <v>1.5524080330394534E-2</v>
      </c>
      <c r="G31" s="15">
        <v>0</v>
      </c>
      <c r="H31" s="15">
        <v>-654028266</v>
      </c>
      <c r="I31" s="15">
        <v>189445153</v>
      </c>
      <c r="J31" s="15">
        <v>-464583113</v>
      </c>
      <c r="K31" s="16">
        <v>-1.4405058448240448E-2</v>
      </c>
    </row>
    <row r="32" spans="1:11" x14ac:dyDescent="0.25">
      <c r="A32" s="12" t="s">
        <v>95</v>
      </c>
      <c r="B32" s="15">
        <v>0</v>
      </c>
      <c r="C32" s="15">
        <v>-967105296</v>
      </c>
      <c r="D32" s="15">
        <v>0</v>
      </c>
      <c r="E32" s="15">
        <v>-967105296</v>
      </c>
      <c r="F32" s="16">
        <v>5.4347622578907019E-3</v>
      </c>
      <c r="G32" s="15">
        <v>0</v>
      </c>
      <c r="H32" s="15">
        <v>-1024923332</v>
      </c>
      <c r="I32" s="15">
        <v>0</v>
      </c>
      <c r="J32" s="15">
        <v>-1024923332</v>
      </c>
      <c r="K32" s="16">
        <v>-3.177920180328498E-2</v>
      </c>
    </row>
    <row r="33" spans="1:11" x14ac:dyDescent="0.25">
      <c r="A33" s="12" t="s">
        <v>96</v>
      </c>
      <c r="B33" s="15">
        <v>0</v>
      </c>
      <c r="C33" s="15">
        <v>-5019199341</v>
      </c>
      <c r="D33" s="15">
        <v>483371600</v>
      </c>
      <c r="E33" s="15">
        <v>-4535827741</v>
      </c>
      <c r="F33" s="16">
        <v>2.5489618883320065E-2</v>
      </c>
      <c r="G33" s="15">
        <v>0</v>
      </c>
      <c r="H33" s="15">
        <v>1240535954</v>
      </c>
      <c r="I33" s="15">
        <v>483371600</v>
      </c>
      <c r="J33" s="15">
        <v>1723907554</v>
      </c>
      <c r="K33" s="16">
        <v>5.3452199143392512E-2</v>
      </c>
    </row>
    <row r="34" spans="1:11" x14ac:dyDescent="0.25">
      <c r="A34" s="12" t="s">
        <v>97</v>
      </c>
      <c r="B34" s="15">
        <v>0</v>
      </c>
      <c r="C34" s="15">
        <v>-6072654839</v>
      </c>
      <c r="D34" s="15">
        <v>-327339798</v>
      </c>
      <c r="E34" s="15">
        <v>-6399994637</v>
      </c>
      <c r="F34" s="16">
        <v>3.5965524589445019E-2</v>
      </c>
      <c r="G34" s="15">
        <v>0</v>
      </c>
      <c r="H34" s="15">
        <v>-1826788456</v>
      </c>
      <c r="I34" s="15">
        <v>-28485759</v>
      </c>
      <c r="J34" s="15">
        <v>-1855274215</v>
      </c>
      <c r="K34" s="16">
        <v>-5.7525408816545637E-2</v>
      </c>
    </row>
    <row r="35" spans="1:11" x14ac:dyDescent="0.25">
      <c r="A35" s="12" t="s">
        <v>98</v>
      </c>
      <c r="B35" s="15">
        <v>0</v>
      </c>
      <c r="C35" s="15">
        <v>-24818657240</v>
      </c>
      <c r="D35" s="15">
        <v>632249560</v>
      </c>
      <c r="E35" s="15">
        <v>-24186407680</v>
      </c>
      <c r="F35" s="16">
        <v>0.13591837016806266</v>
      </c>
      <c r="G35" s="15">
        <v>0</v>
      </c>
      <c r="H35" s="15">
        <v>3377687080</v>
      </c>
      <c r="I35" s="15">
        <v>632249560</v>
      </c>
      <c r="J35" s="15">
        <v>4009936640</v>
      </c>
      <c r="K35" s="16">
        <v>0.12433377377825811</v>
      </c>
    </row>
    <row r="36" spans="1:11" x14ac:dyDescent="0.25">
      <c r="A36" s="12" t="s">
        <v>99</v>
      </c>
      <c r="B36" s="15">
        <v>0</v>
      </c>
      <c r="C36" s="15">
        <v>196074730</v>
      </c>
      <c r="D36" s="15">
        <v>-343528390</v>
      </c>
      <c r="E36" s="15">
        <v>-147453660</v>
      </c>
      <c r="F36" s="16">
        <v>8.2863323101463804E-4</v>
      </c>
      <c r="G36" s="15">
        <v>0</v>
      </c>
      <c r="H36" s="15">
        <v>0</v>
      </c>
      <c r="I36" s="15">
        <v>-343528390</v>
      </c>
      <c r="J36" s="15">
        <v>-343528390</v>
      </c>
      <c r="K36" s="16">
        <v>-1.0651585040672668E-2</v>
      </c>
    </row>
    <row r="37" spans="1:11" x14ac:dyDescent="0.25">
      <c r="A37" s="12" t="s">
        <v>100</v>
      </c>
      <c r="B37" s="15">
        <v>0</v>
      </c>
      <c r="C37" s="15">
        <v>-166600157</v>
      </c>
      <c r="D37" s="15">
        <v>-1024551671</v>
      </c>
      <c r="E37" s="15">
        <v>-1191151828</v>
      </c>
      <c r="F37" s="16">
        <v>6.6938181654130008E-3</v>
      </c>
      <c r="G37" s="15">
        <v>0</v>
      </c>
      <c r="H37" s="15">
        <v>0</v>
      </c>
      <c r="I37" s="15">
        <v>-1025979107</v>
      </c>
      <c r="J37" s="15">
        <v>-1025979107</v>
      </c>
      <c r="K37" s="16">
        <v>-3.181193760481893E-2</v>
      </c>
    </row>
    <row r="38" spans="1:11" x14ac:dyDescent="0.25">
      <c r="A38" s="12" t="s">
        <v>101</v>
      </c>
      <c r="B38" s="15">
        <v>3237500000</v>
      </c>
      <c r="C38" s="15">
        <v>833506800</v>
      </c>
      <c r="D38" s="15">
        <v>0</v>
      </c>
      <c r="E38" s="15">
        <v>4071006800</v>
      </c>
      <c r="F38" s="16">
        <v>-2.2877502790819584E-2</v>
      </c>
      <c r="G38" s="15">
        <v>3237500000</v>
      </c>
      <c r="H38" s="15">
        <v>1910119750</v>
      </c>
      <c r="I38" s="15">
        <v>0</v>
      </c>
      <c r="J38" s="15">
        <v>5147619750</v>
      </c>
      <c r="K38" s="16">
        <v>0.15960925245267554</v>
      </c>
    </row>
    <row r="39" spans="1:11" x14ac:dyDescent="0.25">
      <c r="A39" s="12" t="s">
        <v>102</v>
      </c>
      <c r="B39" s="15">
        <v>0</v>
      </c>
      <c r="C39" s="15">
        <v>-2669364222</v>
      </c>
      <c r="D39" s="15">
        <v>0</v>
      </c>
      <c r="E39" s="15">
        <v>-2669364222</v>
      </c>
      <c r="F39" s="16">
        <v>1.500080703341467E-2</v>
      </c>
      <c r="G39" s="15">
        <v>0</v>
      </c>
      <c r="H39" s="15">
        <v>-1328698209</v>
      </c>
      <c r="I39" s="15">
        <v>0</v>
      </c>
      <c r="J39" s="15">
        <v>-1328698209</v>
      </c>
      <c r="K39" s="16">
        <v>-4.1198172781448911E-2</v>
      </c>
    </row>
    <row r="40" spans="1:11" x14ac:dyDescent="0.25">
      <c r="A40" s="12" t="s">
        <v>103</v>
      </c>
      <c r="B40" s="15">
        <v>0</v>
      </c>
      <c r="C40" s="15">
        <v>-3482867700</v>
      </c>
      <c r="D40" s="15">
        <v>0</v>
      </c>
      <c r="E40" s="15">
        <v>-3482867700</v>
      </c>
      <c r="F40" s="16">
        <v>1.9572385761381039E-2</v>
      </c>
      <c r="G40" s="15">
        <v>0</v>
      </c>
      <c r="H40" s="15">
        <v>-1157979090</v>
      </c>
      <c r="I40" s="15">
        <v>0</v>
      </c>
      <c r="J40" s="15">
        <v>-1157979090</v>
      </c>
      <c r="K40" s="16">
        <v>-3.5904784324974563E-2</v>
      </c>
    </row>
    <row r="41" spans="1:11" x14ac:dyDescent="0.25">
      <c r="A41" s="12" t="s">
        <v>104</v>
      </c>
      <c r="B41" s="15">
        <v>0</v>
      </c>
      <c r="C41" s="15">
        <v>-2384626125</v>
      </c>
      <c r="D41" s="15">
        <v>2957489400</v>
      </c>
      <c r="E41" s="15">
        <v>572863275</v>
      </c>
      <c r="F41" s="16">
        <v>-3.2192727294315863E-3</v>
      </c>
      <c r="G41" s="15">
        <v>0</v>
      </c>
      <c r="H41" s="15">
        <v>0</v>
      </c>
      <c r="I41" s="15">
        <v>2957489400</v>
      </c>
      <c r="J41" s="15">
        <v>2957489400</v>
      </c>
      <c r="K41" s="16">
        <v>9.1701154163671847E-2</v>
      </c>
    </row>
    <row r="42" spans="1:11" x14ac:dyDescent="0.25">
      <c r="A42" s="12" t="s">
        <v>105</v>
      </c>
      <c r="B42" s="15">
        <v>0</v>
      </c>
      <c r="C42" s="15">
        <v>-6960774049</v>
      </c>
      <c r="D42" s="15">
        <v>61597329</v>
      </c>
      <c r="E42" s="15">
        <v>-6899176720</v>
      </c>
      <c r="F42" s="16">
        <v>3.8770737171492202E-2</v>
      </c>
      <c r="G42" s="15">
        <v>0</v>
      </c>
      <c r="H42" s="15">
        <v>-2321911799</v>
      </c>
      <c r="I42" s="15">
        <v>61597329</v>
      </c>
      <c r="J42" s="15">
        <v>-2260314470</v>
      </c>
      <c r="K42" s="16">
        <v>-7.0084256488577176E-2</v>
      </c>
    </row>
    <row r="43" spans="1:11" x14ac:dyDescent="0.25">
      <c r="A43" s="12" t="s">
        <v>106</v>
      </c>
      <c r="B43" s="15">
        <v>0</v>
      </c>
      <c r="C43" s="15">
        <v>-2810108640</v>
      </c>
      <c r="D43" s="15">
        <v>0</v>
      </c>
      <c r="E43" s="15">
        <v>-2810108640</v>
      </c>
      <c r="F43" s="16">
        <v>1.5791736887815131E-2</v>
      </c>
      <c r="G43" s="15">
        <v>0</v>
      </c>
      <c r="H43" s="15">
        <v>-1270141569</v>
      </c>
      <c r="I43" s="15">
        <v>10229398</v>
      </c>
      <c r="J43" s="15">
        <v>-1259912171</v>
      </c>
      <c r="K43" s="16">
        <v>-3.9065364097520511E-2</v>
      </c>
    </row>
    <row r="44" spans="1:11" x14ac:dyDescent="0.25">
      <c r="A44" s="12" t="s">
        <v>107</v>
      </c>
      <c r="B44" s="15">
        <v>0</v>
      </c>
      <c r="C44" s="15">
        <v>-3780548700</v>
      </c>
      <c r="D44" s="15">
        <v>0</v>
      </c>
      <c r="E44" s="15">
        <v>-3780548700</v>
      </c>
      <c r="F44" s="16">
        <v>2.1245239245259763E-2</v>
      </c>
      <c r="G44" s="15">
        <v>0</v>
      </c>
      <c r="H44" s="15">
        <v>-1875390300</v>
      </c>
      <c r="I44" s="15">
        <v>156233000</v>
      </c>
      <c r="J44" s="15">
        <v>-1719157300</v>
      </c>
      <c r="K44" s="16">
        <v>-5.3304910779697755E-2</v>
      </c>
    </row>
    <row r="45" spans="1:11" x14ac:dyDescent="0.25">
      <c r="A45" s="12" t="s">
        <v>108</v>
      </c>
      <c r="B45" s="15">
        <v>0</v>
      </c>
      <c r="C45" s="15">
        <v>-6541539975</v>
      </c>
      <c r="D45" s="15">
        <v>0</v>
      </c>
      <c r="E45" s="15">
        <v>-6541539975</v>
      </c>
      <c r="F45" s="16">
        <v>3.6760955308234901E-2</v>
      </c>
      <c r="G45" s="15">
        <v>0</v>
      </c>
      <c r="H45" s="15">
        <v>-223260750</v>
      </c>
      <c r="I45" s="15">
        <v>0</v>
      </c>
      <c r="J45" s="15">
        <v>-223260750</v>
      </c>
      <c r="K45" s="16">
        <v>-6.9225162580285153E-3</v>
      </c>
    </row>
    <row r="46" spans="1:11" x14ac:dyDescent="0.25">
      <c r="A46" s="12" t="s">
        <v>109</v>
      </c>
      <c r="B46" s="15">
        <v>0</v>
      </c>
      <c r="C46" s="15">
        <v>-7907895765</v>
      </c>
      <c r="D46" s="15">
        <v>0</v>
      </c>
      <c r="E46" s="15">
        <v>-7907895765</v>
      </c>
      <c r="F46" s="16">
        <v>4.4439352799238233E-2</v>
      </c>
      <c r="G46" s="15">
        <v>0</v>
      </c>
      <c r="H46" s="15">
        <v>5016761906</v>
      </c>
      <c r="I46" s="15">
        <v>201541358</v>
      </c>
      <c r="J46" s="15">
        <v>5218303264</v>
      </c>
      <c r="K46" s="16">
        <v>0.16180089507162931</v>
      </c>
    </row>
    <row r="47" spans="1:11" x14ac:dyDescent="0.25">
      <c r="A47" s="12" t="s">
        <v>110</v>
      </c>
      <c r="B47" s="15">
        <v>0</v>
      </c>
      <c r="C47" s="15">
        <v>-9549606480</v>
      </c>
      <c r="D47" s="15">
        <v>0</v>
      </c>
      <c r="E47" s="15">
        <v>-9549606480</v>
      </c>
      <c r="F47" s="16">
        <v>5.3665139762829384E-2</v>
      </c>
      <c r="G47" s="15">
        <v>0</v>
      </c>
      <c r="H47" s="15">
        <v>15557999784</v>
      </c>
      <c r="I47" s="15">
        <v>0</v>
      </c>
      <c r="J47" s="15">
        <v>15557999784</v>
      </c>
      <c r="K47" s="16">
        <v>0.48239785294613641</v>
      </c>
    </row>
    <row r="48" spans="1:11" x14ac:dyDescent="0.25">
      <c r="A48" s="12" t="s">
        <v>111</v>
      </c>
      <c r="B48" s="15">
        <v>0</v>
      </c>
      <c r="C48" s="15">
        <v>0</v>
      </c>
      <c r="D48" s="15">
        <v>0</v>
      </c>
      <c r="E48" s="15">
        <v>0</v>
      </c>
      <c r="F48" s="16">
        <v>0</v>
      </c>
      <c r="G48" s="15">
        <v>0</v>
      </c>
      <c r="H48" s="15">
        <v>0</v>
      </c>
      <c r="I48" s="15">
        <v>-1420212200</v>
      </c>
      <c r="J48" s="15">
        <v>-1420212200</v>
      </c>
      <c r="K48" s="16">
        <v>-4.4035693888650133E-2</v>
      </c>
    </row>
    <row r="49" spans="1:11" x14ac:dyDescent="0.25">
      <c r="A49" s="12" t="s">
        <v>112</v>
      </c>
      <c r="B49" s="15">
        <v>0</v>
      </c>
      <c r="C49" s="15">
        <v>0</v>
      </c>
      <c r="D49" s="15">
        <v>0</v>
      </c>
      <c r="E49" s="15">
        <v>0</v>
      </c>
      <c r="F49" s="16">
        <v>0</v>
      </c>
      <c r="G49" s="15">
        <v>0</v>
      </c>
      <c r="H49" s="15">
        <v>0</v>
      </c>
      <c r="I49" s="15">
        <v>642006420</v>
      </c>
      <c r="J49" s="15">
        <v>642006420</v>
      </c>
      <c r="K49" s="16">
        <v>1.9906319763812866E-2</v>
      </c>
    </row>
    <row r="50" spans="1:11" x14ac:dyDescent="0.25">
      <c r="A50" s="12" t="s">
        <v>113</v>
      </c>
      <c r="B50" s="15">
        <v>0</v>
      </c>
      <c r="C50" s="15">
        <v>0</v>
      </c>
      <c r="D50" s="15">
        <v>0</v>
      </c>
      <c r="E50" s="15">
        <v>0</v>
      </c>
      <c r="F50" s="16">
        <v>0</v>
      </c>
      <c r="G50" s="15">
        <v>0</v>
      </c>
      <c r="H50" s="15">
        <v>0</v>
      </c>
      <c r="I50" s="15">
        <v>-53544440</v>
      </c>
      <c r="J50" s="15">
        <v>-53544440</v>
      </c>
      <c r="K50" s="16">
        <v>-1.6602213171237324E-3</v>
      </c>
    </row>
    <row r="51" spans="1:11" x14ac:dyDescent="0.25">
      <c r="A51" s="12" t="s">
        <v>114</v>
      </c>
      <c r="B51" s="15">
        <v>0</v>
      </c>
      <c r="C51" s="15">
        <v>0</v>
      </c>
      <c r="D51" s="15">
        <v>0</v>
      </c>
      <c r="E51" s="15">
        <v>0</v>
      </c>
      <c r="F51" s="16">
        <v>0</v>
      </c>
      <c r="G51" s="15">
        <v>0</v>
      </c>
      <c r="H51" s="15">
        <v>0</v>
      </c>
      <c r="I51" s="15">
        <v>179495223</v>
      </c>
      <c r="J51" s="15">
        <v>179495223</v>
      </c>
      <c r="K51" s="16">
        <v>5.5655040102479004E-3</v>
      </c>
    </row>
    <row r="52" spans="1:11" x14ac:dyDescent="0.25">
      <c r="A52" s="12" t="s">
        <v>115</v>
      </c>
      <c r="B52" s="15">
        <v>0</v>
      </c>
      <c r="C52" s="15">
        <v>0</v>
      </c>
      <c r="D52" s="15">
        <v>0</v>
      </c>
      <c r="E52" s="15">
        <v>0</v>
      </c>
      <c r="F52" s="16">
        <v>0</v>
      </c>
      <c r="G52" s="15">
        <v>0</v>
      </c>
      <c r="H52" s="15">
        <v>0</v>
      </c>
      <c r="I52" s="15">
        <v>-1579799394</v>
      </c>
      <c r="J52" s="15">
        <v>-1579799394</v>
      </c>
      <c r="K52" s="16">
        <v>-4.8983921219419878E-2</v>
      </c>
    </row>
    <row r="53" spans="1:11" x14ac:dyDescent="0.25">
      <c r="A53" s="12" t="s">
        <v>116</v>
      </c>
      <c r="B53" s="15">
        <v>0</v>
      </c>
      <c r="C53" s="15">
        <v>0</v>
      </c>
      <c r="D53" s="15">
        <v>0</v>
      </c>
      <c r="E53" s="15">
        <v>0</v>
      </c>
      <c r="F53" s="16">
        <v>0</v>
      </c>
      <c r="G53" s="15">
        <v>0</v>
      </c>
      <c r="H53" s="15">
        <v>0</v>
      </c>
      <c r="I53" s="15">
        <v>-277571830</v>
      </c>
      <c r="J53" s="15">
        <v>-277571830</v>
      </c>
      <c r="K53" s="16">
        <v>-8.6065083358616654E-3</v>
      </c>
    </row>
    <row r="54" spans="1:11" ht="18.600000000000001" thickBot="1" x14ac:dyDescent="0.3">
      <c r="A54" s="12" t="s">
        <v>2</v>
      </c>
      <c r="B54" s="18">
        <f t="shared" ref="B54:K54" si="0">SUM(B10:B53)</f>
        <v>3237500000</v>
      </c>
      <c r="C54" s="18">
        <f t="shared" si="0"/>
        <v>-197435526232</v>
      </c>
      <c r="D54" s="18">
        <f t="shared" si="0"/>
        <v>7842691597</v>
      </c>
      <c r="E54" s="18">
        <f t="shared" si="0"/>
        <v>-186355334635</v>
      </c>
      <c r="F54" s="19">
        <f t="shared" si="0"/>
        <v>1.0472457791513221</v>
      </c>
      <c r="G54" s="18">
        <f t="shared" si="0"/>
        <v>8022500000</v>
      </c>
      <c r="H54" s="18">
        <f t="shared" si="0"/>
        <v>1796527790</v>
      </c>
      <c r="I54" s="18">
        <f t="shared" si="0"/>
        <v>5829330581</v>
      </c>
      <c r="J54" s="18">
        <f t="shared" si="0"/>
        <v>15648358371</v>
      </c>
      <c r="K54" s="19">
        <f t="shared" si="0"/>
        <v>0.48519954911333113</v>
      </c>
    </row>
    <row r="55" spans="1:11" ht="18.600000000000001" thickTop="1" x14ac:dyDescent="0.25"/>
  </sheetData>
  <mergeCells count="14">
    <mergeCell ref="G7:K7"/>
    <mergeCell ref="B7:F7"/>
    <mergeCell ref="A8:A9"/>
    <mergeCell ref="A1:K1"/>
    <mergeCell ref="A2:K2"/>
    <mergeCell ref="A3:K3"/>
    <mergeCell ref="B8:B9"/>
    <mergeCell ref="C8:C9"/>
    <mergeCell ref="D8:D9"/>
    <mergeCell ref="G8:G9"/>
    <mergeCell ref="H8:H9"/>
    <mergeCell ref="I8:I9"/>
    <mergeCell ref="E8:F8"/>
    <mergeCell ref="J8:K8"/>
  </mergeCells>
  <pageMargins left="0.7" right="0.7" top="0.75" bottom="0.75" header="0.3" footer="0.3"/>
  <pageSetup scale="24" orientation="landscape" horizontalDpi="4294967295" verticalDpi="4294967295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4516-2072-42A8-877E-37BB5BACA214}">
  <dimension ref="A1:K47"/>
  <sheetViews>
    <sheetView rightToLeft="1" view="pageBreakPreview" topLeftCell="A43" zoomScale="60" zoomScaleNormal="70" workbookViewId="0">
      <selection activeCell="A5" sqref="A5"/>
    </sheetView>
  </sheetViews>
  <sheetFormatPr defaultRowHeight="18.600000000000001" x14ac:dyDescent="0.25"/>
  <cols>
    <col min="1" max="1" width="27.296875" style="44" customWidth="1"/>
    <col min="2" max="4" width="18.3984375" style="44" customWidth="1"/>
    <col min="5" max="5" width="11.09765625" style="44" customWidth="1"/>
    <col min="6" max="8" width="18.3984375" style="44" customWidth="1"/>
    <col min="9" max="9" width="10.5" style="44" customWidth="1"/>
    <col min="10" max="16384" width="8.796875" style="44"/>
  </cols>
  <sheetData>
    <row r="1" spans="1:11" ht="20.399999999999999" x14ac:dyDescent="0.25">
      <c r="A1" s="77" t="s">
        <v>64</v>
      </c>
      <c r="B1" s="77"/>
      <c r="C1" s="77"/>
      <c r="D1" s="77"/>
      <c r="E1" s="77"/>
      <c r="F1" s="77"/>
      <c r="G1" s="77"/>
      <c r="H1" s="77"/>
      <c r="I1" s="77"/>
    </row>
    <row r="2" spans="1:11" ht="20.399999999999999" x14ac:dyDescent="0.25">
      <c r="A2" s="77" t="s">
        <v>47</v>
      </c>
      <c r="B2" s="77"/>
      <c r="C2" s="77"/>
      <c r="D2" s="77"/>
      <c r="E2" s="77"/>
      <c r="F2" s="77"/>
      <c r="G2" s="77"/>
      <c r="H2" s="77"/>
      <c r="I2" s="77"/>
      <c r="J2" s="4"/>
      <c r="K2" s="4"/>
    </row>
    <row r="3" spans="1:11" ht="20.399999999999999" x14ac:dyDescent="0.25">
      <c r="A3" s="77" t="s">
        <v>66</v>
      </c>
      <c r="B3" s="77"/>
      <c r="C3" s="77"/>
      <c r="D3" s="77"/>
      <c r="E3" s="77"/>
      <c r="F3" s="77"/>
      <c r="G3" s="77"/>
      <c r="H3" s="77"/>
      <c r="I3" s="77"/>
    </row>
    <row r="4" spans="1:11" ht="20.399999999999999" x14ac:dyDescent="0.25">
      <c r="A4" s="5"/>
      <c r="B4" s="5"/>
      <c r="C4" s="5"/>
      <c r="D4" s="5"/>
      <c r="E4" s="5"/>
      <c r="F4" s="5"/>
      <c r="G4" s="5"/>
    </row>
    <row r="5" spans="1:11" ht="20.399999999999999" x14ac:dyDescent="0.25">
      <c r="A5" s="41" t="s">
        <v>203</v>
      </c>
      <c r="B5" s="41"/>
      <c r="C5" s="41"/>
      <c r="D5" s="41"/>
      <c r="E5" s="41"/>
      <c r="F5" s="41"/>
      <c r="G5" s="41"/>
    </row>
    <row r="6" spans="1:11" x14ac:dyDescent="0.25">
      <c r="B6" s="45"/>
      <c r="C6" s="45"/>
      <c r="D6" s="45"/>
    </row>
    <row r="7" spans="1:11" ht="19.2" thickBot="1" x14ac:dyDescent="0.3">
      <c r="A7" s="43"/>
      <c r="B7" s="81" t="s">
        <v>201</v>
      </c>
      <c r="C7" s="81"/>
      <c r="D7" s="81"/>
      <c r="E7" s="81"/>
      <c r="F7" s="81" t="s">
        <v>202</v>
      </c>
      <c r="G7" s="81"/>
      <c r="H7" s="81"/>
      <c r="I7" s="81"/>
    </row>
    <row r="8" spans="1:11" ht="28.8" customHeight="1" thickBot="1" x14ac:dyDescent="0.3">
      <c r="A8" s="85" t="s">
        <v>61</v>
      </c>
      <c r="B8" s="87" t="s">
        <v>6</v>
      </c>
      <c r="C8" s="87" t="s">
        <v>7</v>
      </c>
      <c r="D8" s="84" t="s">
        <v>2</v>
      </c>
      <c r="E8" s="84"/>
      <c r="F8" s="87" t="s">
        <v>6</v>
      </c>
      <c r="G8" s="87" t="s">
        <v>7</v>
      </c>
      <c r="H8" s="84" t="s">
        <v>2</v>
      </c>
      <c r="I8" s="84"/>
    </row>
    <row r="9" spans="1:11" ht="39" customHeight="1" thickBot="1" x14ac:dyDescent="0.3">
      <c r="A9" s="86"/>
      <c r="B9" s="88"/>
      <c r="C9" s="88" t="s">
        <v>49</v>
      </c>
      <c r="D9" s="42" t="s">
        <v>4</v>
      </c>
      <c r="E9" s="42" t="s">
        <v>8</v>
      </c>
      <c r="F9" s="88"/>
      <c r="G9" s="88" t="s">
        <v>49</v>
      </c>
      <c r="H9" s="42" t="s">
        <v>4</v>
      </c>
      <c r="I9" s="42" t="s">
        <v>8</v>
      </c>
    </row>
    <row r="10" spans="1:11" x14ac:dyDescent="0.25">
      <c r="A10" s="12" t="s">
        <v>127</v>
      </c>
      <c r="B10" s="15">
        <v>-60021210</v>
      </c>
      <c r="C10" s="15">
        <v>0</v>
      </c>
      <c r="D10" s="15">
        <v>-60021210</v>
      </c>
      <c r="E10" s="16">
        <v>3.3729626766611356E-4</v>
      </c>
      <c r="F10" s="46">
        <v>0</v>
      </c>
      <c r="G10" s="15">
        <v>80866755</v>
      </c>
      <c r="H10" s="15">
        <v>80866755</v>
      </c>
      <c r="I10" s="16">
        <v>2.5073884514922964E-3</v>
      </c>
    </row>
    <row r="11" spans="1:11" x14ac:dyDescent="0.25">
      <c r="A11" s="12" t="s">
        <v>125</v>
      </c>
      <c r="B11" s="15">
        <v>62952277</v>
      </c>
      <c r="C11" s="15">
        <v>0</v>
      </c>
      <c r="D11" s="15">
        <v>62952277</v>
      </c>
      <c r="E11" s="16">
        <v>-3.5376774432210423E-4</v>
      </c>
      <c r="F11" s="46">
        <v>0</v>
      </c>
      <c r="G11" s="15">
        <v>-116224949</v>
      </c>
      <c r="H11" s="15">
        <v>-116224949</v>
      </c>
      <c r="I11" s="16">
        <v>-3.6037194134707286E-3</v>
      </c>
    </row>
    <row r="12" spans="1:11" x14ac:dyDescent="0.25">
      <c r="A12" s="12" t="s">
        <v>120</v>
      </c>
      <c r="B12" s="15">
        <v>47963640</v>
      </c>
      <c r="C12" s="15">
        <v>0</v>
      </c>
      <c r="D12" s="15">
        <v>47963640</v>
      </c>
      <c r="E12" s="16">
        <v>-2.6953733114812431E-4</v>
      </c>
      <c r="F12" s="46">
        <v>0</v>
      </c>
      <c r="G12" s="15">
        <v>-27066616</v>
      </c>
      <c r="H12" s="15">
        <v>-27066616</v>
      </c>
      <c r="I12" s="16">
        <v>-8.3923882415433404E-4</v>
      </c>
    </row>
    <row r="13" spans="1:11" x14ac:dyDescent="0.25">
      <c r="A13" s="12" t="s">
        <v>121</v>
      </c>
      <c r="B13" s="15">
        <v>-47623898</v>
      </c>
      <c r="C13" s="15">
        <v>0</v>
      </c>
      <c r="D13" s="15">
        <v>-47623898</v>
      </c>
      <c r="E13" s="16">
        <v>2.6762811091465317E-4</v>
      </c>
      <c r="F13" s="46">
        <v>0</v>
      </c>
      <c r="G13" s="15">
        <v>299927440</v>
      </c>
      <c r="H13" s="15">
        <v>299927440</v>
      </c>
      <c r="I13" s="16">
        <v>9.2996757362360915E-3</v>
      </c>
    </row>
    <row r="14" spans="1:11" x14ac:dyDescent="0.25">
      <c r="A14" s="12" t="s">
        <v>122</v>
      </c>
      <c r="B14" s="15">
        <v>-999242</v>
      </c>
      <c r="C14" s="15">
        <v>0</v>
      </c>
      <c r="D14" s="15">
        <v>-999242</v>
      </c>
      <c r="E14" s="16">
        <v>5.61535825577696E-6</v>
      </c>
      <c r="F14" s="46">
        <v>0</v>
      </c>
      <c r="G14" s="15">
        <v>-23113573</v>
      </c>
      <c r="H14" s="15">
        <v>-23113573</v>
      </c>
      <c r="I14" s="16">
        <v>-7.166691183901735E-4</v>
      </c>
    </row>
    <row r="15" spans="1:11" x14ac:dyDescent="0.25">
      <c r="A15" s="12" t="s">
        <v>123</v>
      </c>
      <c r="B15" s="15">
        <v>-9992425</v>
      </c>
      <c r="C15" s="15">
        <v>0</v>
      </c>
      <c r="D15" s="15">
        <v>-9992425</v>
      </c>
      <c r="E15" s="16">
        <v>5.6153610655859235E-5</v>
      </c>
      <c r="F15" s="46">
        <v>0</v>
      </c>
      <c r="G15" s="15">
        <v>49988663</v>
      </c>
      <c r="H15" s="15">
        <v>49988663</v>
      </c>
      <c r="I15" s="16">
        <v>1.5499694072272376E-3</v>
      </c>
    </row>
    <row r="16" spans="1:11" x14ac:dyDescent="0.25">
      <c r="A16" s="12" t="s">
        <v>124</v>
      </c>
      <c r="B16" s="15">
        <v>22982578</v>
      </c>
      <c r="C16" s="15">
        <v>0</v>
      </c>
      <c r="D16" s="15">
        <v>22982578</v>
      </c>
      <c r="E16" s="16">
        <v>-1.291533073182852E-4</v>
      </c>
      <c r="F16" s="15">
        <v>0</v>
      </c>
      <c r="G16" s="15">
        <v>-137249186</v>
      </c>
      <c r="H16" s="15">
        <v>-137249186</v>
      </c>
      <c r="I16" s="16">
        <v>-4.2556057053744541E-3</v>
      </c>
    </row>
    <row r="17" spans="1:9" x14ac:dyDescent="0.25">
      <c r="A17" s="12" t="s">
        <v>126</v>
      </c>
      <c r="B17" s="15">
        <v>-47699000</v>
      </c>
      <c r="C17" s="15">
        <v>76038490</v>
      </c>
      <c r="D17" s="15">
        <v>28339490</v>
      </c>
      <c r="E17" s="16">
        <v>-1.5925710602237358E-4</v>
      </c>
      <c r="F17" s="15">
        <v>2362210</v>
      </c>
      <c r="G17" s="15">
        <v>76038490</v>
      </c>
      <c r="H17" s="15">
        <v>78400700</v>
      </c>
      <c r="I17" s="16">
        <v>2.4309249180199215E-3</v>
      </c>
    </row>
    <row r="18" spans="1:9" x14ac:dyDescent="0.25">
      <c r="A18" s="12" t="s">
        <v>128</v>
      </c>
      <c r="B18" s="15">
        <v>-134079537</v>
      </c>
      <c r="C18" s="15">
        <v>328984960</v>
      </c>
      <c r="D18" s="15">
        <v>194905423</v>
      </c>
      <c r="E18" s="16">
        <v>-1.0952940089975708E-3</v>
      </c>
      <c r="F18" s="15">
        <v>39969700</v>
      </c>
      <c r="G18" s="15">
        <v>328984960</v>
      </c>
      <c r="H18" s="15">
        <v>368954660</v>
      </c>
      <c r="I18" s="16">
        <v>1.1439962610200777E-2</v>
      </c>
    </row>
    <row r="19" spans="1:9" x14ac:dyDescent="0.25">
      <c r="A19" s="12" t="s">
        <v>133</v>
      </c>
      <c r="B19" s="15">
        <v>-1435878002</v>
      </c>
      <c r="C19" s="15">
        <v>2070396990</v>
      </c>
      <c r="D19" s="15">
        <v>634518988</v>
      </c>
      <c r="E19" s="16">
        <v>-3.5657542794568704E-3</v>
      </c>
      <c r="F19" s="15">
        <v>0</v>
      </c>
      <c r="G19" s="15">
        <v>2066660694</v>
      </c>
      <c r="H19" s="15">
        <v>2066660694</v>
      </c>
      <c r="I19" s="16">
        <v>6.4079746458092141E-2</v>
      </c>
    </row>
    <row r="20" spans="1:9" x14ac:dyDescent="0.25">
      <c r="A20" s="12" t="s">
        <v>136</v>
      </c>
      <c r="B20" s="15">
        <v>-1293695950</v>
      </c>
      <c r="C20" s="15">
        <v>2443270643</v>
      </c>
      <c r="D20" s="15">
        <v>1149574693</v>
      </c>
      <c r="E20" s="16">
        <v>-6.4601705522484192E-3</v>
      </c>
      <c r="F20" s="15">
        <v>0</v>
      </c>
      <c r="G20" s="15">
        <v>2443270643</v>
      </c>
      <c r="H20" s="15">
        <v>2443270643</v>
      </c>
      <c r="I20" s="16">
        <v>7.5757072163070691E-2</v>
      </c>
    </row>
    <row r="21" spans="1:9" x14ac:dyDescent="0.25">
      <c r="A21" s="12" t="s">
        <v>137</v>
      </c>
      <c r="B21" s="15">
        <v>-287781840</v>
      </c>
      <c r="C21" s="15">
        <v>0</v>
      </c>
      <c r="D21" s="15">
        <v>-287781840</v>
      </c>
      <c r="E21" s="16">
        <v>1.617223986888746E-3</v>
      </c>
      <c r="F21" s="15">
        <v>0</v>
      </c>
      <c r="G21" s="15">
        <v>262945640</v>
      </c>
      <c r="H21" s="15">
        <v>262945640</v>
      </c>
      <c r="I21" s="16">
        <v>8.1530025670777922E-3</v>
      </c>
    </row>
    <row r="22" spans="1:9" x14ac:dyDescent="0.25">
      <c r="A22" s="12" t="s">
        <v>140</v>
      </c>
      <c r="B22" s="15">
        <v>2808696789</v>
      </c>
      <c r="C22" s="15">
        <v>0</v>
      </c>
      <c r="D22" s="15">
        <v>2808696789</v>
      </c>
      <c r="E22" s="16">
        <v>-1.5783802824626457E-2</v>
      </c>
      <c r="F22" s="15">
        <v>2870566399</v>
      </c>
      <c r="G22" s="15">
        <v>0</v>
      </c>
      <c r="H22" s="15">
        <v>2870566399</v>
      </c>
      <c r="I22" s="16">
        <v>8.9005983213923043E-2</v>
      </c>
    </row>
    <row r="23" spans="1:9" x14ac:dyDescent="0.25">
      <c r="A23" s="12" t="s">
        <v>144</v>
      </c>
      <c r="B23" s="15">
        <v>36138984</v>
      </c>
      <c r="C23" s="15">
        <v>283718110</v>
      </c>
      <c r="D23" s="15">
        <v>319857094</v>
      </c>
      <c r="E23" s="16">
        <v>-1.7974746592534414E-3</v>
      </c>
      <c r="F23" s="15">
        <v>67041178</v>
      </c>
      <c r="G23" s="15">
        <v>283718110</v>
      </c>
      <c r="H23" s="15">
        <v>350759288</v>
      </c>
      <c r="I23" s="16">
        <v>1.0875789290479882E-2</v>
      </c>
    </row>
    <row r="24" spans="1:9" x14ac:dyDescent="0.25">
      <c r="A24" s="12" t="s">
        <v>145</v>
      </c>
      <c r="B24" s="15">
        <v>-158586910</v>
      </c>
      <c r="C24" s="15">
        <v>26915685</v>
      </c>
      <c r="D24" s="15">
        <v>-131671225</v>
      </c>
      <c r="E24" s="16">
        <v>7.3994197637010427E-4</v>
      </c>
      <c r="F24" s="15">
        <v>-68448111</v>
      </c>
      <c r="G24" s="15">
        <v>26915685</v>
      </c>
      <c r="H24" s="15">
        <v>-41532426</v>
      </c>
      <c r="I24" s="16">
        <v>-1.2877717835327804E-3</v>
      </c>
    </row>
    <row r="25" spans="1:9" x14ac:dyDescent="0.25">
      <c r="A25" s="12" t="s">
        <v>146</v>
      </c>
      <c r="B25" s="15">
        <v>23890163</v>
      </c>
      <c r="C25" s="15">
        <v>105988655</v>
      </c>
      <c r="D25" s="15">
        <v>129878818</v>
      </c>
      <c r="E25" s="16">
        <v>-7.298693338619206E-4</v>
      </c>
      <c r="F25" s="15">
        <v>49962125</v>
      </c>
      <c r="G25" s="15">
        <v>105988655</v>
      </c>
      <c r="H25" s="15">
        <v>155950780</v>
      </c>
      <c r="I25" s="16">
        <v>4.8354751563014463E-3</v>
      </c>
    </row>
    <row r="26" spans="1:9" x14ac:dyDescent="0.25">
      <c r="A26" s="12" t="s">
        <v>147</v>
      </c>
      <c r="B26" s="15">
        <v>-156076508</v>
      </c>
      <c r="C26" s="15">
        <v>224975799</v>
      </c>
      <c r="D26" s="15">
        <v>68899291</v>
      </c>
      <c r="E26" s="16">
        <v>-3.8718769080365841E-4</v>
      </c>
      <c r="F26" s="15">
        <v>4996212</v>
      </c>
      <c r="G26" s="15">
        <v>224975799</v>
      </c>
      <c r="H26" s="15">
        <v>229972011</v>
      </c>
      <c r="I26" s="16">
        <v>7.1306084255249192E-3</v>
      </c>
    </row>
    <row r="27" spans="1:9" x14ac:dyDescent="0.25">
      <c r="A27" s="12" t="s">
        <v>148</v>
      </c>
      <c r="B27" s="15">
        <v>-53822331</v>
      </c>
      <c r="C27" s="15">
        <v>295223511</v>
      </c>
      <c r="D27" s="15">
        <v>241401180</v>
      </c>
      <c r="E27" s="16">
        <v>-1.3565823985253822E-3</v>
      </c>
      <c r="F27" s="15">
        <v>32359469</v>
      </c>
      <c r="G27" s="15">
        <v>295223511</v>
      </c>
      <c r="H27" s="15">
        <v>327582980</v>
      </c>
      <c r="I27" s="16">
        <v>1.0157174984422609E-2</v>
      </c>
    </row>
    <row r="28" spans="1:9" x14ac:dyDescent="0.25">
      <c r="A28" s="12" t="s">
        <v>154</v>
      </c>
      <c r="B28" s="15">
        <v>126154366</v>
      </c>
      <c r="C28" s="15">
        <v>569299070</v>
      </c>
      <c r="D28" s="15">
        <v>695453436</v>
      </c>
      <c r="E28" s="16">
        <v>-3.9081825957586391E-3</v>
      </c>
      <c r="F28" s="15">
        <v>126154366</v>
      </c>
      <c r="G28" s="15">
        <v>569299070</v>
      </c>
      <c r="H28" s="15">
        <v>695453436</v>
      </c>
      <c r="I28" s="16">
        <v>2.156352031161677E-2</v>
      </c>
    </row>
    <row r="29" spans="1:9" x14ac:dyDescent="0.25">
      <c r="A29" s="12" t="s">
        <v>151</v>
      </c>
      <c r="B29" s="15">
        <v>0</v>
      </c>
      <c r="C29" s="15">
        <v>380000000</v>
      </c>
      <c r="D29" s="15">
        <v>380000000</v>
      </c>
      <c r="E29" s="16">
        <v>-2.1354548119426973E-3</v>
      </c>
      <c r="F29" s="15">
        <v>0</v>
      </c>
      <c r="G29" s="15">
        <v>380000000</v>
      </c>
      <c r="H29" s="15">
        <v>380000000</v>
      </c>
      <c r="I29" s="16">
        <v>1.1782439045156105E-2</v>
      </c>
    </row>
    <row r="30" spans="1:9" x14ac:dyDescent="0.25">
      <c r="A30" s="12" t="s">
        <v>155</v>
      </c>
      <c r="B30" s="15">
        <v>13989395</v>
      </c>
      <c r="C30" s="15">
        <v>85054895</v>
      </c>
      <c r="D30" s="15">
        <v>99044290</v>
      </c>
      <c r="E30" s="16">
        <v>-5.5659106756828414E-4</v>
      </c>
      <c r="F30" s="15">
        <v>13989395</v>
      </c>
      <c r="G30" s="15">
        <v>85054895</v>
      </c>
      <c r="H30" s="15">
        <v>99044290</v>
      </c>
      <c r="I30" s="16">
        <v>3.0710087097256954E-3</v>
      </c>
    </row>
    <row r="31" spans="1:9" x14ac:dyDescent="0.25">
      <c r="A31" s="12" t="s">
        <v>157</v>
      </c>
      <c r="B31" s="15">
        <v>29977275</v>
      </c>
      <c r="C31" s="15">
        <v>69977280</v>
      </c>
      <c r="D31" s="15">
        <v>99954555</v>
      </c>
      <c r="E31" s="16">
        <v>-5.6170640907984479E-4</v>
      </c>
      <c r="F31" s="15">
        <v>29977275</v>
      </c>
      <c r="G31" s="15">
        <v>69977280</v>
      </c>
      <c r="H31" s="15">
        <v>99954555</v>
      </c>
      <c r="I31" s="16">
        <v>3.0992327672979035E-3</v>
      </c>
    </row>
    <row r="32" spans="1:9" x14ac:dyDescent="0.25">
      <c r="A32" s="12" t="s">
        <v>156</v>
      </c>
      <c r="B32" s="15">
        <v>29977274</v>
      </c>
      <c r="C32" s="15">
        <v>44950810</v>
      </c>
      <c r="D32" s="15">
        <v>74928084</v>
      </c>
      <c r="E32" s="16">
        <v>-4.2106720401959642E-4</v>
      </c>
      <c r="F32" s="15">
        <v>29977274</v>
      </c>
      <c r="G32" s="15">
        <v>44950810</v>
      </c>
      <c r="H32" s="15">
        <v>74928084</v>
      </c>
      <c r="I32" s="16">
        <v>2.3232515328956223E-3</v>
      </c>
    </row>
    <row r="33" spans="1:9" x14ac:dyDescent="0.25">
      <c r="A33" s="12" t="s">
        <v>165</v>
      </c>
      <c r="B33" s="15">
        <v>87045450</v>
      </c>
      <c r="C33" s="15">
        <v>0</v>
      </c>
      <c r="D33" s="15">
        <v>87045450</v>
      </c>
      <c r="E33" s="16">
        <v>-4.8916217121109859E-4</v>
      </c>
      <c r="F33" s="15">
        <v>87045450</v>
      </c>
      <c r="G33" s="15">
        <v>0</v>
      </c>
      <c r="H33" s="15">
        <v>87045450</v>
      </c>
      <c r="I33" s="16">
        <v>2.6989676546925879E-3</v>
      </c>
    </row>
    <row r="34" spans="1:9" x14ac:dyDescent="0.25">
      <c r="A34" s="12" t="s">
        <v>158</v>
      </c>
      <c r="B34" s="15">
        <v>139893</v>
      </c>
      <c r="C34" s="15">
        <v>139852</v>
      </c>
      <c r="D34" s="15">
        <v>279745</v>
      </c>
      <c r="E34" s="16">
        <v>-1.5720600167550261E-6</v>
      </c>
      <c r="F34" s="15">
        <v>139893</v>
      </c>
      <c r="G34" s="15">
        <v>139852</v>
      </c>
      <c r="H34" s="15">
        <v>279745</v>
      </c>
      <c r="I34" s="16">
        <v>8.6738905544399857E-6</v>
      </c>
    </row>
    <row r="35" spans="1:9" x14ac:dyDescent="0.25">
      <c r="A35" s="12" t="s">
        <v>160</v>
      </c>
      <c r="B35" s="15">
        <v>0</v>
      </c>
      <c r="C35" s="15">
        <v>61719786</v>
      </c>
      <c r="D35" s="15">
        <v>61719786</v>
      </c>
      <c r="E35" s="16">
        <v>-3.4684161580466721E-4</v>
      </c>
      <c r="F35" s="15">
        <v>0</v>
      </c>
      <c r="G35" s="15">
        <v>61719786</v>
      </c>
      <c r="H35" s="15">
        <v>61719786</v>
      </c>
      <c r="I35" s="16">
        <v>1.9137095169081029E-3</v>
      </c>
    </row>
    <row r="36" spans="1:9" x14ac:dyDescent="0.25">
      <c r="A36" s="12" t="s">
        <v>161</v>
      </c>
      <c r="B36" s="15">
        <v>45068175</v>
      </c>
      <c r="C36" s="15">
        <v>34924266</v>
      </c>
      <c r="D36" s="15">
        <v>79992441</v>
      </c>
      <c r="E36" s="16">
        <v>-4.4952695540129557E-4</v>
      </c>
      <c r="F36" s="15">
        <v>45068175</v>
      </c>
      <c r="G36" s="15">
        <v>34924266</v>
      </c>
      <c r="H36" s="15">
        <v>79992441</v>
      </c>
      <c r="I36" s="16">
        <v>2.4802791056730161E-3</v>
      </c>
    </row>
    <row r="37" spans="1:9" x14ac:dyDescent="0.25">
      <c r="A37" s="12" t="s">
        <v>162</v>
      </c>
      <c r="B37" s="15">
        <v>11219495</v>
      </c>
      <c r="C37" s="15">
        <v>59977300</v>
      </c>
      <c r="D37" s="15">
        <v>71196795</v>
      </c>
      <c r="E37" s="16">
        <v>-4.0009878546749415E-4</v>
      </c>
      <c r="F37" s="15">
        <v>11219495</v>
      </c>
      <c r="G37" s="15">
        <v>59977300</v>
      </c>
      <c r="H37" s="15">
        <v>71196795</v>
      </c>
      <c r="I37" s="16">
        <v>2.2075576244683552E-3</v>
      </c>
    </row>
    <row r="38" spans="1:9" x14ac:dyDescent="0.25">
      <c r="A38" s="12" t="s">
        <v>166</v>
      </c>
      <c r="B38" s="15">
        <v>-41216626</v>
      </c>
      <c r="C38" s="15">
        <v>0</v>
      </c>
      <c r="D38" s="15">
        <v>-41216626</v>
      </c>
      <c r="E38" s="16">
        <v>2.3162169032563815E-4</v>
      </c>
      <c r="F38" s="15">
        <v>-41216626</v>
      </c>
      <c r="G38" s="15">
        <v>0</v>
      </c>
      <c r="H38" s="15">
        <v>-41216626</v>
      </c>
      <c r="I38" s="16">
        <v>-1.2779799565578848E-3</v>
      </c>
    </row>
    <row r="39" spans="1:9" x14ac:dyDescent="0.25">
      <c r="A39" s="12" t="s">
        <v>163</v>
      </c>
      <c r="B39" s="15">
        <v>45068175</v>
      </c>
      <c r="C39" s="15">
        <v>0</v>
      </c>
      <c r="D39" s="15">
        <v>45068175</v>
      </c>
      <c r="E39" s="16">
        <v>-2.5326592412954098E-4</v>
      </c>
      <c r="F39" s="15">
        <v>45068175</v>
      </c>
      <c r="G39" s="15">
        <v>0</v>
      </c>
      <c r="H39" s="15">
        <v>45068175</v>
      </c>
      <c r="I39" s="16">
        <v>1.3974026968787585E-3</v>
      </c>
    </row>
    <row r="40" spans="1:9" x14ac:dyDescent="0.25">
      <c r="A40" s="12" t="s">
        <v>164</v>
      </c>
      <c r="B40" s="15">
        <v>0</v>
      </c>
      <c r="C40" s="15">
        <v>0</v>
      </c>
      <c r="D40" s="15">
        <v>0</v>
      </c>
      <c r="E40" s="16">
        <v>0</v>
      </c>
      <c r="F40" s="15">
        <v>363724270</v>
      </c>
      <c r="G40" s="15">
        <v>2675971415</v>
      </c>
      <c r="H40" s="15">
        <v>3039695685</v>
      </c>
      <c r="I40" s="16">
        <v>9.4250076642990871E-2</v>
      </c>
    </row>
    <row r="41" spans="1:9" x14ac:dyDescent="0.25">
      <c r="A41" s="12" t="s">
        <v>131</v>
      </c>
      <c r="B41" s="15">
        <v>0</v>
      </c>
      <c r="C41" s="15">
        <v>0</v>
      </c>
      <c r="D41" s="15">
        <v>0</v>
      </c>
      <c r="E41" s="16">
        <v>0</v>
      </c>
      <c r="F41" s="15">
        <v>-81937885</v>
      </c>
      <c r="G41" s="15">
        <v>-11252302</v>
      </c>
      <c r="H41" s="15">
        <v>-93190187</v>
      </c>
      <c r="I41" s="16">
        <v>-2.8894939419321021E-3</v>
      </c>
    </row>
    <row r="42" spans="1:9" x14ac:dyDescent="0.25">
      <c r="A42" s="12" t="s">
        <v>130</v>
      </c>
      <c r="B42" s="15">
        <v>0</v>
      </c>
      <c r="C42" s="15">
        <v>0</v>
      </c>
      <c r="D42" s="15">
        <v>0</v>
      </c>
      <c r="E42" s="16">
        <v>0</v>
      </c>
      <c r="F42" s="15">
        <v>-17986365</v>
      </c>
      <c r="G42" s="15">
        <v>-31062868</v>
      </c>
      <c r="H42" s="15">
        <v>-49049233</v>
      </c>
      <c r="I42" s="16">
        <v>-1.520841047458314E-3</v>
      </c>
    </row>
    <row r="43" spans="1:9" x14ac:dyDescent="0.25">
      <c r="A43" s="12" t="s">
        <v>135</v>
      </c>
      <c r="B43" s="15">
        <v>0</v>
      </c>
      <c r="C43" s="15">
        <v>0</v>
      </c>
      <c r="D43" s="15">
        <v>0</v>
      </c>
      <c r="E43" s="16">
        <v>0</v>
      </c>
      <c r="F43" s="15">
        <v>-39969700</v>
      </c>
      <c r="G43" s="15">
        <v>86002390</v>
      </c>
      <c r="H43" s="15">
        <v>46032690</v>
      </c>
      <c r="I43" s="16">
        <v>1.4273088526567551E-3</v>
      </c>
    </row>
    <row r="44" spans="1:9" x14ac:dyDescent="0.25">
      <c r="A44" s="12" t="s">
        <v>141</v>
      </c>
      <c r="B44" s="15">
        <v>0</v>
      </c>
      <c r="C44" s="15">
        <v>0</v>
      </c>
      <c r="D44" s="15">
        <v>0</v>
      </c>
      <c r="E44" s="16">
        <v>0</v>
      </c>
      <c r="F44" s="15">
        <v>13639660</v>
      </c>
      <c r="G44" s="15">
        <v>193957616</v>
      </c>
      <c r="H44" s="15">
        <v>207597276</v>
      </c>
      <c r="I44" s="16">
        <v>6.4368480273959165E-3</v>
      </c>
    </row>
    <row r="45" spans="1:9" x14ac:dyDescent="0.25">
      <c r="A45" s="12" t="s">
        <v>143</v>
      </c>
      <c r="B45" s="15">
        <v>0</v>
      </c>
      <c r="C45" s="15">
        <v>0</v>
      </c>
      <c r="D45" s="15">
        <v>0</v>
      </c>
      <c r="E45" s="16">
        <v>0</v>
      </c>
      <c r="F45" s="15">
        <v>-65017255</v>
      </c>
      <c r="G45" s="15">
        <v>-46032636</v>
      </c>
      <c r="H45" s="15">
        <v>-111049891</v>
      </c>
      <c r="I45" s="16">
        <v>-3.4432593991545512E-3</v>
      </c>
    </row>
    <row r="46" spans="1:9" ht="19.2" thickBot="1" x14ac:dyDescent="0.3">
      <c r="A46" s="12" t="s">
        <v>2</v>
      </c>
      <c r="B46" s="18">
        <f t="shared" ref="B46:I46" si="0">SUM(B10:B45)</f>
        <v>-336209550</v>
      </c>
      <c r="C46" s="18">
        <f t="shared" si="0"/>
        <v>7161556102</v>
      </c>
      <c r="D46" s="18">
        <f t="shared" si="0"/>
        <v>6825346552</v>
      </c>
      <c r="E46" s="19">
        <f t="shared" si="0"/>
        <v>-3.8355839835907617E-2</v>
      </c>
      <c r="F46" s="18">
        <f t="shared" si="0"/>
        <v>3518684779</v>
      </c>
      <c r="G46" s="18">
        <f t="shared" si="0"/>
        <v>10415477595</v>
      </c>
      <c r="H46" s="18">
        <f t="shared" si="0"/>
        <v>13934162374</v>
      </c>
      <c r="I46" s="19">
        <f t="shared" si="0"/>
        <v>0.43204847057095441</v>
      </c>
    </row>
    <row r="47" spans="1:9" ht="19.2" thickTop="1" x14ac:dyDescent="0.25">
      <c r="B47" s="46"/>
      <c r="C47" s="46"/>
      <c r="D47" s="46"/>
      <c r="E47" s="46"/>
      <c r="F47" s="46"/>
      <c r="G47" s="46"/>
      <c r="H47" s="46"/>
      <c r="I47" s="46"/>
    </row>
  </sheetData>
  <mergeCells count="12">
    <mergeCell ref="H8:I8"/>
    <mergeCell ref="A8:A9"/>
    <mergeCell ref="D8:E8"/>
    <mergeCell ref="B8:B9"/>
    <mergeCell ref="C8:C9"/>
    <mergeCell ref="F8:F9"/>
    <mergeCell ref="G8:G9"/>
    <mergeCell ref="B7:E7"/>
    <mergeCell ref="F7:I7"/>
    <mergeCell ref="A1:I1"/>
    <mergeCell ref="A2:I2"/>
    <mergeCell ref="A3:I3"/>
  </mergeCells>
  <conditionalFormatting sqref="F4:F6">
    <cfRule type="duplicateValues" dxfId="2" priority="4"/>
    <cfRule type="duplicateValues" dxfId="1" priority="5"/>
  </conditionalFormatting>
  <conditionalFormatting sqref="F4:G6 G10:G12 A7:B7">
    <cfRule type="cellIs" dxfId="0" priority="1" operator="equal">
      <formula>-3000000000000</formula>
    </cfRule>
  </conditionalFormatting>
  <pageMargins left="0.7" right="0.7" top="0.75" bottom="0.75" header="0.3" footer="0.3"/>
  <pageSetup scale="52"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2"/>
  <sheetViews>
    <sheetView rightToLeft="1" view="pageBreakPreview" zoomScaleNormal="100" zoomScaleSheetLayoutView="100" workbookViewId="0">
      <selection activeCell="H21" sqref="H21"/>
    </sheetView>
  </sheetViews>
  <sheetFormatPr defaultColWidth="9.09765625" defaultRowHeight="18" x14ac:dyDescent="0.25"/>
  <cols>
    <col min="1" max="1" width="23.69921875" style="10" customWidth="1"/>
    <col min="2" max="2" width="22.8984375" style="10" customWidth="1"/>
    <col min="3" max="3" width="10.796875" style="10" customWidth="1"/>
    <col min="4" max="4" width="22.3984375" style="10" customWidth="1"/>
    <col min="5" max="5" width="10.296875" style="10" customWidth="1"/>
    <col min="6" max="16384" width="9.09765625" style="10"/>
  </cols>
  <sheetData>
    <row r="1" spans="1:6" ht="20.399999999999999" x14ac:dyDescent="0.25">
      <c r="A1" s="77" t="s">
        <v>64</v>
      </c>
      <c r="B1" s="77"/>
      <c r="C1" s="77"/>
      <c r="D1" s="77"/>
      <c r="E1" s="77"/>
    </row>
    <row r="2" spans="1:6" ht="20.399999999999999" x14ac:dyDescent="0.25">
      <c r="A2" s="77" t="s">
        <v>47</v>
      </c>
      <c r="B2" s="77"/>
      <c r="C2" s="77"/>
      <c r="D2" s="77"/>
      <c r="E2" s="77"/>
    </row>
    <row r="3" spans="1:6" ht="20.399999999999999" x14ac:dyDescent="0.25">
      <c r="A3" s="77" t="s">
        <v>66</v>
      </c>
      <c r="B3" s="77"/>
      <c r="C3" s="77"/>
      <c r="D3" s="77"/>
      <c r="E3" s="77"/>
    </row>
    <row r="4" spans="1:6" ht="20.399999999999999" x14ac:dyDescent="0.25">
      <c r="A4" s="5"/>
      <c r="B4" s="5"/>
      <c r="C4" s="5"/>
      <c r="D4" s="5"/>
      <c r="E4" s="5"/>
    </row>
    <row r="5" spans="1:6" ht="20.399999999999999" x14ac:dyDescent="0.25">
      <c r="A5" s="41" t="s">
        <v>204</v>
      </c>
      <c r="B5" s="41"/>
      <c r="C5" s="41"/>
      <c r="D5" s="41"/>
      <c r="E5" s="41"/>
    </row>
    <row r="6" spans="1:6" x14ac:dyDescent="0.25">
      <c r="A6" s="27"/>
      <c r="B6" s="27"/>
      <c r="C6" s="27"/>
      <c r="D6" s="27"/>
      <c r="E6" s="27"/>
    </row>
    <row r="7" spans="1:6" ht="18.600000000000001" thickBot="1" x14ac:dyDescent="0.3">
      <c r="A7" s="49"/>
      <c r="B7" s="81" t="s">
        <v>201</v>
      </c>
      <c r="C7" s="81"/>
      <c r="D7" s="81" t="s">
        <v>202</v>
      </c>
      <c r="E7" s="81"/>
      <c r="F7" s="47"/>
    </row>
    <row r="8" spans="1:6" ht="35.4" thickBot="1" x14ac:dyDescent="0.3">
      <c r="A8" s="6" t="s">
        <v>198</v>
      </c>
      <c r="B8" s="42" t="s">
        <v>9</v>
      </c>
      <c r="C8" s="42" t="s">
        <v>205</v>
      </c>
      <c r="D8" s="42" t="s">
        <v>9</v>
      </c>
      <c r="E8" s="42" t="s">
        <v>205</v>
      </c>
      <c r="F8" s="48"/>
    </row>
    <row r="9" spans="1:6" x14ac:dyDescent="0.25">
      <c r="A9" s="12" t="s">
        <v>68</v>
      </c>
      <c r="B9" s="15">
        <v>3663840</v>
      </c>
      <c r="C9" s="16">
        <f>B9/B11</f>
        <v>2.97509131785489E-3</v>
      </c>
      <c r="D9" s="15">
        <v>5294453</v>
      </c>
      <c r="E9" s="16">
        <f>D9/D11</f>
        <v>2.4427907977073718E-3</v>
      </c>
    </row>
    <row r="10" spans="1:6" x14ac:dyDescent="0.25">
      <c r="A10" s="12" t="s">
        <v>70</v>
      </c>
      <c r="B10" s="15">
        <v>1227841216</v>
      </c>
      <c r="C10" s="16">
        <f>B10/B11</f>
        <v>0.99702490868214511</v>
      </c>
      <c r="D10" s="15">
        <v>2162084352</v>
      </c>
      <c r="E10" s="16">
        <f>D10/D11</f>
        <v>0.99755720920229263</v>
      </c>
    </row>
    <row r="11" spans="1:6" ht="18.600000000000001" thickBot="1" x14ac:dyDescent="0.3">
      <c r="A11" s="12" t="s">
        <v>2</v>
      </c>
      <c r="B11" s="18">
        <f>SUM(B9:B10)</f>
        <v>1231505056</v>
      </c>
      <c r="C11" s="50">
        <f>SUM(C9:C10)</f>
        <v>1</v>
      </c>
      <c r="D11" s="18">
        <f>SUM(D9:D10)</f>
        <v>2167378805</v>
      </c>
      <c r="E11" s="50">
        <f>SUM(E9:E10)</f>
        <v>1</v>
      </c>
    </row>
    <row r="12" spans="1:6" ht="18.600000000000001" thickTop="1" x14ac:dyDescent="0.25"/>
  </sheetData>
  <mergeCells count="5">
    <mergeCell ref="B7:C7"/>
    <mergeCell ref="D7:E7"/>
    <mergeCell ref="A1:E1"/>
    <mergeCell ref="A2:E2"/>
    <mergeCell ref="A3:E3"/>
  </mergeCells>
  <pageMargins left="0.7" right="0.7" top="0.75" bottom="0.75" header="0.3" footer="0.3"/>
  <pageSetup scale="93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3"/>
  <sheetViews>
    <sheetView rightToLeft="1" view="pageBreakPreview" zoomScale="85" zoomScaleNormal="100" zoomScaleSheetLayoutView="85" workbookViewId="0">
      <selection activeCell="C12" sqref="C12"/>
    </sheetView>
  </sheetViews>
  <sheetFormatPr defaultRowHeight="18.600000000000001" x14ac:dyDescent="0.25"/>
  <cols>
    <col min="1" max="1" width="27.296875" style="44" customWidth="1"/>
    <col min="2" max="2" width="19.8984375" style="44" customWidth="1"/>
    <col min="3" max="3" width="28.5" style="44" customWidth="1"/>
    <col min="4" max="16384" width="8.796875" style="44"/>
  </cols>
  <sheetData>
    <row r="1" spans="1:3" ht="20.399999999999999" x14ac:dyDescent="0.25">
      <c r="A1" s="77" t="s">
        <v>64</v>
      </c>
      <c r="B1" s="77"/>
      <c r="C1" s="77"/>
    </row>
    <row r="2" spans="1:3" ht="20.399999999999999" x14ac:dyDescent="0.25">
      <c r="A2" s="77" t="s">
        <v>47</v>
      </c>
      <c r="B2" s="77"/>
      <c r="C2" s="77"/>
    </row>
    <row r="3" spans="1:3" ht="20.399999999999999" x14ac:dyDescent="0.25">
      <c r="A3" s="77" t="s">
        <v>66</v>
      </c>
      <c r="B3" s="77"/>
      <c r="C3" s="77"/>
    </row>
    <row r="4" spans="1:3" ht="20.399999999999999" x14ac:dyDescent="0.25">
      <c r="A4" s="5"/>
      <c r="B4" s="5"/>
      <c r="C4" s="5"/>
    </row>
    <row r="5" spans="1:3" ht="20.399999999999999" x14ac:dyDescent="0.25">
      <c r="A5" s="41" t="s">
        <v>206</v>
      </c>
      <c r="B5" s="41"/>
      <c r="C5" s="41"/>
    </row>
    <row r="6" spans="1:3" ht="20.399999999999999" x14ac:dyDescent="0.25">
      <c r="A6" s="41"/>
      <c r="B6" s="41"/>
      <c r="C6" s="41"/>
    </row>
    <row r="7" spans="1:3" ht="19.2" thickBot="1" x14ac:dyDescent="0.3">
      <c r="A7" s="51"/>
      <c r="B7" s="6" t="s">
        <v>201</v>
      </c>
      <c r="C7" s="6" t="s">
        <v>202</v>
      </c>
    </row>
    <row r="8" spans="1:3" ht="16.5" customHeight="1" x14ac:dyDescent="0.25">
      <c r="A8" s="89" t="s">
        <v>18</v>
      </c>
      <c r="B8" s="84" t="s">
        <v>4</v>
      </c>
      <c r="C8" s="84" t="s">
        <v>4</v>
      </c>
    </row>
    <row r="9" spans="1:3" ht="19.2" thickBot="1" x14ac:dyDescent="0.3">
      <c r="A9" s="86"/>
      <c r="B9" s="81"/>
      <c r="C9" s="81"/>
    </row>
    <row r="10" spans="1:3" x14ac:dyDescent="0.25">
      <c r="A10" s="12" t="s">
        <v>207</v>
      </c>
      <c r="B10" s="15">
        <v>51911612</v>
      </c>
      <c r="C10" s="15">
        <v>184088228</v>
      </c>
    </row>
    <row r="11" spans="1:3" x14ac:dyDescent="0.25">
      <c r="A11" s="12" t="s">
        <v>18</v>
      </c>
      <c r="B11" s="15">
        <v>317399099</v>
      </c>
      <c r="C11" s="15">
        <v>317399099</v>
      </c>
    </row>
    <row r="12" spans="1:3" ht="19.2" thickBot="1" x14ac:dyDescent="0.3">
      <c r="A12" s="12" t="s">
        <v>2</v>
      </c>
      <c r="B12" s="18">
        <f>SUM(B10:B11)</f>
        <v>369310711</v>
      </c>
      <c r="C12" s="18">
        <f>SUM(C10:C11)</f>
        <v>501487327</v>
      </c>
    </row>
    <row r="13" spans="1:3" ht="19.2" thickTop="1" x14ac:dyDescent="0.25"/>
  </sheetData>
  <mergeCells count="6">
    <mergeCell ref="A1:C1"/>
    <mergeCell ref="A2:C2"/>
    <mergeCell ref="A3:C3"/>
    <mergeCell ref="C8:C9"/>
    <mergeCell ref="B8:B9"/>
    <mergeCell ref="A8:A9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1"/>
  <sheetViews>
    <sheetView rightToLeft="1" view="pageBreakPreview" zoomScale="98" zoomScaleNormal="70" zoomScaleSheetLayoutView="98" workbookViewId="0">
      <selection activeCell="E19" sqref="E19"/>
    </sheetView>
  </sheetViews>
  <sheetFormatPr defaultColWidth="9.09765625" defaultRowHeight="18" x14ac:dyDescent="0.25"/>
  <cols>
    <col min="1" max="1" width="23.296875" style="10" customWidth="1"/>
    <col min="2" max="2" width="14.296875" style="10" customWidth="1"/>
    <col min="3" max="3" width="21.09765625" style="10" customWidth="1"/>
    <col min="4" max="4" width="17" style="10" customWidth="1"/>
    <col min="5" max="6" width="17.59765625" style="10" customWidth="1"/>
    <col min="7" max="7" width="16" style="10" customWidth="1"/>
    <col min="8" max="8" width="19.3984375" style="10" customWidth="1"/>
    <col min="9" max="9" width="17.59765625" style="10" customWidth="1"/>
    <col min="10" max="10" width="16.09765625" style="10" customWidth="1"/>
    <col min="11" max="16384" width="9.09765625" style="10"/>
  </cols>
  <sheetData>
    <row r="1" spans="1:13" ht="20.399999999999999" x14ac:dyDescent="0.25">
      <c r="A1" s="77" t="s">
        <v>64</v>
      </c>
      <c r="B1" s="77"/>
      <c r="C1" s="77"/>
      <c r="D1" s="77"/>
      <c r="E1" s="77"/>
      <c r="F1" s="77"/>
      <c r="G1" s="77"/>
      <c r="H1" s="77"/>
      <c r="I1" s="77"/>
      <c r="J1" s="77"/>
    </row>
    <row r="2" spans="1:13" ht="20.399999999999999" x14ac:dyDescent="0.25">
      <c r="A2" s="77" t="s">
        <v>47</v>
      </c>
      <c r="B2" s="77"/>
      <c r="C2" s="77"/>
      <c r="D2" s="77"/>
      <c r="E2" s="77"/>
      <c r="F2" s="77"/>
      <c r="G2" s="77"/>
      <c r="H2" s="77"/>
      <c r="I2" s="77"/>
      <c r="J2" s="77"/>
    </row>
    <row r="3" spans="1:13" ht="20.399999999999999" x14ac:dyDescent="0.25">
      <c r="A3" s="77" t="s">
        <v>66</v>
      </c>
      <c r="B3" s="77"/>
      <c r="C3" s="77"/>
      <c r="D3" s="77"/>
      <c r="E3" s="77"/>
      <c r="F3" s="77"/>
      <c r="G3" s="77"/>
      <c r="H3" s="77"/>
      <c r="I3" s="77"/>
      <c r="J3" s="77"/>
    </row>
    <row r="4" spans="1:13" ht="20.399999999999999" x14ac:dyDescent="0.25">
      <c r="A4" s="5"/>
      <c r="B4" s="5"/>
      <c r="C4" s="5"/>
      <c r="D4" s="5"/>
      <c r="E4" s="5"/>
      <c r="F4" s="5"/>
      <c r="G4" s="5"/>
      <c r="H4" s="5"/>
      <c r="I4" s="5"/>
      <c r="J4" s="5"/>
    </row>
    <row r="5" spans="1:13" ht="20.399999999999999" x14ac:dyDescent="0.25">
      <c r="A5" s="78" t="s">
        <v>5</v>
      </c>
      <c r="B5" s="78"/>
      <c r="C5" s="78"/>
      <c r="D5" s="78"/>
      <c r="E5" s="78"/>
      <c r="F5" s="78"/>
      <c r="G5" s="78"/>
      <c r="H5" s="78"/>
      <c r="I5" s="78"/>
      <c r="J5" s="78"/>
      <c r="K5" s="20"/>
      <c r="L5" s="20"/>
      <c r="M5" s="20"/>
    </row>
    <row r="6" spans="1:13" ht="16.5" customHeight="1" thickBot="1" x14ac:dyDescent="0.3">
      <c r="A6" s="27"/>
      <c r="B6" s="90" t="s">
        <v>34</v>
      </c>
      <c r="C6" s="90"/>
      <c r="D6" s="90"/>
      <c r="E6" s="81" t="s">
        <v>201</v>
      </c>
      <c r="F6" s="81"/>
      <c r="G6" s="81"/>
      <c r="H6" s="81" t="s">
        <v>202</v>
      </c>
      <c r="I6" s="81"/>
      <c r="J6" s="81"/>
      <c r="K6" s="47"/>
      <c r="L6" s="47"/>
      <c r="M6" s="47"/>
    </row>
    <row r="7" spans="1:13" ht="18.600000000000001" thickBot="1" x14ac:dyDescent="0.3">
      <c r="A7" s="55" t="s">
        <v>20</v>
      </c>
      <c r="B7" s="55" t="s">
        <v>28</v>
      </c>
      <c r="C7" s="55" t="s">
        <v>33</v>
      </c>
      <c r="D7" s="55" t="s">
        <v>29</v>
      </c>
      <c r="E7" s="55" t="s">
        <v>30</v>
      </c>
      <c r="F7" s="55" t="s">
        <v>31</v>
      </c>
      <c r="G7" s="55" t="s">
        <v>32</v>
      </c>
      <c r="H7" s="55" t="s">
        <v>30</v>
      </c>
      <c r="I7" s="55" t="s">
        <v>31</v>
      </c>
      <c r="J7" s="55" t="s">
        <v>32</v>
      </c>
    </row>
    <row r="8" spans="1:13" x14ac:dyDescent="0.25">
      <c r="A8" s="12" t="s">
        <v>117</v>
      </c>
      <c r="B8" s="15" t="s">
        <v>118</v>
      </c>
      <c r="C8" s="15">
        <v>550000</v>
      </c>
      <c r="D8" s="15">
        <v>8700</v>
      </c>
      <c r="E8" s="14">
        <v>0</v>
      </c>
      <c r="F8" s="14">
        <v>0</v>
      </c>
      <c r="G8" s="14">
        <v>0</v>
      </c>
      <c r="H8" s="15">
        <v>4785000000</v>
      </c>
      <c r="I8" s="15">
        <v>0</v>
      </c>
      <c r="J8" s="15">
        <v>4785000000</v>
      </c>
    </row>
    <row r="9" spans="1:13" x14ac:dyDescent="0.25">
      <c r="A9" s="12" t="s">
        <v>101</v>
      </c>
      <c r="B9" s="15" t="s">
        <v>119</v>
      </c>
      <c r="C9" s="15">
        <v>350000</v>
      </c>
      <c r="D9" s="15">
        <v>9250</v>
      </c>
      <c r="E9" s="15">
        <v>3237500000</v>
      </c>
      <c r="F9" s="15">
        <v>-453783863</v>
      </c>
      <c r="G9" s="15">
        <v>2783716137</v>
      </c>
      <c r="H9" s="15">
        <v>3237500000</v>
      </c>
      <c r="I9" s="15">
        <v>-453783863</v>
      </c>
      <c r="J9" s="15">
        <v>2783716137</v>
      </c>
    </row>
    <row r="10" spans="1:13" ht="18.600000000000001" thickBot="1" x14ac:dyDescent="0.3">
      <c r="A10" s="12" t="s">
        <v>2</v>
      </c>
      <c r="B10" s="15"/>
      <c r="C10" s="15"/>
      <c r="D10" s="15"/>
      <c r="E10" s="18">
        <f t="shared" ref="E10:J10" si="0">SUM(E8:E9)</f>
        <v>3237500000</v>
      </c>
      <c r="F10" s="18">
        <f t="shared" si="0"/>
        <v>-453783863</v>
      </c>
      <c r="G10" s="18">
        <f t="shared" si="0"/>
        <v>2783716137</v>
      </c>
      <c r="H10" s="18">
        <f t="shared" si="0"/>
        <v>8022500000</v>
      </c>
      <c r="I10" s="18">
        <f t="shared" si="0"/>
        <v>-453783863</v>
      </c>
      <c r="J10" s="18">
        <f t="shared" si="0"/>
        <v>7568716137</v>
      </c>
    </row>
    <row r="11" spans="1:13" ht="18.600000000000001" thickTop="1" x14ac:dyDescent="0.25"/>
  </sheetData>
  <mergeCells count="7">
    <mergeCell ref="B6:D6"/>
    <mergeCell ref="E6:G6"/>
    <mergeCell ref="H6:J6"/>
    <mergeCell ref="A1:J1"/>
    <mergeCell ref="A2:J2"/>
    <mergeCell ref="A3:J3"/>
    <mergeCell ref="A5:J5"/>
  </mergeCells>
  <pageMargins left="0.7" right="0.7" top="0.75" bottom="0.75" header="0.3" footer="0.3"/>
  <pageSetup scale="59" orientation="landscape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1"/>
  <sheetViews>
    <sheetView rightToLeft="1" view="pageBreakPreview" zoomScaleNormal="100" zoomScaleSheetLayoutView="100" workbookViewId="0">
      <selection activeCell="B10" sqref="B10"/>
    </sheetView>
  </sheetViews>
  <sheetFormatPr defaultRowHeight="18.600000000000001" x14ac:dyDescent="0.25"/>
  <cols>
    <col min="1" max="1" width="25.296875" style="44" customWidth="1"/>
    <col min="2" max="7" width="16" style="44" customWidth="1"/>
    <col min="8" max="16384" width="8.796875" style="44"/>
  </cols>
  <sheetData>
    <row r="1" spans="1:7" x14ac:dyDescent="0.25">
      <c r="A1" s="91" t="s">
        <v>64</v>
      </c>
      <c r="B1" s="91"/>
      <c r="C1" s="91"/>
      <c r="D1" s="91"/>
      <c r="E1" s="91"/>
      <c r="F1" s="91"/>
      <c r="G1" s="91"/>
    </row>
    <row r="2" spans="1:7" x14ac:dyDescent="0.25">
      <c r="A2" s="91" t="s">
        <v>47</v>
      </c>
      <c r="B2" s="91"/>
      <c r="C2" s="91"/>
      <c r="D2" s="91"/>
      <c r="E2" s="91"/>
      <c r="F2" s="91"/>
      <c r="G2" s="91"/>
    </row>
    <row r="3" spans="1:7" x14ac:dyDescent="0.25">
      <c r="A3" s="91" t="s">
        <v>66</v>
      </c>
      <c r="B3" s="91"/>
      <c r="C3" s="91"/>
      <c r="D3" s="91"/>
      <c r="E3" s="91"/>
      <c r="F3" s="91"/>
      <c r="G3" s="91"/>
    </row>
    <row r="4" spans="1:7" x14ac:dyDescent="0.25">
      <c r="A4" s="58"/>
      <c r="B4" s="58"/>
      <c r="C4" s="58"/>
      <c r="D4" s="58"/>
      <c r="E4" s="58"/>
      <c r="F4" s="58"/>
      <c r="G4" s="58"/>
    </row>
    <row r="5" spans="1:7" ht="20.399999999999999" x14ac:dyDescent="0.25">
      <c r="A5" s="78" t="s">
        <v>58</v>
      </c>
      <c r="B5" s="78"/>
      <c r="C5" s="78"/>
      <c r="D5" s="78"/>
      <c r="E5" s="78"/>
      <c r="F5" s="78"/>
      <c r="G5" s="78"/>
    </row>
    <row r="6" spans="1:7" ht="16.5" customHeight="1" thickBot="1" x14ac:dyDescent="0.3">
      <c r="A6" s="57"/>
      <c r="B6" s="81" t="s">
        <v>201</v>
      </c>
      <c r="C6" s="81"/>
      <c r="D6" s="81"/>
      <c r="E6" s="81" t="s">
        <v>202</v>
      </c>
      <c r="F6" s="81"/>
      <c r="G6" s="81"/>
    </row>
    <row r="7" spans="1:7" ht="38.25" customHeight="1" thickBot="1" x14ac:dyDescent="0.3">
      <c r="A7" s="2" t="s">
        <v>198</v>
      </c>
      <c r="B7" s="56" t="s">
        <v>48</v>
      </c>
      <c r="C7" s="56" t="s">
        <v>31</v>
      </c>
      <c r="D7" s="56" t="s">
        <v>35</v>
      </c>
      <c r="E7" s="56" t="s">
        <v>48</v>
      </c>
      <c r="F7" s="56" t="s">
        <v>31</v>
      </c>
      <c r="G7" s="56" t="s">
        <v>35</v>
      </c>
    </row>
    <row r="8" spans="1:7" x14ac:dyDescent="0.25">
      <c r="A8" s="12" t="s">
        <v>68</v>
      </c>
      <c r="B8" s="15">
        <v>3663840</v>
      </c>
      <c r="C8" s="15">
        <v>0</v>
      </c>
      <c r="D8" s="15">
        <v>3663840</v>
      </c>
      <c r="E8" s="15">
        <v>5294453</v>
      </c>
      <c r="F8" s="15">
        <v>0</v>
      </c>
      <c r="G8" s="15">
        <v>5294453</v>
      </c>
    </row>
    <row r="9" spans="1:7" x14ac:dyDescent="0.25">
      <c r="A9" s="12" t="s">
        <v>70</v>
      </c>
      <c r="B9" s="15">
        <v>1227841216</v>
      </c>
      <c r="C9" s="15">
        <v>-4490798</v>
      </c>
      <c r="D9" s="15">
        <v>1223350418</v>
      </c>
      <c r="E9" s="15">
        <v>2162084352</v>
      </c>
      <c r="F9" s="15">
        <v>-106276</v>
      </c>
      <c r="G9" s="15">
        <v>2161978076</v>
      </c>
    </row>
    <row r="10" spans="1:7" ht="19.2" thickBot="1" x14ac:dyDescent="0.3">
      <c r="A10" s="12" t="s">
        <v>2</v>
      </c>
      <c r="B10" s="18">
        <f t="shared" ref="B10:G10" si="0">SUM(B8:B9)</f>
        <v>1231505056</v>
      </c>
      <c r="C10" s="18">
        <f t="shared" si="0"/>
        <v>-4490798</v>
      </c>
      <c r="D10" s="18">
        <f t="shared" si="0"/>
        <v>1227014258</v>
      </c>
      <c r="E10" s="18">
        <f t="shared" si="0"/>
        <v>2167378805</v>
      </c>
      <c r="F10" s="18">
        <f t="shared" si="0"/>
        <v>-106276</v>
      </c>
      <c r="G10" s="18">
        <f t="shared" si="0"/>
        <v>2167272529</v>
      </c>
    </row>
    <row r="11" spans="1:7" ht="19.2" thickTop="1" x14ac:dyDescent="0.25"/>
  </sheetData>
  <mergeCells count="6">
    <mergeCell ref="A1:G1"/>
    <mergeCell ref="A2:G2"/>
    <mergeCell ref="A3:G3"/>
    <mergeCell ref="A5:G5"/>
    <mergeCell ref="B6:D6"/>
    <mergeCell ref="E6:G6"/>
  </mergeCells>
  <pageMargins left="0.7" right="0.7" top="0.75" bottom="0.75" header="0.3" footer="0.3"/>
  <pageSetup scale="86" orientation="landscape" horizontalDpi="4294967295" verticalDpi="4294967295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76"/>
  <sheetViews>
    <sheetView rightToLeft="1" view="pageBreakPreview" zoomScale="60" zoomScaleNormal="70" workbookViewId="0">
      <selection activeCell="B6" sqref="B6:J6"/>
    </sheetView>
  </sheetViews>
  <sheetFormatPr defaultRowHeight="18.600000000000001" x14ac:dyDescent="0.25"/>
  <cols>
    <col min="1" max="1" width="34.69921875" style="44" customWidth="1"/>
    <col min="2" max="2" width="16.59765625" style="44" customWidth="1"/>
    <col min="3" max="3" width="19.8984375" style="44" customWidth="1"/>
    <col min="4" max="4" width="19.59765625" style="44" customWidth="1"/>
    <col min="5" max="5" width="20.69921875" style="44" customWidth="1"/>
    <col min="6" max="6" width="1.59765625" style="44" customWidth="1"/>
    <col min="7" max="7" width="14.3984375" style="44" customWidth="1"/>
    <col min="8" max="8" width="20.59765625" style="44" customWidth="1"/>
    <col min="9" max="9" width="20.296875" style="44" customWidth="1"/>
    <col min="10" max="10" width="23.09765625" style="44" customWidth="1"/>
    <col min="11" max="16384" width="8.796875" style="44"/>
  </cols>
  <sheetData>
    <row r="1" spans="1:10" ht="20.399999999999999" x14ac:dyDescent="0.25">
      <c r="A1" s="77" t="s">
        <v>64</v>
      </c>
      <c r="B1" s="77"/>
      <c r="C1" s="77"/>
      <c r="D1" s="77"/>
      <c r="E1" s="77"/>
      <c r="F1" s="77"/>
      <c r="G1" s="77"/>
      <c r="H1" s="77"/>
      <c r="I1" s="77"/>
      <c r="J1" s="77"/>
    </row>
    <row r="2" spans="1:10" ht="20.399999999999999" x14ac:dyDescent="0.25">
      <c r="A2" s="77" t="s">
        <v>47</v>
      </c>
      <c r="B2" s="77"/>
      <c r="C2" s="77"/>
      <c r="D2" s="77"/>
      <c r="E2" s="77"/>
      <c r="F2" s="77"/>
      <c r="G2" s="77"/>
      <c r="H2" s="77"/>
      <c r="I2" s="77"/>
      <c r="J2" s="77"/>
    </row>
    <row r="3" spans="1:10" ht="20.399999999999999" x14ac:dyDescent="0.25">
      <c r="A3" s="77" t="s">
        <v>66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ht="20.399999999999999" x14ac:dyDescent="0.25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ht="20.399999999999999" x14ac:dyDescent="0.25">
      <c r="A5" s="78" t="s">
        <v>42</v>
      </c>
      <c r="B5" s="78"/>
      <c r="C5" s="78"/>
      <c r="D5" s="78"/>
      <c r="E5" s="78"/>
      <c r="F5" s="40"/>
      <c r="G5" s="78"/>
      <c r="H5" s="78"/>
      <c r="I5" s="78"/>
      <c r="J5" s="78"/>
    </row>
    <row r="6" spans="1:10" ht="16.5" customHeight="1" thickBot="1" x14ac:dyDescent="0.3">
      <c r="A6" s="59"/>
      <c r="B6" s="81" t="s">
        <v>201</v>
      </c>
      <c r="C6" s="81"/>
      <c r="D6" s="81"/>
      <c r="E6" s="81"/>
      <c r="F6" s="49"/>
      <c r="G6" s="81" t="s">
        <v>202</v>
      </c>
      <c r="H6" s="81"/>
      <c r="I6" s="81"/>
      <c r="J6" s="81"/>
    </row>
    <row r="7" spans="1:10" ht="19.2" thickBot="1" x14ac:dyDescent="0.3">
      <c r="A7" s="2" t="s">
        <v>26</v>
      </c>
      <c r="B7" s="2" t="s">
        <v>3</v>
      </c>
      <c r="C7" s="3" t="s">
        <v>11</v>
      </c>
      <c r="D7" s="2" t="s">
        <v>37</v>
      </c>
      <c r="E7" s="3" t="s">
        <v>39</v>
      </c>
      <c r="F7" s="61"/>
      <c r="G7" s="2" t="s">
        <v>3</v>
      </c>
      <c r="H7" s="3" t="s">
        <v>11</v>
      </c>
      <c r="I7" s="2" t="s">
        <v>37</v>
      </c>
      <c r="J7" s="3" t="s">
        <v>39</v>
      </c>
    </row>
    <row r="8" spans="1:10" x14ac:dyDescent="0.25">
      <c r="A8" s="12" t="s">
        <v>120</v>
      </c>
      <c r="B8" s="15">
        <v>0</v>
      </c>
      <c r="C8" s="15">
        <v>0</v>
      </c>
      <c r="D8" s="15">
        <v>0</v>
      </c>
      <c r="E8" s="15">
        <v>0</v>
      </c>
      <c r="F8" s="60"/>
      <c r="G8" s="15">
        <v>8000000</v>
      </c>
      <c r="H8" s="15">
        <v>60953834</v>
      </c>
      <c r="I8" s="15">
        <v>88020450</v>
      </c>
      <c r="J8" s="15">
        <v>-27066616</v>
      </c>
    </row>
    <row r="9" spans="1:10" x14ac:dyDescent="0.25">
      <c r="A9" s="12" t="s">
        <v>121</v>
      </c>
      <c r="B9" s="15">
        <v>0</v>
      </c>
      <c r="C9" s="15">
        <v>0</v>
      </c>
      <c r="D9" s="15">
        <v>0</v>
      </c>
      <c r="E9" s="15">
        <v>0</v>
      </c>
      <c r="F9" s="60"/>
      <c r="G9" s="15">
        <v>32000000</v>
      </c>
      <c r="H9" s="15">
        <v>395700166</v>
      </c>
      <c r="I9" s="15">
        <v>95772726</v>
      </c>
      <c r="J9" s="15">
        <v>299927440</v>
      </c>
    </row>
    <row r="10" spans="1:10" x14ac:dyDescent="0.25">
      <c r="A10" s="12" t="s">
        <v>122</v>
      </c>
      <c r="B10" s="15">
        <v>0</v>
      </c>
      <c r="C10" s="15">
        <v>0</v>
      </c>
      <c r="D10" s="15">
        <v>0</v>
      </c>
      <c r="E10" s="15">
        <v>0</v>
      </c>
      <c r="F10" s="60"/>
      <c r="G10" s="15">
        <v>14000000</v>
      </c>
      <c r="H10" s="15">
        <v>126903870</v>
      </c>
      <c r="I10" s="15">
        <v>150017443</v>
      </c>
      <c r="J10" s="15">
        <v>-23113573</v>
      </c>
    </row>
    <row r="11" spans="1:10" x14ac:dyDescent="0.25">
      <c r="A11" s="12" t="s">
        <v>123</v>
      </c>
      <c r="B11" s="15">
        <v>0</v>
      </c>
      <c r="C11" s="15">
        <v>0</v>
      </c>
      <c r="D11" s="15">
        <v>0</v>
      </c>
      <c r="E11" s="15">
        <v>0</v>
      </c>
      <c r="F11" s="60"/>
      <c r="G11" s="15">
        <v>5000000</v>
      </c>
      <c r="H11" s="15">
        <v>64950770</v>
      </c>
      <c r="I11" s="15">
        <v>14962107</v>
      </c>
      <c r="J11" s="15">
        <v>49988663</v>
      </c>
    </row>
    <row r="12" spans="1:10" x14ac:dyDescent="0.25">
      <c r="A12" s="12" t="s">
        <v>124</v>
      </c>
      <c r="B12" s="15">
        <v>0</v>
      </c>
      <c r="C12" s="15">
        <v>0</v>
      </c>
      <c r="D12" s="15">
        <v>0</v>
      </c>
      <c r="E12" s="15">
        <v>0</v>
      </c>
      <c r="F12" s="60"/>
      <c r="G12" s="15">
        <v>11000000</v>
      </c>
      <c r="H12" s="15">
        <v>191854617</v>
      </c>
      <c r="I12" s="15">
        <v>329103803</v>
      </c>
      <c r="J12" s="15">
        <v>-137249186</v>
      </c>
    </row>
    <row r="13" spans="1:10" x14ac:dyDescent="0.25">
      <c r="A13" s="12" t="s">
        <v>125</v>
      </c>
      <c r="B13" s="15">
        <v>0</v>
      </c>
      <c r="C13" s="15">
        <v>0</v>
      </c>
      <c r="D13" s="15">
        <v>0</v>
      </c>
      <c r="E13" s="15">
        <v>0</v>
      </c>
      <c r="F13" s="60"/>
      <c r="G13" s="15">
        <v>5000000</v>
      </c>
      <c r="H13" s="15">
        <v>76941700</v>
      </c>
      <c r="I13" s="15">
        <v>193166649</v>
      </c>
      <c r="J13" s="15">
        <v>-116224949</v>
      </c>
    </row>
    <row r="14" spans="1:10" x14ac:dyDescent="0.25">
      <c r="A14" s="12" t="s">
        <v>112</v>
      </c>
      <c r="B14" s="15">
        <v>0</v>
      </c>
      <c r="C14" s="15">
        <v>0</v>
      </c>
      <c r="D14" s="15">
        <v>0</v>
      </c>
      <c r="E14" s="15">
        <v>0</v>
      </c>
      <c r="F14" s="60"/>
      <c r="G14" s="15">
        <v>1105454</v>
      </c>
      <c r="H14" s="15">
        <v>5875656169</v>
      </c>
      <c r="I14" s="15">
        <v>5233649749</v>
      </c>
      <c r="J14" s="15">
        <v>642006420</v>
      </c>
    </row>
    <row r="15" spans="1:10" x14ac:dyDescent="0.25">
      <c r="A15" s="12" t="s">
        <v>113</v>
      </c>
      <c r="B15" s="15">
        <v>0</v>
      </c>
      <c r="C15" s="15">
        <v>0</v>
      </c>
      <c r="D15" s="15">
        <v>0</v>
      </c>
      <c r="E15" s="15">
        <v>0</v>
      </c>
      <c r="F15" s="60"/>
      <c r="G15" s="15">
        <v>10800000</v>
      </c>
      <c r="H15" s="15">
        <v>6220739248</v>
      </c>
      <c r="I15" s="15">
        <v>6274283688</v>
      </c>
      <c r="J15" s="15">
        <v>-53544440</v>
      </c>
    </row>
    <row r="16" spans="1:10" x14ac:dyDescent="0.25">
      <c r="A16" s="12" t="s">
        <v>126</v>
      </c>
      <c r="B16" s="15">
        <v>0</v>
      </c>
      <c r="C16" s="15">
        <v>0</v>
      </c>
      <c r="D16" s="15">
        <v>-76038490</v>
      </c>
      <c r="E16" s="15">
        <v>76038490</v>
      </c>
      <c r="F16" s="60"/>
      <c r="G16" s="15">
        <v>1000000</v>
      </c>
      <c r="H16" s="15">
        <v>77980889</v>
      </c>
      <c r="I16" s="15">
        <v>1942399</v>
      </c>
      <c r="J16" s="15">
        <v>76038490</v>
      </c>
    </row>
    <row r="17" spans="1:10" x14ac:dyDescent="0.25">
      <c r="A17" s="12" t="s">
        <v>127</v>
      </c>
      <c r="B17" s="15">
        <v>0</v>
      </c>
      <c r="C17" s="15">
        <v>0</v>
      </c>
      <c r="D17" s="15">
        <v>0</v>
      </c>
      <c r="E17" s="15">
        <v>0</v>
      </c>
      <c r="F17" s="60"/>
      <c r="G17" s="15">
        <v>11000000</v>
      </c>
      <c r="H17" s="15">
        <v>144890222</v>
      </c>
      <c r="I17" s="15">
        <v>64023467</v>
      </c>
      <c r="J17" s="15">
        <v>80866755</v>
      </c>
    </row>
    <row r="18" spans="1:10" x14ac:dyDescent="0.25">
      <c r="A18" s="12" t="s">
        <v>128</v>
      </c>
      <c r="B18" s="15">
        <v>15000000</v>
      </c>
      <c r="C18" s="15">
        <v>109916704</v>
      </c>
      <c r="D18" s="15">
        <v>-219068256</v>
      </c>
      <c r="E18" s="15">
        <v>328984960</v>
      </c>
      <c r="F18" s="60"/>
      <c r="G18" s="15">
        <v>20000000</v>
      </c>
      <c r="H18" s="15">
        <v>348735672</v>
      </c>
      <c r="I18" s="15">
        <v>19750712</v>
      </c>
      <c r="J18" s="15">
        <v>328984960</v>
      </c>
    </row>
    <row r="19" spans="1:10" x14ac:dyDescent="0.25">
      <c r="A19" s="12" t="s">
        <v>114</v>
      </c>
      <c r="B19" s="15">
        <v>0</v>
      </c>
      <c r="C19" s="15">
        <v>0</v>
      </c>
      <c r="D19" s="15">
        <v>0</v>
      </c>
      <c r="E19" s="15">
        <v>0</v>
      </c>
      <c r="F19" s="60"/>
      <c r="G19" s="15">
        <v>1200000</v>
      </c>
      <c r="H19" s="15">
        <v>3952012977</v>
      </c>
      <c r="I19" s="15">
        <v>3772517754</v>
      </c>
      <c r="J19" s="15">
        <v>179495223</v>
      </c>
    </row>
    <row r="20" spans="1:10" x14ac:dyDescent="0.25">
      <c r="A20" s="12" t="s">
        <v>106</v>
      </c>
      <c r="B20" s="15">
        <v>0</v>
      </c>
      <c r="C20" s="15">
        <v>0</v>
      </c>
      <c r="D20" s="15">
        <v>0</v>
      </c>
      <c r="E20" s="15">
        <v>0</v>
      </c>
      <c r="F20" s="60"/>
      <c r="G20" s="15">
        <v>200000</v>
      </c>
      <c r="H20" s="15">
        <v>1738457084</v>
      </c>
      <c r="I20" s="15">
        <v>1728227686</v>
      </c>
      <c r="J20" s="15">
        <v>10229398</v>
      </c>
    </row>
    <row r="21" spans="1:10" x14ac:dyDescent="0.25">
      <c r="A21" s="12" t="s">
        <v>129</v>
      </c>
      <c r="B21" s="15">
        <v>800000</v>
      </c>
      <c r="C21" s="15">
        <v>10983809609</v>
      </c>
      <c r="D21" s="15">
        <v>9126760901</v>
      </c>
      <c r="E21" s="15">
        <v>1857048708</v>
      </c>
      <c r="F21" s="60"/>
      <c r="G21" s="15">
        <v>1100000</v>
      </c>
      <c r="H21" s="15">
        <v>14835801785</v>
      </c>
      <c r="I21" s="15">
        <v>12551375714</v>
      </c>
      <c r="J21" s="15">
        <v>2284426071</v>
      </c>
    </row>
    <row r="22" spans="1:10" x14ac:dyDescent="0.25">
      <c r="A22" s="12" t="s">
        <v>89</v>
      </c>
      <c r="B22" s="15">
        <v>0</v>
      </c>
      <c r="C22" s="15">
        <v>0</v>
      </c>
      <c r="D22" s="15">
        <v>0</v>
      </c>
      <c r="E22" s="15">
        <v>0</v>
      </c>
      <c r="F22" s="60"/>
      <c r="G22" s="15">
        <v>133750</v>
      </c>
      <c r="H22" s="15">
        <v>4817594885</v>
      </c>
      <c r="I22" s="15">
        <v>3904138426</v>
      </c>
      <c r="J22" s="15">
        <v>913456459</v>
      </c>
    </row>
    <row r="23" spans="1:10" x14ac:dyDescent="0.25">
      <c r="A23" s="12" t="s">
        <v>100</v>
      </c>
      <c r="B23" s="15">
        <v>2000000</v>
      </c>
      <c r="C23" s="15">
        <v>7358474199</v>
      </c>
      <c r="D23" s="15">
        <v>8383025870</v>
      </c>
      <c r="E23" s="15">
        <v>-1024551671</v>
      </c>
      <c r="F23" s="60"/>
      <c r="G23" s="15">
        <v>2450000</v>
      </c>
      <c r="H23" s="15">
        <v>9241456646</v>
      </c>
      <c r="I23" s="15">
        <v>10267435753</v>
      </c>
      <c r="J23" s="15">
        <v>-1025979107</v>
      </c>
    </row>
    <row r="24" spans="1:10" x14ac:dyDescent="0.25">
      <c r="A24" s="12" t="s">
        <v>130</v>
      </c>
      <c r="B24" s="15">
        <v>0</v>
      </c>
      <c r="C24" s="15">
        <v>0</v>
      </c>
      <c r="D24" s="15">
        <v>0</v>
      </c>
      <c r="E24" s="15">
        <v>0</v>
      </c>
      <c r="F24" s="60"/>
      <c r="G24" s="15">
        <v>1000000</v>
      </c>
      <c r="H24" s="15">
        <v>51960615</v>
      </c>
      <c r="I24" s="15">
        <v>83023483</v>
      </c>
      <c r="J24" s="15">
        <v>-31062868</v>
      </c>
    </row>
    <row r="25" spans="1:10" x14ac:dyDescent="0.25">
      <c r="A25" s="12" t="s">
        <v>131</v>
      </c>
      <c r="B25" s="15">
        <v>0</v>
      </c>
      <c r="C25" s="15">
        <v>0</v>
      </c>
      <c r="D25" s="15">
        <v>0</v>
      </c>
      <c r="E25" s="15">
        <v>0</v>
      </c>
      <c r="F25" s="60"/>
      <c r="G25" s="15">
        <v>1000000</v>
      </c>
      <c r="H25" s="15">
        <v>381161053</v>
      </c>
      <c r="I25" s="15">
        <v>392413355</v>
      </c>
      <c r="J25" s="15">
        <v>-11252302</v>
      </c>
    </row>
    <row r="26" spans="1:10" x14ac:dyDescent="0.25">
      <c r="A26" s="12" t="s">
        <v>115</v>
      </c>
      <c r="B26" s="15">
        <v>0</v>
      </c>
      <c r="C26" s="15">
        <v>0</v>
      </c>
      <c r="D26" s="15">
        <v>0</v>
      </c>
      <c r="E26" s="15">
        <v>0</v>
      </c>
      <c r="F26" s="60"/>
      <c r="G26" s="15">
        <v>2900000</v>
      </c>
      <c r="H26" s="15">
        <v>21814981638</v>
      </c>
      <c r="I26" s="15">
        <v>23394781032</v>
      </c>
      <c r="J26" s="15">
        <v>-1579799394</v>
      </c>
    </row>
    <row r="27" spans="1:10" x14ac:dyDescent="0.25">
      <c r="A27" s="12" t="s">
        <v>94</v>
      </c>
      <c r="B27" s="15">
        <v>0</v>
      </c>
      <c r="C27" s="15">
        <v>0</v>
      </c>
      <c r="D27" s="15">
        <v>0</v>
      </c>
      <c r="E27" s="15">
        <v>0</v>
      </c>
      <c r="F27" s="60"/>
      <c r="G27" s="15">
        <v>170000</v>
      </c>
      <c r="H27" s="15">
        <v>2753946186</v>
      </c>
      <c r="I27" s="15">
        <v>2564501033</v>
      </c>
      <c r="J27" s="15">
        <v>189445153</v>
      </c>
    </row>
    <row r="28" spans="1:10" x14ac:dyDescent="0.25">
      <c r="A28" s="12" t="s">
        <v>132</v>
      </c>
      <c r="B28" s="15">
        <v>0</v>
      </c>
      <c r="C28" s="15">
        <v>0</v>
      </c>
      <c r="D28" s="15">
        <v>0</v>
      </c>
      <c r="E28" s="15">
        <v>0</v>
      </c>
      <c r="F28" s="60"/>
      <c r="G28" s="15">
        <v>49000</v>
      </c>
      <c r="H28" s="15">
        <v>1444536745</v>
      </c>
      <c r="I28" s="15">
        <v>1279640401</v>
      </c>
      <c r="J28" s="15">
        <v>164896344</v>
      </c>
    </row>
    <row r="29" spans="1:10" x14ac:dyDescent="0.25">
      <c r="A29" s="12" t="s">
        <v>133</v>
      </c>
      <c r="B29" s="15">
        <v>0</v>
      </c>
      <c r="C29" s="15">
        <v>0</v>
      </c>
      <c r="D29" s="15">
        <v>-2070396990</v>
      </c>
      <c r="E29" s="15">
        <v>2070396990</v>
      </c>
      <c r="F29" s="60"/>
      <c r="G29" s="15">
        <v>5149000</v>
      </c>
      <c r="H29" s="15">
        <v>2128867180</v>
      </c>
      <c r="I29" s="15">
        <v>62206486</v>
      </c>
      <c r="J29" s="15">
        <v>2066660694</v>
      </c>
    </row>
    <row r="30" spans="1:10" x14ac:dyDescent="0.25">
      <c r="A30" s="12" t="s">
        <v>134</v>
      </c>
      <c r="B30" s="15">
        <v>0</v>
      </c>
      <c r="C30" s="15">
        <v>0</v>
      </c>
      <c r="D30" s="15">
        <v>0</v>
      </c>
      <c r="E30" s="15">
        <v>0</v>
      </c>
      <c r="F30" s="60"/>
      <c r="G30" s="15">
        <v>100000</v>
      </c>
      <c r="H30" s="15">
        <v>2222684823</v>
      </c>
      <c r="I30" s="15">
        <v>2066451823</v>
      </c>
      <c r="J30" s="15">
        <v>156233000</v>
      </c>
    </row>
    <row r="31" spans="1:10" x14ac:dyDescent="0.25">
      <c r="A31" s="12" t="s">
        <v>135</v>
      </c>
      <c r="B31" s="15">
        <v>0</v>
      </c>
      <c r="C31" s="15">
        <v>0</v>
      </c>
      <c r="D31" s="15">
        <v>0</v>
      </c>
      <c r="E31" s="15">
        <v>0</v>
      </c>
      <c r="F31" s="60"/>
      <c r="G31" s="15">
        <v>4000000</v>
      </c>
      <c r="H31" s="15">
        <v>1402936497</v>
      </c>
      <c r="I31" s="15">
        <v>1316934107</v>
      </c>
      <c r="J31" s="15">
        <v>86002390</v>
      </c>
    </row>
    <row r="32" spans="1:10" x14ac:dyDescent="0.25">
      <c r="A32" s="12" t="s">
        <v>136</v>
      </c>
      <c r="B32" s="15">
        <v>137596000</v>
      </c>
      <c r="C32" s="15">
        <v>644703758</v>
      </c>
      <c r="D32" s="15">
        <v>-1798566885</v>
      </c>
      <c r="E32" s="15">
        <v>2443270643</v>
      </c>
      <c r="F32" s="60"/>
      <c r="G32" s="15">
        <v>148596000</v>
      </c>
      <c r="H32" s="15">
        <v>2596420247</v>
      </c>
      <c r="I32" s="15">
        <v>153149604</v>
      </c>
      <c r="J32" s="15">
        <v>2443270643</v>
      </c>
    </row>
    <row r="33" spans="1:10" x14ac:dyDescent="0.25">
      <c r="A33" s="12" t="s">
        <v>137</v>
      </c>
      <c r="B33" s="15">
        <v>0</v>
      </c>
      <c r="C33" s="15">
        <v>0</v>
      </c>
      <c r="D33" s="15">
        <v>0</v>
      </c>
      <c r="E33" s="15">
        <v>0</v>
      </c>
      <c r="F33" s="60"/>
      <c r="G33" s="15">
        <v>36000000</v>
      </c>
      <c r="H33" s="15">
        <v>334746428</v>
      </c>
      <c r="I33" s="15">
        <v>71800788</v>
      </c>
      <c r="J33" s="15">
        <v>262945640</v>
      </c>
    </row>
    <row r="34" spans="1:10" x14ac:dyDescent="0.25">
      <c r="A34" s="12" t="s">
        <v>138</v>
      </c>
      <c r="B34" s="15">
        <v>0</v>
      </c>
      <c r="C34" s="15">
        <v>0</v>
      </c>
      <c r="D34" s="15">
        <v>0</v>
      </c>
      <c r="E34" s="15">
        <v>0</v>
      </c>
      <c r="F34" s="60"/>
      <c r="G34" s="15">
        <v>200000</v>
      </c>
      <c r="H34" s="15">
        <v>5146100772</v>
      </c>
      <c r="I34" s="15">
        <v>4429940696</v>
      </c>
      <c r="J34" s="15">
        <v>716160076</v>
      </c>
    </row>
    <row r="35" spans="1:10" x14ac:dyDescent="0.25">
      <c r="A35" s="12" t="s">
        <v>97</v>
      </c>
      <c r="B35" s="15">
        <v>5941000</v>
      </c>
      <c r="C35" s="15">
        <v>9847781711</v>
      </c>
      <c r="D35" s="15">
        <v>10175121509</v>
      </c>
      <c r="E35" s="15">
        <v>-327339798</v>
      </c>
      <c r="F35" s="60"/>
      <c r="G35" s="15">
        <v>9141000</v>
      </c>
      <c r="H35" s="15">
        <v>15623586935</v>
      </c>
      <c r="I35" s="15">
        <v>15652072694</v>
      </c>
      <c r="J35" s="15">
        <v>-28485759</v>
      </c>
    </row>
    <row r="36" spans="1:10" x14ac:dyDescent="0.25">
      <c r="A36" s="12" t="s">
        <v>139</v>
      </c>
      <c r="B36" s="15">
        <v>0</v>
      </c>
      <c r="C36" s="15">
        <v>0</v>
      </c>
      <c r="D36" s="15">
        <v>0</v>
      </c>
      <c r="E36" s="15">
        <v>0</v>
      </c>
      <c r="F36" s="60"/>
      <c r="G36" s="15">
        <v>200000</v>
      </c>
      <c r="H36" s="15">
        <v>1492374080</v>
      </c>
      <c r="I36" s="15">
        <v>1290832722</v>
      </c>
      <c r="J36" s="15">
        <v>201541358</v>
      </c>
    </row>
    <row r="37" spans="1:10" x14ac:dyDescent="0.25">
      <c r="A37" s="12" t="s">
        <v>140</v>
      </c>
      <c r="B37" s="15">
        <v>500000</v>
      </c>
      <c r="C37" s="15">
        <v>199024139</v>
      </c>
      <c r="D37" s="15">
        <v>199024139</v>
      </c>
      <c r="E37" s="15">
        <v>0</v>
      </c>
      <c r="F37" s="60"/>
      <c r="G37" s="15">
        <v>3500000</v>
      </c>
      <c r="H37" s="15">
        <v>3004685259</v>
      </c>
      <c r="I37" s="15">
        <v>3004685259</v>
      </c>
      <c r="J37" s="15">
        <v>0</v>
      </c>
    </row>
    <row r="38" spans="1:10" x14ac:dyDescent="0.25">
      <c r="A38" s="12" t="s">
        <v>141</v>
      </c>
      <c r="B38" s="15">
        <v>0</v>
      </c>
      <c r="C38" s="15">
        <v>0</v>
      </c>
      <c r="D38" s="15">
        <v>0</v>
      </c>
      <c r="E38" s="15">
        <v>0</v>
      </c>
      <c r="F38" s="60"/>
      <c r="G38" s="15">
        <v>8000000</v>
      </c>
      <c r="H38" s="15">
        <v>249810648</v>
      </c>
      <c r="I38" s="15">
        <v>55853032</v>
      </c>
      <c r="J38" s="15">
        <v>193957616</v>
      </c>
    </row>
    <row r="39" spans="1:10" x14ac:dyDescent="0.25">
      <c r="A39" s="12" t="s">
        <v>111</v>
      </c>
      <c r="B39" s="15">
        <v>0</v>
      </c>
      <c r="C39" s="15">
        <v>0</v>
      </c>
      <c r="D39" s="15">
        <v>0</v>
      </c>
      <c r="E39" s="15">
        <v>0</v>
      </c>
      <c r="F39" s="60"/>
      <c r="G39" s="15">
        <v>2300000</v>
      </c>
      <c r="H39" s="15">
        <v>17160317626</v>
      </c>
      <c r="I39" s="15">
        <v>18580529826</v>
      </c>
      <c r="J39" s="15">
        <v>-1420212200</v>
      </c>
    </row>
    <row r="40" spans="1:10" x14ac:dyDescent="0.25">
      <c r="A40" s="12" t="s">
        <v>142</v>
      </c>
      <c r="B40" s="15">
        <v>0</v>
      </c>
      <c r="C40" s="15">
        <v>0</v>
      </c>
      <c r="D40" s="15">
        <v>0</v>
      </c>
      <c r="E40" s="15">
        <v>0</v>
      </c>
      <c r="F40" s="60"/>
      <c r="G40" s="15">
        <v>700000</v>
      </c>
      <c r="H40" s="15">
        <v>10200715278</v>
      </c>
      <c r="I40" s="15">
        <v>10478287108</v>
      </c>
      <c r="J40" s="15">
        <v>-277571830</v>
      </c>
    </row>
    <row r="41" spans="1:10" x14ac:dyDescent="0.25">
      <c r="A41" s="12" t="s">
        <v>143</v>
      </c>
      <c r="B41" s="15">
        <v>0</v>
      </c>
      <c r="C41" s="15">
        <v>0</v>
      </c>
      <c r="D41" s="15">
        <v>0</v>
      </c>
      <c r="E41" s="15">
        <v>0</v>
      </c>
      <c r="F41" s="60"/>
      <c r="G41" s="15">
        <v>200000</v>
      </c>
      <c r="H41" s="15">
        <v>1053201595</v>
      </c>
      <c r="I41" s="15">
        <v>1099234231</v>
      </c>
      <c r="J41" s="15">
        <v>-46032636</v>
      </c>
    </row>
    <row r="42" spans="1:10" x14ac:dyDescent="0.25">
      <c r="A42" s="12" t="s">
        <v>144</v>
      </c>
      <c r="B42" s="15">
        <v>10000000</v>
      </c>
      <c r="C42" s="15">
        <v>99924291</v>
      </c>
      <c r="D42" s="15">
        <v>-183793819</v>
      </c>
      <c r="E42" s="15">
        <v>283718110</v>
      </c>
      <c r="F42" s="60"/>
      <c r="G42" s="15">
        <v>25424000</v>
      </c>
      <c r="H42" s="15">
        <v>608223068</v>
      </c>
      <c r="I42" s="15">
        <v>324504958</v>
      </c>
      <c r="J42" s="15">
        <v>283718110</v>
      </c>
    </row>
    <row r="43" spans="1:10" x14ac:dyDescent="0.25">
      <c r="A43" s="12" t="s">
        <v>145</v>
      </c>
      <c r="B43" s="15">
        <v>0</v>
      </c>
      <c r="C43" s="15">
        <v>0</v>
      </c>
      <c r="D43" s="15">
        <v>-26915685</v>
      </c>
      <c r="E43" s="15">
        <v>26915685</v>
      </c>
      <c r="F43" s="60"/>
      <c r="G43" s="15">
        <v>100000</v>
      </c>
      <c r="H43" s="15">
        <v>139894951</v>
      </c>
      <c r="I43" s="15">
        <v>112979266</v>
      </c>
      <c r="J43" s="15">
        <v>26915685</v>
      </c>
    </row>
    <row r="44" spans="1:10" x14ac:dyDescent="0.25">
      <c r="A44" s="12" t="s">
        <v>146</v>
      </c>
      <c r="B44" s="15">
        <v>0</v>
      </c>
      <c r="C44" s="15">
        <v>0</v>
      </c>
      <c r="D44" s="15">
        <v>-105988655</v>
      </c>
      <c r="E44" s="15">
        <v>105988655</v>
      </c>
      <c r="F44" s="60"/>
      <c r="G44" s="15">
        <v>5000000</v>
      </c>
      <c r="H44" s="15">
        <v>120908364</v>
      </c>
      <c r="I44" s="15">
        <v>14919709</v>
      </c>
      <c r="J44" s="15">
        <v>105988655</v>
      </c>
    </row>
    <row r="45" spans="1:10" x14ac:dyDescent="0.25">
      <c r="A45" s="12" t="s">
        <v>147</v>
      </c>
      <c r="B45" s="15">
        <v>0</v>
      </c>
      <c r="C45" s="15">
        <v>0</v>
      </c>
      <c r="D45" s="15">
        <v>-224975799</v>
      </c>
      <c r="E45" s="15">
        <v>224975799</v>
      </c>
      <c r="F45" s="60"/>
      <c r="G45" s="15">
        <v>8000000</v>
      </c>
      <c r="H45" s="15">
        <v>256805344</v>
      </c>
      <c r="I45" s="15">
        <v>31829545</v>
      </c>
      <c r="J45" s="15">
        <v>224975799</v>
      </c>
    </row>
    <row r="46" spans="1:10" x14ac:dyDescent="0.25">
      <c r="A46" s="12" t="s">
        <v>148</v>
      </c>
      <c r="B46" s="15">
        <v>96000</v>
      </c>
      <c r="C46" s="15">
        <v>1630767</v>
      </c>
      <c r="D46" s="15">
        <v>-293592744</v>
      </c>
      <c r="E46" s="15">
        <v>295223511</v>
      </c>
      <c r="F46" s="60"/>
      <c r="G46" s="15">
        <v>8096000</v>
      </c>
      <c r="H46" s="15">
        <v>327383857</v>
      </c>
      <c r="I46" s="15">
        <v>32160346</v>
      </c>
      <c r="J46" s="15">
        <v>295223511</v>
      </c>
    </row>
    <row r="47" spans="1:10" x14ac:dyDescent="0.25">
      <c r="A47" s="12" t="s">
        <v>91</v>
      </c>
      <c r="B47" s="15">
        <v>1256501</v>
      </c>
      <c r="C47" s="15">
        <v>9700012759</v>
      </c>
      <c r="D47" s="15">
        <v>7872659474</v>
      </c>
      <c r="E47" s="15">
        <v>1827353285</v>
      </c>
      <c r="F47" s="60"/>
      <c r="G47" s="15">
        <v>1256501</v>
      </c>
      <c r="H47" s="15">
        <v>9700012759</v>
      </c>
      <c r="I47" s="15">
        <v>7872659474</v>
      </c>
      <c r="J47" s="15">
        <v>1827353285</v>
      </c>
    </row>
    <row r="48" spans="1:10" x14ac:dyDescent="0.25">
      <c r="A48" s="12" t="s">
        <v>92</v>
      </c>
      <c r="B48" s="15">
        <v>100000</v>
      </c>
      <c r="C48" s="15">
        <v>6318775366</v>
      </c>
      <c r="D48" s="15">
        <v>4303656508</v>
      </c>
      <c r="E48" s="15">
        <v>2015118858</v>
      </c>
      <c r="F48" s="60"/>
      <c r="G48" s="15">
        <v>100000</v>
      </c>
      <c r="H48" s="15">
        <v>6318775366</v>
      </c>
      <c r="I48" s="15">
        <v>4303656508</v>
      </c>
      <c r="J48" s="15">
        <v>2015118858</v>
      </c>
    </row>
    <row r="49" spans="1:10" x14ac:dyDescent="0.25">
      <c r="A49" s="12" t="s">
        <v>149</v>
      </c>
      <c r="B49" s="15">
        <v>6000000</v>
      </c>
      <c r="C49" s="15">
        <v>2470752400</v>
      </c>
      <c r="D49" s="15">
        <v>2814280790</v>
      </c>
      <c r="E49" s="15">
        <v>-343528390</v>
      </c>
      <c r="F49" s="60"/>
      <c r="G49" s="15">
        <v>6000000</v>
      </c>
      <c r="H49" s="15">
        <v>2470752400</v>
      </c>
      <c r="I49" s="15">
        <v>2814280790</v>
      </c>
      <c r="J49" s="15">
        <v>-343528390</v>
      </c>
    </row>
    <row r="50" spans="1:10" x14ac:dyDescent="0.25">
      <c r="A50" s="12" t="s">
        <v>117</v>
      </c>
      <c r="B50" s="15">
        <v>200000</v>
      </c>
      <c r="C50" s="15">
        <v>5665861700</v>
      </c>
      <c r="D50" s="15">
        <v>5510589160</v>
      </c>
      <c r="E50" s="15">
        <v>155272540</v>
      </c>
      <c r="F50" s="60"/>
      <c r="G50" s="15">
        <v>200000</v>
      </c>
      <c r="H50" s="15">
        <v>5665861700</v>
      </c>
      <c r="I50" s="15">
        <v>5510589160</v>
      </c>
      <c r="J50" s="15">
        <v>155272540</v>
      </c>
    </row>
    <row r="51" spans="1:10" x14ac:dyDescent="0.25">
      <c r="A51" s="12" t="s">
        <v>150</v>
      </c>
      <c r="B51" s="15">
        <v>3200000</v>
      </c>
      <c r="C51" s="15">
        <v>11113821014</v>
      </c>
      <c r="D51" s="15">
        <v>12416498507</v>
      </c>
      <c r="E51" s="15">
        <v>-1302677493</v>
      </c>
      <c r="F51" s="60"/>
      <c r="G51" s="15">
        <v>3200000</v>
      </c>
      <c r="H51" s="15">
        <v>11113821014</v>
      </c>
      <c r="I51" s="15">
        <v>12416498507</v>
      </c>
      <c r="J51" s="15">
        <v>-1302677493</v>
      </c>
    </row>
    <row r="52" spans="1:10" x14ac:dyDescent="0.25">
      <c r="A52" s="12" t="s">
        <v>84</v>
      </c>
      <c r="B52" s="15">
        <v>3653000</v>
      </c>
      <c r="C52" s="15">
        <v>4763279553</v>
      </c>
      <c r="D52" s="15">
        <v>5444595431</v>
      </c>
      <c r="E52" s="15">
        <v>-681315878</v>
      </c>
      <c r="F52" s="60"/>
      <c r="G52" s="15">
        <v>16520000</v>
      </c>
      <c r="H52" s="15">
        <v>21398380503</v>
      </c>
      <c r="I52" s="15">
        <v>24660196930</v>
      </c>
      <c r="J52" s="15">
        <v>-3261816427</v>
      </c>
    </row>
    <row r="53" spans="1:10" x14ac:dyDescent="0.25">
      <c r="A53" s="12" t="s">
        <v>98</v>
      </c>
      <c r="B53" s="15">
        <v>400000</v>
      </c>
      <c r="C53" s="15">
        <v>4735112467</v>
      </c>
      <c r="D53" s="15">
        <v>4102862907</v>
      </c>
      <c r="E53" s="15">
        <v>632249560</v>
      </c>
      <c r="F53" s="60"/>
      <c r="G53" s="15">
        <v>400000</v>
      </c>
      <c r="H53" s="15">
        <v>4735112467</v>
      </c>
      <c r="I53" s="15">
        <v>4102862907</v>
      </c>
      <c r="J53" s="15">
        <v>632249560</v>
      </c>
    </row>
    <row r="54" spans="1:10" x14ac:dyDescent="0.25">
      <c r="A54" s="12" t="s">
        <v>151</v>
      </c>
      <c r="B54" s="15">
        <v>77000000</v>
      </c>
      <c r="C54" s="15">
        <v>379712256</v>
      </c>
      <c r="D54" s="15">
        <v>-287744</v>
      </c>
      <c r="E54" s="15">
        <v>380000000</v>
      </c>
      <c r="F54" s="60"/>
      <c r="G54" s="15">
        <v>77000000</v>
      </c>
      <c r="H54" s="15">
        <v>379712256</v>
      </c>
      <c r="I54" s="15">
        <v>-287744</v>
      </c>
      <c r="J54" s="15">
        <v>380000000</v>
      </c>
    </row>
    <row r="55" spans="1:10" x14ac:dyDescent="0.25">
      <c r="A55" s="12" t="s">
        <v>105</v>
      </c>
      <c r="B55" s="15">
        <v>50000</v>
      </c>
      <c r="C55" s="15">
        <v>2588588775</v>
      </c>
      <c r="D55" s="15">
        <v>2526991446</v>
      </c>
      <c r="E55" s="15">
        <v>61597329</v>
      </c>
      <c r="F55" s="60"/>
      <c r="G55" s="15">
        <v>50000</v>
      </c>
      <c r="H55" s="15">
        <v>2588588775</v>
      </c>
      <c r="I55" s="15">
        <v>2526991446</v>
      </c>
      <c r="J55" s="15">
        <v>61597329</v>
      </c>
    </row>
    <row r="56" spans="1:10" x14ac:dyDescent="0.25">
      <c r="A56" s="12" t="s">
        <v>152</v>
      </c>
      <c r="B56" s="15">
        <v>301000</v>
      </c>
      <c r="C56" s="15">
        <v>4325866110</v>
      </c>
      <c r="D56" s="15">
        <v>4207461025</v>
      </c>
      <c r="E56" s="15">
        <v>118405085</v>
      </c>
      <c r="F56" s="60"/>
      <c r="G56" s="15">
        <v>301000</v>
      </c>
      <c r="H56" s="15">
        <v>4325866110</v>
      </c>
      <c r="I56" s="15">
        <v>4207461025</v>
      </c>
      <c r="J56" s="15">
        <v>118405085</v>
      </c>
    </row>
    <row r="57" spans="1:10" x14ac:dyDescent="0.25">
      <c r="A57" s="12" t="s">
        <v>104</v>
      </c>
      <c r="B57" s="15">
        <v>750000</v>
      </c>
      <c r="C57" s="15">
        <v>9053223432</v>
      </c>
      <c r="D57" s="15">
        <v>6095734032</v>
      </c>
      <c r="E57" s="15">
        <v>2957489400</v>
      </c>
      <c r="F57" s="60"/>
      <c r="G57" s="15">
        <v>750000</v>
      </c>
      <c r="H57" s="15">
        <v>9053223432</v>
      </c>
      <c r="I57" s="15">
        <v>6095734032</v>
      </c>
      <c r="J57" s="15">
        <v>2957489400</v>
      </c>
    </row>
    <row r="58" spans="1:10" x14ac:dyDescent="0.25">
      <c r="A58" s="12" t="s">
        <v>86</v>
      </c>
      <c r="B58" s="15">
        <v>50000</v>
      </c>
      <c r="C58" s="15">
        <v>3345438305</v>
      </c>
      <c r="D58" s="15">
        <v>2323638386</v>
      </c>
      <c r="E58" s="15">
        <v>1021799919</v>
      </c>
      <c r="F58" s="60"/>
      <c r="G58" s="15">
        <v>50000</v>
      </c>
      <c r="H58" s="15">
        <v>3345438305</v>
      </c>
      <c r="I58" s="15">
        <v>2323638386</v>
      </c>
      <c r="J58" s="15">
        <v>1021799919</v>
      </c>
    </row>
    <row r="59" spans="1:10" x14ac:dyDescent="0.25">
      <c r="A59" s="12" t="s">
        <v>153</v>
      </c>
      <c r="B59" s="15">
        <v>800000</v>
      </c>
      <c r="C59" s="15">
        <v>3354666439</v>
      </c>
      <c r="D59" s="15">
        <v>2871294839</v>
      </c>
      <c r="E59" s="15">
        <v>483371600</v>
      </c>
      <c r="F59" s="60"/>
      <c r="G59" s="15">
        <v>800000</v>
      </c>
      <c r="H59" s="15">
        <v>3354666439</v>
      </c>
      <c r="I59" s="15">
        <v>2871294839</v>
      </c>
      <c r="J59" s="15">
        <v>483371600</v>
      </c>
    </row>
    <row r="60" spans="1:10" x14ac:dyDescent="0.25">
      <c r="A60" s="12" t="s">
        <v>154</v>
      </c>
      <c r="B60" s="15">
        <v>100000</v>
      </c>
      <c r="C60" s="15">
        <v>1139636072</v>
      </c>
      <c r="D60" s="15">
        <v>570337002</v>
      </c>
      <c r="E60" s="15">
        <v>569299070</v>
      </c>
      <c r="F60" s="60"/>
      <c r="G60" s="15">
        <v>100000</v>
      </c>
      <c r="H60" s="15">
        <v>1139636072</v>
      </c>
      <c r="I60" s="15">
        <v>570337002</v>
      </c>
      <c r="J60" s="15">
        <v>569299070</v>
      </c>
    </row>
    <row r="61" spans="1:10" x14ac:dyDescent="0.25">
      <c r="A61" s="12" t="s">
        <v>87</v>
      </c>
      <c r="B61" s="15">
        <v>837500</v>
      </c>
      <c r="C61" s="15">
        <v>4535170175</v>
      </c>
      <c r="D61" s="15">
        <v>3589717023</v>
      </c>
      <c r="E61" s="15">
        <v>945453152</v>
      </c>
      <c r="F61" s="60"/>
      <c r="G61" s="15">
        <v>837500</v>
      </c>
      <c r="H61" s="15">
        <v>4535170175</v>
      </c>
      <c r="I61" s="15">
        <v>3589717023</v>
      </c>
      <c r="J61" s="15">
        <v>945453152</v>
      </c>
    </row>
    <row r="62" spans="1:10" x14ac:dyDescent="0.25">
      <c r="A62" s="12" t="s">
        <v>155</v>
      </c>
      <c r="B62" s="15">
        <v>10009000</v>
      </c>
      <c r="C62" s="15">
        <v>155143432</v>
      </c>
      <c r="D62" s="15">
        <v>70088537</v>
      </c>
      <c r="E62" s="15">
        <v>85054895</v>
      </c>
      <c r="F62" s="60"/>
      <c r="G62" s="15">
        <v>10009000</v>
      </c>
      <c r="H62" s="15">
        <v>155143432</v>
      </c>
      <c r="I62" s="15">
        <v>70088537</v>
      </c>
      <c r="J62" s="15">
        <v>85054895</v>
      </c>
    </row>
    <row r="63" spans="1:10" x14ac:dyDescent="0.25">
      <c r="A63" s="12" t="s">
        <v>156</v>
      </c>
      <c r="B63" s="15">
        <v>10000000</v>
      </c>
      <c r="C63" s="15">
        <v>109916722</v>
      </c>
      <c r="D63" s="15">
        <v>64965912</v>
      </c>
      <c r="E63" s="15">
        <v>44950810</v>
      </c>
      <c r="F63" s="60"/>
      <c r="G63" s="15">
        <v>10000000</v>
      </c>
      <c r="H63" s="15">
        <v>109916722</v>
      </c>
      <c r="I63" s="15">
        <v>64965912</v>
      </c>
      <c r="J63" s="15">
        <v>44950810</v>
      </c>
    </row>
    <row r="64" spans="1:10" x14ac:dyDescent="0.25">
      <c r="A64" s="12" t="s">
        <v>157</v>
      </c>
      <c r="B64" s="15">
        <v>10000000</v>
      </c>
      <c r="C64" s="15">
        <v>99924294</v>
      </c>
      <c r="D64" s="15">
        <v>29947014</v>
      </c>
      <c r="E64" s="15">
        <v>69977280</v>
      </c>
      <c r="F64" s="60"/>
      <c r="G64" s="15">
        <v>10000000</v>
      </c>
      <c r="H64" s="15">
        <v>99924294</v>
      </c>
      <c r="I64" s="15">
        <v>29947014</v>
      </c>
      <c r="J64" s="15">
        <v>69977280</v>
      </c>
    </row>
    <row r="65" spans="1:10" x14ac:dyDescent="0.25">
      <c r="A65" s="12" t="s">
        <v>158</v>
      </c>
      <c r="B65" s="15">
        <v>20000</v>
      </c>
      <c r="C65" s="15">
        <v>339744</v>
      </c>
      <c r="D65" s="15">
        <v>199892</v>
      </c>
      <c r="E65" s="15">
        <v>139852</v>
      </c>
      <c r="F65" s="60"/>
      <c r="G65" s="15">
        <v>20000</v>
      </c>
      <c r="H65" s="15">
        <v>339744</v>
      </c>
      <c r="I65" s="15">
        <v>199892</v>
      </c>
      <c r="J65" s="15">
        <v>139852</v>
      </c>
    </row>
    <row r="66" spans="1:10" x14ac:dyDescent="0.25">
      <c r="A66" s="12" t="s">
        <v>159</v>
      </c>
      <c r="B66" s="15">
        <v>100000</v>
      </c>
      <c r="C66" s="15">
        <v>146888649</v>
      </c>
      <c r="D66" s="15">
        <v>146888649</v>
      </c>
      <c r="E66" s="15">
        <v>0</v>
      </c>
      <c r="F66" s="60"/>
      <c r="G66" s="15">
        <v>100000</v>
      </c>
      <c r="H66" s="15">
        <v>146888649</v>
      </c>
      <c r="I66" s="15">
        <v>146888649</v>
      </c>
      <c r="J66" s="15">
        <v>0</v>
      </c>
    </row>
    <row r="67" spans="1:10" x14ac:dyDescent="0.25">
      <c r="A67" s="12" t="s">
        <v>160</v>
      </c>
      <c r="B67" s="15">
        <v>10000000</v>
      </c>
      <c r="C67" s="15">
        <v>431672833</v>
      </c>
      <c r="D67" s="15">
        <v>369953047</v>
      </c>
      <c r="E67" s="15">
        <v>61719786</v>
      </c>
      <c r="F67" s="60"/>
      <c r="G67" s="15">
        <v>10000000</v>
      </c>
      <c r="H67" s="15">
        <v>431672833</v>
      </c>
      <c r="I67" s="15">
        <v>369953047</v>
      </c>
      <c r="J67" s="15">
        <v>61719786</v>
      </c>
    </row>
    <row r="68" spans="1:10" x14ac:dyDescent="0.25">
      <c r="A68" s="12" t="s">
        <v>73</v>
      </c>
      <c r="B68" s="15">
        <v>562500</v>
      </c>
      <c r="C68" s="15">
        <v>4950825640</v>
      </c>
      <c r="D68" s="15">
        <v>5503880249</v>
      </c>
      <c r="E68" s="15">
        <v>-553054609</v>
      </c>
      <c r="F68" s="60"/>
      <c r="G68" s="15">
        <v>562500</v>
      </c>
      <c r="H68" s="15">
        <v>4950825640</v>
      </c>
      <c r="I68" s="15">
        <v>5503880249</v>
      </c>
      <c r="J68" s="15">
        <v>-553054609</v>
      </c>
    </row>
    <row r="69" spans="1:10" x14ac:dyDescent="0.25">
      <c r="A69" s="12" t="s">
        <v>161</v>
      </c>
      <c r="B69" s="15">
        <v>10000000</v>
      </c>
      <c r="C69" s="15">
        <v>134897786</v>
      </c>
      <c r="D69" s="15">
        <v>99973520</v>
      </c>
      <c r="E69" s="15">
        <v>34924266</v>
      </c>
      <c r="F69" s="60"/>
      <c r="G69" s="15">
        <v>10000000</v>
      </c>
      <c r="H69" s="15">
        <v>134897786</v>
      </c>
      <c r="I69" s="15">
        <v>99973520</v>
      </c>
      <c r="J69" s="15">
        <v>34924266</v>
      </c>
    </row>
    <row r="70" spans="1:10" x14ac:dyDescent="0.25">
      <c r="A70" s="12" t="s">
        <v>162</v>
      </c>
      <c r="B70" s="15">
        <v>5000000</v>
      </c>
      <c r="C70" s="15">
        <v>89931841</v>
      </c>
      <c r="D70" s="15">
        <v>29954541</v>
      </c>
      <c r="E70" s="15">
        <v>59977300</v>
      </c>
      <c r="F70" s="60"/>
      <c r="G70" s="15">
        <v>5000000</v>
      </c>
      <c r="H70" s="15">
        <v>89931841</v>
      </c>
      <c r="I70" s="15">
        <v>29954541</v>
      </c>
      <c r="J70" s="15">
        <v>59977300</v>
      </c>
    </row>
    <row r="71" spans="1:10" x14ac:dyDescent="0.25">
      <c r="A71" s="12" t="s">
        <v>163</v>
      </c>
      <c r="B71" s="15">
        <v>15000000</v>
      </c>
      <c r="C71" s="15">
        <v>134897819</v>
      </c>
      <c r="D71" s="15">
        <v>134897819</v>
      </c>
      <c r="E71" s="15">
        <v>0</v>
      </c>
      <c r="F71" s="60"/>
      <c r="G71" s="15">
        <v>15000000</v>
      </c>
      <c r="H71" s="15">
        <v>134897819</v>
      </c>
      <c r="I71" s="15">
        <v>134897819</v>
      </c>
      <c r="J71" s="15">
        <v>0</v>
      </c>
    </row>
    <row r="72" spans="1:10" x14ac:dyDescent="0.25">
      <c r="A72" s="12" t="s">
        <v>164</v>
      </c>
      <c r="B72" s="15">
        <v>0</v>
      </c>
      <c r="C72" s="15">
        <v>0</v>
      </c>
      <c r="D72" s="15">
        <v>0</v>
      </c>
      <c r="E72" s="15">
        <v>0</v>
      </c>
      <c r="F72" s="60"/>
      <c r="G72" s="15">
        <v>0</v>
      </c>
      <c r="H72" s="15">
        <v>0</v>
      </c>
      <c r="I72" s="15">
        <v>-2675971415</v>
      </c>
      <c r="J72" s="15">
        <v>2675971415</v>
      </c>
    </row>
    <row r="73" spans="1:10" ht="19.2" thickBot="1" x14ac:dyDescent="0.3">
      <c r="A73" s="12" t="s">
        <v>2</v>
      </c>
      <c r="B73" s="15"/>
      <c r="C73" s="18">
        <f t="shared" ref="C73:J73" si="0">SUM(C8:C72)</f>
        <v>108989620761</v>
      </c>
      <c r="D73" s="18">
        <f t="shared" si="0"/>
        <v>93985373062</v>
      </c>
      <c r="E73" s="18">
        <f t="shared" si="0"/>
        <v>15004247699</v>
      </c>
      <c r="F73" s="60"/>
      <c r="G73" s="15"/>
      <c r="H73" s="18">
        <f t="shared" si="0"/>
        <v>235066336256</v>
      </c>
      <c r="I73" s="18">
        <f t="shared" si="0"/>
        <v>218821528080</v>
      </c>
      <c r="J73" s="18">
        <f t="shared" si="0"/>
        <v>16244808176</v>
      </c>
    </row>
    <row r="74" spans="1:10" ht="19.2" thickTop="1" x14ac:dyDescent="0.25">
      <c r="F74" s="59"/>
    </row>
    <row r="75" spans="1:10" x14ac:dyDescent="0.25">
      <c r="F75" s="59"/>
    </row>
    <row r="76" spans="1:10" x14ac:dyDescent="0.25">
      <c r="F76" s="59"/>
    </row>
  </sheetData>
  <mergeCells count="7">
    <mergeCell ref="A1:J1"/>
    <mergeCell ref="A2:J2"/>
    <mergeCell ref="A3:J3"/>
    <mergeCell ref="B6:E6"/>
    <mergeCell ref="G6:J6"/>
    <mergeCell ref="A5:E5"/>
    <mergeCell ref="G5:J5"/>
  </mergeCells>
  <pageMargins left="0.7" right="0.7" top="0.75" bottom="0.75" header="0.3" footer="0.3"/>
  <pageSetup scale="36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93"/>
  <sheetViews>
    <sheetView rightToLeft="1" view="pageBreakPreview" zoomScale="70" zoomScaleNormal="70" zoomScaleSheetLayoutView="70" workbookViewId="0">
      <selection activeCell="J92" sqref="J92"/>
    </sheetView>
  </sheetViews>
  <sheetFormatPr defaultRowHeight="18.600000000000001" x14ac:dyDescent="0.25"/>
  <cols>
    <col min="1" max="1" width="32.59765625" style="44" customWidth="1"/>
    <col min="2" max="5" width="22.69921875" style="44" customWidth="1"/>
    <col min="6" max="6" width="1.3984375" style="44" customWidth="1"/>
    <col min="7" max="10" width="22.69921875" style="44" customWidth="1"/>
    <col min="11" max="16384" width="8.796875" style="44"/>
  </cols>
  <sheetData>
    <row r="1" spans="1:10" ht="20.399999999999999" x14ac:dyDescent="0.25">
      <c r="A1" s="77" t="s">
        <v>64</v>
      </c>
      <c r="B1" s="77"/>
      <c r="C1" s="77"/>
      <c r="D1" s="77"/>
      <c r="E1" s="77"/>
      <c r="F1" s="77"/>
      <c r="G1" s="77"/>
      <c r="H1" s="77"/>
      <c r="I1" s="77"/>
      <c r="J1" s="77"/>
    </row>
    <row r="2" spans="1:10" ht="20.399999999999999" x14ac:dyDescent="0.25">
      <c r="A2" s="77" t="s">
        <v>47</v>
      </c>
      <c r="B2" s="77"/>
      <c r="C2" s="77"/>
      <c r="D2" s="77"/>
      <c r="E2" s="77"/>
      <c r="F2" s="77"/>
      <c r="G2" s="77"/>
      <c r="H2" s="77"/>
      <c r="I2" s="77"/>
      <c r="J2" s="77"/>
    </row>
    <row r="3" spans="1:10" ht="20.399999999999999" x14ac:dyDescent="0.25">
      <c r="A3" s="77" t="s">
        <v>66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ht="20.399999999999999" x14ac:dyDescent="0.25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ht="20.399999999999999" x14ac:dyDescent="0.25">
      <c r="A5" s="78" t="s">
        <v>36</v>
      </c>
      <c r="B5" s="78"/>
      <c r="C5" s="78"/>
      <c r="D5" s="78"/>
    </row>
    <row r="6" spans="1:10" ht="16.5" customHeight="1" thickBot="1" x14ac:dyDescent="0.3">
      <c r="A6" s="59"/>
      <c r="B6" s="81" t="s">
        <v>201</v>
      </c>
      <c r="C6" s="81"/>
      <c r="D6" s="81"/>
      <c r="E6" s="81"/>
      <c r="F6" s="49"/>
      <c r="G6" s="81" t="s">
        <v>202</v>
      </c>
      <c r="H6" s="81"/>
      <c r="I6" s="81"/>
      <c r="J6" s="81"/>
    </row>
    <row r="7" spans="1:10" ht="19.2" thickBot="1" x14ac:dyDescent="0.3">
      <c r="A7" s="2" t="s">
        <v>26</v>
      </c>
      <c r="B7" s="2" t="s">
        <v>3</v>
      </c>
      <c r="C7" s="3" t="s">
        <v>11</v>
      </c>
      <c r="D7" s="2" t="s">
        <v>37</v>
      </c>
      <c r="E7" s="3" t="s">
        <v>38</v>
      </c>
      <c r="F7" s="62"/>
      <c r="G7" s="2" t="s">
        <v>3</v>
      </c>
      <c r="H7" s="3" t="s">
        <v>11</v>
      </c>
      <c r="I7" s="2" t="s">
        <v>37</v>
      </c>
      <c r="J7" s="3" t="s">
        <v>38</v>
      </c>
    </row>
    <row r="8" spans="1:10" x14ac:dyDescent="0.25">
      <c r="A8" s="12" t="s">
        <v>95</v>
      </c>
      <c r="B8" s="15">
        <v>1600000</v>
      </c>
      <c r="C8" s="15">
        <v>9398781440</v>
      </c>
      <c r="D8" s="15">
        <v>10365886736</v>
      </c>
      <c r="E8" s="15">
        <v>-967105296</v>
      </c>
      <c r="F8" s="60"/>
      <c r="G8" s="15">
        <v>1600000</v>
      </c>
      <c r="H8" s="15">
        <v>9398781440</v>
      </c>
      <c r="I8" s="15">
        <v>10423704772</v>
      </c>
      <c r="J8" s="15">
        <v>-1024923332</v>
      </c>
    </row>
    <row r="9" spans="1:10" x14ac:dyDescent="0.25">
      <c r="A9" s="12" t="s">
        <v>87</v>
      </c>
      <c r="B9" s="15">
        <v>837500</v>
      </c>
      <c r="C9" s="15">
        <v>3712193700</v>
      </c>
      <c r="D9" s="15">
        <v>3769423612</v>
      </c>
      <c r="E9" s="15">
        <v>-57229912</v>
      </c>
      <c r="F9" s="60"/>
      <c r="G9" s="15">
        <v>837500</v>
      </c>
      <c r="H9" s="15">
        <v>3712193700</v>
      </c>
      <c r="I9" s="15">
        <v>3625046848</v>
      </c>
      <c r="J9" s="15">
        <v>87146852</v>
      </c>
    </row>
    <row r="10" spans="1:10" x14ac:dyDescent="0.25">
      <c r="A10" s="12" t="s">
        <v>167</v>
      </c>
      <c r="B10" s="15">
        <v>0</v>
      </c>
      <c r="C10" s="15">
        <v>2498107</v>
      </c>
      <c r="D10" s="15">
        <v>2498107</v>
      </c>
      <c r="E10" s="15">
        <v>0</v>
      </c>
      <c r="F10" s="60"/>
      <c r="G10" s="15">
        <v>0</v>
      </c>
      <c r="H10" s="15">
        <v>2498107</v>
      </c>
      <c r="I10" s="15">
        <v>2498107</v>
      </c>
      <c r="J10" s="15">
        <v>0</v>
      </c>
    </row>
    <row r="11" spans="1:10" x14ac:dyDescent="0.25">
      <c r="A11" s="12" t="s">
        <v>130</v>
      </c>
      <c r="B11" s="15">
        <v>0</v>
      </c>
      <c r="C11" s="15">
        <v>-17986365</v>
      </c>
      <c r="D11" s="15">
        <v>-17986365</v>
      </c>
      <c r="E11" s="15">
        <v>0</v>
      </c>
      <c r="F11" s="60"/>
      <c r="G11" s="15">
        <v>0</v>
      </c>
      <c r="H11" s="15">
        <v>-17986365</v>
      </c>
      <c r="I11" s="15">
        <v>0</v>
      </c>
      <c r="J11" s="15">
        <v>-17986365</v>
      </c>
    </row>
    <row r="12" spans="1:10" x14ac:dyDescent="0.25">
      <c r="A12" s="12" t="s">
        <v>137</v>
      </c>
      <c r="B12" s="15">
        <v>0</v>
      </c>
      <c r="C12" s="15">
        <v>0</v>
      </c>
      <c r="D12" s="15">
        <v>287781840</v>
      </c>
      <c r="E12" s="15">
        <v>-287781840</v>
      </c>
      <c r="F12" s="15"/>
      <c r="G12" s="15">
        <v>0</v>
      </c>
      <c r="H12" s="15">
        <v>0</v>
      </c>
      <c r="I12" s="15">
        <v>0</v>
      </c>
      <c r="J12" s="15">
        <v>0</v>
      </c>
    </row>
    <row r="13" spans="1:10" x14ac:dyDescent="0.25">
      <c r="A13" s="12" t="s">
        <v>121</v>
      </c>
      <c r="B13" s="15">
        <v>0</v>
      </c>
      <c r="C13" s="15">
        <v>0</v>
      </c>
      <c r="D13" s="15">
        <v>47623898</v>
      </c>
      <c r="E13" s="15">
        <v>-47623898</v>
      </c>
      <c r="F13" s="15"/>
      <c r="G13" s="15">
        <v>0</v>
      </c>
      <c r="H13" s="15">
        <v>0</v>
      </c>
      <c r="I13" s="15">
        <v>0</v>
      </c>
      <c r="J13" s="15">
        <v>0</v>
      </c>
    </row>
    <row r="14" spans="1:10" x14ac:dyDescent="0.25">
      <c r="A14" s="12" t="s">
        <v>144</v>
      </c>
      <c r="B14" s="15">
        <v>0</v>
      </c>
      <c r="C14" s="15">
        <v>67041178</v>
      </c>
      <c r="D14" s="15">
        <v>30902194</v>
      </c>
      <c r="E14" s="15">
        <v>36138984</v>
      </c>
      <c r="F14" s="15"/>
      <c r="G14" s="15">
        <v>0</v>
      </c>
      <c r="H14" s="15">
        <v>67041178</v>
      </c>
      <c r="I14" s="15">
        <v>0</v>
      </c>
      <c r="J14" s="15">
        <v>67041178</v>
      </c>
    </row>
    <row r="15" spans="1:10" x14ac:dyDescent="0.25">
      <c r="A15" s="12" t="s">
        <v>127</v>
      </c>
      <c r="B15" s="15">
        <v>0</v>
      </c>
      <c r="C15" s="15">
        <v>0</v>
      </c>
      <c r="D15" s="15">
        <v>60021210</v>
      </c>
      <c r="E15" s="15">
        <v>-60021210</v>
      </c>
      <c r="F15" s="15"/>
      <c r="G15" s="15">
        <v>0</v>
      </c>
      <c r="H15" s="15">
        <v>0</v>
      </c>
      <c r="I15" s="15">
        <v>0</v>
      </c>
      <c r="J15" s="15">
        <v>0</v>
      </c>
    </row>
    <row r="16" spans="1:10" x14ac:dyDescent="0.25">
      <c r="A16" s="12" t="s">
        <v>126</v>
      </c>
      <c r="B16" s="15">
        <v>0</v>
      </c>
      <c r="C16" s="15">
        <v>2362210</v>
      </c>
      <c r="D16" s="15">
        <v>50061210</v>
      </c>
      <c r="E16" s="15">
        <v>-47699000</v>
      </c>
      <c r="F16" s="15"/>
      <c r="G16" s="15">
        <v>0</v>
      </c>
      <c r="H16" s="15">
        <v>2362210</v>
      </c>
      <c r="I16" s="15">
        <v>0</v>
      </c>
      <c r="J16" s="15">
        <v>2362210</v>
      </c>
    </row>
    <row r="17" spans="1:10" x14ac:dyDescent="0.25">
      <c r="A17" s="12" t="s">
        <v>128</v>
      </c>
      <c r="B17" s="15">
        <v>0</v>
      </c>
      <c r="C17" s="15">
        <v>39969700</v>
      </c>
      <c r="D17" s="15">
        <v>174049237</v>
      </c>
      <c r="E17" s="15">
        <v>-134079537</v>
      </c>
      <c r="F17" s="15"/>
      <c r="G17" s="15">
        <v>0</v>
      </c>
      <c r="H17" s="15">
        <v>39969700</v>
      </c>
      <c r="I17" s="15">
        <v>0</v>
      </c>
      <c r="J17" s="15">
        <v>39969700</v>
      </c>
    </row>
    <row r="18" spans="1:10" x14ac:dyDescent="0.25">
      <c r="A18" s="12" t="s">
        <v>168</v>
      </c>
      <c r="B18" s="15">
        <v>0</v>
      </c>
      <c r="C18" s="15">
        <v>16531468</v>
      </c>
      <c r="D18" s="15">
        <v>16531468</v>
      </c>
      <c r="E18" s="15">
        <v>0</v>
      </c>
      <c r="F18" s="15"/>
      <c r="G18" s="15">
        <v>0</v>
      </c>
      <c r="H18" s="15">
        <v>16531468</v>
      </c>
      <c r="I18" s="15">
        <v>16531468</v>
      </c>
      <c r="J18" s="15">
        <v>0</v>
      </c>
    </row>
    <row r="19" spans="1:10" x14ac:dyDescent="0.25">
      <c r="A19" s="12" t="s">
        <v>135</v>
      </c>
      <c r="B19" s="15">
        <v>0</v>
      </c>
      <c r="C19" s="15">
        <v>-39969700</v>
      </c>
      <c r="D19" s="15">
        <v>-39969700</v>
      </c>
      <c r="E19" s="15">
        <v>0</v>
      </c>
      <c r="F19" s="15"/>
      <c r="G19" s="15">
        <v>0</v>
      </c>
      <c r="H19" s="15">
        <v>-39969700</v>
      </c>
      <c r="I19" s="15">
        <v>0</v>
      </c>
      <c r="J19" s="15">
        <v>-39969700</v>
      </c>
    </row>
    <row r="20" spans="1:10" x14ac:dyDescent="0.25">
      <c r="A20" s="12" t="s">
        <v>122</v>
      </c>
      <c r="B20" s="15">
        <v>0</v>
      </c>
      <c r="C20" s="15">
        <v>0</v>
      </c>
      <c r="D20" s="15">
        <v>999242</v>
      </c>
      <c r="E20" s="15">
        <v>-999242</v>
      </c>
      <c r="F20" s="15"/>
      <c r="G20" s="15">
        <v>0</v>
      </c>
      <c r="H20" s="15">
        <v>0</v>
      </c>
      <c r="I20" s="15">
        <v>0</v>
      </c>
      <c r="J20" s="15">
        <v>0</v>
      </c>
    </row>
    <row r="21" spans="1:10" x14ac:dyDescent="0.25">
      <c r="A21" s="12" t="s">
        <v>146</v>
      </c>
      <c r="B21" s="15">
        <v>0</v>
      </c>
      <c r="C21" s="15">
        <v>49962125</v>
      </c>
      <c r="D21" s="15">
        <v>26071962</v>
      </c>
      <c r="E21" s="15">
        <v>23890163</v>
      </c>
      <c r="F21" s="15"/>
      <c r="G21" s="15">
        <v>0</v>
      </c>
      <c r="H21" s="15">
        <v>49962125</v>
      </c>
      <c r="I21" s="15">
        <v>0</v>
      </c>
      <c r="J21" s="15">
        <v>49962125</v>
      </c>
    </row>
    <row r="22" spans="1:10" x14ac:dyDescent="0.25">
      <c r="A22" s="12" t="s">
        <v>162</v>
      </c>
      <c r="B22" s="15">
        <v>0</v>
      </c>
      <c r="C22" s="15">
        <v>11219495</v>
      </c>
      <c r="D22" s="15">
        <v>0</v>
      </c>
      <c r="E22" s="15">
        <v>11219495</v>
      </c>
      <c r="F22" s="15"/>
      <c r="G22" s="15">
        <v>0</v>
      </c>
      <c r="H22" s="15">
        <v>11219495</v>
      </c>
      <c r="I22" s="15">
        <v>0</v>
      </c>
      <c r="J22" s="15">
        <v>11219495</v>
      </c>
    </row>
    <row r="23" spans="1:10" x14ac:dyDescent="0.25">
      <c r="A23" s="12" t="s">
        <v>140</v>
      </c>
      <c r="B23" s="15">
        <v>-3500000</v>
      </c>
      <c r="C23" s="15">
        <v>-136396601</v>
      </c>
      <c r="D23" s="15">
        <v>-2945093390</v>
      </c>
      <c r="E23" s="15">
        <v>2808696789</v>
      </c>
      <c r="F23" s="15"/>
      <c r="G23" s="15">
        <v>-3500000</v>
      </c>
      <c r="H23" s="15">
        <v>-136396601</v>
      </c>
      <c r="I23" s="15">
        <v>-3006963000</v>
      </c>
      <c r="J23" s="15">
        <v>2870566399</v>
      </c>
    </row>
    <row r="24" spans="1:10" x14ac:dyDescent="0.25">
      <c r="A24" s="12" t="s">
        <v>154</v>
      </c>
      <c r="B24" s="15">
        <v>0</v>
      </c>
      <c r="C24" s="15">
        <v>126154366</v>
      </c>
      <c r="D24" s="15">
        <v>0</v>
      </c>
      <c r="E24" s="15">
        <v>126154366</v>
      </c>
      <c r="F24" s="15"/>
      <c r="G24" s="15">
        <v>0</v>
      </c>
      <c r="H24" s="15">
        <v>126154366</v>
      </c>
      <c r="I24" s="15">
        <v>0</v>
      </c>
      <c r="J24" s="15">
        <v>126154366</v>
      </c>
    </row>
    <row r="25" spans="1:10" x14ac:dyDescent="0.25">
      <c r="A25" s="12" t="s">
        <v>145</v>
      </c>
      <c r="B25" s="15">
        <v>0</v>
      </c>
      <c r="C25" s="15">
        <v>-68448111</v>
      </c>
      <c r="D25" s="15">
        <v>90138799</v>
      </c>
      <c r="E25" s="15">
        <v>-158586910</v>
      </c>
      <c r="F25" s="15"/>
      <c r="G25" s="15">
        <v>0</v>
      </c>
      <c r="H25" s="15">
        <v>-68448111</v>
      </c>
      <c r="I25" s="15">
        <v>0</v>
      </c>
      <c r="J25" s="15">
        <v>-68448111</v>
      </c>
    </row>
    <row r="26" spans="1:10" x14ac:dyDescent="0.25">
      <c r="A26" s="12" t="s">
        <v>159</v>
      </c>
      <c r="B26" s="15">
        <v>-100000</v>
      </c>
      <c r="C26" s="15">
        <v>-59954550</v>
      </c>
      <c r="D26" s="15">
        <v>-147000000</v>
      </c>
      <c r="E26" s="15">
        <v>87045450</v>
      </c>
      <c r="F26" s="15"/>
      <c r="G26" s="15">
        <v>-100000</v>
      </c>
      <c r="H26" s="15">
        <v>-59954550</v>
      </c>
      <c r="I26" s="15">
        <v>-147000000</v>
      </c>
      <c r="J26" s="15">
        <v>87045450</v>
      </c>
    </row>
    <row r="27" spans="1:10" x14ac:dyDescent="0.25">
      <c r="A27" s="12" t="s">
        <v>169</v>
      </c>
      <c r="B27" s="15">
        <v>50000</v>
      </c>
      <c r="C27" s="15">
        <v>618531107</v>
      </c>
      <c r="D27" s="15">
        <v>659747733</v>
      </c>
      <c r="E27" s="15">
        <v>-41216626</v>
      </c>
      <c r="F27" s="15"/>
      <c r="G27" s="15">
        <v>50000</v>
      </c>
      <c r="H27" s="15">
        <v>618531107</v>
      </c>
      <c r="I27" s="15">
        <v>659747733</v>
      </c>
      <c r="J27" s="15">
        <v>-41216626</v>
      </c>
    </row>
    <row r="28" spans="1:10" x14ac:dyDescent="0.25">
      <c r="A28" s="12" t="s">
        <v>133</v>
      </c>
      <c r="B28" s="15">
        <v>0</v>
      </c>
      <c r="C28" s="15">
        <v>0</v>
      </c>
      <c r="D28" s="15">
        <v>1435878002</v>
      </c>
      <c r="E28" s="15">
        <v>-1435878002</v>
      </c>
      <c r="F28" s="15"/>
      <c r="G28" s="15">
        <v>0</v>
      </c>
      <c r="H28" s="15">
        <v>0</v>
      </c>
      <c r="I28" s="15">
        <v>0</v>
      </c>
      <c r="J28" s="15">
        <v>0</v>
      </c>
    </row>
    <row r="29" spans="1:10" x14ac:dyDescent="0.25">
      <c r="A29" s="12" t="s">
        <v>131</v>
      </c>
      <c r="B29" s="15">
        <v>0</v>
      </c>
      <c r="C29" s="15">
        <v>-81937885</v>
      </c>
      <c r="D29" s="15">
        <v>-81937885</v>
      </c>
      <c r="E29" s="15">
        <v>0</v>
      </c>
      <c r="F29" s="15"/>
      <c r="G29" s="15">
        <v>0</v>
      </c>
      <c r="H29" s="15">
        <v>-81937885</v>
      </c>
      <c r="I29" s="15">
        <v>0</v>
      </c>
      <c r="J29" s="15">
        <v>-81937885</v>
      </c>
    </row>
    <row r="30" spans="1:10" x14ac:dyDescent="0.25">
      <c r="A30" s="12" t="s">
        <v>164</v>
      </c>
      <c r="B30" s="15">
        <v>0</v>
      </c>
      <c r="C30" s="15">
        <v>363724270</v>
      </c>
      <c r="D30" s="15">
        <v>363724270</v>
      </c>
      <c r="E30" s="15">
        <v>0</v>
      </c>
      <c r="F30" s="15"/>
      <c r="G30" s="15">
        <v>0</v>
      </c>
      <c r="H30" s="15">
        <v>363724270</v>
      </c>
      <c r="I30" s="15">
        <v>0</v>
      </c>
      <c r="J30" s="15">
        <v>363724270</v>
      </c>
    </row>
    <row r="31" spans="1:10" x14ac:dyDescent="0.25">
      <c r="A31" s="12" t="s">
        <v>161</v>
      </c>
      <c r="B31" s="15">
        <v>0</v>
      </c>
      <c r="C31" s="15">
        <v>45068175</v>
      </c>
      <c r="D31" s="15">
        <v>0</v>
      </c>
      <c r="E31" s="15">
        <v>45068175</v>
      </c>
      <c r="F31" s="15"/>
      <c r="G31" s="15">
        <v>0</v>
      </c>
      <c r="H31" s="15">
        <v>45068175</v>
      </c>
      <c r="I31" s="15">
        <v>0</v>
      </c>
      <c r="J31" s="15">
        <v>45068175</v>
      </c>
    </row>
    <row r="32" spans="1:10" x14ac:dyDescent="0.25">
      <c r="A32" s="12" t="s">
        <v>156</v>
      </c>
      <c r="B32" s="15">
        <v>0</v>
      </c>
      <c r="C32" s="15">
        <v>29977274</v>
      </c>
      <c r="D32" s="15">
        <v>0</v>
      </c>
      <c r="E32" s="15">
        <v>29977274</v>
      </c>
      <c r="F32" s="15"/>
      <c r="G32" s="15">
        <v>0</v>
      </c>
      <c r="H32" s="15">
        <v>29977274</v>
      </c>
      <c r="I32" s="15">
        <v>0</v>
      </c>
      <c r="J32" s="15">
        <v>29977274</v>
      </c>
    </row>
    <row r="33" spans="1:10" x14ac:dyDescent="0.25">
      <c r="A33" s="12" t="s">
        <v>136</v>
      </c>
      <c r="B33" s="15">
        <v>0</v>
      </c>
      <c r="C33" s="15">
        <v>0</v>
      </c>
      <c r="D33" s="15">
        <v>1293695950</v>
      </c>
      <c r="E33" s="15">
        <v>-1293695950</v>
      </c>
      <c r="F33" s="15"/>
      <c r="G33" s="15">
        <v>0</v>
      </c>
      <c r="H33" s="15">
        <v>0</v>
      </c>
      <c r="I33" s="15">
        <v>0</v>
      </c>
      <c r="J33" s="15">
        <v>0</v>
      </c>
    </row>
    <row r="34" spans="1:10" x14ac:dyDescent="0.25">
      <c r="A34" s="12" t="s">
        <v>163</v>
      </c>
      <c r="B34" s="15">
        <v>-15000000</v>
      </c>
      <c r="C34" s="15">
        <v>-89931825</v>
      </c>
      <c r="D34" s="15">
        <v>-135000000</v>
      </c>
      <c r="E34" s="15">
        <v>45068175</v>
      </c>
      <c r="F34" s="15"/>
      <c r="G34" s="15">
        <v>-15000000</v>
      </c>
      <c r="H34" s="15">
        <v>-89931825</v>
      </c>
      <c r="I34" s="15">
        <v>-135000000</v>
      </c>
      <c r="J34" s="15">
        <v>45068175</v>
      </c>
    </row>
    <row r="35" spans="1:10" x14ac:dyDescent="0.25">
      <c r="A35" s="12" t="s">
        <v>148</v>
      </c>
      <c r="B35" s="15">
        <v>0</v>
      </c>
      <c r="C35" s="15">
        <v>32359469</v>
      </c>
      <c r="D35" s="15">
        <v>86181800</v>
      </c>
      <c r="E35" s="15">
        <v>-53822331</v>
      </c>
      <c r="F35" s="15"/>
      <c r="G35" s="15">
        <v>0</v>
      </c>
      <c r="H35" s="15">
        <v>32359469</v>
      </c>
      <c r="I35" s="15">
        <v>0</v>
      </c>
      <c r="J35" s="15">
        <v>32359469</v>
      </c>
    </row>
    <row r="36" spans="1:10" x14ac:dyDescent="0.25">
      <c r="A36" s="12" t="s">
        <v>147</v>
      </c>
      <c r="B36" s="15">
        <v>0</v>
      </c>
      <c r="C36" s="15">
        <v>4996212</v>
      </c>
      <c r="D36" s="15">
        <v>161072720</v>
      </c>
      <c r="E36" s="15">
        <v>-156076508</v>
      </c>
      <c r="F36" s="15"/>
      <c r="G36" s="15">
        <v>0</v>
      </c>
      <c r="H36" s="15">
        <v>4996212</v>
      </c>
      <c r="I36" s="15">
        <v>0</v>
      </c>
      <c r="J36" s="15">
        <v>4996212</v>
      </c>
    </row>
    <row r="37" spans="1:10" x14ac:dyDescent="0.25">
      <c r="A37" s="12" t="s">
        <v>141</v>
      </c>
      <c r="B37" s="15">
        <v>0</v>
      </c>
      <c r="C37" s="15">
        <v>13639660</v>
      </c>
      <c r="D37" s="15">
        <v>13639660</v>
      </c>
      <c r="E37" s="15">
        <v>0</v>
      </c>
      <c r="F37" s="15"/>
      <c r="G37" s="15">
        <v>0</v>
      </c>
      <c r="H37" s="15">
        <v>13639660</v>
      </c>
      <c r="I37" s="15">
        <v>0</v>
      </c>
      <c r="J37" s="15">
        <v>13639660</v>
      </c>
    </row>
    <row r="38" spans="1:10" x14ac:dyDescent="0.25">
      <c r="A38" s="12" t="s">
        <v>143</v>
      </c>
      <c r="B38" s="15">
        <v>0</v>
      </c>
      <c r="C38" s="15">
        <v>-65017255</v>
      </c>
      <c r="D38" s="15">
        <v>-65017255</v>
      </c>
      <c r="E38" s="15">
        <v>0</v>
      </c>
      <c r="F38" s="15"/>
      <c r="G38" s="15">
        <v>0</v>
      </c>
      <c r="H38" s="15">
        <v>-65017255</v>
      </c>
      <c r="I38" s="15">
        <v>0</v>
      </c>
      <c r="J38" s="15">
        <v>-65017255</v>
      </c>
    </row>
    <row r="39" spans="1:10" x14ac:dyDescent="0.25">
      <c r="A39" s="12" t="s">
        <v>120</v>
      </c>
      <c r="B39" s="15">
        <v>0</v>
      </c>
      <c r="C39" s="15">
        <v>0</v>
      </c>
      <c r="D39" s="15">
        <v>-47963640</v>
      </c>
      <c r="E39" s="15">
        <v>47963640</v>
      </c>
      <c r="F39" s="15"/>
      <c r="G39" s="15">
        <v>0</v>
      </c>
      <c r="H39" s="15">
        <v>0</v>
      </c>
      <c r="I39" s="15">
        <v>0</v>
      </c>
      <c r="J39" s="15">
        <v>0</v>
      </c>
    </row>
    <row r="40" spans="1:10" x14ac:dyDescent="0.25">
      <c r="A40" s="12" t="s">
        <v>125</v>
      </c>
      <c r="B40" s="15">
        <v>0</v>
      </c>
      <c r="C40" s="15">
        <v>0</v>
      </c>
      <c r="D40" s="15">
        <v>-62952277</v>
      </c>
      <c r="E40" s="15">
        <v>62952277</v>
      </c>
      <c r="F40" s="15"/>
      <c r="G40" s="15">
        <v>0</v>
      </c>
      <c r="H40" s="15">
        <v>0</v>
      </c>
      <c r="I40" s="15">
        <v>0</v>
      </c>
      <c r="J40" s="15">
        <v>0</v>
      </c>
    </row>
    <row r="41" spans="1:10" x14ac:dyDescent="0.25">
      <c r="A41" s="12" t="s">
        <v>155</v>
      </c>
      <c r="B41" s="15">
        <v>0</v>
      </c>
      <c r="C41" s="15">
        <v>13989395</v>
      </c>
      <c r="D41" s="15">
        <v>0</v>
      </c>
      <c r="E41" s="15">
        <v>13989395</v>
      </c>
      <c r="F41" s="15"/>
      <c r="G41" s="15">
        <v>0</v>
      </c>
      <c r="H41" s="15">
        <v>13989395</v>
      </c>
      <c r="I41" s="15">
        <v>0</v>
      </c>
      <c r="J41" s="15">
        <v>13989395</v>
      </c>
    </row>
    <row r="42" spans="1:10" x14ac:dyDescent="0.25">
      <c r="A42" s="12" t="s">
        <v>123</v>
      </c>
      <c r="B42" s="15">
        <v>0</v>
      </c>
      <c r="C42" s="15">
        <v>0</v>
      </c>
      <c r="D42" s="15">
        <v>9992425</v>
      </c>
      <c r="E42" s="15">
        <v>-9992425</v>
      </c>
      <c r="F42" s="15"/>
      <c r="G42" s="15">
        <v>0</v>
      </c>
      <c r="H42" s="15">
        <v>0</v>
      </c>
      <c r="I42" s="15">
        <v>0</v>
      </c>
      <c r="J42" s="15">
        <v>0</v>
      </c>
    </row>
    <row r="43" spans="1:10" x14ac:dyDescent="0.25">
      <c r="A43" s="12" t="s">
        <v>124</v>
      </c>
      <c r="B43" s="15">
        <v>0</v>
      </c>
      <c r="C43" s="15">
        <v>0</v>
      </c>
      <c r="D43" s="15">
        <v>-22982578</v>
      </c>
      <c r="E43" s="15">
        <v>22982578</v>
      </c>
      <c r="F43" s="15"/>
      <c r="G43" s="15">
        <v>0</v>
      </c>
      <c r="H43" s="15">
        <v>0</v>
      </c>
      <c r="I43" s="15">
        <v>0</v>
      </c>
      <c r="J43" s="15">
        <v>0</v>
      </c>
    </row>
    <row r="44" spans="1:10" x14ac:dyDescent="0.25">
      <c r="A44" s="12" t="s">
        <v>157</v>
      </c>
      <c r="B44" s="15">
        <v>0</v>
      </c>
      <c r="C44" s="15">
        <v>29977275</v>
      </c>
      <c r="D44" s="15">
        <v>0</v>
      </c>
      <c r="E44" s="15">
        <v>29977275</v>
      </c>
      <c r="F44" s="15"/>
      <c r="G44" s="15">
        <v>0</v>
      </c>
      <c r="H44" s="15">
        <v>29977275</v>
      </c>
      <c r="I44" s="15">
        <v>0</v>
      </c>
      <c r="J44" s="15">
        <v>29977275</v>
      </c>
    </row>
    <row r="45" spans="1:10" x14ac:dyDescent="0.25">
      <c r="A45" s="12" t="s">
        <v>158</v>
      </c>
      <c r="B45" s="15">
        <v>0</v>
      </c>
      <c r="C45" s="15">
        <v>139893</v>
      </c>
      <c r="D45" s="15">
        <v>0</v>
      </c>
      <c r="E45" s="15">
        <v>139893</v>
      </c>
      <c r="F45" s="15"/>
      <c r="G45" s="15">
        <v>0</v>
      </c>
      <c r="H45" s="15">
        <v>139893</v>
      </c>
      <c r="I45" s="15">
        <v>0</v>
      </c>
      <c r="J45" s="15">
        <v>139893</v>
      </c>
    </row>
    <row r="46" spans="1:10" x14ac:dyDescent="0.25">
      <c r="A46" s="12" t="s">
        <v>170</v>
      </c>
      <c r="B46" s="15">
        <v>9890291</v>
      </c>
      <c r="C46" s="15">
        <v>19254752217</v>
      </c>
      <c r="D46" s="15">
        <v>21924116439</v>
      </c>
      <c r="E46" s="15">
        <v>-2669364222</v>
      </c>
      <c r="F46" s="15"/>
      <c r="G46" s="15">
        <v>9890291</v>
      </c>
      <c r="H46" s="15">
        <v>19254752217</v>
      </c>
      <c r="I46" s="15">
        <v>20583450426</v>
      </c>
      <c r="J46" s="15">
        <v>-1328698209</v>
      </c>
    </row>
    <row r="47" spans="1:10" x14ac:dyDescent="0.25">
      <c r="A47" s="12" t="s">
        <v>74</v>
      </c>
      <c r="B47" s="15">
        <v>43438000</v>
      </c>
      <c r="C47" s="15">
        <v>21637316579</v>
      </c>
      <c r="D47" s="15">
        <v>26378561247</v>
      </c>
      <c r="E47" s="15">
        <v>-4741244668</v>
      </c>
      <c r="F47" s="15"/>
      <c r="G47" s="15">
        <v>43438000</v>
      </c>
      <c r="H47" s="15">
        <v>21637316579</v>
      </c>
      <c r="I47" s="15">
        <v>26809583490</v>
      </c>
      <c r="J47" s="15">
        <v>-5172266911</v>
      </c>
    </row>
    <row r="48" spans="1:10" x14ac:dyDescent="0.25">
      <c r="A48" s="12" t="s">
        <v>84</v>
      </c>
      <c r="B48" s="15">
        <v>40680000</v>
      </c>
      <c r="C48" s="15">
        <v>50739488305</v>
      </c>
      <c r="D48" s="15">
        <v>59184233810</v>
      </c>
      <c r="E48" s="15">
        <v>-8444745505</v>
      </c>
      <c r="F48" s="15"/>
      <c r="G48" s="15">
        <v>40680000</v>
      </c>
      <c r="H48" s="15">
        <v>50739488305</v>
      </c>
      <c r="I48" s="15">
        <v>61042448926</v>
      </c>
      <c r="J48" s="15">
        <v>-10302960621</v>
      </c>
    </row>
    <row r="49" spans="1:10" x14ac:dyDescent="0.25">
      <c r="A49" s="12" t="s">
        <v>171</v>
      </c>
      <c r="B49" s="15">
        <v>5850000</v>
      </c>
      <c r="C49" s="15">
        <v>12486080704</v>
      </c>
      <c r="D49" s="15">
        <v>17362095484</v>
      </c>
      <c r="E49" s="15">
        <v>-4876014780</v>
      </c>
      <c r="F49" s="15"/>
      <c r="G49" s="15">
        <v>5850000</v>
      </c>
      <c r="H49" s="15">
        <v>12486080704</v>
      </c>
      <c r="I49" s="15">
        <v>15511892164</v>
      </c>
      <c r="J49" s="15">
        <v>-3025811460</v>
      </c>
    </row>
    <row r="50" spans="1:10" x14ac:dyDescent="0.25">
      <c r="A50" s="12" t="s">
        <v>149</v>
      </c>
      <c r="B50" s="15">
        <v>0</v>
      </c>
      <c r="C50" s="15">
        <v>0</v>
      </c>
      <c r="D50" s="15">
        <v>-196074730</v>
      </c>
      <c r="E50" s="15">
        <v>196074730</v>
      </c>
      <c r="F50" s="15"/>
      <c r="G50" s="15">
        <v>0</v>
      </c>
      <c r="H50" s="15">
        <v>0</v>
      </c>
      <c r="I50" s="15">
        <v>0</v>
      </c>
      <c r="J50" s="15">
        <v>0</v>
      </c>
    </row>
    <row r="51" spans="1:10" x14ac:dyDescent="0.25">
      <c r="A51" s="12" t="s">
        <v>73</v>
      </c>
      <c r="B51" s="15">
        <v>0</v>
      </c>
      <c r="C51" s="15">
        <v>0</v>
      </c>
      <c r="D51" s="15">
        <v>-44652150</v>
      </c>
      <c r="E51" s="15">
        <v>44652150</v>
      </c>
      <c r="F51" s="15"/>
      <c r="G51" s="15">
        <v>0</v>
      </c>
      <c r="H51" s="15">
        <v>0</v>
      </c>
      <c r="I51" s="15">
        <v>0</v>
      </c>
      <c r="J51" s="15">
        <v>0</v>
      </c>
    </row>
    <row r="52" spans="1:10" x14ac:dyDescent="0.25">
      <c r="A52" s="12" t="s">
        <v>211</v>
      </c>
      <c r="B52" s="15"/>
      <c r="C52" s="63">
        <f>SUM(C8:C51)</f>
        <v>118137112032</v>
      </c>
      <c r="D52" s="63">
        <f>SUM(D8:D51)</f>
        <v>139988299085</v>
      </c>
      <c r="E52" s="63">
        <f>SUM(E8:E51)</f>
        <v>-21851187053</v>
      </c>
      <c r="F52" s="15"/>
      <c r="G52" s="15"/>
      <c r="H52" s="63">
        <f>SUM(H8:H51)</f>
        <v>118137112032</v>
      </c>
      <c r="I52" s="63">
        <f>SUM(I8:I51)</f>
        <v>135385940934</v>
      </c>
      <c r="J52" s="63">
        <f>SUM(J8:J51)</f>
        <v>-17248828902</v>
      </c>
    </row>
    <row r="53" spans="1:10" x14ac:dyDescent="0.25">
      <c r="A53" s="12"/>
      <c r="B53" s="15"/>
      <c r="C53" s="60"/>
      <c r="D53" s="60"/>
      <c r="E53" s="60"/>
      <c r="F53" s="15"/>
      <c r="G53" s="15"/>
      <c r="H53" s="60"/>
      <c r="I53" s="60"/>
      <c r="J53" s="60"/>
    </row>
    <row r="54" spans="1:10" ht="20.399999999999999" x14ac:dyDescent="0.25">
      <c r="A54" s="77" t="s">
        <v>63</v>
      </c>
      <c r="B54" s="77"/>
      <c r="C54" s="77"/>
      <c r="D54" s="77"/>
      <c r="E54" s="77"/>
      <c r="F54" s="77"/>
      <c r="G54" s="77"/>
      <c r="H54" s="77"/>
      <c r="I54" s="77"/>
      <c r="J54" s="77"/>
    </row>
    <row r="55" spans="1:10" ht="20.399999999999999" x14ac:dyDescent="0.25">
      <c r="A55" s="77" t="s">
        <v>47</v>
      </c>
      <c r="B55" s="77"/>
      <c r="C55" s="77"/>
      <c r="D55" s="77"/>
      <c r="E55" s="77"/>
      <c r="F55" s="77"/>
      <c r="G55" s="77"/>
      <c r="H55" s="77"/>
      <c r="I55" s="77"/>
      <c r="J55" s="77"/>
    </row>
    <row r="56" spans="1:10" ht="20.399999999999999" x14ac:dyDescent="0.25">
      <c r="A56" s="77" t="s">
        <v>65</v>
      </c>
      <c r="B56" s="77"/>
      <c r="C56" s="77"/>
      <c r="D56" s="77"/>
      <c r="E56" s="77"/>
      <c r="F56" s="77"/>
      <c r="G56" s="77"/>
      <c r="H56" s="77"/>
      <c r="I56" s="77"/>
      <c r="J56" s="77"/>
    </row>
    <row r="57" spans="1:10" ht="20.399999999999999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20.399999999999999" x14ac:dyDescent="0.25">
      <c r="A58" s="78" t="s">
        <v>36</v>
      </c>
      <c r="B58" s="78"/>
      <c r="C58" s="78"/>
      <c r="D58" s="78"/>
    </row>
    <row r="59" spans="1:10" ht="16.5" customHeight="1" thickBot="1" x14ac:dyDescent="0.3">
      <c r="A59" s="59"/>
      <c r="B59" s="81" t="s">
        <v>201</v>
      </c>
      <c r="C59" s="81"/>
      <c r="D59" s="81"/>
      <c r="E59" s="81"/>
      <c r="F59" s="49"/>
      <c r="G59" s="81" t="s">
        <v>202</v>
      </c>
      <c r="H59" s="81"/>
      <c r="I59" s="81"/>
      <c r="J59" s="81"/>
    </row>
    <row r="60" spans="1:10" ht="19.2" thickBot="1" x14ac:dyDescent="0.3">
      <c r="A60" s="2" t="s">
        <v>26</v>
      </c>
      <c r="B60" s="2" t="s">
        <v>3</v>
      </c>
      <c r="C60" s="3" t="s">
        <v>11</v>
      </c>
      <c r="D60" s="2" t="s">
        <v>37</v>
      </c>
      <c r="E60" s="3" t="s">
        <v>38</v>
      </c>
      <c r="F60" s="62"/>
      <c r="G60" s="2" t="s">
        <v>3</v>
      </c>
      <c r="H60" s="3" t="s">
        <v>11</v>
      </c>
      <c r="I60" s="2" t="s">
        <v>37</v>
      </c>
      <c r="J60" s="3" t="s">
        <v>38</v>
      </c>
    </row>
    <row r="61" spans="1:10" x14ac:dyDescent="0.25">
      <c r="A61" s="64" t="s">
        <v>212</v>
      </c>
      <c r="B61" s="15"/>
      <c r="C61" s="15">
        <f>C52</f>
        <v>118137112032</v>
      </c>
      <c r="D61" s="15">
        <f>D52</f>
        <v>139988299085</v>
      </c>
      <c r="E61" s="15">
        <f>E52</f>
        <v>-21851187053</v>
      </c>
      <c r="F61" s="15"/>
      <c r="G61" s="15"/>
      <c r="H61" s="15">
        <f>H52</f>
        <v>118137112032</v>
      </c>
      <c r="I61" s="15">
        <f>I52</f>
        <v>135385940934</v>
      </c>
      <c r="J61" s="15">
        <f>J52</f>
        <v>-17248828902</v>
      </c>
    </row>
    <row r="62" spans="1:10" x14ac:dyDescent="0.25">
      <c r="A62" s="12" t="s">
        <v>97</v>
      </c>
      <c r="B62" s="15">
        <v>20000000</v>
      </c>
      <c r="C62" s="15">
        <v>32685373800</v>
      </c>
      <c r="D62" s="15">
        <v>38758028639</v>
      </c>
      <c r="E62" s="15">
        <v>-6072654839</v>
      </c>
      <c r="F62" s="15"/>
      <c r="G62" s="15">
        <v>20000000</v>
      </c>
      <c r="H62" s="15">
        <v>32685373800</v>
      </c>
      <c r="I62" s="15">
        <v>34512162256</v>
      </c>
      <c r="J62" s="15">
        <v>-1826788456</v>
      </c>
    </row>
    <row r="63" spans="1:10" x14ac:dyDescent="0.25">
      <c r="A63" s="12" t="s">
        <v>76</v>
      </c>
      <c r="B63" s="15">
        <v>350000</v>
      </c>
      <c r="C63" s="15">
        <v>12884625950</v>
      </c>
      <c r="D63" s="15">
        <v>15155931980</v>
      </c>
      <c r="E63" s="15">
        <v>-2271306030</v>
      </c>
      <c r="F63" s="15"/>
      <c r="G63" s="15">
        <v>350000</v>
      </c>
      <c r="H63" s="15">
        <v>12884625950</v>
      </c>
      <c r="I63" s="15">
        <v>13384730030</v>
      </c>
      <c r="J63" s="15">
        <v>-500104080</v>
      </c>
    </row>
    <row r="64" spans="1:10" x14ac:dyDescent="0.25">
      <c r="A64" s="12" t="s">
        <v>108</v>
      </c>
      <c r="B64" s="15">
        <v>2250000</v>
      </c>
      <c r="C64" s="15">
        <v>30028570875</v>
      </c>
      <c r="D64" s="15">
        <v>36570110850</v>
      </c>
      <c r="E64" s="15">
        <v>-6541539975</v>
      </c>
      <c r="F64" s="15"/>
      <c r="G64" s="15">
        <v>2250000</v>
      </c>
      <c r="H64" s="15">
        <v>30028570875</v>
      </c>
      <c r="I64" s="15">
        <v>30251831625</v>
      </c>
      <c r="J64" s="15">
        <v>-223260750</v>
      </c>
    </row>
    <row r="65" spans="1:10" x14ac:dyDescent="0.25">
      <c r="A65" s="12" t="s">
        <v>152</v>
      </c>
      <c r="B65" s="15">
        <v>3299000</v>
      </c>
      <c r="C65" s="15">
        <v>49102480950</v>
      </c>
      <c r="D65" s="15">
        <v>54556790685</v>
      </c>
      <c r="E65" s="15">
        <v>-5454309735</v>
      </c>
      <c r="F65" s="15"/>
      <c r="G65" s="15">
        <v>3299000</v>
      </c>
      <c r="H65" s="15">
        <v>49102480950</v>
      </c>
      <c r="I65" s="15">
        <v>46483681965</v>
      </c>
      <c r="J65" s="15">
        <v>2618798985</v>
      </c>
    </row>
    <row r="66" spans="1:10" x14ac:dyDescent="0.25">
      <c r="A66" s="12" t="s">
        <v>77</v>
      </c>
      <c r="B66" s="15">
        <v>1100000</v>
      </c>
      <c r="C66" s="15">
        <v>16940033440</v>
      </c>
      <c r="D66" s="15">
        <v>19406816660</v>
      </c>
      <c r="E66" s="15">
        <v>-2466783220</v>
      </c>
      <c r="F66" s="15"/>
      <c r="G66" s="15">
        <v>1100000</v>
      </c>
      <c r="H66" s="15">
        <v>16940033440</v>
      </c>
      <c r="I66" s="15">
        <v>20640208270</v>
      </c>
      <c r="J66" s="15">
        <v>-3700174830</v>
      </c>
    </row>
    <row r="67" spans="1:10" x14ac:dyDescent="0.25">
      <c r="A67" s="12" t="s">
        <v>100</v>
      </c>
      <c r="B67" s="15">
        <v>0</v>
      </c>
      <c r="C67" s="15">
        <v>0</v>
      </c>
      <c r="D67" s="15">
        <v>166600157</v>
      </c>
      <c r="E67" s="15">
        <v>-166600157</v>
      </c>
      <c r="F67" s="15"/>
      <c r="G67" s="15">
        <v>0</v>
      </c>
      <c r="H67" s="15">
        <v>0</v>
      </c>
      <c r="I67" s="15">
        <v>0</v>
      </c>
      <c r="J67" s="15">
        <v>0</v>
      </c>
    </row>
    <row r="68" spans="1:10" x14ac:dyDescent="0.25">
      <c r="A68" s="12" t="s">
        <v>98</v>
      </c>
      <c r="B68" s="15">
        <v>9200000</v>
      </c>
      <c r="C68" s="15">
        <v>98591947200</v>
      </c>
      <c r="D68" s="15">
        <v>123410604440</v>
      </c>
      <c r="E68" s="15">
        <v>-24818657240</v>
      </c>
      <c r="F68" s="15"/>
      <c r="G68" s="15">
        <v>9200000</v>
      </c>
      <c r="H68" s="15">
        <v>98591947200</v>
      </c>
      <c r="I68" s="15">
        <v>95214260120</v>
      </c>
      <c r="J68" s="15">
        <v>3377687080</v>
      </c>
    </row>
    <row r="69" spans="1:10" x14ac:dyDescent="0.25">
      <c r="A69" s="12" t="s">
        <v>134</v>
      </c>
      <c r="B69" s="15">
        <v>600000</v>
      </c>
      <c r="C69" s="15">
        <v>10627211700</v>
      </c>
      <c r="D69" s="15">
        <v>14407760400</v>
      </c>
      <c r="E69" s="15">
        <v>-3780548700</v>
      </c>
      <c r="F69" s="15"/>
      <c r="G69" s="15">
        <v>600000</v>
      </c>
      <c r="H69" s="15">
        <v>10627211700</v>
      </c>
      <c r="I69" s="15">
        <v>12502602000</v>
      </c>
      <c r="J69" s="15">
        <v>-1875390300</v>
      </c>
    </row>
    <row r="70" spans="1:10" x14ac:dyDescent="0.25">
      <c r="A70" s="12" t="s">
        <v>150</v>
      </c>
      <c r="B70" s="15">
        <v>17690000</v>
      </c>
      <c r="C70" s="15">
        <v>59154473731</v>
      </c>
      <c r="D70" s="15">
        <v>69747691057</v>
      </c>
      <c r="E70" s="15">
        <v>-10593217326</v>
      </c>
      <c r="F70" s="15"/>
      <c r="G70" s="15">
        <v>17690000</v>
      </c>
      <c r="H70" s="15">
        <v>59154473731</v>
      </c>
      <c r="I70" s="15">
        <v>69118575261</v>
      </c>
      <c r="J70" s="15">
        <v>-9964101530</v>
      </c>
    </row>
    <row r="71" spans="1:10" x14ac:dyDescent="0.25">
      <c r="A71" s="12" t="s">
        <v>89</v>
      </c>
      <c r="B71" s="15">
        <v>133750</v>
      </c>
      <c r="C71" s="15">
        <v>5122841942</v>
      </c>
      <c r="D71" s="15">
        <v>5580712531</v>
      </c>
      <c r="E71" s="15">
        <v>-457870589</v>
      </c>
      <c r="F71" s="15"/>
      <c r="G71" s="15">
        <v>133750</v>
      </c>
      <c r="H71" s="15">
        <v>5122841942</v>
      </c>
      <c r="I71" s="15">
        <v>3941668541</v>
      </c>
      <c r="J71" s="15">
        <v>1181173401</v>
      </c>
    </row>
    <row r="72" spans="1:10" x14ac:dyDescent="0.25">
      <c r="A72" s="12" t="s">
        <v>94</v>
      </c>
      <c r="B72" s="15">
        <v>800000</v>
      </c>
      <c r="C72" s="15">
        <v>12026312400</v>
      </c>
      <c r="D72" s="15">
        <v>14788792080</v>
      </c>
      <c r="E72" s="15">
        <v>-2762479680</v>
      </c>
      <c r="F72" s="15"/>
      <c r="G72" s="15">
        <v>800000</v>
      </c>
      <c r="H72" s="15">
        <v>12026312400</v>
      </c>
      <c r="I72" s="15">
        <v>12680340666</v>
      </c>
      <c r="J72" s="15">
        <v>-654028266</v>
      </c>
    </row>
    <row r="73" spans="1:10" x14ac:dyDescent="0.25">
      <c r="A73" s="12" t="s">
        <v>91</v>
      </c>
      <c r="B73" s="15">
        <v>1256499</v>
      </c>
      <c r="C73" s="15">
        <v>8166450021</v>
      </c>
      <c r="D73" s="15">
        <v>10354612408</v>
      </c>
      <c r="E73" s="15">
        <v>-2188162387</v>
      </c>
      <c r="F73" s="15"/>
      <c r="G73" s="15">
        <v>1256499</v>
      </c>
      <c r="H73" s="15">
        <v>8166450021</v>
      </c>
      <c r="I73" s="15">
        <v>7948211844</v>
      </c>
      <c r="J73" s="15">
        <v>218238177</v>
      </c>
    </row>
    <row r="74" spans="1:10" x14ac:dyDescent="0.25">
      <c r="A74" s="12" t="s">
        <v>106</v>
      </c>
      <c r="B74" s="15">
        <v>1200000</v>
      </c>
      <c r="C74" s="15">
        <v>9180482040</v>
      </c>
      <c r="D74" s="15">
        <v>11990590680</v>
      </c>
      <c r="E74" s="15">
        <v>-2810108640</v>
      </c>
      <c r="F74" s="15"/>
      <c r="G74" s="15">
        <v>1200000</v>
      </c>
      <c r="H74" s="15">
        <v>9180482040</v>
      </c>
      <c r="I74" s="15">
        <v>10450623609</v>
      </c>
      <c r="J74" s="15">
        <v>-1270141569</v>
      </c>
    </row>
    <row r="75" spans="1:10" x14ac:dyDescent="0.25">
      <c r="A75" s="12" t="s">
        <v>129</v>
      </c>
      <c r="B75" s="15">
        <v>10200000</v>
      </c>
      <c r="C75" s="15">
        <v>137040425160</v>
      </c>
      <c r="D75" s="15">
        <v>164008246868</v>
      </c>
      <c r="E75" s="15">
        <v>-26967821708</v>
      </c>
      <c r="F75" s="15"/>
      <c r="G75" s="15">
        <v>10200000</v>
      </c>
      <c r="H75" s="15">
        <v>137040425160</v>
      </c>
      <c r="I75" s="15">
        <v>117457169653</v>
      </c>
      <c r="J75" s="15">
        <v>19583255507</v>
      </c>
    </row>
    <row r="76" spans="1:10" x14ac:dyDescent="0.25">
      <c r="A76" s="12" t="s">
        <v>172</v>
      </c>
      <c r="B76" s="15">
        <v>11650000</v>
      </c>
      <c r="C76" s="15">
        <v>73174455015</v>
      </c>
      <c r="D76" s="15">
        <v>92826362365</v>
      </c>
      <c r="E76" s="15">
        <v>-19651907350</v>
      </c>
      <c r="F76" s="15"/>
      <c r="G76" s="15">
        <v>11650000</v>
      </c>
      <c r="H76" s="15">
        <v>73174455015</v>
      </c>
      <c r="I76" s="15">
        <v>76799313736</v>
      </c>
      <c r="J76" s="15">
        <v>-3624858721</v>
      </c>
    </row>
    <row r="77" spans="1:10" x14ac:dyDescent="0.25">
      <c r="A77" s="12" t="s">
        <v>139</v>
      </c>
      <c r="B77" s="15">
        <v>5175000</v>
      </c>
      <c r="C77" s="15">
        <v>38717879265</v>
      </c>
      <c r="D77" s="15">
        <v>46625775030</v>
      </c>
      <c r="E77" s="15">
        <v>-7907895765</v>
      </c>
      <c r="F77" s="15"/>
      <c r="G77" s="15">
        <v>5175000</v>
      </c>
      <c r="H77" s="15">
        <v>38717879265</v>
      </c>
      <c r="I77" s="15">
        <v>33701117359</v>
      </c>
      <c r="J77" s="15">
        <v>5016761906</v>
      </c>
    </row>
    <row r="78" spans="1:10" x14ac:dyDescent="0.25">
      <c r="A78" s="12" t="s">
        <v>132</v>
      </c>
      <c r="B78" s="15">
        <v>200000</v>
      </c>
      <c r="C78" s="15">
        <v>5413825120</v>
      </c>
      <c r="D78" s="15">
        <v>7432102300</v>
      </c>
      <c r="E78" s="15">
        <v>-2018277180</v>
      </c>
      <c r="F78" s="15"/>
      <c r="G78" s="15">
        <v>200000</v>
      </c>
      <c r="H78" s="15">
        <v>5413825120</v>
      </c>
      <c r="I78" s="15">
        <v>5268953700</v>
      </c>
      <c r="J78" s="15">
        <v>144871420</v>
      </c>
    </row>
    <row r="79" spans="1:10" x14ac:dyDescent="0.25">
      <c r="A79" s="12" t="s">
        <v>153</v>
      </c>
      <c r="B79" s="15">
        <v>4700000</v>
      </c>
      <c r="C79" s="15">
        <v>18262927804</v>
      </c>
      <c r="D79" s="15">
        <v>23282127145</v>
      </c>
      <c r="E79" s="15">
        <v>-5019199341</v>
      </c>
      <c r="F79" s="15"/>
      <c r="G79" s="15">
        <v>4700000</v>
      </c>
      <c r="H79" s="15">
        <v>18262927804</v>
      </c>
      <c r="I79" s="15">
        <v>17022391850</v>
      </c>
      <c r="J79" s="15">
        <v>1240535954</v>
      </c>
    </row>
    <row r="80" spans="1:10" x14ac:dyDescent="0.25">
      <c r="A80" s="12" t="s">
        <v>117</v>
      </c>
      <c r="B80" s="15">
        <v>1450000</v>
      </c>
      <c r="C80" s="15">
        <v>40171058680</v>
      </c>
      <c r="D80" s="15">
        <v>36407874705</v>
      </c>
      <c r="E80" s="15">
        <v>3763183975</v>
      </c>
      <c r="F80" s="15"/>
      <c r="G80" s="15">
        <v>1450000</v>
      </c>
      <c r="H80" s="15">
        <v>40171058680</v>
      </c>
      <c r="I80" s="15">
        <v>40271774085</v>
      </c>
      <c r="J80" s="15">
        <v>-100715405</v>
      </c>
    </row>
    <row r="81" spans="1:10" x14ac:dyDescent="0.25">
      <c r="A81" s="12" t="s">
        <v>173</v>
      </c>
      <c r="B81" s="15">
        <v>2000000</v>
      </c>
      <c r="C81" s="15">
        <v>17622715200</v>
      </c>
      <c r="D81" s="15">
        <v>19567564400</v>
      </c>
      <c r="E81" s="15">
        <v>-1944849200</v>
      </c>
      <c r="F81" s="15"/>
      <c r="G81" s="15">
        <v>2000000</v>
      </c>
      <c r="H81" s="15">
        <v>17622715200</v>
      </c>
      <c r="I81" s="15">
        <v>18890189691</v>
      </c>
      <c r="J81" s="15">
        <v>-1267474491</v>
      </c>
    </row>
    <row r="82" spans="1:10" x14ac:dyDescent="0.25">
      <c r="A82" s="12" t="s">
        <v>92</v>
      </c>
      <c r="B82" s="15">
        <v>454</v>
      </c>
      <c r="C82" s="15">
        <v>23493084</v>
      </c>
      <c r="D82" s="15">
        <v>1970658860</v>
      </c>
      <c r="E82" s="15">
        <v>-1947165776</v>
      </c>
      <c r="F82" s="15"/>
      <c r="G82" s="15">
        <v>454</v>
      </c>
      <c r="H82" s="15">
        <v>23493084</v>
      </c>
      <c r="I82" s="15">
        <v>19762080</v>
      </c>
      <c r="J82" s="15">
        <v>3731004</v>
      </c>
    </row>
    <row r="83" spans="1:10" x14ac:dyDescent="0.25">
      <c r="A83" s="12" t="s">
        <v>81</v>
      </c>
      <c r="B83" s="15">
        <v>200000</v>
      </c>
      <c r="C83" s="15">
        <v>9291616280</v>
      </c>
      <c r="D83" s="15">
        <v>12014405160</v>
      </c>
      <c r="E83" s="15">
        <v>-2722788880</v>
      </c>
      <c r="F83" s="15"/>
      <c r="G83" s="15">
        <v>200000</v>
      </c>
      <c r="H83" s="15">
        <v>9291616280</v>
      </c>
      <c r="I83" s="15">
        <v>12095771300</v>
      </c>
      <c r="J83" s="15">
        <v>-2804155020</v>
      </c>
    </row>
    <row r="84" spans="1:10" x14ac:dyDescent="0.25">
      <c r="A84" s="12" t="s">
        <v>86</v>
      </c>
      <c r="B84" s="15">
        <v>750000</v>
      </c>
      <c r="C84" s="15">
        <v>44905178850</v>
      </c>
      <c r="D84" s="15">
        <v>52352160479</v>
      </c>
      <c r="E84" s="15">
        <v>-7446981629</v>
      </c>
      <c r="F84" s="15"/>
      <c r="G84" s="15">
        <v>750000</v>
      </c>
      <c r="H84" s="15">
        <v>44905178850</v>
      </c>
      <c r="I84" s="15">
        <v>35245501211</v>
      </c>
      <c r="J84" s="15">
        <v>9659677639</v>
      </c>
    </row>
    <row r="85" spans="1:10" x14ac:dyDescent="0.25">
      <c r="A85" s="12" t="s">
        <v>105</v>
      </c>
      <c r="B85" s="15">
        <v>450000</v>
      </c>
      <c r="C85" s="15">
        <v>20602502010</v>
      </c>
      <c r="D85" s="15">
        <v>27563276059</v>
      </c>
      <c r="E85" s="15">
        <v>-6960774049</v>
      </c>
      <c r="F85" s="15"/>
      <c r="G85" s="15">
        <v>450000</v>
      </c>
      <c r="H85" s="15">
        <v>20602502010</v>
      </c>
      <c r="I85" s="15">
        <v>22924413809</v>
      </c>
      <c r="J85" s="15">
        <v>-2321911799</v>
      </c>
    </row>
    <row r="86" spans="1:10" x14ac:dyDescent="0.25">
      <c r="A86" s="12" t="s">
        <v>103</v>
      </c>
      <c r="B86" s="15">
        <v>3000000</v>
      </c>
      <c r="C86" s="15">
        <v>8394604200</v>
      </c>
      <c r="D86" s="15">
        <v>11877471900</v>
      </c>
      <c r="E86" s="15">
        <v>-3482867700</v>
      </c>
      <c r="F86" s="15"/>
      <c r="G86" s="15">
        <v>3000000</v>
      </c>
      <c r="H86" s="15">
        <v>8394604200</v>
      </c>
      <c r="I86" s="15">
        <v>9552583290</v>
      </c>
      <c r="J86" s="15">
        <v>-1157979090</v>
      </c>
    </row>
    <row r="87" spans="1:10" x14ac:dyDescent="0.25">
      <c r="A87" s="12" t="s">
        <v>174</v>
      </c>
      <c r="B87" s="15">
        <v>120000</v>
      </c>
      <c r="C87" s="15">
        <v>62599932852</v>
      </c>
      <c r="D87" s="15">
        <v>72149539332</v>
      </c>
      <c r="E87" s="15">
        <v>-9549606480</v>
      </c>
      <c r="F87" s="15"/>
      <c r="G87" s="15">
        <v>120000</v>
      </c>
      <c r="H87" s="15">
        <v>62599932852</v>
      </c>
      <c r="I87" s="15">
        <v>47041933068</v>
      </c>
      <c r="J87" s="15">
        <v>15557999784</v>
      </c>
    </row>
    <row r="88" spans="1:10" x14ac:dyDescent="0.25">
      <c r="A88" s="12" t="s">
        <v>138</v>
      </c>
      <c r="B88" s="15">
        <v>1200000</v>
      </c>
      <c r="C88" s="15">
        <v>23421541080</v>
      </c>
      <c r="D88" s="15">
        <v>32590115880</v>
      </c>
      <c r="E88" s="15">
        <v>-9168574800</v>
      </c>
      <c r="F88" s="15"/>
      <c r="G88" s="15">
        <v>1200000</v>
      </c>
      <c r="H88" s="15">
        <v>23421541080</v>
      </c>
      <c r="I88" s="15">
        <v>26820179544</v>
      </c>
      <c r="J88" s="15">
        <v>-3398638464</v>
      </c>
    </row>
    <row r="89" spans="1:10" x14ac:dyDescent="0.25">
      <c r="A89" s="12" t="s">
        <v>101</v>
      </c>
      <c r="B89" s="15">
        <v>350000</v>
      </c>
      <c r="C89" s="15">
        <v>36674299200</v>
      </c>
      <c r="D89" s="15">
        <v>35840792400</v>
      </c>
      <c r="E89" s="15">
        <v>833506800</v>
      </c>
      <c r="F89" s="15"/>
      <c r="G89" s="15">
        <v>350000</v>
      </c>
      <c r="H89" s="15">
        <v>36674299200</v>
      </c>
      <c r="I89" s="15">
        <v>34764179450</v>
      </c>
      <c r="J89" s="15">
        <v>1910119750</v>
      </c>
    </row>
    <row r="90" spans="1:10" x14ac:dyDescent="0.25">
      <c r="A90" s="12" t="s">
        <v>175</v>
      </c>
      <c r="B90" s="15">
        <v>5802960</v>
      </c>
      <c r="C90" s="15">
        <v>14487387448</v>
      </c>
      <c r="D90" s="15">
        <v>17447052451</v>
      </c>
      <c r="E90" s="15">
        <v>-2959665003</v>
      </c>
      <c r="F90" s="15"/>
      <c r="G90" s="15">
        <v>5802960</v>
      </c>
      <c r="H90" s="15">
        <v>14487387448</v>
      </c>
      <c r="I90" s="15">
        <v>17746473813</v>
      </c>
      <c r="J90" s="15">
        <v>-3259086365</v>
      </c>
    </row>
    <row r="91" spans="1:10" x14ac:dyDescent="0.25">
      <c r="A91" s="12" t="s">
        <v>104</v>
      </c>
      <c r="B91" s="15">
        <v>0</v>
      </c>
      <c r="C91" s="15">
        <v>0</v>
      </c>
      <c r="D91" s="15">
        <v>2384626125</v>
      </c>
      <c r="E91" s="15">
        <v>-2384626125</v>
      </c>
      <c r="F91" s="15"/>
      <c r="G91" s="15">
        <v>0</v>
      </c>
      <c r="H91" s="15">
        <v>0</v>
      </c>
      <c r="I91" s="15">
        <v>0</v>
      </c>
      <c r="J91" s="15">
        <v>0</v>
      </c>
    </row>
    <row r="92" spans="1:10" ht="19.2" thickBot="1" x14ac:dyDescent="0.3">
      <c r="A92" s="12" t="s">
        <v>2</v>
      </c>
      <c r="B92" s="15"/>
      <c r="C92" s="18">
        <f>SUM(C61:C91)</f>
        <v>1013451757329</v>
      </c>
      <c r="D92" s="18">
        <f>SUM(D61:D91)</f>
        <v>1211223493111</v>
      </c>
      <c r="E92" s="18">
        <f>SUM(E61:E91)</f>
        <v>-197771735782</v>
      </c>
      <c r="F92" s="15"/>
      <c r="G92" s="15"/>
      <c r="H92" s="18">
        <f>SUM(H61:H91)</f>
        <v>1013451757329</v>
      </c>
      <c r="I92" s="18">
        <f>SUM(I61:I91)</f>
        <v>1008136544760</v>
      </c>
      <c r="J92" s="18">
        <f>SUM(J61:J91)</f>
        <v>5315212569</v>
      </c>
    </row>
    <row r="93" spans="1:10" ht="19.2" thickTop="1" x14ac:dyDescent="0.25"/>
  </sheetData>
  <mergeCells count="12">
    <mergeCell ref="B6:E6"/>
    <mergeCell ref="G6:J6"/>
    <mergeCell ref="A5:D5"/>
    <mergeCell ref="A1:J1"/>
    <mergeCell ref="A2:J2"/>
    <mergeCell ref="A3:J3"/>
    <mergeCell ref="A54:J54"/>
    <mergeCell ref="A55:J55"/>
    <mergeCell ref="A56:J56"/>
    <mergeCell ref="A58:D58"/>
    <mergeCell ref="B59:E59"/>
    <mergeCell ref="G59:J59"/>
  </mergeCells>
  <pageMargins left="0.7" right="0.7" top="0.75" bottom="0.75" header="0.3" footer="0.3"/>
  <pageSetup scale="50" orientation="landscape" r:id="rId1"/>
  <rowBreaks count="1" manualBreakCount="1">
    <brk id="53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سربرگ</vt:lpstr>
      <vt:lpstr> سهام</vt:lpstr>
      <vt:lpstr>اوراق مشتقه</vt:lpstr>
      <vt:lpstr>سپرده</vt:lpstr>
      <vt:lpstr>درآمدها</vt:lpstr>
      <vt:lpstr>درآمد سرمایه گذاری در سهام </vt:lpstr>
      <vt:lpstr>درآمد سرمایه گذاری مشتقه </vt:lpstr>
      <vt:lpstr>درآمد سپرده بانکی</vt:lpstr>
      <vt:lpstr>سایر درآمدها</vt:lpstr>
      <vt:lpstr>درآمد سود سهام</vt:lpstr>
      <vt:lpstr>سود  سپرده بانکی</vt:lpstr>
      <vt:lpstr>درآمد ناشی ازفروش</vt:lpstr>
      <vt:lpstr>درآمد ناشی از تغییر قیمت اوراق </vt:lpstr>
      <vt:lpstr>' سهام'!Print_Area</vt:lpstr>
      <vt:lpstr>'اوراق مشتقه'!Print_Area</vt:lpstr>
      <vt:lpstr>'درآمد سپرده بانکی'!Print_Area</vt:lpstr>
      <vt:lpstr>'درآمد سرمایه گذاری در سهام '!Print_Area</vt:lpstr>
      <vt:lpstr>'درآمد سرمایه گذاری مشتقه '!Print_Area</vt:lpstr>
      <vt:lpstr>'درآمد سود سهام'!Print_Area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سربرگ!Print_Area</vt:lpstr>
      <vt:lpstr>'سود  سپرده بانکی'!Print_Area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Akbar Iranshahi</dc:creator>
  <cp:lastModifiedBy>Arash Ranjbar</cp:lastModifiedBy>
  <cp:lastPrinted>2026-03-07T00:16:55Z</cp:lastPrinted>
  <dcterms:created xsi:type="dcterms:W3CDTF">2017-11-22T14:26:20Z</dcterms:created>
  <dcterms:modified xsi:type="dcterms:W3CDTF">2026-03-07T03:55:08Z</dcterms:modified>
</cp:coreProperties>
</file>