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8928D124-FD02-49A7-AA01-964803DEFACB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سربرگ" sheetId="29" r:id="rId1"/>
    <sheet name=" سهام" sheetId="21" r:id="rId2"/>
    <sheet name="اوراق مشتقه" sheetId="9" r:id="rId3"/>
    <sheet name="سپرده" sheetId="2" r:id="rId4"/>
    <sheet name="درآمدها" sheetId="11" r:id="rId5"/>
    <sheet name="درآمد سرمایه گذاری در سهام " sheetId="5" r:id="rId6"/>
    <sheet name="درآمد سپرده بانکی" sheetId="7" r:id="rId7"/>
    <sheet name="درآمد سرمایه گذاری مشتقه " sheetId="25" r:id="rId8"/>
    <sheet name="سایر درآمدها" sheetId="8" r:id="rId9"/>
    <sheet name="درآمد سود سهام" sheetId="12" r:id="rId10"/>
    <sheet name="سود  سپرده بانکی" sheetId="22" r:id="rId11"/>
    <sheet name="درآمد ناشی ازفروش" sheetId="15" r:id="rId12"/>
    <sheet name="درآمد ناشی از تغییر قیمت اوراق " sheetId="14" r:id="rId13"/>
  </sheets>
  <definedNames>
    <definedName name="_xlnm.Print_Area" localSheetId="1">' سهام'!$A$1:$M$46</definedName>
    <definedName name="_xlnm.Print_Area" localSheetId="2">'اوراق مشتقه'!$A$1:$M$23</definedName>
    <definedName name="_xlnm.Print_Area" localSheetId="6">'درآمد سپرده بانکی'!$A$1:$E$12</definedName>
    <definedName name="_xlnm.Print_Area" localSheetId="5">'درآمد سرمایه گذاری در سهام '!$A$1:$K$56</definedName>
    <definedName name="_xlnm.Print_Area" localSheetId="7">'درآمد سرمایه گذاری مشتقه '!$A$1:$I$50</definedName>
    <definedName name="_xlnm.Print_Area" localSheetId="9">'درآمد سود سهام'!$A$1:$J$11</definedName>
    <definedName name="_xlnm.Print_Area" localSheetId="12">'درآمد ناشی از تغییر قیمت اوراق '!$A$1:$I$72</definedName>
    <definedName name="_xlnm.Print_Area" localSheetId="4">درآمدها!$A$1:$E$14</definedName>
    <definedName name="_xlnm.Print_Area" localSheetId="8">'سایر درآمدها'!$A$1:$C$13</definedName>
    <definedName name="_xlnm.Print_Area" localSheetId="3">سپرده!$A$1:$F$13</definedName>
    <definedName name="_xlnm.Print_Area" localSheetId="0">سربرگ!$A$1:$J$29</definedName>
    <definedName name="_xlnm.Print_Area" localSheetId="10">'سود  سپرده بانکی'!$A$1:$G$11</definedName>
    <definedName name="_xlnm.Print_Titles" localSheetId="5">'درآمد سرمایه گذاری در سهام '!$1:$10</definedName>
    <definedName name="_xlnm.Print_Titles" localSheetId="12">'درآمد ناشی از تغییر قیمت اوراق '!$1:$7</definedName>
    <definedName name="_xlnm.Print_Titles" localSheetId="11">'درآمد ناشی ازفروش'!$1:$7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1" l="1"/>
  <c r="C11" i="11"/>
  <c r="C10" i="11"/>
  <c r="C9" i="11"/>
  <c r="C13" i="11" s="1"/>
  <c r="B11" i="8"/>
  <c r="C11" i="8"/>
  <c r="I71" i="14"/>
  <c r="H71" i="14"/>
  <c r="G71" i="14"/>
  <c r="E71" i="14"/>
  <c r="D71" i="14"/>
  <c r="C71" i="14"/>
  <c r="I75" i="15"/>
  <c r="H75" i="15"/>
  <c r="G75" i="15"/>
  <c r="E75" i="15"/>
  <c r="D75" i="15"/>
  <c r="C75" i="15"/>
  <c r="G10" i="22"/>
  <c r="F10" i="22"/>
  <c r="E10" i="22"/>
  <c r="D10" i="22"/>
  <c r="C10" i="22"/>
  <c r="B10" i="22"/>
  <c r="J10" i="12"/>
  <c r="I10" i="12"/>
  <c r="H10" i="12"/>
  <c r="G10" i="12"/>
  <c r="F10" i="12"/>
  <c r="E10" i="12"/>
  <c r="I49" i="25"/>
  <c r="H49" i="25"/>
  <c r="G49" i="25"/>
  <c r="F49" i="25"/>
  <c r="E49" i="25"/>
  <c r="D49" i="25"/>
  <c r="C49" i="25"/>
  <c r="B49" i="25"/>
  <c r="D11" i="7"/>
  <c r="B11" i="7"/>
  <c r="E10" i="7"/>
  <c r="C10" i="7"/>
  <c r="E9" i="7"/>
  <c r="E11" i="7" s="1"/>
  <c r="C9" i="7"/>
  <c r="C11" i="7" s="1"/>
  <c r="K55" i="5"/>
  <c r="J55" i="5"/>
  <c r="I55" i="5"/>
  <c r="H55" i="5"/>
  <c r="G55" i="5"/>
  <c r="F55" i="5"/>
  <c r="E55" i="5"/>
  <c r="D55" i="5"/>
  <c r="C55" i="5"/>
  <c r="B55" i="5"/>
  <c r="E12" i="11"/>
  <c r="D12" i="11"/>
  <c r="E11" i="11"/>
  <c r="D11" i="11"/>
  <c r="E10" i="11"/>
  <c r="D10" i="11"/>
  <c r="F12" i="2"/>
  <c r="E12" i="2"/>
  <c r="D12" i="2"/>
  <c r="C12" i="2"/>
  <c r="B12" i="2"/>
  <c r="M45" i="21"/>
  <c r="L45" i="21"/>
  <c r="K45" i="21"/>
  <c r="H45" i="21"/>
  <c r="F45" i="21"/>
  <c r="D45" i="21"/>
  <c r="C45" i="21"/>
  <c r="E9" i="11" l="1"/>
  <c r="D9" i="11"/>
  <c r="D13" i="11" s="1"/>
  <c r="E13" i="11"/>
</calcChain>
</file>

<file path=xl/sharedStrings.xml><?xml version="1.0" encoding="utf-8"?>
<sst xmlns="http://schemas.openxmlformats.org/spreadsheetml/2006/main" count="553" uniqueCount="213">
  <si>
    <t>بهای تمام شده</t>
  </si>
  <si>
    <t>شرکت</t>
  </si>
  <si>
    <t>جمع</t>
  </si>
  <si>
    <t>تعداد</t>
  </si>
  <si>
    <t>مبلغ</t>
  </si>
  <si>
    <t>درآمد سود سهام</t>
  </si>
  <si>
    <t>درآمد تغییر ارزش</t>
  </si>
  <si>
    <t>درآمد فروش</t>
  </si>
  <si>
    <t>درصد از کل درآمد ها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</si>
  <si>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</si>
  <si>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</si>
  <si>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</si>
  <si>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</si>
  <si>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</si>
  <si>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</si>
  <si>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</si>
  <si>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</si>
  <si>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</si>
  <si>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سایر درآمدها</t>
  </si>
  <si>
    <t>قیمت بازار هر سهم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</si>
  <si>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</si>
  <si>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</si>
  <si>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</si>
  <si>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</si>
  <si>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</si>
  <si>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</si>
  <si>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</si>
  <si>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</si>
  <si>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</si>
  <si>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</si>
  <si>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</si>
  <si>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</si>
  <si>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</si>
  <si>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</si>
  <si>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</si>
  <si>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</si>
  <si>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</si>
  <si>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</si>
  <si>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</si>
  <si>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</si>
  <si>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</si>
  <si>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</si>
  <si>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</si>
  <si>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</si>
  <si>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</si>
  <si>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</si>
  <si>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2-2</t>
  </si>
  <si>
    <t xml:space="preserve">صورت وضعیت درآمدها </t>
  </si>
  <si>
    <t xml:space="preserve">درآمد سود </t>
  </si>
  <si>
    <t>یادداشت ...</t>
  </si>
  <si>
    <t xml:space="preserve"> </t>
  </si>
  <si>
    <t>درصد از کل دارایی ها</t>
  </si>
  <si>
    <t>تعداد اوراق</t>
  </si>
  <si>
    <t>مدیر صندوق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</si>
  <si>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</si>
  <si>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</si>
  <si>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</si>
  <si>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</si>
  <si>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سود سپرده بانکی</t>
  </si>
  <si>
    <t>‫صورت وضعیت پورتفوی</t>
  </si>
  <si>
    <t>درآمد حاصل از سرمایه گذاری در اوراق مشتقه</t>
  </si>
  <si>
    <t>اوراق مشتقه</t>
  </si>
  <si>
    <t>کاهش</t>
  </si>
  <si>
    <t>سرمایه گذاری قابل معامله شاخصی بازار آشنا</t>
  </si>
  <si>
    <t>سرمایه گذاری قابل معامله شاخصی بازار آشنا</t>
  </si>
  <si>
    <t>برای ماه منتهی به 1404/12/29</t>
  </si>
  <si>
    <t>برای ماه منتهی به 1404/12/29</t>
  </si>
  <si>
    <t>1404/12/29</t>
  </si>
  <si>
    <t>پاسارگاد</t>
  </si>
  <si>
    <t>گردشگري</t>
  </si>
  <si>
    <t>1404/11/30</t>
  </si>
  <si>
    <t>اختيارف ت اروند-50625-05/10/01</t>
  </si>
  <si>
    <t>1405/10/01</t>
  </si>
  <si>
    <t>نفت و گاز پارسیان</t>
  </si>
  <si>
    <t>1404/10/23</t>
  </si>
  <si>
    <t>اختيارف خودرو-550-1404/11/01</t>
  </si>
  <si>
    <t>پويا زركان آق دره</t>
  </si>
  <si>
    <t>1404/11/28</t>
  </si>
  <si>
    <t>اختيارخ خودرو-700-1404/11/01</t>
  </si>
  <si>
    <t>اختيارخ شستا-1810-1404/10/10</t>
  </si>
  <si>
    <t>اختيارف شستا-1610-1404/10/10</t>
  </si>
  <si>
    <t>اختيارف شستا-1710-1404/10/10</t>
  </si>
  <si>
    <t>اختيارف خودرو-600-1404/11/01</t>
  </si>
  <si>
    <t>پارس مينو</t>
  </si>
  <si>
    <t>بانك تجارت</t>
  </si>
  <si>
    <t>اختيارخ ذوب-450-1404/11/21</t>
  </si>
  <si>
    <t>اختيارخ خودرو-750-1404/11/01</t>
  </si>
  <si>
    <t>اختيارخ ذوب-500-1404/11/21</t>
  </si>
  <si>
    <t>گروه مالي نماد غدير(سهامي عام)</t>
  </si>
  <si>
    <t>مس شهيد باهنر</t>
  </si>
  <si>
    <t>ملي مس</t>
  </si>
  <si>
    <t>كيميا كالاي رازي</t>
  </si>
  <si>
    <t>صنايع غذايي رضوي</t>
  </si>
  <si>
    <t>اختيارخ خودرو-600-1404/11/01</t>
  </si>
  <si>
    <t>اختيارخ وبملت-1100-1404/10/17</t>
  </si>
  <si>
    <t>پست بانك ايران</t>
  </si>
  <si>
    <t>مبين انرژي خليج فارس</t>
  </si>
  <si>
    <t>نفت تبريز</t>
  </si>
  <si>
    <t>اختيارخ فولاد-4000-1404/11/08</t>
  </si>
  <si>
    <t>صندوق بازنشستگي</t>
  </si>
  <si>
    <t>اختيارخ شستا-1610-1404/11/08</t>
  </si>
  <si>
    <t>اختيارخ وبملت-1600-1404/11/21</t>
  </si>
  <si>
    <t>اختيارخ خودرو-650-1404/11/01</t>
  </si>
  <si>
    <t>پتروشیمی تامین</t>
  </si>
  <si>
    <t>سرمايه گذاري تامين اجتماعي</t>
  </si>
  <si>
    <t>نفت بندر عباس</t>
  </si>
  <si>
    <t>اختيارخ شپنا-8000-1404/12/24</t>
  </si>
  <si>
    <t>اختيارخ وبملت-1900-1404/11/21</t>
  </si>
  <si>
    <t>سيمان شاهرود</t>
  </si>
  <si>
    <t>مپنا</t>
  </si>
  <si>
    <t>اختيارف اهرم-42000-1404/11/29</t>
  </si>
  <si>
    <t>اختيارخ خودرو-700-1404/12/06</t>
  </si>
  <si>
    <t>اختيارخ فزر-120000-14041112</t>
  </si>
  <si>
    <t>اختيارخ شستا-2010-1404/11/08</t>
  </si>
  <si>
    <t>اختيارخ وبملت-1800-1404/11/21</t>
  </si>
  <si>
    <t>اختيارخ وبملت-1700-1404/11/21</t>
  </si>
  <si>
    <t>مجتمع كاشي و سنگ پرسپوليس يزد</t>
  </si>
  <si>
    <t>پتروشيمي اروند</t>
  </si>
  <si>
    <t>ذوب آهن  اصفهان</t>
  </si>
  <si>
    <t>فولاد مباركه</t>
  </si>
  <si>
    <t>بانك ملت</t>
  </si>
  <si>
    <t>صنايع پتروشيمي خليج فارس</t>
  </si>
  <si>
    <t>اختيارخ وبملت-1500-1404/11/21</t>
  </si>
  <si>
    <t>پتروشيمي نوري</t>
  </si>
  <si>
    <t>سرمايه گذاري غدير</t>
  </si>
  <si>
    <t>گروه صنعتي درپاد تبريز</t>
  </si>
  <si>
    <t>پتروشيمي شيراز</t>
  </si>
  <si>
    <t>نفت تهران</t>
  </si>
  <si>
    <t>اختيارخ فزر-110000-14041112</t>
  </si>
  <si>
    <t>آلياژ گستر هامون</t>
  </si>
  <si>
    <t>اختيارف شستا-1210-1404/12/13</t>
  </si>
  <si>
    <t>اختيارخ وبملت-1400-1404/11/21</t>
  </si>
  <si>
    <t>اختيارف وبملت-1100-1404/11/21</t>
  </si>
  <si>
    <t>اختيارف وبملت-900-1404/12/24</t>
  </si>
  <si>
    <t>اختيارخ فزر-120750-14041210</t>
  </si>
  <si>
    <t>اختيارف شستا-1510-1404/12/13</t>
  </si>
  <si>
    <t>س. و توسعه صنايع لاستيك</t>
  </si>
  <si>
    <t>اختيارخ وبملت-1300-1404/11/21</t>
  </si>
  <si>
    <t>اختيارخ شستا-2010-1404/12/13</t>
  </si>
  <si>
    <t>اختيارخ وبملت-1600-1404/12/24</t>
  </si>
  <si>
    <t>اختيارخ وبملت-1400-1404/12/24</t>
  </si>
  <si>
    <t>اختيارخ شستا-1710-1404/12/13</t>
  </si>
  <si>
    <t>اختيارخ وبملت-1300-1404/10/17</t>
  </si>
  <si>
    <t>اختيارخ شپنا-8000-1404/12/19</t>
  </si>
  <si>
    <t>اختيارخ فزر-130000-14041210</t>
  </si>
  <si>
    <t>اختيارخ فزر-100000-14041210</t>
  </si>
  <si>
    <t>اختيارخ وبملت-1600-1404/12/19</t>
  </si>
  <si>
    <t>اختيارخ وبملت-1400-1404/12/19</t>
  </si>
  <si>
    <t>اختيارف وبملت-900-1404/12/19</t>
  </si>
  <si>
    <t>ذغال سنگ نگين طبس</t>
  </si>
  <si>
    <t>سرمايه گذاري دارويي تامين</t>
  </si>
  <si>
    <t>ايران خودرو</t>
  </si>
  <si>
    <t>سيمان فارس و خوزستان</t>
  </si>
  <si>
    <t>فولاد مباركه اصفهان</t>
  </si>
  <si>
    <t>ملي صنايع مس ايران</t>
  </si>
  <si>
    <t>پالايش نفت تبريز</t>
  </si>
  <si>
    <t>پتروشيمي جم</t>
  </si>
  <si>
    <t>معدني و صنعتي چادر ملو</t>
  </si>
  <si>
    <t>پالايش نفت اصفهان</t>
  </si>
  <si>
    <t>سرمايه گذاري غدير (هلدينگ)</t>
  </si>
  <si>
    <t>شركت گسترش نفت و گاز پارسيان</t>
  </si>
  <si>
    <t>سرمايه گذاري توسعه معادن و فلزات (هلدينگ)</t>
  </si>
  <si>
    <t>س. نفت و گاز و پتروشيمي تامين</t>
  </si>
  <si>
    <t>بانك اقتصاد نوين</t>
  </si>
  <si>
    <t>آلومينيوم ايران</t>
  </si>
  <si>
    <t>پالايش نفت تهران</t>
  </si>
  <si>
    <t>پتروشيمي پارس</t>
  </si>
  <si>
    <t>سرمايه گذاري صدرتامين</t>
  </si>
  <si>
    <t>سرمايه گذاري صندوق بازنشستگي كشوري (هلدينگ)</t>
  </si>
  <si>
    <t>شركت پالايش نفت بندر عباس</t>
  </si>
  <si>
    <t>پتروشيمي پرديس</t>
  </si>
  <si>
    <t>گروه مپنا</t>
  </si>
  <si>
    <t>ذوب آهن اصفهان</t>
  </si>
  <si>
    <t>اختيارخ خودرو-600-1404/10/03</t>
  </si>
  <si>
    <t>اختيارخ شستا-1310-1404/10/10</t>
  </si>
  <si>
    <t>اختيارخ فزر-90750-14041210</t>
  </si>
  <si>
    <t>اقتصاد نوين</t>
  </si>
  <si>
    <t>توسعه‌معادن‌وفلزات‌</t>
  </si>
  <si>
    <t>نفت اصفهان</t>
  </si>
  <si>
    <t>نگين طبس</t>
  </si>
  <si>
    <t>پتروشيمی پردیس</t>
  </si>
  <si>
    <t>چادرملو</t>
  </si>
  <si>
    <t/>
  </si>
  <si>
    <t>اختيار معامله خرید</t>
  </si>
  <si>
    <t>موقعیت فروش</t>
  </si>
  <si>
    <t>1405/01/16</t>
  </si>
  <si>
    <t>موقعیت خرید</t>
  </si>
  <si>
    <t>اختيار معامله فروش</t>
  </si>
  <si>
    <t>صندوق ‫سرمایه گذاری قابل معامله شاخصی بازار آشنا</t>
  </si>
  <si>
    <t>رکن صندوق</t>
  </si>
  <si>
    <t>نماینده</t>
  </si>
  <si>
    <t xml:space="preserve">امضا </t>
  </si>
  <si>
    <t>شرکت سبدگردان سهم آشنا</t>
  </si>
  <si>
    <t>علی اسماعیلی</t>
  </si>
  <si>
    <t>‫برای ماه منتهی به 1404/12/29</t>
  </si>
  <si>
    <t>تغییرات طی اسفند ماه</t>
  </si>
  <si>
    <t>خرید طی اسفند ماه</t>
  </si>
  <si>
    <t>فروش طی اسفند ماه</t>
  </si>
  <si>
    <t>نام اختیار معامله</t>
  </si>
  <si>
    <t>1-2- سرمایه‌گذاری در  سپرده‌ بانکی</t>
  </si>
  <si>
    <t>نام بانک</t>
  </si>
  <si>
    <t>طی اسفند ماه</t>
  </si>
  <si>
    <t>از ابتدای سال مالی تا پایان اسفند ماه</t>
  </si>
  <si>
    <t>2-1-درآمد حاصل از سرمایه­گذاری در سهام و حق تقدم سهام:</t>
  </si>
  <si>
    <t>2-2-درآمد حاصل از سرمایه­گذاری در سپرده بانکی و گواهی سپرده:</t>
  </si>
  <si>
    <t>درصد سود به کل سود سپرده</t>
  </si>
  <si>
    <t>صورت وضعیت درآمدها</t>
  </si>
  <si>
    <t>2-3-درآمد حاصل از سرمایه­گذاری در اوراق مشتقه:</t>
  </si>
  <si>
    <t>2-4-سایر درآمدها:</t>
  </si>
  <si>
    <t>تعدیل کارمزد کارگزاری</t>
  </si>
  <si>
    <t>2-1</t>
  </si>
  <si>
    <t>2-3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</si>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</sst>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_-_ ;_ * #,##0\-_ ;_ * &quot;-&quot;??_-_ ;_ @_ "/>
    <numFmt numFmtId="165" formatCode="#,##0;[Red]\(#,##0\);0"/>
    <numFmt numFmtId="166" formatCode="0.00%;[Red]\(0.00%\);0%"/>
    <numFmt numFmtId="168" formatCode="0%;[Red]\(0%\);0%"/>
  </numFmts>
  <fonts count="15" x14ac:knownFonts="1">
    <font>
      <sz val="11"/>
      <color theme="1"/>
      <name val="Arial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theme="1"/>
      <name val="Arial"/>
      <family val="2"/>
      <charset val="178"/>
      <scheme val="minor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sz val="10"/>
      <color theme="1"/>
      <name val="B Zar"/>
      <charset val="178"/>
    </font>
    <font>
      <b/>
      <sz val="12"/>
      <color rgb="FF0062AC"/>
      <name val="B Zar"/>
      <charset val="178"/>
    </font>
    <font>
      <b/>
      <sz val="10"/>
      <color theme="1"/>
      <name val="B Zar"/>
      <charset val="178"/>
    </font>
    <font>
      <sz val="10"/>
      <color indexed="8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/>
  </cellStyleXfs>
  <cellXfs count="8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37" fontId="7" fillId="0" borderId="0" xfId="2" applyNumberFormat="1" applyFont="1" applyAlignment="1">
      <alignment horizontal="center" vertical="center"/>
    </xf>
    <xf numFmtId="0" fontId="8" fillId="0" borderId="0" xfId="2" applyFont="1"/>
    <xf numFmtId="0" fontId="8" fillId="0" borderId="0" xfId="2" applyFont="1"/>
    <xf numFmtId="0" fontId="9" fillId="2" borderId="0" xfId="2" applyFont="1" applyFill="1" applyAlignment="1">
      <alignment horizontal="center" vertical="center" wrapText="1" readingOrder="2"/>
    </xf>
    <xf numFmtId="0" fontId="10" fillId="0" borderId="0" xfId="2" applyFont="1" applyAlignment="1">
      <alignment horizontal="center" vertical="center" wrapText="1" readingOrder="2"/>
    </xf>
    <xf numFmtId="0" fontId="11" fillId="0" borderId="0" xfId="0" applyFont="1"/>
    <xf numFmtId="0" fontId="12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0" fontId="11" fillId="0" borderId="0" xfId="0" applyFont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/>
    </xf>
    <xf numFmtId="165" fontId="14" fillId="0" borderId="0" xfId="0" applyNumberFormat="1" applyFont="1"/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 readingOrder="2"/>
    </xf>
    <xf numFmtId="0" fontId="13" fillId="0" borderId="0" xfId="0" applyFont="1"/>
    <xf numFmtId="0" fontId="13" fillId="0" borderId="0" xfId="0" applyFont="1" applyBorder="1"/>
    <xf numFmtId="0" fontId="11" fillId="0" borderId="0" xfId="0" applyFont="1" applyBorder="1"/>
    <xf numFmtId="0" fontId="13" fillId="0" borderId="0" xfId="0" applyFont="1" applyBorder="1" applyAlignment="1">
      <alignment horizontal="center" readingOrder="2"/>
    </xf>
    <xf numFmtId="0" fontId="13" fillId="0" borderId="3" xfId="0" applyFont="1" applyBorder="1" applyAlignment="1">
      <alignment horizontal="center" vertical="center"/>
    </xf>
    <xf numFmtId="0" fontId="12" fillId="0" borderId="0" xfId="0" applyFont="1" applyAlignment="1">
      <alignment vertical="center" readingOrder="2"/>
    </xf>
    <xf numFmtId="0" fontId="11" fillId="0" borderId="0" xfId="0" applyFont="1" applyAlignment="1">
      <alignment vertical="center" wrapText="1" readingOrder="2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 readingOrder="2"/>
    </xf>
    <xf numFmtId="0" fontId="11" fillId="0" borderId="0" xfId="0" applyFont="1" applyAlignment="1">
      <alignment vertical="center" wrapText="1"/>
    </xf>
    <xf numFmtId="164" fontId="1" fillId="0" borderId="0" xfId="1" applyNumberFormat="1" applyFont="1"/>
    <xf numFmtId="0" fontId="13" fillId="0" borderId="2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 readingOrder="2"/>
    </xf>
    <xf numFmtId="164" fontId="4" fillId="0" borderId="1" xfId="1" applyNumberFormat="1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 wrapText="1" readingOrder="2"/>
    </xf>
    <xf numFmtId="0" fontId="13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5" fontId="1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readingOrder="2"/>
    </xf>
    <xf numFmtId="168" fontId="14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AB371A81-BBB3-42F7-9C00-EE9E7FB5670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7F480-08BA-4A28-801D-26816FA79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77959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8F429-B1F3-41BC-A229-D3DFFCAC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897000" y="0"/>
          <a:ext cx="990600" cy="8551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84490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2234F-B5D3-4F11-B3C3-0E5B4D08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422780" y="0"/>
          <a:ext cx="990600" cy="8617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87179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A956C-C048-4D51-B976-370E80DC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433960" y="0"/>
          <a:ext cx="990600" cy="8644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97339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9EFB6-2B61-49CE-B6A9-8C2665E40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248020" y="0"/>
          <a:ext cx="990600" cy="8745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97339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B52B6-E8AC-47E1-B2A6-FC20C0326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333120" y="0"/>
          <a:ext cx="990600" cy="8745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103870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4F530-A8AA-413D-A652-E8ADF389F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033660" y="0"/>
          <a:ext cx="990600" cy="8811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97339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D4D8F-9F58-4821-8778-9DC3A2466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4261771" y="0"/>
          <a:ext cx="990600" cy="8811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82099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9BAC2-B845-4D53-B3EA-3A40F0238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685920" y="0"/>
          <a:ext cx="990600" cy="85933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82099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5505F-1E9E-4504-80A5-C5D0DDEF2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88340" y="0"/>
          <a:ext cx="990600" cy="85933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120355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AE788-A0F0-44FA-9B36-B8A85347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909180" y="0"/>
          <a:ext cx="990600" cy="8518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68104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2B073-B8BF-4397-ADE2-9EF2E5D0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5197943" y="0"/>
          <a:ext cx="990600" cy="851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3</xdr:row>
      <xdr:rowOff>52864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B2B4F-35DE-455C-A86A-65984C1BE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957180" y="0"/>
          <a:ext cx="990600" cy="830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B68-B1BD-423D-AE6A-552EDC04048E}">
  <sheetPr>
    <pageSetUpPr fitToPage="1"/>
  </sheetPr>
  <dimension ref="A18:J25"/>
  <sheetViews>
    <sheetView rightToLeft="1" tabSelected="1" view="pageBreakPreview" zoomScale="55" zoomScaleNormal="100" zoomScaleSheetLayoutView="55" workbookViewId="0">
      <selection activeCell="A20" sqref="A20:J20"/>
    </sheetView>
  </sheetViews>
  <sheetFormatPr defaultColWidth="8.8984375" defaultRowHeight="18.600000000000001" x14ac:dyDescent="0.65"/>
  <cols>
    <col min="1" max="16384" width="8.8984375" style="15"/>
  </cols>
  <sheetData>
    <row r="18" spans="1:10" ht="40.200000000000003" customHeight="1" x14ac:dyDescent="0.65">
      <c r="A18" s="13" t="s">
        <v>188</v>
      </c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40.200000000000003" customHeight="1" x14ac:dyDescent="0.65">
      <c r="A19" s="13" t="s">
        <v>59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40.200000000000003" customHeight="1" x14ac:dyDescent="0.65">
      <c r="A20" s="13" t="s">
        <v>194</v>
      </c>
      <c r="B20" s="14"/>
      <c r="C20" s="14"/>
      <c r="D20" s="14"/>
      <c r="E20" s="14"/>
      <c r="F20" s="14"/>
      <c r="G20" s="14"/>
      <c r="H20" s="14"/>
      <c r="I20" s="14"/>
      <c r="J20" s="14"/>
    </row>
    <row r="24" spans="1:10" ht="43.5" customHeight="1" x14ac:dyDescent="0.65">
      <c r="B24" s="16" t="s">
        <v>189</v>
      </c>
      <c r="C24" s="16"/>
      <c r="D24" s="16" t="s">
        <v>1</v>
      </c>
      <c r="E24" s="16"/>
      <c r="F24" s="16" t="s">
        <v>190</v>
      </c>
      <c r="G24" s="16"/>
      <c r="H24" s="16" t="s">
        <v>191</v>
      </c>
      <c r="I24" s="16"/>
    </row>
    <row r="25" spans="1:10" ht="39.75" customHeight="1" x14ac:dyDescent="0.65">
      <c r="B25" s="17" t="s">
        <v>53</v>
      </c>
      <c r="C25" s="17"/>
      <c r="D25" s="17" t="s">
        <v>192</v>
      </c>
      <c r="E25" s="17"/>
      <c r="F25" s="17" t="s">
        <v>193</v>
      </c>
      <c r="G25" s="17"/>
      <c r="H25" s="17"/>
      <c r="I25" s="17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rightToLeft="1" view="pageBreakPreview" zoomScale="70" zoomScaleNormal="100" zoomScaleSheetLayoutView="70" workbookViewId="0">
      <selection activeCell="H43" sqref="H43"/>
    </sheetView>
  </sheetViews>
  <sheetFormatPr defaultColWidth="9.09765625" defaultRowHeight="18" x14ac:dyDescent="0.65"/>
  <cols>
    <col min="1" max="1" width="22.8984375" style="18" customWidth="1"/>
    <col min="2" max="2" width="12.3984375" style="18" customWidth="1"/>
    <col min="3" max="4" width="17.3984375" style="18" customWidth="1"/>
    <col min="5" max="5" width="11.3984375" style="18" customWidth="1"/>
    <col min="6" max="6" width="16.09765625" style="18" customWidth="1"/>
    <col min="7" max="7" width="12.8984375" style="18" customWidth="1"/>
    <col min="8" max="8" width="15.09765625" style="18" customWidth="1"/>
    <col min="9" max="9" width="16.296875" style="18" customWidth="1"/>
    <col min="10" max="10" width="14" style="18" customWidth="1"/>
    <col min="11" max="11" width="18.3984375" style="18" customWidth="1"/>
    <col min="12" max="12" width="17.69921875" style="18" customWidth="1"/>
    <col min="13" max="13" width="13.3984375" style="18" customWidth="1"/>
    <col min="14" max="16384" width="9.09765625" style="18"/>
  </cols>
  <sheetData>
    <row r="1" spans="1:13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399999999999999" x14ac:dyDescent="0.65">
      <c r="A2" s="10" t="s">
        <v>44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0.399999999999999" x14ac:dyDescent="0.6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0.399999999999999" x14ac:dyDescent="0.65">
      <c r="A4" s="10" t="s">
        <v>66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20.399999999999999" x14ac:dyDescent="0.65">
      <c r="A5" s="19" t="s">
        <v>15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20.399999999999999" x14ac:dyDescent="0.65">
      <c r="A6" s="19" t="s">
        <v>16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8" spans="1:13" ht="18.75" customHeight="1" thickBot="1" x14ac:dyDescent="0.7">
      <c r="A8" s="20"/>
      <c r="B8" s="21" t="s">
        <v>70</v>
      </c>
      <c r="C8" s="21"/>
      <c r="D8" s="21"/>
      <c r="E8" s="21" t="s">
        <v>195</v>
      </c>
      <c r="F8" s="21"/>
      <c r="G8" s="21"/>
      <c r="H8" s="21"/>
      <c r="I8" s="21" t="s">
        <v>67</v>
      </c>
      <c r="J8" s="21"/>
      <c r="K8" s="21"/>
      <c r="L8" s="21"/>
      <c r="M8" s="21"/>
    </row>
    <row r="9" spans="1:13" ht="17.25" customHeight="1" x14ac:dyDescent="0.65">
      <c r="A9" s="22" t="s">
        <v>1</v>
      </c>
      <c r="B9" s="23" t="s">
        <v>3</v>
      </c>
      <c r="C9" s="23" t="s">
        <v>0</v>
      </c>
      <c r="D9" s="24" t="s">
        <v>11</v>
      </c>
      <c r="E9" s="25" t="s">
        <v>196</v>
      </c>
      <c r="F9" s="25"/>
      <c r="G9" s="25" t="s">
        <v>197</v>
      </c>
      <c r="H9" s="25"/>
      <c r="I9" s="26" t="s">
        <v>3</v>
      </c>
      <c r="J9" s="24" t="s">
        <v>19</v>
      </c>
      <c r="K9" s="26" t="s">
        <v>0</v>
      </c>
      <c r="L9" s="24" t="s">
        <v>11</v>
      </c>
      <c r="M9" s="24" t="s">
        <v>13</v>
      </c>
    </row>
    <row r="10" spans="1:13" ht="20.25" customHeight="1" thickBot="1" x14ac:dyDescent="0.7">
      <c r="A10" s="27"/>
      <c r="B10" s="28"/>
      <c r="C10" s="28"/>
      <c r="D10" s="27"/>
      <c r="E10" s="29" t="s">
        <v>3</v>
      </c>
      <c r="F10" s="29" t="s">
        <v>0</v>
      </c>
      <c r="G10" s="29" t="s">
        <v>3</v>
      </c>
      <c r="H10" s="29" t="s">
        <v>43</v>
      </c>
      <c r="I10" s="28"/>
      <c r="J10" s="27"/>
      <c r="K10" s="28"/>
      <c r="L10" s="27"/>
      <c r="M10" s="27"/>
    </row>
    <row r="11" spans="1:13" x14ac:dyDescent="0.65">
      <c r="A11" s="30" t="s">
        <v>164</v>
      </c>
      <c r="B11" s="31">
        <v>1600000</v>
      </c>
      <c r="C11" s="31">
        <v>10423704772</v>
      </c>
      <c r="D11" s="31">
        <v>9398781440</v>
      </c>
      <c r="E11" s="31">
        <v>0</v>
      </c>
      <c r="F11" s="31">
        <v>0</v>
      </c>
      <c r="G11" s="31">
        <v>0</v>
      </c>
      <c r="H11" s="31">
        <v>0</v>
      </c>
      <c r="I11" s="31">
        <v>1600000</v>
      </c>
      <c r="J11" s="31">
        <v>5570</v>
      </c>
      <c r="K11" s="31">
        <v>10423704772</v>
      </c>
      <c r="L11" s="31">
        <v>8843110240</v>
      </c>
      <c r="M11" s="32">
        <v>8.0708073341865926E-3</v>
      </c>
    </row>
    <row r="12" spans="1:13" x14ac:dyDescent="0.65">
      <c r="A12" s="30" t="s">
        <v>129</v>
      </c>
      <c r="B12" s="31">
        <v>837500</v>
      </c>
      <c r="C12" s="31">
        <v>3625046848</v>
      </c>
      <c r="D12" s="31">
        <v>3712193700</v>
      </c>
      <c r="E12" s="31">
        <v>0</v>
      </c>
      <c r="F12" s="31">
        <v>0</v>
      </c>
      <c r="G12" s="31">
        <v>0</v>
      </c>
      <c r="H12" s="31">
        <v>0</v>
      </c>
      <c r="I12" s="31">
        <v>837500</v>
      </c>
      <c r="J12" s="31">
        <v>4153</v>
      </c>
      <c r="K12" s="31">
        <v>3625046848</v>
      </c>
      <c r="L12" s="31">
        <v>3451251497</v>
      </c>
      <c r="M12" s="32">
        <v>3.1498403998308699E-3</v>
      </c>
    </row>
    <row r="13" spans="1:13" x14ac:dyDescent="0.65">
      <c r="A13" s="30" t="s">
        <v>176</v>
      </c>
      <c r="B13" s="31">
        <v>9890291</v>
      </c>
      <c r="C13" s="31">
        <v>14099676972</v>
      </c>
      <c r="D13" s="31">
        <v>19254752217</v>
      </c>
      <c r="E13" s="31">
        <v>0</v>
      </c>
      <c r="F13" s="31">
        <v>0</v>
      </c>
      <c r="G13" s="31">
        <v>0</v>
      </c>
      <c r="H13" s="31">
        <v>0</v>
      </c>
      <c r="I13" s="31">
        <v>9890291</v>
      </c>
      <c r="J13" s="31">
        <v>2024</v>
      </c>
      <c r="K13" s="31">
        <v>14099676972</v>
      </c>
      <c r="L13" s="31">
        <v>19863210238</v>
      </c>
      <c r="M13" s="32">
        <v>1.8128479518914224E-2</v>
      </c>
    </row>
    <row r="14" spans="1:13" x14ac:dyDescent="0.65">
      <c r="A14" s="30" t="s">
        <v>151</v>
      </c>
      <c r="B14" s="31">
        <v>43438000</v>
      </c>
      <c r="C14" s="31">
        <v>14441147939</v>
      </c>
      <c r="D14" s="31">
        <v>21637316579</v>
      </c>
      <c r="E14" s="31">
        <v>0</v>
      </c>
      <c r="F14" s="31">
        <v>0</v>
      </c>
      <c r="G14" s="31">
        <v>0</v>
      </c>
      <c r="H14" s="31">
        <v>0</v>
      </c>
      <c r="I14" s="31">
        <v>43438000</v>
      </c>
      <c r="J14" s="31">
        <v>475</v>
      </c>
      <c r="K14" s="31">
        <v>14441147939</v>
      </c>
      <c r="L14" s="31">
        <v>20473556523</v>
      </c>
      <c r="M14" s="32">
        <v>1.8685521910073142E-2</v>
      </c>
    </row>
    <row r="15" spans="1:13" x14ac:dyDescent="0.65">
      <c r="A15" s="30" t="s">
        <v>120</v>
      </c>
      <c r="B15" s="31">
        <v>40680000</v>
      </c>
      <c r="C15" s="31">
        <v>37157771050</v>
      </c>
      <c r="D15" s="31">
        <v>50739488305</v>
      </c>
      <c r="E15" s="31">
        <v>0</v>
      </c>
      <c r="F15" s="31">
        <v>0</v>
      </c>
      <c r="G15" s="31">
        <v>0</v>
      </c>
      <c r="H15" s="31">
        <v>0</v>
      </c>
      <c r="I15" s="31">
        <v>40680000</v>
      </c>
      <c r="J15" s="31">
        <v>1241</v>
      </c>
      <c r="K15" s="31">
        <v>37157771050</v>
      </c>
      <c r="L15" s="31">
        <v>50093639608</v>
      </c>
      <c r="M15" s="32">
        <v>4.5718768959318826E-2</v>
      </c>
    </row>
    <row r="16" spans="1:13" x14ac:dyDescent="0.65">
      <c r="A16" s="30" t="s">
        <v>177</v>
      </c>
      <c r="B16" s="31">
        <v>5850000</v>
      </c>
      <c r="C16" s="31">
        <v>13285816292</v>
      </c>
      <c r="D16" s="31">
        <v>12486080704</v>
      </c>
      <c r="E16" s="31">
        <v>0</v>
      </c>
      <c r="F16" s="31">
        <v>0</v>
      </c>
      <c r="G16" s="31">
        <v>0</v>
      </c>
      <c r="H16" s="31">
        <v>0</v>
      </c>
      <c r="I16" s="31">
        <v>5850000</v>
      </c>
      <c r="J16" s="31">
        <v>2049</v>
      </c>
      <c r="K16" s="31">
        <v>13285816292</v>
      </c>
      <c r="L16" s="31">
        <v>11893993195</v>
      </c>
      <c r="M16" s="32">
        <v>1.0855244920136994E-2</v>
      </c>
    </row>
    <row r="17" spans="1:13" x14ac:dyDescent="0.65">
      <c r="A17" s="30" t="s">
        <v>104</v>
      </c>
      <c r="B17" s="31">
        <v>20000000</v>
      </c>
      <c r="C17" s="31">
        <v>29341158640</v>
      </c>
      <c r="D17" s="31">
        <v>32685373800</v>
      </c>
      <c r="E17" s="31">
        <v>0</v>
      </c>
      <c r="F17" s="31">
        <v>0</v>
      </c>
      <c r="G17" s="31">
        <v>0</v>
      </c>
      <c r="H17" s="31">
        <v>0</v>
      </c>
      <c r="I17" s="31">
        <v>20000000</v>
      </c>
      <c r="J17" s="31">
        <v>1639</v>
      </c>
      <c r="K17" s="31">
        <v>29341158640</v>
      </c>
      <c r="L17" s="31">
        <v>32526610600</v>
      </c>
      <c r="M17" s="32">
        <v>2.96859363122348E-2</v>
      </c>
    </row>
    <row r="18" spans="1:13" x14ac:dyDescent="0.65">
      <c r="A18" s="30" t="s">
        <v>150</v>
      </c>
      <c r="B18" s="31">
        <v>350000</v>
      </c>
      <c r="C18" s="31">
        <v>8636181592</v>
      </c>
      <c r="D18" s="31">
        <v>12884625950</v>
      </c>
      <c r="E18" s="31">
        <v>0</v>
      </c>
      <c r="F18" s="31">
        <v>0</v>
      </c>
      <c r="G18" s="31">
        <v>0</v>
      </c>
      <c r="H18" s="31">
        <v>0</v>
      </c>
      <c r="I18" s="31">
        <v>350000</v>
      </c>
      <c r="J18" s="31">
        <v>35000</v>
      </c>
      <c r="K18" s="31">
        <v>8636181592</v>
      </c>
      <c r="L18" s="31">
        <v>12155307500</v>
      </c>
      <c r="M18" s="32">
        <v>1.1093737639563036E-2</v>
      </c>
    </row>
    <row r="19" spans="1:13" x14ac:dyDescent="0.65">
      <c r="A19" s="30" t="s">
        <v>167</v>
      </c>
      <c r="B19" s="31">
        <v>2250000</v>
      </c>
      <c r="C19" s="31">
        <v>23137117508</v>
      </c>
      <c r="D19" s="31">
        <v>30028570875</v>
      </c>
      <c r="E19" s="31">
        <v>0</v>
      </c>
      <c r="F19" s="31">
        <v>0</v>
      </c>
      <c r="G19" s="31">
        <v>0</v>
      </c>
      <c r="H19" s="31">
        <v>0</v>
      </c>
      <c r="I19" s="31">
        <v>2250000</v>
      </c>
      <c r="J19" s="31">
        <v>13690</v>
      </c>
      <c r="K19" s="31">
        <v>23137117508</v>
      </c>
      <c r="L19" s="31">
        <v>30564396675</v>
      </c>
      <c r="M19" s="32">
        <v>2.7895090093276766E-2</v>
      </c>
    </row>
    <row r="20" spans="1:13" x14ac:dyDescent="0.65">
      <c r="A20" s="30" t="s">
        <v>124</v>
      </c>
      <c r="B20" s="31">
        <v>3299000</v>
      </c>
      <c r="C20" s="31">
        <v>28070767641</v>
      </c>
      <c r="D20" s="31">
        <v>49102480950</v>
      </c>
      <c r="E20" s="31">
        <v>0</v>
      </c>
      <c r="F20" s="31">
        <v>0</v>
      </c>
      <c r="G20" s="31">
        <v>0</v>
      </c>
      <c r="H20" s="31">
        <v>0</v>
      </c>
      <c r="I20" s="31">
        <v>3299000</v>
      </c>
      <c r="J20" s="31">
        <v>15080</v>
      </c>
      <c r="K20" s="31">
        <v>28070767641</v>
      </c>
      <c r="L20" s="31">
        <v>49364360848</v>
      </c>
      <c r="M20" s="32">
        <v>4.5053180924664343E-2</v>
      </c>
    </row>
    <row r="21" spans="1:13" x14ac:dyDescent="0.65">
      <c r="A21" s="30" t="s">
        <v>152</v>
      </c>
      <c r="B21" s="31">
        <v>1100000</v>
      </c>
      <c r="C21" s="31">
        <v>18985514881</v>
      </c>
      <c r="D21" s="31">
        <v>16940033440</v>
      </c>
      <c r="E21" s="31">
        <v>0</v>
      </c>
      <c r="F21" s="31">
        <v>0</v>
      </c>
      <c r="G21" s="31">
        <v>0</v>
      </c>
      <c r="H21" s="31">
        <v>0</v>
      </c>
      <c r="I21" s="31">
        <v>1100000</v>
      </c>
      <c r="J21" s="31">
        <v>15700</v>
      </c>
      <c r="K21" s="31">
        <v>18985514881</v>
      </c>
      <c r="L21" s="31">
        <v>17136502900</v>
      </c>
      <c r="M21" s="32">
        <v>1.5639906043694172E-2</v>
      </c>
    </row>
    <row r="22" spans="1:13" x14ac:dyDescent="0.65">
      <c r="A22" s="30" t="s">
        <v>121</v>
      </c>
      <c r="B22" s="31">
        <v>9200000</v>
      </c>
      <c r="C22" s="31">
        <v>49378139966</v>
      </c>
      <c r="D22" s="31">
        <v>98591947200</v>
      </c>
      <c r="E22" s="31">
        <v>0</v>
      </c>
      <c r="F22" s="31">
        <v>0</v>
      </c>
      <c r="G22" s="31">
        <v>0</v>
      </c>
      <c r="H22" s="31">
        <v>0</v>
      </c>
      <c r="I22" s="31">
        <v>9200000</v>
      </c>
      <c r="J22" s="31">
        <v>10500</v>
      </c>
      <c r="K22" s="31">
        <v>49378139966</v>
      </c>
      <c r="L22" s="31">
        <v>95853282000</v>
      </c>
      <c r="M22" s="32">
        <v>8.7482045386268512E-2</v>
      </c>
    </row>
    <row r="23" spans="1:13" x14ac:dyDescent="0.65">
      <c r="A23" s="30" t="s">
        <v>99</v>
      </c>
      <c r="B23" s="31">
        <v>600000</v>
      </c>
      <c r="C23" s="31">
        <v>10079181611</v>
      </c>
      <c r="D23" s="31">
        <v>10627211700</v>
      </c>
      <c r="E23" s="31">
        <v>0</v>
      </c>
      <c r="F23" s="31">
        <v>0</v>
      </c>
      <c r="G23" s="31">
        <v>0</v>
      </c>
      <c r="H23" s="31">
        <v>0</v>
      </c>
      <c r="I23" s="31">
        <v>600000</v>
      </c>
      <c r="J23" s="31">
        <v>16990</v>
      </c>
      <c r="K23" s="31">
        <v>10079181611</v>
      </c>
      <c r="L23" s="31">
        <v>10115200380</v>
      </c>
      <c r="M23" s="32">
        <v>9.2318009385882107E-3</v>
      </c>
    </row>
    <row r="24" spans="1:13" x14ac:dyDescent="0.65">
      <c r="A24" s="30" t="s">
        <v>119</v>
      </c>
      <c r="B24" s="31">
        <v>17690000</v>
      </c>
      <c r="C24" s="31">
        <v>59176089105</v>
      </c>
      <c r="D24" s="31">
        <v>59154473731</v>
      </c>
      <c r="E24" s="31">
        <v>0</v>
      </c>
      <c r="F24" s="31">
        <v>0</v>
      </c>
      <c r="G24" s="31">
        <v>0</v>
      </c>
      <c r="H24" s="31">
        <v>0</v>
      </c>
      <c r="I24" s="31">
        <v>17690000</v>
      </c>
      <c r="J24" s="31">
        <v>3367</v>
      </c>
      <c r="K24" s="31">
        <v>59176089105</v>
      </c>
      <c r="L24" s="31">
        <v>59101813962</v>
      </c>
      <c r="M24" s="32">
        <v>5.3940224722138171E-2</v>
      </c>
    </row>
    <row r="25" spans="1:13" x14ac:dyDescent="0.65">
      <c r="A25" s="30" t="s">
        <v>91</v>
      </c>
      <c r="B25" s="31">
        <v>133750</v>
      </c>
      <c r="C25" s="31">
        <v>3835363961</v>
      </c>
      <c r="D25" s="31">
        <v>5122841942</v>
      </c>
      <c r="E25" s="31">
        <v>0</v>
      </c>
      <c r="F25" s="31">
        <v>0</v>
      </c>
      <c r="G25" s="31">
        <v>0</v>
      </c>
      <c r="H25" s="31">
        <v>0</v>
      </c>
      <c r="I25" s="31">
        <v>133750</v>
      </c>
      <c r="J25" s="31">
        <v>37850</v>
      </c>
      <c r="K25" s="31">
        <v>3835363961</v>
      </c>
      <c r="L25" s="31">
        <v>5023304858</v>
      </c>
      <c r="M25" s="32">
        <v>4.5846002808398265E-3</v>
      </c>
    </row>
    <row r="26" spans="1:13" x14ac:dyDescent="0.65">
      <c r="A26" s="30" t="s">
        <v>96</v>
      </c>
      <c r="B26" s="31">
        <v>800000</v>
      </c>
      <c r="C26" s="31">
        <v>11513575776</v>
      </c>
      <c r="D26" s="31">
        <v>12026312400</v>
      </c>
      <c r="E26" s="31">
        <v>0</v>
      </c>
      <c r="F26" s="31">
        <v>0</v>
      </c>
      <c r="G26" s="31">
        <v>0</v>
      </c>
      <c r="H26" s="31">
        <v>0</v>
      </c>
      <c r="I26" s="31">
        <v>800000</v>
      </c>
      <c r="J26" s="31">
        <v>14860</v>
      </c>
      <c r="K26" s="31">
        <v>11513575776</v>
      </c>
      <c r="L26" s="31">
        <v>11796105760</v>
      </c>
      <c r="M26" s="32">
        <v>1.0765906372173499E-2</v>
      </c>
    </row>
    <row r="27" spans="1:13" x14ac:dyDescent="0.65">
      <c r="A27" s="30" t="s">
        <v>116</v>
      </c>
      <c r="B27" s="31">
        <v>1256499</v>
      </c>
      <c r="C27" s="31">
        <v>7948211844</v>
      </c>
      <c r="D27" s="31">
        <v>8166450021</v>
      </c>
      <c r="E27" s="31">
        <v>0</v>
      </c>
      <c r="F27" s="31">
        <v>0</v>
      </c>
      <c r="G27" s="31">
        <v>0</v>
      </c>
      <c r="H27" s="31">
        <v>0</v>
      </c>
      <c r="I27" s="31">
        <v>1256499</v>
      </c>
      <c r="J27" s="31">
        <v>6120</v>
      </c>
      <c r="K27" s="31">
        <v>7948211844</v>
      </c>
      <c r="L27" s="31">
        <v>7630331928</v>
      </c>
      <c r="M27" s="32">
        <v>6.9639456272096107E-3</v>
      </c>
    </row>
    <row r="28" spans="1:13" x14ac:dyDescent="0.65">
      <c r="A28" s="30" t="s">
        <v>89</v>
      </c>
      <c r="B28" s="31">
        <v>1200000</v>
      </c>
      <c r="C28" s="31">
        <v>10450623609</v>
      </c>
      <c r="D28" s="31">
        <v>9180482040</v>
      </c>
      <c r="E28" s="31">
        <v>0</v>
      </c>
      <c r="F28" s="31">
        <v>0</v>
      </c>
      <c r="G28" s="31">
        <v>0</v>
      </c>
      <c r="H28" s="31">
        <v>0</v>
      </c>
      <c r="I28" s="31">
        <v>1200000</v>
      </c>
      <c r="J28" s="31">
        <v>7460</v>
      </c>
      <c r="K28" s="31">
        <v>10450623609</v>
      </c>
      <c r="L28" s="31">
        <v>8882801040</v>
      </c>
      <c r="M28" s="32">
        <v>8.1070317836219007E-3</v>
      </c>
    </row>
    <row r="29" spans="1:13" x14ac:dyDescent="0.65">
      <c r="A29" s="30" t="s">
        <v>90</v>
      </c>
      <c r="B29" s="31">
        <v>10200000</v>
      </c>
      <c r="C29" s="31">
        <v>43613294290</v>
      </c>
      <c r="D29" s="31">
        <v>137040425160</v>
      </c>
      <c r="E29" s="31">
        <v>0</v>
      </c>
      <c r="F29" s="31">
        <v>0</v>
      </c>
      <c r="G29" s="31">
        <v>0</v>
      </c>
      <c r="H29" s="31">
        <v>0</v>
      </c>
      <c r="I29" s="31">
        <v>10200000</v>
      </c>
      <c r="J29" s="31">
        <v>13700</v>
      </c>
      <c r="K29" s="31">
        <v>43613294290</v>
      </c>
      <c r="L29" s="31">
        <v>138659809800</v>
      </c>
      <c r="M29" s="32">
        <v>0.12655011410224803</v>
      </c>
    </row>
    <row r="30" spans="1:13" x14ac:dyDescent="0.65">
      <c r="A30" s="30" t="s">
        <v>178</v>
      </c>
      <c r="B30" s="31">
        <v>11650000</v>
      </c>
      <c r="C30" s="31">
        <v>46975684774</v>
      </c>
      <c r="D30" s="31">
        <v>73174455015</v>
      </c>
      <c r="E30" s="31">
        <v>0</v>
      </c>
      <c r="F30" s="31">
        <v>0</v>
      </c>
      <c r="G30" s="31">
        <v>0</v>
      </c>
      <c r="H30" s="31">
        <v>0</v>
      </c>
      <c r="I30" s="31">
        <v>11650000</v>
      </c>
      <c r="J30" s="31">
        <v>6150</v>
      </c>
      <c r="K30" s="31">
        <v>46975684774</v>
      </c>
      <c r="L30" s="31">
        <v>71093664825</v>
      </c>
      <c r="M30" s="32">
        <v>6.4884781022905513E-2</v>
      </c>
    </row>
    <row r="31" spans="1:13" x14ac:dyDescent="0.65">
      <c r="A31" s="30" t="s">
        <v>105</v>
      </c>
      <c r="B31" s="31">
        <v>5175000</v>
      </c>
      <c r="C31" s="31">
        <v>20373014627</v>
      </c>
      <c r="D31" s="31">
        <v>38717879265</v>
      </c>
      <c r="E31" s="31">
        <v>0</v>
      </c>
      <c r="F31" s="31">
        <v>0</v>
      </c>
      <c r="G31" s="31">
        <v>0</v>
      </c>
      <c r="H31" s="31">
        <v>0</v>
      </c>
      <c r="I31" s="31">
        <v>5175000</v>
      </c>
      <c r="J31" s="31">
        <v>6940</v>
      </c>
      <c r="K31" s="31">
        <v>20373014627</v>
      </c>
      <c r="L31" s="31">
        <v>35636880915</v>
      </c>
      <c r="M31" s="32">
        <v>3.2524574731109111E-2</v>
      </c>
    </row>
    <row r="32" spans="1:13" x14ac:dyDescent="0.65">
      <c r="A32" s="30" t="s">
        <v>97</v>
      </c>
      <c r="B32" s="31">
        <v>200000</v>
      </c>
      <c r="C32" s="31">
        <v>3358420121</v>
      </c>
      <c r="D32" s="31">
        <v>5413825120</v>
      </c>
      <c r="E32" s="31">
        <v>0</v>
      </c>
      <c r="F32" s="31">
        <v>0</v>
      </c>
      <c r="G32" s="31">
        <v>0</v>
      </c>
      <c r="H32" s="31">
        <v>0</v>
      </c>
      <c r="I32" s="31">
        <v>200000</v>
      </c>
      <c r="J32" s="31">
        <v>25900</v>
      </c>
      <c r="K32" s="31">
        <v>3358420121</v>
      </c>
      <c r="L32" s="31">
        <v>5139958600</v>
      </c>
      <c r="M32" s="32">
        <v>4.6910662018723693E-3</v>
      </c>
    </row>
    <row r="33" spans="1:13" x14ac:dyDescent="0.65">
      <c r="A33" s="30" t="s">
        <v>127</v>
      </c>
      <c r="B33" s="31">
        <v>4700000</v>
      </c>
      <c r="C33" s="31">
        <v>9384679990</v>
      </c>
      <c r="D33" s="31">
        <v>18262927804</v>
      </c>
      <c r="E33" s="31">
        <v>0</v>
      </c>
      <c r="F33" s="31">
        <v>0</v>
      </c>
      <c r="G33" s="31">
        <v>0</v>
      </c>
      <c r="H33" s="31">
        <v>0</v>
      </c>
      <c r="I33" s="31">
        <v>4700000</v>
      </c>
      <c r="J33" s="31">
        <v>3740</v>
      </c>
      <c r="K33" s="31">
        <v>9384679990</v>
      </c>
      <c r="L33" s="31">
        <v>17442122060</v>
      </c>
      <c r="M33" s="32">
        <v>1.5918834304346045E-2</v>
      </c>
    </row>
    <row r="34" spans="1:13" x14ac:dyDescent="0.65">
      <c r="A34" s="30" t="s">
        <v>73</v>
      </c>
      <c r="B34" s="31">
        <v>1450000</v>
      </c>
      <c r="C34" s="31">
        <v>23576293653</v>
      </c>
      <c r="D34" s="31">
        <v>40171058680</v>
      </c>
      <c r="E34" s="31">
        <v>0</v>
      </c>
      <c r="F34" s="31">
        <v>0</v>
      </c>
      <c r="G34" s="31">
        <v>0</v>
      </c>
      <c r="H34" s="31">
        <v>0</v>
      </c>
      <c r="I34" s="31">
        <v>1450000</v>
      </c>
      <c r="J34" s="31">
        <v>27010</v>
      </c>
      <c r="K34" s="31">
        <v>23576293653</v>
      </c>
      <c r="L34" s="31">
        <v>38861758415</v>
      </c>
      <c r="M34" s="32">
        <v>3.5467811247727875E-2</v>
      </c>
    </row>
    <row r="35" spans="1:13" x14ac:dyDescent="0.65">
      <c r="A35" s="30" t="s">
        <v>179</v>
      </c>
      <c r="B35" s="31">
        <v>2000000</v>
      </c>
      <c r="C35" s="31">
        <v>18890189691</v>
      </c>
      <c r="D35" s="31">
        <v>17622715200</v>
      </c>
      <c r="E35" s="31">
        <v>0</v>
      </c>
      <c r="F35" s="31">
        <v>0</v>
      </c>
      <c r="G35" s="31">
        <v>0</v>
      </c>
      <c r="H35" s="31">
        <v>0</v>
      </c>
      <c r="I35" s="31">
        <v>2000000</v>
      </c>
      <c r="J35" s="31">
        <v>8240</v>
      </c>
      <c r="K35" s="31">
        <v>18890189691</v>
      </c>
      <c r="L35" s="31">
        <v>16352609600</v>
      </c>
      <c r="M35" s="32">
        <v>1.4924473167346842E-2</v>
      </c>
    </row>
    <row r="36" spans="1:13" x14ac:dyDescent="0.65">
      <c r="A36" s="30" t="s">
        <v>117</v>
      </c>
      <c r="B36" s="31">
        <v>454</v>
      </c>
      <c r="C36" s="31">
        <v>19762080</v>
      </c>
      <c r="D36" s="31">
        <v>23493084</v>
      </c>
      <c r="E36" s="31">
        <v>0</v>
      </c>
      <c r="F36" s="31">
        <v>0</v>
      </c>
      <c r="G36" s="31">
        <v>0</v>
      </c>
      <c r="H36" s="31">
        <v>0</v>
      </c>
      <c r="I36" s="31">
        <v>454</v>
      </c>
      <c r="J36" s="31">
        <v>52700</v>
      </c>
      <c r="K36" s="31">
        <v>19762080</v>
      </c>
      <c r="L36" s="31">
        <v>23740854</v>
      </c>
      <c r="M36" s="32">
        <v>2.1667473703579334E-5</v>
      </c>
    </row>
    <row r="37" spans="1:13" x14ac:dyDescent="0.65">
      <c r="A37" s="30" t="s">
        <v>156</v>
      </c>
      <c r="B37" s="31">
        <v>200000</v>
      </c>
      <c r="C37" s="31">
        <v>8564224465</v>
      </c>
      <c r="D37" s="31">
        <v>9291616280</v>
      </c>
      <c r="E37" s="31">
        <v>0</v>
      </c>
      <c r="F37" s="31">
        <v>0</v>
      </c>
      <c r="G37" s="31">
        <v>0</v>
      </c>
      <c r="H37" s="31">
        <v>0</v>
      </c>
      <c r="I37" s="31">
        <v>200000</v>
      </c>
      <c r="J37" s="31">
        <v>43800</v>
      </c>
      <c r="K37" s="31">
        <v>8564224465</v>
      </c>
      <c r="L37" s="31">
        <v>8692285200</v>
      </c>
      <c r="M37" s="32">
        <v>7.9331544263324238E-3</v>
      </c>
    </row>
    <row r="38" spans="1:13" x14ac:dyDescent="0.65">
      <c r="A38" s="30" t="s">
        <v>126</v>
      </c>
      <c r="B38" s="31">
        <v>750000</v>
      </c>
      <c r="C38" s="31">
        <v>28756148835</v>
      </c>
      <c r="D38" s="31">
        <v>44905178850</v>
      </c>
      <c r="E38" s="31">
        <v>0</v>
      </c>
      <c r="F38" s="31">
        <v>0</v>
      </c>
      <c r="G38" s="31">
        <v>0</v>
      </c>
      <c r="H38" s="31">
        <v>0</v>
      </c>
      <c r="I38" s="31">
        <v>750000</v>
      </c>
      <c r="J38" s="31">
        <v>60730</v>
      </c>
      <c r="K38" s="31">
        <v>28756148835</v>
      </c>
      <c r="L38" s="31">
        <v>45195417825</v>
      </c>
      <c r="M38" s="32">
        <v>4.1248327766367131E-2</v>
      </c>
    </row>
    <row r="39" spans="1:13" x14ac:dyDescent="0.65">
      <c r="A39" s="30" t="s">
        <v>123</v>
      </c>
      <c r="B39" s="31">
        <v>450000</v>
      </c>
      <c r="C39" s="31">
        <v>11771082508</v>
      </c>
      <c r="D39" s="31">
        <v>20602502010</v>
      </c>
      <c r="E39" s="31">
        <v>0</v>
      </c>
      <c r="F39" s="31">
        <v>0</v>
      </c>
      <c r="G39" s="31">
        <v>0</v>
      </c>
      <c r="H39" s="31">
        <v>0</v>
      </c>
      <c r="I39" s="31">
        <v>450000</v>
      </c>
      <c r="J39" s="31">
        <v>45600</v>
      </c>
      <c r="K39" s="31">
        <v>11771082508</v>
      </c>
      <c r="L39" s="31">
        <v>20361380400</v>
      </c>
      <c r="M39" s="32">
        <v>1.8583142560312939E-2</v>
      </c>
    </row>
    <row r="40" spans="1:13" x14ac:dyDescent="0.65">
      <c r="A40" s="30" t="s">
        <v>166</v>
      </c>
      <c r="B40" s="31">
        <v>3000000</v>
      </c>
      <c r="C40" s="31">
        <v>8292444580</v>
      </c>
      <c r="D40" s="31">
        <v>8394604200</v>
      </c>
      <c r="E40" s="31">
        <v>0</v>
      </c>
      <c r="F40" s="31">
        <v>0</v>
      </c>
      <c r="G40" s="31">
        <v>0</v>
      </c>
      <c r="H40" s="31">
        <v>0</v>
      </c>
      <c r="I40" s="31">
        <v>3000000</v>
      </c>
      <c r="J40" s="31">
        <v>2740</v>
      </c>
      <c r="K40" s="31">
        <v>8292444580</v>
      </c>
      <c r="L40" s="31">
        <v>8156459400</v>
      </c>
      <c r="M40" s="32">
        <v>7.4441243589557669E-3</v>
      </c>
    </row>
    <row r="41" spans="1:13" x14ac:dyDescent="0.65">
      <c r="A41" s="30" t="s">
        <v>180</v>
      </c>
      <c r="B41" s="31">
        <v>120000</v>
      </c>
      <c r="C41" s="31">
        <v>18239142954</v>
      </c>
      <c r="D41" s="31">
        <v>62599932852</v>
      </c>
      <c r="E41" s="31">
        <v>0</v>
      </c>
      <c r="F41" s="31">
        <v>0</v>
      </c>
      <c r="G41" s="31">
        <v>0</v>
      </c>
      <c r="H41" s="31">
        <v>0</v>
      </c>
      <c r="I41" s="31">
        <v>120000</v>
      </c>
      <c r="J41" s="31">
        <v>507320</v>
      </c>
      <c r="K41" s="31">
        <v>18239142954</v>
      </c>
      <c r="L41" s="31">
        <v>60407809968</v>
      </c>
      <c r="M41" s="32">
        <v>5.5132163062561169E-2</v>
      </c>
    </row>
    <row r="42" spans="1:13" x14ac:dyDescent="0.65">
      <c r="A42" s="30" t="s">
        <v>103</v>
      </c>
      <c r="B42" s="31">
        <v>1200000</v>
      </c>
      <c r="C42" s="31">
        <v>20469168747</v>
      </c>
      <c r="D42" s="31">
        <v>23421541080</v>
      </c>
      <c r="E42" s="31">
        <v>0</v>
      </c>
      <c r="F42" s="31">
        <v>0</v>
      </c>
      <c r="G42" s="31">
        <v>0</v>
      </c>
      <c r="H42" s="31">
        <v>0</v>
      </c>
      <c r="I42" s="31">
        <v>1200000</v>
      </c>
      <c r="J42" s="31">
        <v>18970</v>
      </c>
      <c r="K42" s="31">
        <v>20469168747</v>
      </c>
      <c r="L42" s="31">
        <v>22588034280</v>
      </c>
      <c r="M42" s="32">
        <v>2.0615334173633711E-2</v>
      </c>
    </row>
    <row r="43" spans="1:13" x14ac:dyDescent="0.65">
      <c r="A43" s="30" t="s">
        <v>76</v>
      </c>
      <c r="B43" s="31">
        <v>350000</v>
      </c>
      <c r="C43" s="31">
        <v>16628233734</v>
      </c>
      <c r="D43" s="31">
        <v>36674299200</v>
      </c>
      <c r="E43" s="31">
        <v>0</v>
      </c>
      <c r="F43" s="31">
        <v>0</v>
      </c>
      <c r="G43" s="31">
        <v>0</v>
      </c>
      <c r="H43" s="31">
        <v>0</v>
      </c>
      <c r="I43" s="31">
        <v>350000</v>
      </c>
      <c r="J43" s="31">
        <v>105400</v>
      </c>
      <c r="K43" s="31">
        <v>16628233734</v>
      </c>
      <c r="L43" s="31">
        <v>36604840300</v>
      </c>
      <c r="M43" s="32">
        <v>3.3407998491712686E-2</v>
      </c>
    </row>
    <row r="44" spans="1:13" x14ac:dyDescent="0.65">
      <c r="A44" s="30" t="s">
        <v>181</v>
      </c>
      <c r="B44" s="31">
        <v>5802960</v>
      </c>
      <c r="C44" s="31">
        <v>17199552966</v>
      </c>
      <c r="D44" s="31">
        <v>14487387448</v>
      </c>
      <c r="E44" s="31">
        <v>0</v>
      </c>
      <c r="F44" s="31">
        <v>0</v>
      </c>
      <c r="G44" s="31">
        <v>0</v>
      </c>
      <c r="H44" s="31">
        <v>0</v>
      </c>
      <c r="I44" s="31">
        <v>5802960</v>
      </c>
      <c r="J44" s="31">
        <v>2485</v>
      </c>
      <c r="K44" s="31">
        <v>17199552966</v>
      </c>
      <c r="L44" s="31">
        <v>14308886251</v>
      </c>
      <c r="M44" s="32">
        <v>1.3059236056590482E-2</v>
      </c>
    </row>
    <row r="45" spans="1:13" ht="18.600000000000001" thickBot="1" x14ac:dyDescent="0.7">
      <c r="A45" s="30" t="s">
        <v>2</v>
      </c>
      <c r="B45" s="31"/>
      <c r="C45" s="34">
        <f t="shared" ref="B45:I45" si="0">SUM(C11:C44)</f>
        <v>649696428022</v>
      </c>
      <c r="D45" s="34">
        <f t="shared" si="0"/>
        <v>1012543258242</v>
      </c>
      <c r="E45" s="31"/>
      <c r="F45" s="34">
        <f t="shared" si="0"/>
        <v>0</v>
      </c>
      <c r="G45" s="31"/>
      <c r="H45" s="34">
        <f t="shared" si="0"/>
        <v>0</v>
      </c>
      <c r="I45" s="31"/>
      <c r="J45" s="33"/>
      <c r="K45" s="34">
        <f>SUM(K11:K44)</f>
        <v>649696428022</v>
      </c>
      <c r="L45" s="34">
        <f>SUM(L11:L44)</f>
        <v>994294438445</v>
      </c>
      <c r="M45" s="35">
        <f>SUM(M11:M44)</f>
        <v>0.9074588723144591</v>
      </c>
    </row>
    <row r="46" spans="1:13" ht="18.600000000000001" thickTop="1" x14ac:dyDescent="0.65"/>
  </sheetData>
  <mergeCells count="19">
    <mergeCell ref="B8:D8"/>
    <mergeCell ref="E8:H8"/>
    <mergeCell ref="I8:M8"/>
    <mergeCell ref="A9:A10"/>
    <mergeCell ref="B9:B10"/>
    <mergeCell ref="C9:C10"/>
    <mergeCell ref="L9:L10"/>
    <mergeCell ref="M9:M10"/>
    <mergeCell ref="G9:H9"/>
    <mergeCell ref="I9:I10"/>
    <mergeCell ref="J9:J10"/>
    <mergeCell ref="K9:K10"/>
    <mergeCell ref="E9:F9"/>
    <mergeCell ref="D9:D10"/>
    <mergeCell ref="A1:M1"/>
    <mergeCell ref="A2:M2"/>
    <mergeCell ref="A4:M4"/>
    <mergeCell ref="A5:M5"/>
    <mergeCell ref="A6:M6"/>
  </mergeCells>
  <pageMargins left="0.7" right="0.7" top="0.75" bottom="0.75" header="0.3" footer="0.3"/>
  <pageSetup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rightToLeft="1" view="pageBreakPreview" zoomScale="85" zoomScaleNormal="100" zoomScaleSheetLayoutView="85" workbookViewId="0">
      <selection activeCell="E24" sqref="E24"/>
    </sheetView>
  </sheetViews>
  <sheetFormatPr defaultColWidth="9.09765625" defaultRowHeight="18" x14ac:dyDescent="0.65"/>
  <cols>
    <col min="1" max="1" width="38.19921875" style="18" customWidth="1"/>
    <col min="2" max="2" width="22.59765625" style="18" customWidth="1"/>
    <col min="3" max="3" width="12" style="18" customWidth="1"/>
    <col min="4" max="4" width="11.59765625" style="18" customWidth="1"/>
    <col min="5" max="5" width="15" style="18" customWidth="1"/>
    <col min="6" max="6" width="12.59765625" style="18" customWidth="1"/>
    <col min="7" max="7" width="15.3984375" style="18" customWidth="1"/>
    <col min="8" max="8" width="17.59765625" style="18" customWidth="1"/>
    <col min="9" max="9" width="12.296875" style="18" customWidth="1"/>
    <col min="10" max="10" width="12.3984375" style="18" customWidth="1"/>
    <col min="11" max="11" width="11.69921875" style="18" customWidth="1"/>
    <col min="12" max="12" width="15.09765625" style="18" customWidth="1"/>
    <col min="13" max="13" width="15.8984375" style="18" customWidth="1"/>
    <col min="14" max="16384" width="9.09765625" style="18"/>
  </cols>
  <sheetData>
    <row r="1" spans="1:13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399999999999999" x14ac:dyDescent="0.65">
      <c r="A2" s="10" t="s">
        <v>44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0.399999999999999" x14ac:dyDescent="0.6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0.399999999999999" x14ac:dyDescent="0.65">
      <c r="A5" s="36" t="s">
        <v>45</v>
      </c>
      <c r="B5" s="36"/>
      <c r="C5" s="36"/>
      <c r="D5" s="36"/>
      <c r="E5" s="36"/>
      <c r="F5" s="36"/>
      <c r="G5" s="36"/>
      <c r="H5" s="36"/>
      <c r="I5" s="36"/>
    </row>
    <row r="6" spans="1:13" ht="18.600000000000001" x14ac:dyDescent="0.65">
      <c r="A6" s="37"/>
      <c r="B6" s="38"/>
      <c r="C6" s="38"/>
      <c r="D6" s="38"/>
      <c r="E6" s="38"/>
      <c r="F6" s="39"/>
      <c r="G6" s="39"/>
      <c r="H6" s="39"/>
      <c r="I6" s="39"/>
    </row>
    <row r="7" spans="1:13" ht="19.2" thickBot="1" x14ac:dyDescent="0.7">
      <c r="A7" s="37"/>
      <c r="B7" s="40" t="s">
        <v>70</v>
      </c>
      <c r="C7" s="40"/>
      <c r="D7" s="40"/>
      <c r="E7" s="40"/>
      <c r="F7" s="40" t="s">
        <v>67</v>
      </c>
      <c r="G7" s="40"/>
      <c r="H7" s="40"/>
      <c r="I7" s="40"/>
    </row>
    <row r="8" spans="1:13" ht="18.600000000000001" thickBot="1" x14ac:dyDescent="0.7">
      <c r="A8" s="41" t="s">
        <v>198</v>
      </c>
      <c r="B8" s="41" t="s">
        <v>21</v>
      </c>
      <c r="C8" s="41" t="s">
        <v>22</v>
      </c>
      <c r="D8" s="41" t="s">
        <v>23</v>
      </c>
      <c r="E8" s="41" t="s">
        <v>24</v>
      </c>
      <c r="F8" s="41" t="s">
        <v>21</v>
      </c>
      <c r="G8" s="41" t="s">
        <v>22</v>
      </c>
      <c r="H8" s="41" t="s">
        <v>23</v>
      </c>
      <c r="I8" s="41" t="s">
        <v>24</v>
      </c>
    </row>
    <row r="9" spans="1:13" x14ac:dyDescent="0.65">
      <c r="A9" s="30" t="s">
        <v>71</v>
      </c>
      <c r="B9" s="31">
        <v>454</v>
      </c>
      <c r="C9" s="31">
        <v>50625</v>
      </c>
      <c r="D9" s="31" t="s">
        <v>72</v>
      </c>
      <c r="E9" s="32">
        <v>0.36163587513117978</v>
      </c>
      <c r="F9" s="31">
        <v>454</v>
      </c>
      <c r="G9" s="31">
        <v>50625</v>
      </c>
      <c r="H9" s="31" t="s">
        <v>72</v>
      </c>
      <c r="I9" s="32">
        <v>0.36163587513117978</v>
      </c>
    </row>
    <row r="10" spans="1:13" ht="20.399999999999999" x14ac:dyDescent="0.65">
      <c r="A10" s="6"/>
      <c r="B10" s="6"/>
      <c r="C10" s="6"/>
      <c r="D10" s="6"/>
      <c r="E10" s="6"/>
      <c r="F10" s="6"/>
      <c r="G10" s="6"/>
      <c r="H10" s="6"/>
      <c r="I10" s="6"/>
    </row>
    <row r="12" spans="1:13" ht="20.399999999999999" x14ac:dyDescent="0.65">
      <c r="A12" s="42" t="s">
        <v>54</v>
      </c>
      <c r="B12" s="42"/>
      <c r="C12" s="42"/>
      <c r="D12" s="42"/>
      <c r="E12" s="42"/>
      <c r="F12" s="42"/>
      <c r="G12" s="42"/>
      <c r="H12" s="42"/>
      <c r="I12" s="42"/>
    </row>
    <row r="13" spans="1:13" ht="18.600000000000001" x14ac:dyDescent="0.65">
      <c r="A13" s="37"/>
      <c r="B13" s="38"/>
      <c r="C13" s="38"/>
      <c r="D13" s="38"/>
      <c r="E13" s="38"/>
      <c r="F13" s="38"/>
      <c r="G13" s="38"/>
      <c r="H13" s="38"/>
      <c r="I13" s="39"/>
      <c r="J13" s="39"/>
      <c r="K13" s="39"/>
      <c r="L13" s="39"/>
      <c r="M13" s="39"/>
    </row>
    <row r="14" spans="1:13" ht="18.600000000000001" customHeight="1" thickBot="1" x14ac:dyDescent="0.7">
      <c r="A14" s="37"/>
      <c r="B14" s="40" t="s">
        <v>70</v>
      </c>
      <c r="C14" s="40"/>
      <c r="D14" s="40"/>
      <c r="E14" s="40"/>
      <c r="F14" s="40"/>
      <c r="G14" s="40"/>
      <c r="H14" s="40" t="s">
        <v>67</v>
      </c>
      <c r="I14" s="40"/>
      <c r="J14" s="40"/>
      <c r="K14" s="40"/>
      <c r="L14" s="40"/>
      <c r="M14" s="40"/>
    </row>
    <row r="15" spans="1:13" ht="18.600000000000001" thickBot="1" x14ac:dyDescent="0.7">
      <c r="A15" s="41" t="s">
        <v>198</v>
      </c>
      <c r="B15" s="41" t="s">
        <v>56</v>
      </c>
      <c r="C15" s="41" t="s">
        <v>55</v>
      </c>
      <c r="D15" s="41" t="s">
        <v>57</v>
      </c>
      <c r="E15" s="41" t="s">
        <v>52</v>
      </c>
      <c r="F15" s="41" t="s">
        <v>22</v>
      </c>
      <c r="G15" s="41" t="s">
        <v>23</v>
      </c>
      <c r="H15" s="41" t="s">
        <v>56</v>
      </c>
      <c r="I15" s="41" t="s">
        <v>55</v>
      </c>
      <c r="J15" s="41" t="s">
        <v>57</v>
      </c>
      <c r="K15" s="41" t="s">
        <v>52</v>
      </c>
      <c r="L15" s="41" t="s">
        <v>22</v>
      </c>
      <c r="M15" s="41" t="s">
        <v>23</v>
      </c>
    </row>
    <row r="16" spans="1:13" x14ac:dyDescent="0.65">
      <c r="A16" s="30" t="s">
        <v>141</v>
      </c>
      <c r="B16" s="31" t="s">
        <v>182</v>
      </c>
      <c r="C16" s="31" t="s">
        <v>182</v>
      </c>
      <c r="D16" s="31" t="s">
        <v>182</v>
      </c>
      <c r="E16" s="31">
        <v>0</v>
      </c>
      <c r="F16" s="31">
        <v>0</v>
      </c>
      <c r="G16" s="31" t="s">
        <v>182</v>
      </c>
      <c r="H16" s="31" t="s">
        <v>183</v>
      </c>
      <c r="I16" s="31" t="s">
        <v>184</v>
      </c>
      <c r="J16" s="31" t="s">
        <v>182</v>
      </c>
      <c r="K16" s="31">
        <v>5000000</v>
      </c>
      <c r="L16" s="31">
        <v>1710</v>
      </c>
      <c r="M16" s="31" t="s">
        <v>185</v>
      </c>
    </row>
    <row r="17" spans="1:13" x14ac:dyDescent="0.65">
      <c r="A17" s="30" t="s">
        <v>106</v>
      </c>
      <c r="B17" s="31" t="s">
        <v>183</v>
      </c>
      <c r="C17" s="31" t="s">
        <v>184</v>
      </c>
      <c r="D17" s="31" t="s">
        <v>182</v>
      </c>
      <c r="E17" s="31">
        <v>3500000</v>
      </c>
      <c r="F17" s="31">
        <v>8000</v>
      </c>
      <c r="G17" s="31" t="s">
        <v>185</v>
      </c>
      <c r="H17" s="31" t="s">
        <v>182</v>
      </c>
      <c r="I17" s="31" t="s">
        <v>182</v>
      </c>
      <c r="J17" s="31" t="s">
        <v>182</v>
      </c>
      <c r="K17" s="31">
        <v>0</v>
      </c>
      <c r="L17" s="31">
        <v>0</v>
      </c>
      <c r="M17" s="31" t="s">
        <v>182</v>
      </c>
    </row>
    <row r="18" spans="1:13" x14ac:dyDescent="0.65">
      <c r="A18" s="30" t="s">
        <v>134</v>
      </c>
      <c r="B18" s="31" t="s">
        <v>183</v>
      </c>
      <c r="C18" s="31" t="s">
        <v>184</v>
      </c>
      <c r="D18" s="31" t="s">
        <v>182</v>
      </c>
      <c r="E18" s="31">
        <v>100000</v>
      </c>
      <c r="F18" s="31">
        <v>120750</v>
      </c>
      <c r="G18" s="31" t="s">
        <v>185</v>
      </c>
      <c r="H18" s="31" t="s">
        <v>182</v>
      </c>
      <c r="I18" s="31" t="s">
        <v>182</v>
      </c>
      <c r="J18" s="31" t="s">
        <v>182</v>
      </c>
      <c r="K18" s="31">
        <v>0</v>
      </c>
      <c r="L18" s="31">
        <v>0</v>
      </c>
      <c r="M18" s="31" t="s">
        <v>182</v>
      </c>
    </row>
    <row r="19" spans="1:13" x14ac:dyDescent="0.65">
      <c r="A19" s="30" t="s">
        <v>175</v>
      </c>
      <c r="B19" s="31" t="s">
        <v>183</v>
      </c>
      <c r="C19" s="31" t="s">
        <v>186</v>
      </c>
      <c r="D19" s="31" t="s">
        <v>182</v>
      </c>
      <c r="E19" s="31">
        <v>50000</v>
      </c>
      <c r="F19" s="31">
        <v>90750</v>
      </c>
      <c r="G19" s="31" t="s">
        <v>185</v>
      </c>
      <c r="H19" s="31" t="s">
        <v>183</v>
      </c>
      <c r="I19" s="31" t="s">
        <v>186</v>
      </c>
      <c r="J19" s="31" t="s">
        <v>182</v>
      </c>
      <c r="K19" s="31">
        <v>50000</v>
      </c>
      <c r="L19" s="31">
        <v>90750</v>
      </c>
      <c r="M19" s="31" t="s">
        <v>185</v>
      </c>
    </row>
    <row r="20" spans="1:13" x14ac:dyDescent="0.65">
      <c r="A20" s="30" t="s">
        <v>140</v>
      </c>
      <c r="B20" s="31" t="s">
        <v>182</v>
      </c>
      <c r="C20" s="31" t="s">
        <v>182</v>
      </c>
      <c r="D20" s="31" t="s">
        <v>182</v>
      </c>
      <c r="E20" s="31">
        <v>0</v>
      </c>
      <c r="F20" s="31">
        <v>0</v>
      </c>
      <c r="G20" s="31" t="s">
        <v>182</v>
      </c>
      <c r="H20" s="31" t="s">
        <v>183</v>
      </c>
      <c r="I20" s="31" t="s">
        <v>184</v>
      </c>
      <c r="J20" s="31" t="s">
        <v>182</v>
      </c>
      <c r="K20" s="31">
        <v>5000000</v>
      </c>
      <c r="L20" s="31">
        <v>1400</v>
      </c>
      <c r="M20" s="31" t="s">
        <v>185</v>
      </c>
    </row>
    <row r="21" spans="1:13" x14ac:dyDescent="0.65">
      <c r="A21" s="30" t="s">
        <v>139</v>
      </c>
      <c r="B21" s="31" t="s">
        <v>183</v>
      </c>
      <c r="C21" s="31" t="s">
        <v>184</v>
      </c>
      <c r="D21" s="31" t="s">
        <v>182</v>
      </c>
      <c r="E21" s="31">
        <v>15000000</v>
      </c>
      <c r="F21" s="31">
        <v>1600</v>
      </c>
      <c r="G21" s="31" t="s">
        <v>185</v>
      </c>
      <c r="H21" s="31" t="s">
        <v>182</v>
      </c>
      <c r="I21" s="31" t="s">
        <v>182</v>
      </c>
      <c r="J21" s="31" t="s">
        <v>182</v>
      </c>
      <c r="K21" s="31">
        <v>0</v>
      </c>
      <c r="L21" s="31">
        <v>0</v>
      </c>
      <c r="M21" s="31" t="s">
        <v>182</v>
      </c>
    </row>
    <row r="22" spans="1:13" x14ac:dyDescent="0.65">
      <c r="A22" s="30" t="s">
        <v>135</v>
      </c>
      <c r="B22" s="31" t="s">
        <v>182</v>
      </c>
      <c r="C22" s="31" t="s">
        <v>182</v>
      </c>
      <c r="D22" s="31" t="s">
        <v>182</v>
      </c>
      <c r="E22" s="31">
        <v>0</v>
      </c>
      <c r="F22" s="31">
        <v>0</v>
      </c>
      <c r="G22" s="31" t="s">
        <v>182</v>
      </c>
      <c r="H22" s="31" t="s">
        <v>187</v>
      </c>
      <c r="I22" s="31" t="s">
        <v>184</v>
      </c>
      <c r="J22" s="31" t="s">
        <v>182</v>
      </c>
      <c r="K22" s="31">
        <v>5000000</v>
      </c>
      <c r="L22" s="31">
        <v>1510</v>
      </c>
      <c r="M22" s="31" t="s">
        <v>185</v>
      </c>
    </row>
    <row r="25" spans="1:13" x14ac:dyDescent="0.65">
      <c r="A25" s="43"/>
      <c r="B25" s="43"/>
      <c r="C25" s="43"/>
      <c r="D25" s="43"/>
      <c r="E25" s="43"/>
      <c r="F25" s="43"/>
      <c r="G25" s="43"/>
      <c r="H25" s="43"/>
      <c r="I25" s="43"/>
    </row>
    <row r="26" spans="1:13" x14ac:dyDescent="0.65">
      <c r="A26" s="43"/>
      <c r="B26" s="43"/>
      <c r="C26" s="43"/>
      <c r="D26" s="43"/>
      <c r="E26" s="43"/>
      <c r="F26" s="43"/>
      <c r="G26" s="43"/>
      <c r="H26" s="43"/>
      <c r="I26" s="43"/>
    </row>
    <row r="27" spans="1:13" x14ac:dyDescent="0.65">
      <c r="A27" s="43"/>
      <c r="B27" s="43"/>
      <c r="C27" s="43"/>
      <c r="D27" s="43"/>
      <c r="E27" s="43"/>
      <c r="F27" s="43"/>
      <c r="G27" s="43"/>
      <c r="H27" s="43"/>
      <c r="I27" s="43"/>
    </row>
    <row r="28" spans="1:13" x14ac:dyDescent="0.65">
      <c r="A28" s="43"/>
      <c r="B28" s="43"/>
      <c r="C28" s="43"/>
      <c r="D28" s="43"/>
      <c r="E28" s="43"/>
      <c r="F28" s="43"/>
      <c r="G28" s="43"/>
      <c r="H28" s="43"/>
      <c r="I28" s="43"/>
    </row>
    <row r="29" spans="1:13" x14ac:dyDescent="0.65">
      <c r="A29" s="43"/>
      <c r="B29" s="43"/>
      <c r="C29" s="43"/>
      <c r="D29" s="43"/>
      <c r="E29" s="43"/>
      <c r="F29" s="43"/>
      <c r="G29" s="43"/>
      <c r="H29" s="43"/>
      <c r="I29" s="43"/>
    </row>
    <row r="30" spans="1:13" x14ac:dyDescent="0.65">
      <c r="A30" s="43"/>
      <c r="B30" s="43"/>
      <c r="C30" s="43"/>
      <c r="D30" s="43"/>
      <c r="E30" s="43"/>
      <c r="F30" s="43"/>
      <c r="G30" s="43"/>
      <c r="H30" s="43"/>
      <c r="I30" s="43"/>
    </row>
    <row r="31" spans="1:13" x14ac:dyDescent="0.65">
      <c r="A31" s="43"/>
      <c r="B31" s="43"/>
      <c r="C31" s="43"/>
      <c r="D31" s="43"/>
      <c r="E31" s="43"/>
      <c r="F31" s="43"/>
      <c r="G31" s="43"/>
      <c r="H31" s="43"/>
      <c r="I31" s="43"/>
    </row>
    <row r="32" spans="1:13" x14ac:dyDescent="0.65">
      <c r="A32" s="43"/>
      <c r="B32" s="43"/>
      <c r="C32" s="43"/>
      <c r="D32" s="43"/>
      <c r="E32" s="43"/>
      <c r="F32" s="43"/>
      <c r="G32" s="43"/>
      <c r="H32" s="43"/>
      <c r="I32" s="43"/>
    </row>
    <row r="33" spans="1:9" x14ac:dyDescent="0.65">
      <c r="A33" s="43"/>
      <c r="B33" s="43"/>
      <c r="C33" s="43"/>
      <c r="D33" s="43"/>
      <c r="E33" s="43"/>
      <c r="F33" s="43"/>
      <c r="G33" s="43"/>
      <c r="H33" s="43"/>
      <c r="I33" s="43"/>
    </row>
    <row r="34" spans="1:9" x14ac:dyDescent="0.65">
      <c r="A34" s="43"/>
      <c r="B34" s="43"/>
      <c r="C34" s="43"/>
      <c r="D34" s="43"/>
      <c r="E34" s="43"/>
      <c r="F34" s="43"/>
      <c r="G34" s="43"/>
      <c r="H34" s="43"/>
      <c r="I34" s="43"/>
    </row>
    <row r="35" spans="1:9" x14ac:dyDescent="0.65">
      <c r="A35" s="43"/>
      <c r="B35" s="43"/>
      <c r="C35" s="43"/>
      <c r="D35" s="43"/>
      <c r="E35" s="43"/>
      <c r="F35" s="43"/>
      <c r="G35" s="43"/>
      <c r="H35" s="43"/>
      <c r="I35" s="43"/>
    </row>
    <row r="36" spans="1:9" x14ac:dyDescent="0.65">
      <c r="A36" s="43"/>
      <c r="B36" s="43"/>
      <c r="C36" s="43"/>
      <c r="D36" s="43"/>
      <c r="E36" s="43"/>
      <c r="F36" s="43"/>
      <c r="G36" s="43"/>
      <c r="H36" s="43"/>
      <c r="I36" s="43"/>
    </row>
    <row r="37" spans="1:9" x14ac:dyDescent="0.65">
      <c r="A37" s="43"/>
      <c r="B37" s="43"/>
      <c r="C37" s="43"/>
      <c r="D37" s="43"/>
      <c r="E37" s="43"/>
      <c r="F37" s="43"/>
      <c r="G37" s="43"/>
      <c r="H37" s="43"/>
      <c r="I37" s="43"/>
    </row>
    <row r="38" spans="1:9" x14ac:dyDescent="0.65">
      <c r="A38" s="43"/>
      <c r="B38" s="43"/>
      <c r="C38" s="43"/>
      <c r="D38" s="43"/>
      <c r="E38" s="43"/>
      <c r="F38" s="43"/>
      <c r="G38" s="43"/>
      <c r="H38" s="43"/>
      <c r="I38" s="43"/>
    </row>
  </sheetData>
  <mergeCells count="7">
    <mergeCell ref="B14:G14"/>
    <mergeCell ref="H14:M14"/>
    <mergeCell ref="A1:M1"/>
    <mergeCell ref="A2:M2"/>
    <mergeCell ref="A3:M3"/>
    <mergeCell ref="B7:E7"/>
    <mergeCell ref="F7:I7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rightToLeft="1" view="pageBreakPreview" zoomScale="90" zoomScaleNormal="100" zoomScaleSheetLayoutView="90" workbookViewId="0">
      <selection activeCell="B12" sqref="B12:F12"/>
    </sheetView>
  </sheetViews>
  <sheetFormatPr defaultColWidth="9.09765625" defaultRowHeight="18" x14ac:dyDescent="0.25"/>
  <cols>
    <col min="1" max="1" width="32.19921875" style="44" customWidth="1"/>
    <col min="2" max="2" width="21.296875" style="44" customWidth="1"/>
    <col min="3" max="3" width="22" style="44" customWidth="1"/>
    <col min="4" max="4" width="22.09765625" style="44" customWidth="1"/>
    <col min="5" max="5" width="17.3984375" style="44" customWidth="1"/>
    <col min="6" max="6" width="11.59765625" style="44" customWidth="1"/>
    <col min="7" max="16384" width="9.09765625" style="44"/>
  </cols>
  <sheetData>
    <row r="1" spans="1:6" ht="20.399999999999999" x14ac:dyDescent="0.25">
      <c r="A1" s="9" t="s">
        <v>64</v>
      </c>
      <c r="B1" s="9"/>
      <c r="C1" s="9"/>
      <c r="D1" s="9"/>
      <c r="E1" s="9"/>
      <c r="F1" s="9"/>
    </row>
    <row r="2" spans="1:6" ht="20.399999999999999" x14ac:dyDescent="0.25">
      <c r="A2" s="9" t="s">
        <v>44</v>
      </c>
      <c r="B2" s="9"/>
      <c r="C2" s="9"/>
      <c r="D2" s="9"/>
      <c r="E2" s="9"/>
      <c r="F2" s="9"/>
    </row>
    <row r="3" spans="1:6" ht="20.399999999999999" x14ac:dyDescent="0.25">
      <c r="A3" s="9" t="s">
        <v>66</v>
      </c>
      <c r="B3" s="9"/>
      <c r="C3" s="9"/>
      <c r="D3" s="9"/>
      <c r="E3" s="9"/>
      <c r="F3" s="9"/>
    </row>
    <row r="4" spans="1:6" ht="20.399999999999999" x14ac:dyDescent="0.25">
      <c r="A4" s="5"/>
      <c r="B4" s="5"/>
      <c r="C4" s="5"/>
      <c r="D4" s="5"/>
      <c r="E4" s="5"/>
      <c r="F4" s="5"/>
    </row>
    <row r="5" spans="1:6" ht="20.399999999999999" x14ac:dyDescent="0.25">
      <c r="A5" s="19" t="s">
        <v>199</v>
      </c>
      <c r="B5" s="19"/>
      <c r="C5" s="19"/>
      <c r="D5" s="19"/>
      <c r="E5" s="19"/>
      <c r="F5" s="19"/>
    </row>
    <row r="6" spans="1:6" x14ac:dyDescent="0.25">
      <c r="B6" s="45"/>
      <c r="C6" s="45"/>
      <c r="D6" s="45"/>
      <c r="E6" s="45"/>
      <c r="F6" s="45"/>
    </row>
    <row r="7" spans="1:6" ht="18.75" customHeight="1" thickBot="1" x14ac:dyDescent="0.3">
      <c r="A7" s="20"/>
      <c r="B7" s="46" t="s">
        <v>70</v>
      </c>
      <c r="C7" s="47" t="s">
        <v>195</v>
      </c>
      <c r="D7" s="47"/>
      <c r="E7" s="21" t="s">
        <v>67</v>
      </c>
      <c r="F7" s="21"/>
    </row>
    <row r="8" spans="1:6" ht="24" customHeight="1" x14ac:dyDescent="0.25">
      <c r="A8" s="22" t="s">
        <v>200</v>
      </c>
      <c r="B8" s="23" t="s">
        <v>4</v>
      </c>
      <c r="C8" s="48" t="s">
        <v>25</v>
      </c>
      <c r="D8" s="48" t="s">
        <v>62</v>
      </c>
      <c r="E8" s="26" t="s">
        <v>4</v>
      </c>
      <c r="F8" s="24" t="s">
        <v>12</v>
      </c>
    </row>
    <row r="9" spans="1:6" ht="18.600000000000001" thickBot="1" x14ac:dyDescent="0.3">
      <c r="A9" s="27"/>
      <c r="B9" s="28"/>
      <c r="C9" s="49"/>
      <c r="D9" s="49"/>
      <c r="E9" s="28"/>
      <c r="F9" s="27"/>
    </row>
    <row r="10" spans="1:6" x14ac:dyDescent="0.25">
      <c r="A10" s="50" t="s">
        <v>68</v>
      </c>
      <c r="B10" s="31">
        <v>5259351459</v>
      </c>
      <c r="C10" s="31">
        <v>8189663840</v>
      </c>
      <c r="D10" s="31">
        <v>3161565697</v>
      </c>
      <c r="E10" s="31">
        <v>10287449602</v>
      </c>
      <c r="F10" s="32">
        <v>9.3890069720420615E-3</v>
      </c>
    </row>
    <row r="11" spans="1:6" x14ac:dyDescent="0.25">
      <c r="A11" s="50" t="s">
        <v>69</v>
      </c>
      <c r="B11" s="31">
        <v>84521324716</v>
      </c>
      <c r="C11" s="31">
        <v>1406018544</v>
      </c>
      <c r="D11" s="31">
        <v>750000</v>
      </c>
      <c r="E11" s="31">
        <v>85926593260</v>
      </c>
      <c r="F11" s="32">
        <v>7.8422292639481597E-2</v>
      </c>
    </row>
    <row r="12" spans="1:6" ht="18.600000000000001" thickBot="1" x14ac:dyDescent="0.3">
      <c r="A12" s="50" t="s">
        <v>2</v>
      </c>
      <c r="B12" s="34">
        <f>SUM(B10:B11)</f>
        <v>89780676175</v>
      </c>
      <c r="C12" s="34">
        <f>SUM(C10:C11)</f>
        <v>9595682384</v>
      </c>
      <c r="D12" s="34">
        <f>SUM(D10:D11)</f>
        <v>3162315697</v>
      </c>
      <c r="E12" s="34">
        <f>SUM(E10:E11)</f>
        <v>96214042862</v>
      </c>
      <c r="F12" s="35">
        <f>SUM(F10:F11)</f>
        <v>8.781129961152366E-2</v>
      </c>
    </row>
    <row r="13" spans="1:6" ht="18.600000000000001" thickTop="1" x14ac:dyDescent="0.25">
      <c r="C13" s="44" t="s">
        <v>50</v>
      </c>
    </row>
  </sheetData>
  <mergeCells count="12"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  <mergeCell ref="C8:C9"/>
    <mergeCell ref="D8:D9"/>
  </mergeCells>
  <pageMargins left="0.7" right="0.7" top="0.75" bottom="0.75" header="0.3" footer="0.3"/>
  <pageSetup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rightToLeft="1" view="pageBreakPreview" zoomScaleNormal="100" zoomScaleSheetLayoutView="100" workbookViewId="0">
      <selection activeCell="B14" sqref="B14"/>
    </sheetView>
  </sheetViews>
  <sheetFormatPr defaultRowHeight="18.600000000000001" x14ac:dyDescent="0.65"/>
  <cols>
    <col min="1" max="1" width="60.09765625" style="76" customWidth="1"/>
    <col min="2" max="2" width="8.796875" style="1"/>
    <col min="3" max="3" width="24.59765625" style="1" customWidth="1"/>
    <col min="4" max="4" width="13.09765625" style="1" customWidth="1"/>
    <col min="5" max="5" width="13.296875" style="1" customWidth="1"/>
    <col min="6" max="16384" width="8.796875" style="1"/>
  </cols>
  <sheetData>
    <row r="1" spans="1:19" ht="20.399999999999999" x14ac:dyDescent="0.65">
      <c r="A1" s="9" t="s">
        <v>63</v>
      </c>
      <c r="B1" s="9"/>
      <c r="C1" s="9"/>
      <c r="D1" s="9"/>
      <c r="E1" s="9"/>
    </row>
    <row r="2" spans="1:19" ht="20.399999999999999" x14ac:dyDescent="0.65">
      <c r="A2" s="9" t="s">
        <v>47</v>
      </c>
      <c r="B2" s="9"/>
      <c r="C2" s="9"/>
      <c r="D2" s="9"/>
      <c r="E2" s="9"/>
    </row>
    <row r="3" spans="1:19" ht="20.399999999999999" x14ac:dyDescent="0.65">
      <c r="A3" s="9" t="s">
        <v>65</v>
      </c>
      <c r="B3" s="9"/>
      <c r="C3" s="9"/>
      <c r="D3" s="9"/>
      <c r="E3" s="9"/>
    </row>
    <row r="4" spans="1:19" ht="20.399999999999999" x14ac:dyDescent="0.65">
      <c r="A4" s="5"/>
      <c r="B4" s="5"/>
      <c r="C4" s="5"/>
      <c r="D4" s="5"/>
      <c r="E4" s="5"/>
    </row>
    <row r="5" spans="1:19" ht="20.399999999999999" x14ac:dyDescent="0.65">
      <c r="A5" s="19" t="s">
        <v>17</v>
      </c>
      <c r="B5" s="19"/>
      <c r="C5" s="19"/>
      <c r="D5" s="19"/>
      <c r="E5" s="19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19" ht="20.399999999999999" x14ac:dyDescent="0.65">
      <c r="A6" s="77"/>
      <c r="B6" s="77"/>
      <c r="C6" s="77"/>
      <c r="D6" s="77"/>
      <c r="E6" s="77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 spans="1:19" ht="21" thickBot="1" x14ac:dyDescent="0.7">
      <c r="A7" s="77"/>
      <c r="B7" s="77"/>
      <c r="C7" s="79" t="s">
        <v>202</v>
      </c>
      <c r="D7" s="79"/>
      <c r="E7" s="79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 spans="1:19" ht="19.2" thickBot="1" x14ac:dyDescent="0.7">
      <c r="A8" s="2" t="s">
        <v>26</v>
      </c>
      <c r="B8" s="73" t="s">
        <v>27</v>
      </c>
      <c r="C8" s="73" t="s">
        <v>4</v>
      </c>
      <c r="D8" s="73" t="s">
        <v>10</v>
      </c>
      <c r="E8" s="73" t="s">
        <v>51</v>
      </c>
    </row>
    <row r="9" spans="1:19" ht="20.399999999999999" x14ac:dyDescent="0.65">
      <c r="A9" s="74" t="s">
        <v>40</v>
      </c>
      <c r="B9" s="75" t="s">
        <v>210</v>
      </c>
      <c r="C9" s="31">
        <f>'درآمد سرمایه گذاری در سهام '!$J$55</f>
        <v>-2600461426</v>
      </c>
      <c r="D9" s="32">
        <f t="shared" ref="D9:D12" si="0">C9/15905755312</f>
        <v>-0.16349185404845865</v>
      </c>
      <c r="E9" s="32">
        <f t="shared" ref="E9:E12" si="1">C9/1095690910938</f>
        <v>-2.3733531053696474E-3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19" ht="20.399999999999999" x14ac:dyDescent="0.65">
      <c r="A10" s="74" t="s">
        <v>41</v>
      </c>
      <c r="B10" s="75" t="s">
        <v>46</v>
      </c>
      <c r="C10" s="31">
        <f>'درآمد سپرده بانکی'!$D$11</f>
        <v>3728537556</v>
      </c>
      <c r="D10" s="32">
        <f t="shared" si="0"/>
        <v>0.23441436655240305</v>
      </c>
      <c r="E10" s="32">
        <f t="shared" si="1"/>
        <v>3.4029099984119338E-3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1:19" ht="20.399999999999999" x14ac:dyDescent="0.65">
      <c r="A11" s="74" t="s">
        <v>60</v>
      </c>
      <c r="B11" s="75" t="s">
        <v>211</v>
      </c>
      <c r="C11" s="31">
        <f>'درآمد سرمایه گذاری مشتقه '!$H$49</f>
        <v>14276725188</v>
      </c>
      <c r="D11" s="32">
        <f t="shared" si="0"/>
        <v>0.89758234726703057</v>
      </c>
      <c r="E11" s="32">
        <f t="shared" si="1"/>
        <v>1.302988374319722E-2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1:19" ht="20.399999999999999" x14ac:dyDescent="0.65">
      <c r="A12" s="74" t="s">
        <v>18</v>
      </c>
      <c r="B12" s="75" t="s">
        <v>212</v>
      </c>
      <c r="C12" s="31">
        <f>'سایر درآمدها'!$C$11</f>
        <v>500953994</v>
      </c>
      <c r="D12" s="32">
        <f t="shared" si="0"/>
        <v>3.1495140229025047E-2</v>
      </c>
      <c r="E12" s="32">
        <f t="shared" si="1"/>
        <v>4.5720375061899789E-4</v>
      </c>
      <c r="F12" s="42"/>
      <c r="G12" s="42"/>
    </row>
    <row r="13" spans="1:19" ht="19.2" thickBot="1" x14ac:dyDescent="0.7">
      <c r="A13" s="30" t="s">
        <v>2</v>
      </c>
      <c r="C13" s="34">
        <f>SUM(C9:C12)</f>
        <v>15905755312</v>
      </c>
      <c r="D13" s="78">
        <f>SUM(D9:D12)</f>
        <v>1</v>
      </c>
      <c r="E13" s="35">
        <f>SUM(E9:E12)</f>
        <v>1.4516644386858504E-2</v>
      </c>
    </row>
    <row r="14" spans="1:19" ht="19.2" thickTop="1" x14ac:dyDescent="0.6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scale="84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rightToLeft="1" view="pageBreakPreview" topLeftCell="A43" zoomScale="70" zoomScaleNormal="100" zoomScaleSheetLayoutView="70" workbookViewId="0">
      <selection activeCell="C46" sqref="C46"/>
    </sheetView>
  </sheetViews>
  <sheetFormatPr defaultColWidth="9.09765625" defaultRowHeight="18" x14ac:dyDescent="0.65"/>
  <cols>
    <col min="1" max="1" width="30.8984375" style="18" customWidth="1"/>
    <col min="2" max="2" width="19.8984375" style="18" customWidth="1"/>
    <col min="3" max="3" width="18.296875" style="18" customWidth="1"/>
    <col min="4" max="4" width="19" style="18" customWidth="1"/>
    <col min="5" max="5" width="17.3984375" style="18" customWidth="1"/>
    <col min="6" max="6" width="16.69921875" style="18" customWidth="1"/>
    <col min="7" max="7" width="19" style="18" customWidth="1"/>
    <col min="8" max="8" width="17.59765625" style="18" customWidth="1"/>
    <col min="9" max="9" width="18.09765625" style="18" customWidth="1"/>
    <col min="10" max="10" width="22.59765625" style="18" customWidth="1"/>
    <col min="11" max="11" width="16.09765625" style="18" customWidth="1"/>
    <col min="12" max="16384" width="9.09765625" style="18"/>
  </cols>
  <sheetData>
    <row r="1" spans="1:11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.399999999999999" x14ac:dyDescent="0.65">
      <c r="A2" s="10" t="s">
        <v>47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ht="20.399999999999999" x14ac:dyDescent="0.65">
      <c r="A5" s="19" t="s">
        <v>203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7" spans="1:11" ht="19.5" customHeight="1" thickBot="1" x14ac:dyDescent="0.7">
      <c r="A7" s="51"/>
      <c r="B7" s="12" t="s">
        <v>201</v>
      </c>
      <c r="C7" s="12"/>
      <c r="D7" s="12"/>
      <c r="E7" s="12"/>
      <c r="F7" s="12"/>
      <c r="G7" s="12" t="s">
        <v>202</v>
      </c>
      <c r="H7" s="12"/>
      <c r="I7" s="12"/>
      <c r="J7" s="12"/>
      <c r="K7" s="12"/>
    </row>
    <row r="8" spans="1:11" ht="19.5" customHeight="1" x14ac:dyDescent="0.65">
      <c r="A8" s="52" t="s">
        <v>14</v>
      </c>
      <c r="B8" s="53" t="s">
        <v>5</v>
      </c>
      <c r="C8" s="53" t="s">
        <v>6</v>
      </c>
      <c r="D8" s="53" t="s">
        <v>7</v>
      </c>
      <c r="E8" s="53" t="s">
        <v>2</v>
      </c>
      <c r="F8" s="53"/>
      <c r="G8" s="53" t="s">
        <v>5</v>
      </c>
      <c r="H8" s="53" t="s">
        <v>6</v>
      </c>
      <c r="I8" s="53" t="s">
        <v>7</v>
      </c>
      <c r="J8" s="53" t="s">
        <v>2</v>
      </c>
      <c r="K8" s="53"/>
    </row>
    <row r="9" spans="1:11" ht="18.75" customHeight="1" thickBot="1" x14ac:dyDescent="0.7">
      <c r="A9" s="52"/>
      <c r="B9" s="54"/>
      <c r="C9" s="54"/>
      <c r="D9" s="54"/>
      <c r="E9" s="12"/>
      <c r="F9" s="12"/>
      <c r="G9" s="54"/>
      <c r="H9" s="54"/>
      <c r="I9" s="54"/>
      <c r="J9" s="12"/>
      <c r="K9" s="12"/>
    </row>
    <row r="10" spans="1:11" ht="28.5" customHeight="1" thickBot="1" x14ac:dyDescent="0.7">
      <c r="A10" s="55"/>
      <c r="B10" s="12"/>
      <c r="C10" s="12" t="s">
        <v>49</v>
      </c>
      <c r="D10" s="12" t="s">
        <v>49</v>
      </c>
      <c r="E10" s="56" t="s">
        <v>4</v>
      </c>
      <c r="F10" s="56" t="s">
        <v>8</v>
      </c>
      <c r="G10" s="12"/>
      <c r="H10" s="12" t="s">
        <v>49</v>
      </c>
      <c r="I10" s="12" t="s">
        <v>49</v>
      </c>
      <c r="J10" s="56" t="s">
        <v>4</v>
      </c>
      <c r="K10" s="56" t="s">
        <v>8</v>
      </c>
    </row>
    <row r="11" spans="1:11" x14ac:dyDescent="0.65">
      <c r="A11" s="30" t="s">
        <v>149</v>
      </c>
      <c r="B11" s="31">
        <v>0</v>
      </c>
      <c r="C11" s="31">
        <v>-1270105600</v>
      </c>
      <c r="D11" s="31">
        <v>0</v>
      </c>
      <c r="E11" s="31">
        <v>-1270105600</v>
      </c>
      <c r="F11" s="32">
        <v>7.7703060597524243E-2</v>
      </c>
      <c r="G11" s="31">
        <v>0</v>
      </c>
      <c r="H11" s="31">
        <v>-2537580091</v>
      </c>
      <c r="I11" s="31">
        <v>0</v>
      </c>
      <c r="J11" s="31">
        <v>-2537580091</v>
      </c>
      <c r="K11" s="32">
        <v>-0.15953848410364632</v>
      </c>
    </row>
    <row r="12" spans="1:11" x14ac:dyDescent="0.65">
      <c r="A12" s="30" t="s">
        <v>150</v>
      </c>
      <c r="B12" s="31">
        <v>0</v>
      </c>
      <c r="C12" s="31">
        <v>-729318450</v>
      </c>
      <c r="D12" s="31">
        <v>0</v>
      </c>
      <c r="E12" s="31">
        <v>-729318450</v>
      </c>
      <c r="F12" s="32">
        <v>4.4618554327484621E-2</v>
      </c>
      <c r="G12" s="31">
        <v>0</v>
      </c>
      <c r="H12" s="31">
        <v>-1229422530</v>
      </c>
      <c r="I12" s="31">
        <v>0</v>
      </c>
      <c r="J12" s="31">
        <v>-1229422530</v>
      </c>
      <c r="K12" s="32">
        <v>-7.7294193572339798E-2</v>
      </c>
    </row>
    <row r="13" spans="1:11" x14ac:dyDescent="0.65">
      <c r="A13" s="30" t="s">
        <v>151</v>
      </c>
      <c r="B13" s="31">
        <v>0</v>
      </c>
      <c r="C13" s="31">
        <v>-1163760056</v>
      </c>
      <c r="D13" s="31">
        <v>0</v>
      </c>
      <c r="E13" s="31">
        <v>-1163760056</v>
      </c>
      <c r="F13" s="32">
        <v>7.1197007675854837E-2</v>
      </c>
      <c r="G13" s="31">
        <v>0</v>
      </c>
      <c r="H13" s="31">
        <v>-6336026967</v>
      </c>
      <c r="I13" s="31">
        <v>0</v>
      </c>
      <c r="J13" s="31">
        <v>-6336026967</v>
      </c>
      <c r="K13" s="32">
        <v>-0.39834807229932823</v>
      </c>
    </row>
    <row r="14" spans="1:11" x14ac:dyDescent="0.65">
      <c r="A14" s="30" t="s">
        <v>152</v>
      </c>
      <c r="B14" s="31">
        <v>0</v>
      </c>
      <c r="C14" s="31">
        <v>196469460</v>
      </c>
      <c r="D14" s="31">
        <v>0</v>
      </c>
      <c r="E14" s="31">
        <v>196469460</v>
      </c>
      <c r="F14" s="32">
        <v>-1.201969218617953E-2</v>
      </c>
      <c r="G14" s="31">
        <v>0</v>
      </c>
      <c r="H14" s="31">
        <v>-3503705370</v>
      </c>
      <c r="I14" s="31">
        <v>0</v>
      </c>
      <c r="J14" s="31">
        <v>-3503705370</v>
      </c>
      <c r="K14" s="32">
        <v>-0.22027909403061488</v>
      </c>
    </row>
    <row r="15" spans="1:11" x14ac:dyDescent="0.65">
      <c r="A15" s="30" t="s">
        <v>153</v>
      </c>
      <c r="B15" s="31">
        <v>0</v>
      </c>
      <c r="C15" s="31">
        <v>-52659769</v>
      </c>
      <c r="D15" s="31">
        <v>0</v>
      </c>
      <c r="E15" s="31">
        <v>-52659769</v>
      </c>
      <c r="F15" s="32">
        <v>3.2216417451105079E-3</v>
      </c>
      <c r="G15" s="31">
        <v>0</v>
      </c>
      <c r="H15" s="31">
        <v>-10016761299</v>
      </c>
      <c r="I15" s="31">
        <v>-1302677493</v>
      </c>
      <c r="J15" s="31">
        <v>-11319438792</v>
      </c>
      <c r="K15" s="32">
        <v>-0.71165679151747785</v>
      </c>
    </row>
    <row r="16" spans="1:11" x14ac:dyDescent="0.65">
      <c r="A16" s="30" t="s">
        <v>154</v>
      </c>
      <c r="B16" s="31">
        <v>0</v>
      </c>
      <c r="C16" s="31">
        <v>1619384640</v>
      </c>
      <c r="D16" s="31">
        <v>0</v>
      </c>
      <c r="E16" s="31">
        <v>1619384640</v>
      </c>
      <c r="F16" s="32">
        <v>-9.9071402261843411E-2</v>
      </c>
      <c r="G16" s="31">
        <v>0</v>
      </c>
      <c r="H16" s="31">
        <v>21202640147</v>
      </c>
      <c r="I16" s="31">
        <v>2284426071</v>
      </c>
      <c r="J16" s="31">
        <v>23487066218</v>
      </c>
      <c r="K16" s="32">
        <v>1.4766394778046363</v>
      </c>
    </row>
    <row r="17" spans="1:11" x14ac:dyDescent="0.65">
      <c r="A17" s="30" t="s">
        <v>155</v>
      </c>
      <c r="B17" s="31">
        <v>0</v>
      </c>
      <c r="C17" s="31">
        <v>-273866520</v>
      </c>
      <c r="D17" s="31">
        <v>0</v>
      </c>
      <c r="E17" s="31">
        <v>-273866520</v>
      </c>
      <c r="F17" s="32">
        <v>1.6754722441341165E-2</v>
      </c>
      <c r="G17" s="31">
        <v>0</v>
      </c>
      <c r="H17" s="31">
        <v>-128995100</v>
      </c>
      <c r="I17" s="31">
        <v>164896344</v>
      </c>
      <c r="J17" s="31">
        <v>35901244</v>
      </c>
      <c r="K17" s="32">
        <v>2.2571228650119196E-3</v>
      </c>
    </row>
    <row r="18" spans="1:11" x14ac:dyDescent="0.65">
      <c r="A18" s="30" t="s">
        <v>156</v>
      </c>
      <c r="B18" s="31">
        <v>0</v>
      </c>
      <c r="C18" s="31">
        <v>-599331080</v>
      </c>
      <c r="D18" s="31">
        <v>0</v>
      </c>
      <c r="E18" s="31">
        <v>-599331080</v>
      </c>
      <c r="F18" s="32">
        <v>3.6666131719456749E-2</v>
      </c>
      <c r="G18" s="31">
        <v>0</v>
      </c>
      <c r="H18" s="31">
        <v>-3403486100</v>
      </c>
      <c r="I18" s="31">
        <v>0</v>
      </c>
      <c r="J18" s="31">
        <v>-3403486100</v>
      </c>
      <c r="K18" s="32">
        <v>-0.21397827599122318</v>
      </c>
    </row>
    <row r="19" spans="1:11" x14ac:dyDescent="0.65">
      <c r="A19" s="30" t="s">
        <v>157</v>
      </c>
      <c r="B19" s="31">
        <v>0</v>
      </c>
      <c r="C19" s="31">
        <v>-178501197</v>
      </c>
      <c r="D19" s="31">
        <v>0</v>
      </c>
      <c r="E19" s="31">
        <v>-178501197</v>
      </c>
      <c r="F19" s="32">
        <v>1.0920422150112252E-2</v>
      </c>
      <c r="G19" s="31">
        <v>0</v>
      </c>
      <c r="H19" s="31">
        <v>-3437587562</v>
      </c>
      <c r="I19" s="31">
        <v>0</v>
      </c>
      <c r="J19" s="31">
        <v>-3437587562</v>
      </c>
      <c r="K19" s="32">
        <v>-0.2161222459776263</v>
      </c>
    </row>
    <row r="20" spans="1:11" x14ac:dyDescent="0.65">
      <c r="A20" s="30" t="s">
        <v>158</v>
      </c>
      <c r="B20" s="31">
        <v>0</v>
      </c>
      <c r="C20" s="31">
        <v>-2080790190</v>
      </c>
      <c r="D20" s="31">
        <v>0</v>
      </c>
      <c r="E20" s="31">
        <v>-2080790190</v>
      </c>
      <c r="F20" s="32">
        <v>0.12729946724453775</v>
      </c>
      <c r="G20" s="31">
        <v>0</v>
      </c>
      <c r="H20" s="31">
        <v>-5705648911</v>
      </c>
      <c r="I20" s="31">
        <v>0</v>
      </c>
      <c r="J20" s="31">
        <v>-5705648911</v>
      </c>
      <c r="K20" s="32">
        <v>-0.35871599927702952</v>
      </c>
    </row>
    <row r="21" spans="1:11" x14ac:dyDescent="0.65">
      <c r="A21" s="30" t="s">
        <v>120</v>
      </c>
      <c r="B21" s="31">
        <v>0</v>
      </c>
      <c r="C21" s="31">
        <v>-645848697</v>
      </c>
      <c r="D21" s="31">
        <v>0</v>
      </c>
      <c r="E21" s="31">
        <v>-645848697</v>
      </c>
      <c r="F21" s="32">
        <v>3.9512006277134019E-2</v>
      </c>
      <c r="G21" s="31">
        <v>0</v>
      </c>
      <c r="H21" s="31">
        <v>-10948809318</v>
      </c>
      <c r="I21" s="31">
        <v>-3261816427</v>
      </c>
      <c r="J21" s="31">
        <v>-14210625745</v>
      </c>
      <c r="K21" s="32">
        <v>-0.89342665382755382</v>
      </c>
    </row>
    <row r="22" spans="1:11" x14ac:dyDescent="0.65">
      <c r="A22" s="30" t="s">
        <v>159</v>
      </c>
      <c r="B22" s="31">
        <v>0</v>
      </c>
      <c r="C22" s="31">
        <v>261879898</v>
      </c>
      <c r="D22" s="31">
        <v>0</v>
      </c>
      <c r="E22" s="31">
        <v>261879898</v>
      </c>
      <c r="F22" s="32">
        <v>-1.6021399782480659E-2</v>
      </c>
      <c r="G22" s="31">
        <v>0</v>
      </c>
      <c r="H22" s="31">
        <v>2880678883</v>
      </c>
      <c r="I22" s="31">
        <v>118405085</v>
      </c>
      <c r="J22" s="31">
        <v>2999083968</v>
      </c>
      <c r="K22" s="32">
        <v>0.18855338267006783</v>
      </c>
    </row>
    <row r="23" spans="1:11" x14ac:dyDescent="0.65">
      <c r="A23" s="30" t="s">
        <v>126</v>
      </c>
      <c r="B23" s="31">
        <v>0</v>
      </c>
      <c r="C23" s="31">
        <v>290238975</v>
      </c>
      <c r="D23" s="31">
        <v>0</v>
      </c>
      <c r="E23" s="31">
        <v>290238975</v>
      </c>
      <c r="F23" s="32">
        <v>-1.7756363456856127E-2</v>
      </c>
      <c r="G23" s="31">
        <v>0</v>
      </c>
      <c r="H23" s="31">
        <v>9949916614</v>
      </c>
      <c r="I23" s="31">
        <v>1021799919</v>
      </c>
      <c r="J23" s="31">
        <v>10971716533</v>
      </c>
      <c r="K23" s="32">
        <v>0.68979538021199505</v>
      </c>
    </row>
    <row r="24" spans="1:11" x14ac:dyDescent="0.65">
      <c r="A24" s="30" t="s">
        <v>129</v>
      </c>
      <c r="B24" s="31">
        <v>0</v>
      </c>
      <c r="C24" s="31">
        <v>-260942203</v>
      </c>
      <c r="D24" s="31">
        <v>0</v>
      </c>
      <c r="E24" s="31">
        <v>-260942203</v>
      </c>
      <c r="F24" s="32">
        <v>1.5964033078950658E-2</v>
      </c>
      <c r="G24" s="31">
        <v>0</v>
      </c>
      <c r="H24" s="31">
        <v>-173795351</v>
      </c>
      <c r="I24" s="31">
        <v>945453152</v>
      </c>
      <c r="J24" s="31">
        <v>771657801</v>
      </c>
      <c r="K24" s="32">
        <v>4.8514376454529481E-2</v>
      </c>
    </row>
    <row r="25" spans="1:11" x14ac:dyDescent="0.65">
      <c r="A25" s="30" t="s">
        <v>116</v>
      </c>
      <c r="B25" s="31">
        <v>0</v>
      </c>
      <c r="C25" s="31">
        <v>-536118093</v>
      </c>
      <c r="D25" s="31">
        <v>0</v>
      </c>
      <c r="E25" s="31">
        <v>-536118093</v>
      </c>
      <c r="F25" s="32">
        <v>3.2798860715052461E-2</v>
      </c>
      <c r="G25" s="31">
        <v>0</v>
      </c>
      <c r="H25" s="31">
        <v>-317879916</v>
      </c>
      <c r="I25" s="31">
        <v>1827353285</v>
      </c>
      <c r="J25" s="31">
        <v>1509473369</v>
      </c>
      <c r="K25" s="32">
        <v>9.4901080734040147E-2</v>
      </c>
    </row>
    <row r="26" spans="1:11" x14ac:dyDescent="0.65">
      <c r="A26" s="30" t="s">
        <v>117</v>
      </c>
      <c r="B26" s="31">
        <v>0</v>
      </c>
      <c r="C26" s="31">
        <v>247770</v>
      </c>
      <c r="D26" s="31">
        <v>0</v>
      </c>
      <c r="E26" s="31">
        <v>247770</v>
      </c>
      <c r="F26" s="32">
        <v>-1.5158178441421391E-5</v>
      </c>
      <c r="G26" s="31">
        <v>0</v>
      </c>
      <c r="H26" s="31">
        <v>3978774</v>
      </c>
      <c r="I26" s="31">
        <v>2015118858</v>
      </c>
      <c r="J26" s="31">
        <v>2019097632</v>
      </c>
      <c r="K26" s="32">
        <v>0.12694132358975144</v>
      </c>
    </row>
    <row r="27" spans="1:11" x14ac:dyDescent="0.65">
      <c r="A27" s="30" t="s">
        <v>91</v>
      </c>
      <c r="B27" s="31">
        <v>0</v>
      </c>
      <c r="C27" s="31">
        <v>-99537084</v>
      </c>
      <c r="D27" s="31">
        <v>0</v>
      </c>
      <c r="E27" s="31">
        <v>-99537084</v>
      </c>
      <c r="F27" s="32">
        <v>6.0895220600183644E-3</v>
      </c>
      <c r="G27" s="31">
        <v>0</v>
      </c>
      <c r="H27" s="31">
        <v>1081636317</v>
      </c>
      <c r="I27" s="31">
        <v>913456459</v>
      </c>
      <c r="J27" s="31">
        <v>1995092776</v>
      </c>
      <c r="K27" s="32">
        <v>0.12543213050026078</v>
      </c>
    </row>
    <row r="28" spans="1:11" x14ac:dyDescent="0.65">
      <c r="A28" s="30" t="s">
        <v>160</v>
      </c>
      <c r="B28" s="31">
        <v>0</v>
      </c>
      <c r="C28" s="31">
        <v>-1309300265</v>
      </c>
      <c r="D28" s="31">
        <v>0</v>
      </c>
      <c r="E28" s="31">
        <v>-1309300265</v>
      </c>
      <c r="F28" s="32">
        <v>8.0100928483150965E-2</v>
      </c>
      <c r="G28" s="31">
        <v>4785000000</v>
      </c>
      <c r="H28" s="31">
        <v>-1410015670</v>
      </c>
      <c r="I28" s="31">
        <v>155272540</v>
      </c>
      <c r="J28" s="31">
        <v>3530256870</v>
      </c>
      <c r="K28" s="32">
        <v>0.22194839545511047</v>
      </c>
    </row>
    <row r="29" spans="1:11" x14ac:dyDescent="0.65">
      <c r="A29" s="30" t="s">
        <v>161</v>
      </c>
      <c r="B29" s="31">
        <v>0</v>
      </c>
      <c r="C29" s="31">
        <v>-592087509</v>
      </c>
      <c r="D29" s="31">
        <v>0</v>
      </c>
      <c r="E29" s="31">
        <v>-592087509</v>
      </c>
      <c r="F29" s="32">
        <v>3.6222981451986498E-2</v>
      </c>
      <c r="G29" s="31">
        <v>0</v>
      </c>
      <c r="H29" s="31">
        <v>-3617898969</v>
      </c>
      <c r="I29" s="31">
        <v>0</v>
      </c>
      <c r="J29" s="31">
        <v>-3617898969</v>
      </c>
      <c r="K29" s="32">
        <v>-0.22745848267076624</v>
      </c>
    </row>
    <row r="30" spans="1:11" x14ac:dyDescent="0.65">
      <c r="A30" s="30" t="s">
        <v>162</v>
      </c>
      <c r="B30" s="31">
        <v>0</v>
      </c>
      <c r="C30" s="31">
        <v>-833506800</v>
      </c>
      <c r="D30" s="31">
        <v>0</v>
      </c>
      <c r="E30" s="31">
        <v>-833506800</v>
      </c>
      <c r="F30" s="32">
        <v>5.0992633517125283E-2</v>
      </c>
      <c r="G30" s="31">
        <v>0</v>
      </c>
      <c r="H30" s="31">
        <v>-4232145264</v>
      </c>
      <c r="I30" s="31">
        <v>716160076</v>
      </c>
      <c r="J30" s="31">
        <v>-3515985188</v>
      </c>
      <c r="K30" s="32">
        <v>-0.22105113017471018</v>
      </c>
    </row>
    <row r="31" spans="1:11" x14ac:dyDescent="0.65">
      <c r="A31" s="30" t="s">
        <v>163</v>
      </c>
      <c r="B31" s="31">
        <v>0</v>
      </c>
      <c r="C31" s="31">
        <v>608458021</v>
      </c>
      <c r="D31" s="31">
        <v>0</v>
      </c>
      <c r="E31" s="31">
        <v>608458021</v>
      </c>
      <c r="F31" s="32">
        <v>-3.7224503597821063E-2</v>
      </c>
      <c r="G31" s="31">
        <v>0</v>
      </c>
      <c r="H31" s="31">
        <v>-720240188</v>
      </c>
      <c r="I31" s="31">
        <v>0</v>
      </c>
      <c r="J31" s="31">
        <v>-720240188</v>
      </c>
      <c r="K31" s="32">
        <v>-4.5281734433360685E-2</v>
      </c>
    </row>
    <row r="32" spans="1:11" x14ac:dyDescent="0.65">
      <c r="A32" s="30" t="s">
        <v>96</v>
      </c>
      <c r="B32" s="31">
        <v>0</v>
      </c>
      <c r="C32" s="31">
        <v>-230206640</v>
      </c>
      <c r="D32" s="31">
        <v>0</v>
      </c>
      <c r="E32" s="31">
        <v>-230206640</v>
      </c>
      <c r="F32" s="32">
        <v>1.4083679733301269E-2</v>
      </c>
      <c r="G32" s="31">
        <v>0</v>
      </c>
      <c r="H32" s="31">
        <v>-884234906</v>
      </c>
      <c r="I32" s="31">
        <v>189445153</v>
      </c>
      <c r="J32" s="31">
        <v>-694789753</v>
      </c>
      <c r="K32" s="32">
        <v>-4.3681657322857226E-2</v>
      </c>
    </row>
    <row r="33" spans="1:11" x14ac:dyDescent="0.65">
      <c r="A33" s="30" t="s">
        <v>76</v>
      </c>
      <c r="B33" s="31">
        <v>0</v>
      </c>
      <c r="C33" s="31">
        <v>-69458900</v>
      </c>
      <c r="D33" s="31">
        <v>0</v>
      </c>
      <c r="E33" s="31">
        <v>-69458900</v>
      </c>
      <c r="F33" s="32">
        <v>4.2493861264271066E-3</v>
      </c>
      <c r="G33" s="31">
        <v>3237500000</v>
      </c>
      <c r="H33" s="31">
        <v>1840660850</v>
      </c>
      <c r="I33" s="31">
        <v>0</v>
      </c>
      <c r="J33" s="31">
        <v>5078160850</v>
      </c>
      <c r="K33" s="32">
        <v>0.31926562117856877</v>
      </c>
    </row>
    <row r="34" spans="1:11" x14ac:dyDescent="0.65">
      <c r="A34" s="30" t="s">
        <v>164</v>
      </c>
      <c r="B34" s="31">
        <v>0</v>
      </c>
      <c r="C34" s="31">
        <v>-555671200</v>
      </c>
      <c r="D34" s="31">
        <v>0</v>
      </c>
      <c r="E34" s="31">
        <v>-555671200</v>
      </c>
      <c r="F34" s="32">
        <v>3.3995089011416853E-2</v>
      </c>
      <c r="G34" s="31">
        <v>0</v>
      </c>
      <c r="H34" s="31">
        <v>-1580594532</v>
      </c>
      <c r="I34" s="31">
        <v>0</v>
      </c>
      <c r="J34" s="31">
        <v>-1580594532</v>
      </c>
      <c r="K34" s="32">
        <v>-9.9372491340133345E-2</v>
      </c>
    </row>
    <row r="35" spans="1:11" x14ac:dyDescent="0.65">
      <c r="A35" s="30" t="s">
        <v>165</v>
      </c>
      <c r="B35" s="31">
        <v>0</v>
      </c>
      <c r="C35" s="31">
        <v>-820805744</v>
      </c>
      <c r="D35" s="31">
        <v>0</v>
      </c>
      <c r="E35" s="31">
        <v>-820805744</v>
      </c>
      <c r="F35" s="32">
        <v>5.0215602911150042E-2</v>
      </c>
      <c r="G35" s="31">
        <v>0</v>
      </c>
      <c r="H35" s="31">
        <v>419730210</v>
      </c>
      <c r="I35" s="31">
        <v>483371600</v>
      </c>
      <c r="J35" s="31">
        <v>903101810</v>
      </c>
      <c r="K35" s="32">
        <v>5.6778303971434817E-2</v>
      </c>
    </row>
    <row r="36" spans="1:11" x14ac:dyDescent="0.65">
      <c r="A36" s="30" t="s">
        <v>166</v>
      </c>
      <c r="B36" s="31">
        <v>0</v>
      </c>
      <c r="C36" s="31">
        <v>-238144800</v>
      </c>
      <c r="D36" s="31">
        <v>0</v>
      </c>
      <c r="E36" s="31">
        <v>-238144800</v>
      </c>
      <c r="F36" s="32">
        <v>1.4569323862035796E-2</v>
      </c>
      <c r="G36" s="31">
        <v>0</v>
      </c>
      <c r="H36" s="31">
        <v>-1396123890</v>
      </c>
      <c r="I36" s="31">
        <v>0</v>
      </c>
      <c r="J36" s="31">
        <v>-1396123890</v>
      </c>
      <c r="K36" s="32">
        <v>-8.777476219231807E-2</v>
      </c>
    </row>
    <row r="37" spans="1:11" x14ac:dyDescent="0.65">
      <c r="A37" s="30" t="s">
        <v>121</v>
      </c>
      <c r="B37" s="31">
        <v>0</v>
      </c>
      <c r="C37" s="31">
        <v>-2738665200</v>
      </c>
      <c r="D37" s="31">
        <v>0</v>
      </c>
      <c r="E37" s="31">
        <v>-2738665200</v>
      </c>
      <c r="F37" s="32">
        <v>0.16754722441341163</v>
      </c>
      <c r="G37" s="31">
        <v>0</v>
      </c>
      <c r="H37" s="31">
        <v>639021880</v>
      </c>
      <c r="I37" s="31">
        <v>632249560</v>
      </c>
      <c r="J37" s="31">
        <v>1271271440</v>
      </c>
      <c r="K37" s="32">
        <v>7.9925248129580934E-2</v>
      </c>
    </row>
    <row r="38" spans="1:11" x14ac:dyDescent="0.65">
      <c r="A38" s="30" t="s">
        <v>104</v>
      </c>
      <c r="B38" s="31">
        <v>0</v>
      </c>
      <c r="C38" s="31">
        <v>-158763200</v>
      </c>
      <c r="D38" s="31">
        <v>0</v>
      </c>
      <c r="E38" s="31">
        <v>-158763200</v>
      </c>
      <c r="F38" s="32">
        <v>9.7128825746905303E-3</v>
      </c>
      <c r="G38" s="31">
        <v>0</v>
      </c>
      <c r="H38" s="31">
        <v>-1985551656</v>
      </c>
      <c r="I38" s="31">
        <v>-28485759</v>
      </c>
      <c r="J38" s="31">
        <v>-2014037415</v>
      </c>
      <c r="K38" s="32">
        <v>-0.12662318610424755</v>
      </c>
    </row>
    <row r="39" spans="1:11" x14ac:dyDescent="0.65">
      <c r="A39" s="30" t="s">
        <v>167</v>
      </c>
      <c r="B39" s="31">
        <v>0</v>
      </c>
      <c r="C39" s="31">
        <v>535825800</v>
      </c>
      <c r="D39" s="31">
        <v>0</v>
      </c>
      <c r="E39" s="31">
        <v>535825800</v>
      </c>
      <c r="F39" s="32">
        <v>-3.2780978689580541E-2</v>
      </c>
      <c r="G39" s="31">
        <v>0</v>
      </c>
      <c r="H39" s="31">
        <v>312565050</v>
      </c>
      <c r="I39" s="31">
        <v>0</v>
      </c>
      <c r="J39" s="31">
        <v>312565050</v>
      </c>
      <c r="K39" s="32">
        <v>1.965106616245927E-2</v>
      </c>
    </row>
    <row r="40" spans="1:11" x14ac:dyDescent="0.65">
      <c r="A40" s="30" t="s">
        <v>168</v>
      </c>
      <c r="B40" s="31">
        <v>0</v>
      </c>
      <c r="C40" s="31">
        <v>-512011320</v>
      </c>
      <c r="D40" s="31">
        <v>0</v>
      </c>
      <c r="E40" s="31">
        <v>-512011320</v>
      </c>
      <c r="F40" s="32">
        <v>3.1324046303376957E-2</v>
      </c>
      <c r="G40" s="31">
        <v>0</v>
      </c>
      <c r="H40" s="31">
        <v>-2387401620</v>
      </c>
      <c r="I40" s="31">
        <v>156233000</v>
      </c>
      <c r="J40" s="31">
        <v>-2231168620</v>
      </c>
      <c r="K40" s="32">
        <v>-0.14027429545057243</v>
      </c>
    </row>
    <row r="41" spans="1:11" x14ac:dyDescent="0.65">
      <c r="A41" s="30" t="s">
        <v>123</v>
      </c>
      <c r="B41" s="31">
        <v>0</v>
      </c>
      <c r="C41" s="31">
        <v>-241121610</v>
      </c>
      <c r="D41" s="31">
        <v>0</v>
      </c>
      <c r="E41" s="31">
        <v>-241121610</v>
      </c>
      <c r="F41" s="32">
        <v>1.4751440410311243E-2</v>
      </c>
      <c r="G41" s="31">
        <v>0</v>
      </c>
      <c r="H41" s="31">
        <v>-2563033409</v>
      </c>
      <c r="I41" s="31">
        <v>61597329</v>
      </c>
      <c r="J41" s="31">
        <v>-2501436080</v>
      </c>
      <c r="K41" s="32">
        <v>-0.1572660983985342</v>
      </c>
    </row>
    <row r="42" spans="1:11" x14ac:dyDescent="0.65">
      <c r="A42" s="30" t="s">
        <v>89</v>
      </c>
      <c r="B42" s="31">
        <v>0</v>
      </c>
      <c r="C42" s="31">
        <v>-297681000</v>
      </c>
      <c r="D42" s="31">
        <v>0</v>
      </c>
      <c r="E42" s="31">
        <v>-297681000</v>
      </c>
      <c r="F42" s="32">
        <v>1.8211654827544745E-2</v>
      </c>
      <c r="G42" s="31">
        <v>0</v>
      </c>
      <c r="H42" s="31">
        <v>-1567822569</v>
      </c>
      <c r="I42" s="31">
        <v>10229398</v>
      </c>
      <c r="J42" s="31">
        <v>-1557593171</v>
      </c>
      <c r="K42" s="32">
        <v>-9.7926388307060366E-2</v>
      </c>
    </row>
    <row r="43" spans="1:11" x14ac:dyDescent="0.65">
      <c r="A43" s="30" t="s">
        <v>169</v>
      </c>
      <c r="B43" s="31">
        <v>0</v>
      </c>
      <c r="C43" s="31">
        <v>-3080998350</v>
      </c>
      <c r="D43" s="31">
        <v>0</v>
      </c>
      <c r="E43" s="31">
        <v>-3080998350</v>
      </c>
      <c r="F43" s="32">
        <v>0.1884906274650881</v>
      </c>
      <c r="G43" s="31">
        <v>0</v>
      </c>
      <c r="H43" s="31">
        <v>1935763556</v>
      </c>
      <c r="I43" s="31">
        <v>201541358</v>
      </c>
      <c r="J43" s="31">
        <v>2137304914</v>
      </c>
      <c r="K43" s="32">
        <v>0.13437305378308714</v>
      </c>
    </row>
    <row r="44" spans="1:11" x14ac:dyDescent="0.65">
      <c r="A44" s="30" t="s">
        <v>170</v>
      </c>
      <c r="B44" s="31">
        <v>0</v>
      </c>
      <c r="C44" s="31">
        <v>-2192122884</v>
      </c>
      <c r="D44" s="31">
        <v>0</v>
      </c>
      <c r="E44" s="31">
        <v>-2192122884</v>
      </c>
      <c r="F44" s="32">
        <v>0.13411062615003949</v>
      </c>
      <c r="G44" s="31">
        <v>0</v>
      </c>
      <c r="H44" s="31">
        <v>13365876900</v>
      </c>
      <c r="I44" s="31">
        <v>0</v>
      </c>
      <c r="J44" s="31">
        <v>13365876900</v>
      </c>
      <c r="K44" s="32">
        <v>0.84031701970897266</v>
      </c>
    </row>
    <row r="45" spans="1:11" x14ac:dyDescent="0.65">
      <c r="A45" s="30" t="s">
        <v>108</v>
      </c>
      <c r="B45" s="31">
        <v>0</v>
      </c>
      <c r="C45" s="31">
        <v>0</v>
      </c>
      <c r="D45" s="31">
        <v>0</v>
      </c>
      <c r="E45" s="31">
        <v>0</v>
      </c>
      <c r="F45" s="32">
        <v>0</v>
      </c>
      <c r="G45" s="31">
        <v>0</v>
      </c>
      <c r="H45" s="31">
        <v>0</v>
      </c>
      <c r="I45" s="31">
        <v>-1420212200</v>
      </c>
      <c r="J45" s="31">
        <v>-1420212200</v>
      </c>
      <c r="K45" s="32">
        <v>-8.9289202061880679E-2</v>
      </c>
    </row>
    <row r="46" spans="1:11" x14ac:dyDescent="0.65">
      <c r="A46" s="30" t="s">
        <v>83</v>
      </c>
      <c r="B46" s="31">
        <v>0</v>
      </c>
      <c r="C46" s="31">
        <v>0</v>
      </c>
      <c r="D46" s="31">
        <v>0</v>
      </c>
      <c r="E46" s="31">
        <v>0</v>
      </c>
      <c r="F46" s="32">
        <v>0</v>
      </c>
      <c r="G46" s="31">
        <v>0</v>
      </c>
      <c r="H46" s="31">
        <v>0</v>
      </c>
      <c r="I46" s="31">
        <v>642006420</v>
      </c>
      <c r="J46" s="31">
        <v>642006420</v>
      </c>
      <c r="K46" s="32">
        <v>4.0363152041930521E-2</v>
      </c>
    </row>
    <row r="47" spans="1:11" x14ac:dyDescent="0.65">
      <c r="A47" s="30" t="s">
        <v>136</v>
      </c>
      <c r="B47" s="31">
        <v>0</v>
      </c>
      <c r="C47" s="31">
        <v>0</v>
      </c>
      <c r="D47" s="31">
        <v>0</v>
      </c>
      <c r="E47" s="31">
        <v>0</v>
      </c>
      <c r="F47" s="32">
        <v>0</v>
      </c>
      <c r="G47" s="31">
        <v>0</v>
      </c>
      <c r="H47" s="31">
        <v>0</v>
      </c>
      <c r="I47" s="31">
        <v>-553054609</v>
      </c>
      <c r="J47" s="31">
        <v>-553054609</v>
      </c>
      <c r="K47" s="32">
        <v>-3.4770722807658895E-2</v>
      </c>
    </row>
    <row r="48" spans="1:11" x14ac:dyDescent="0.65">
      <c r="A48" s="30" t="s">
        <v>84</v>
      </c>
      <c r="B48" s="31">
        <v>0</v>
      </c>
      <c r="C48" s="31">
        <v>0</v>
      </c>
      <c r="D48" s="31">
        <v>0</v>
      </c>
      <c r="E48" s="31">
        <v>0</v>
      </c>
      <c r="F48" s="32">
        <v>0</v>
      </c>
      <c r="G48" s="31">
        <v>0</v>
      </c>
      <c r="H48" s="31">
        <v>0</v>
      </c>
      <c r="I48" s="31">
        <v>-53544440</v>
      </c>
      <c r="J48" s="31">
        <v>-53544440</v>
      </c>
      <c r="K48" s="32">
        <v>-3.3663563250972261E-3</v>
      </c>
    </row>
    <row r="49" spans="1:11" x14ac:dyDescent="0.65">
      <c r="A49" s="30" t="s">
        <v>88</v>
      </c>
      <c r="B49" s="31">
        <v>0</v>
      </c>
      <c r="C49" s="31">
        <v>0</v>
      </c>
      <c r="D49" s="31">
        <v>0</v>
      </c>
      <c r="E49" s="31">
        <v>0</v>
      </c>
      <c r="F49" s="32">
        <v>0</v>
      </c>
      <c r="G49" s="31">
        <v>0</v>
      </c>
      <c r="H49" s="31">
        <v>0</v>
      </c>
      <c r="I49" s="31">
        <v>179495223</v>
      </c>
      <c r="J49" s="31">
        <v>179495223</v>
      </c>
      <c r="K49" s="32">
        <v>1.1284922940099609E-2</v>
      </c>
    </row>
    <row r="50" spans="1:11" x14ac:dyDescent="0.65">
      <c r="A50" s="30" t="s">
        <v>95</v>
      </c>
      <c r="B50" s="31">
        <v>0</v>
      </c>
      <c r="C50" s="31">
        <v>0</v>
      </c>
      <c r="D50" s="31">
        <v>0</v>
      </c>
      <c r="E50" s="31">
        <v>0</v>
      </c>
      <c r="F50" s="32">
        <v>0</v>
      </c>
      <c r="G50" s="31">
        <v>0</v>
      </c>
      <c r="H50" s="31">
        <v>0</v>
      </c>
      <c r="I50" s="31">
        <v>-1579799394</v>
      </c>
      <c r="J50" s="31">
        <v>-1579799394</v>
      </c>
      <c r="K50" s="32">
        <v>-9.9322500755945245E-2</v>
      </c>
    </row>
    <row r="51" spans="1:11" x14ac:dyDescent="0.65">
      <c r="A51" s="30" t="s">
        <v>171</v>
      </c>
      <c r="B51" s="31">
        <v>0</v>
      </c>
      <c r="C51" s="31">
        <v>0</v>
      </c>
      <c r="D51" s="31">
        <v>0</v>
      </c>
      <c r="E51" s="31">
        <v>0</v>
      </c>
      <c r="F51" s="32">
        <v>0</v>
      </c>
      <c r="G51" s="31">
        <v>0</v>
      </c>
      <c r="H51" s="31">
        <v>0</v>
      </c>
      <c r="I51" s="31">
        <v>-277571830</v>
      </c>
      <c r="J51" s="31">
        <v>-277571830</v>
      </c>
      <c r="K51" s="32">
        <v>-1.745103106110199E-2</v>
      </c>
    </row>
    <row r="52" spans="1:11" x14ac:dyDescent="0.65">
      <c r="A52" s="30" t="s">
        <v>92</v>
      </c>
      <c r="B52" s="31">
        <v>0</v>
      </c>
      <c r="C52" s="31">
        <v>0</v>
      </c>
      <c r="D52" s="31">
        <v>0</v>
      </c>
      <c r="E52" s="31">
        <v>0</v>
      </c>
      <c r="F52" s="32">
        <v>0</v>
      </c>
      <c r="G52" s="31">
        <v>0</v>
      </c>
      <c r="H52" s="31">
        <v>0</v>
      </c>
      <c r="I52" s="31">
        <v>-1025979107</v>
      </c>
      <c r="J52" s="31">
        <v>-1025979107</v>
      </c>
      <c r="K52" s="32">
        <v>-6.4503639523861928E-2</v>
      </c>
    </row>
    <row r="53" spans="1:11" x14ac:dyDescent="0.65">
      <c r="A53" s="30" t="s">
        <v>172</v>
      </c>
      <c r="B53" s="31">
        <v>0</v>
      </c>
      <c r="C53" s="31">
        <v>0</v>
      </c>
      <c r="D53" s="31">
        <v>0</v>
      </c>
      <c r="E53" s="31">
        <v>0</v>
      </c>
      <c r="F53" s="32">
        <v>0</v>
      </c>
      <c r="G53" s="31">
        <v>0</v>
      </c>
      <c r="H53" s="31">
        <v>0</v>
      </c>
      <c r="I53" s="31">
        <v>-343528390</v>
      </c>
      <c r="J53" s="31">
        <v>-343528390</v>
      </c>
      <c r="K53" s="32">
        <v>-2.1597741399984136E-2</v>
      </c>
    </row>
    <row r="54" spans="1:11" x14ac:dyDescent="0.65">
      <c r="A54" s="30" t="s">
        <v>125</v>
      </c>
      <c r="B54" s="31">
        <v>0</v>
      </c>
      <c r="C54" s="31">
        <v>0</v>
      </c>
      <c r="D54" s="31">
        <v>0</v>
      </c>
      <c r="E54" s="31">
        <v>0</v>
      </c>
      <c r="F54" s="32">
        <v>0</v>
      </c>
      <c r="G54" s="31">
        <v>0</v>
      </c>
      <c r="H54" s="31">
        <v>0</v>
      </c>
      <c r="I54" s="31">
        <v>2957489400</v>
      </c>
      <c r="J54" s="31">
        <v>2957489400</v>
      </c>
      <c r="K54" s="32">
        <v>0.18593831867693453</v>
      </c>
    </row>
    <row r="55" spans="1:11" ht="18.600000000000001" thickBot="1" x14ac:dyDescent="0.7">
      <c r="A55" s="30" t="s">
        <v>2</v>
      </c>
      <c r="B55" s="34">
        <f t="shared" ref="B55:K55" si="0">SUM(B11:B54)</f>
        <v>0</v>
      </c>
      <c r="C55" s="34">
        <f t="shared" si="0"/>
        <v>-18248819797</v>
      </c>
      <c r="D55" s="34">
        <f t="shared" si="0"/>
        <v>0</v>
      </c>
      <c r="E55" s="34">
        <f t="shared" si="0"/>
        <v>-18248819797</v>
      </c>
      <c r="F55" s="35">
        <f t="shared" si="0"/>
        <v>1.1164340591204314</v>
      </c>
      <c r="G55" s="34">
        <f t="shared" si="0"/>
        <v>8022500000</v>
      </c>
      <c r="H55" s="34">
        <f t="shared" si="0"/>
        <v>-16452292007</v>
      </c>
      <c r="I55" s="34">
        <f t="shared" si="0"/>
        <v>5829330581</v>
      </c>
      <c r="J55" s="34">
        <f t="shared" si="0"/>
        <v>-2600461426</v>
      </c>
      <c r="K55" s="35">
        <f t="shared" si="0"/>
        <v>-0.1634918540484587</v>
      </c>
    </row>
    <row r="56" spans="1:11" ht="18.600000000000001" thickTop="1" x14ac:dyDescent="0.65"/>
  </sheetData>
  <mergeCells count="15">
    <mergeCell ref="C8:C10"/>
    <mergeCell ref="D8:D10"/>
    <mergeCell ref="G8:G10"/>
    <mergeCell ref="H8:H10"/>
    <mergeCell ref="I8:I10"/>
    <mergeCell ref="G7:K7"/>
    <mergeCell ref="B7:F7"/>
    <mergeCell ref="A8:A10"/>
    <mergeCell ref="A1:K1"/>
    <mergeCell ref="A2:K2"/>
    <mergeCell ref="A3:K3"/>
    <mergeCell ref="E8:F9"/>
    <mergeCell ref="J8:K9"/>
    <mergeCell ref="A5:K5"/>
    <mergeCell ref="B8:B10"/>
  </mergeCells>
  <pageMargins left="0.7" right="0.7" top="0.75" bottom="0.75" header="0.3" footer="0.3"/>
  <pageSetup scale="55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rightToLeft="1" view="pageBreakPreview" zoomScaleNormal="100" zoomScaleSheetLayoutView="100" workbookViewId="0">
      <selection activeCell="C12" sqref="C12"/>
    </sheetView>
  </sheetViews>
  <sheetFormatPr defaultColWidth="9.09765625" defaultRowHeight="18" x14ac:dyDescent="0.65"/>
  <cols>
    <col min="1" max="1" width="23.69921875" style="18" customWidth="1"/>
    <col min="2" max="2" width="26.796875" style="18" customWidth="1"/>
    <col min="3" max="3" width="10.69921875" style="18" customWidth="1"/>
    <col min="4" max="4" width="22.3984375" style="18" customWidth="1"/>
    <col min="5" max="5" width="10.296875" style="18" customWidth="1"/>
    <col min="6" max="16384" width="9.09765625" style="18"/>
  </cols>
  <sheetData>
    <row r="1" spans="1:6" ht="20.399999999999999" x14ac:dyDescent="0.65">
      <c r="A1" s="10" t="s">
        <v>64</v>
      </c>
      <c r="B1" s="10"/>
      <c r="C1" s="10"/>
      <c r="D1" s="10"/>
      <c r="E1" s="10"/>
    </row>
    <row r="2" spans="1:6" ht="20.399999999999999" x14ac:dyDescent="0.65">
      <c r="A2" s="10" t="s">
        <v>47</v>
      </c>
      <c r="B2" s="10"/>
      <c r="C2" s="10"/>
      <c r="D2" s="10"/>
      <c r="E2" s="10"/>
    </row>
    <row r="3" spans="1:6" ht="20.399999999999999" x14ac:dyDescent="0.65">
      <c r="A3" s="10" t="s">
        <v>66</v>
      </c>
      <c r="B3" s="10"/>
      <c r="C3" s="10"/>
      <c r="D3" s="10"/>
      <c r="E3" s="10"/>
    </row>
    <row r="4" spans="1:6" ht="20.399999999999999" x14ac:dyDescent="0.65">
      <c r="A4" s="6"/>
      <c r="B4" s="6"/>
      <c r="C4" s="6"/>
      <c r="D4" s="6"/>
      <c r="E4" s="6"/>
    </row>
    <row r="5" spans="1:6" ht="20.399999999999999" x14ac:dyDescent="0.65">
      <c r="A5" s="19" t="s">
        <v>204</v>
      </c>
      <c r="B5" s="19"/>
      <c r="C5" s="19"/>
      <c r="D5" s="19"/>
      <c r="E5" s="19"/>
    </row>
    <row r="6" spans="1:6" x14ac:dyDescent="0.65">
      <c r="A6" s="39"/>
      <c r="B6" s="39"/>
      <c r="C6" s="39"/>
      <c r="D6" s="39"/>
      <c r="E6" s="39"/>
    </row>
    <row r="7" spans="1:6" ht="18.600000000000001" thickBot="1" x14ac:dyDescent="0.7">
      <c r="A7" s="57"/>
      <c r="B7" s="58" t="s">
        <v>201</v>
      </c>
      <c r="C7" s="58"/>
      <c r="D7" s="12" t="s">
        <v>202</v>
      </c>
      <c r="E7" s="12"/>
      <c r="F7" s="59"/>
    </row>
    <row r="8" spans="1:6" ht="35.4" thickBot="1" x14ac:dyDescent="0.7">
      <c r="A8" s="8" t="s">
        <v>200</v>
      </c>
      <c r="B8" s="8" t="s">
        <v>9</v>
      </c>
      <c r="C8" s="8" t="s">
        <v>205</v>
      </c>
      <c r="D8" s="8" t="s">
        <v>9</v>
      </c>
      <c r="E8" s="8" t="s">
        <v>205</v>
      </c>
      <c r="F8" s="60"/>
    </row>
    <row r="9" spans="1:6" x14ac:dyDescent="0.65">
      <c r="A9" s="30" t="s">
        <v>68</v>
      </c>
      <c r="B9" s="31">
        <v>3663840</v>
      </c>
      <c r="C9" s="32">
        <f>B9/B11</f>
        <v>2.3468721535546133E-3</v>
      </c>
      <c r="D9" s="31">
        <v>8958293</v>
      </c>
      <c r="E9" s="32">
        <f>D9/D11</f>
        <v>2.4026291449268694E-3</v>
      </c>
    </row>
    <row r="10" spans="1:6" x14ac:dyDescent="0.65">
      <c r="A10" s="30" t="s">
        <v>69</v>
      </c>
      <c r="B10" s="31">
        <v>1557494911</v>
      </c>
      <c r="C10" s="32">
        <f>B10/B11</f>
        <v>0.99765312784644544</v>
      </c>
      <c r="D10" s="31">
        <v>3719579263</v>
      </c>
      <c r="E10" s="32">
        <f>D10/D11</f>
        <v>0.99759737085507316</v>
      </c>
    </row>
    <row r="11" spans="1:6" ht="18.600000000000001" thickBot="1" x14ac:dyDescent="0.7">
      <c r="A11" s="30" t="s">
        <v>2</v>
      </c>
      <c r="B11" s="34">
        <f>SUM(B9:B10)</f>
        <v>1561158751</v>
      </c>
      <c r="C11" s="35">
        <f>SUM(C9:C10)</f>
        <v>1</v>
      </c>
      <c r="D11" s="34">
        <f>SUM(D9:D10)</f>
        <v>3728537556</v>
      </c>
      <c r="E11" s="35">
        <f>SUM(E9:E10)</f>
        <v>1</v>
      </c>
    </row>
    <row r="12" spans="1:6" ht="18.600000000000001" thickTop="1" x14ac:dyDescent="0.65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4516-2072-42A8-877E-37BB5BACA214}">
  <dimension ref="A1:I50"/>
  <sheetViews>
    <sheetView rightToLeft="1" view="pageBreakPreview" topLeftCell="A34" zoomScale="60" zoomScaleNormal="70" workbookViewId="0">
      <selection activeCell="B33" sqref="B33"/>
    </sheetView>
  </sheetViews>
  <sheetFormatPr defaultRowHeight="18.600000000000001" x14ac:dyDescent="0.65"/>
  <cols>
    <col min="1" max="1" width="44.5" style="1" customWidth="1"/>
    <col min="2" max="2" width="22" style="1" customWidth="1"/>
    <col min="3" max="4" width="20.8984375" style="1" customWidth="1"/>
    <col min="5" max="5" width="18.796875" style="1" customWidth="1"/>
    <col min="6" max="6" width="21.8984375" style="1" customWidth="1"/>
    <col min="7" max="7" width="22.296875" style="1" customWidth="1"/>
    <col min="8" max="8" width="24.69921875" style="1" customWidth="1"/>
    <col min="9" max="9" width="18.8984375" style="1" customWidth="1"/>
    <col min="10" max="16384" width="8.796875" style="1"/>
  </cols>
  <sheetData>
    <row r="1" spans="1:9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</row>
    <row r="2" spans="1:9" ht="20.399999999999999" x14ac:dyDescent="0.65">
      <c r="A2" s="10" t="s">
        <v>206</v>
      </c>
      <c r="B2" s="10"/>
      <c r="C2" s="10"/>
      <c r="D2" s="10"/>
      <c r="E2" s="10"/>
      <c r="F2" s="10"/>
      <c r="G2" s="10"/>
      <c r="H2" s="10"/>
      <c r="I2" s="10"/>
    </row>
    <row r="3" spans="1:9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</row>
    <row r="4" spans="1:9" ht="20.399999999999999" x14ac:dyDescent="0.65">
      <c r="A4" s="6"/>
      <c r="B4" s="6"/>
      <c r="C4" s="6"/>
      <c r="D4" s="6"/>
      <c r="E4" s="6"/>
      <c r="F4" s="6"/>
      <c r="G4" s="6"/>
      <c r="H4" s="6"/>
      <c r="I4" s="6"/>
    </row>
    <row r="5" spans="1:9" ht="20.399999999999999" x14ac:dyDescent="0.65">
      <c r="A5" s="19" t="s">
        <v>207</v>
      </c>
      <c r="B5" s="19"/>
      <c r="C5" s="19"/>
      <c r="D5" s="19"/>
      <c r="E5" s="19"/>
      <c r="F5" s="19"/>
      <c r="G5" s="19"/>
    </row>
    <row r="6" spans="1:9" x14ac:dyDescent="0.65">
      <c r="B6" s="61"/>
      <c r="C6" s="61"/>
      <c r="D6" s="61"/>
    </row>
    <row r="7" spans="1:9" ht="19.2" thickBot="1" x14ac:dyDescent="0.7">
      <c r="A7" s="51"/>
      <c r="B7" s="12" t="s">
        <v>201</v>
      </c>
      <c r="C7" s="12"/>
      <c r="D7" s="12"/>
      <c r="E7" s="12"/>
      <c r="F7" s="12" t="s">
        <v>202</v>
      </c>
      <c r="G7" s="12"/>
      <c r="H7" s="12"/>
      <c r="I7" s="12"/>
    </row>
    <row r="8" spans="1:9" ht="15" customHeight="1" x14ac:dyDescent="0.65">
      <c r="A8" s="62" t="s">
        <v>61</v>
      </c>
      <c r="B8" s="63" t="s">
        <v>6</v>
      </c>
      <c r="C8" s="63" t="s">
        <v>7</v>
      </c>
      <c r="D8" s="53" t="s">
        <v>2</v>
      </c>
      <c r="E8" s="53"/>
      <c r="F8" s="63" t="s">
        <v>6</v>
      </c>
      <c r="G8" s="63" t="s">
        <v>7</v>
      </c>
      <c r="H8" s="53" t="s">
        <v>2</v>
      </c>
      <c r="I8" s="53"/>
    </row>
    <row r="9" spans="1:9" ht="15.75" customHeight="1" thickBot="1" x14ac:dyDescent="0.7">
      <c r="A9" s="64"/>
      <c r="B9" s="65"/>
      <c r="C9" s="65"/>
      <c r="D9" s="12"/>
      <c r="E9" s="12"/>
      <c r="F9" s="65"/>
      <c r="G9" s="65"/>
      <c r="H9" s="12"/>
      <c r="I9" s="12"/>
    </row>
    <row r="10" spans="1:9" ht="35.4" thickBot="1" x14ac:dyDescent="0.7">
      <c r="A10" s="58"/>
      <c r="B10" s="66"/>
      <c r="C10" s="66" t="s">
        <v>49</v>
      </c>
      <c r="D10" s="56" t="s">
        <v>4</v>
      </c>
      <c r="E10" s="56" t="s">
        <v>8</v>
      </c>
      <c r="F10" s="66"/>
      <c r="G10" s="66" t="s">
        <v>49</v>
      </c>
      <c r="H10" s="56" t="s">
        <v>4</v>
      </c>
      <c r="I10" s="56" t="s">
        <v>8</v>
      </c>
    </row>
    <row r="11" spans="1:9" x14ac:dyDescent="0.65">
      <c r="A11" s="30" t="s">
        <v>143</v>
      </c>
      <c r="B11" s="31">
        <v>-2838382797</v>
      </c>
      <c r="C11" s="31">
        <v>2950920590</v>
      </c>
      <c r="D11" s="31">
        <v>112537793</v>
      </c>
      <c r="E11" s="32">
        <v>-6.8848849646758817E-3</v>
      </c>
      <c r="F11" s="31">
        <v>32183602</v>
      </c>
      <c r="G11" s="31">
        <v>2950920590</v>
      </c>
      <c r="H11" s="31">
        <v>2983104192</v>
      </c>
      <c r="I11" s="32">
        <v>0.18754872896538369</v>
      </c>
    </row>
    <row r="12" spans="1:9" x14ac:dyDescent="0.65">
      <c r="A12" s="30" t="s">
        <v>144</v>
      </c>
      <c r="B12" s="31">
        <v>-85446662</v>
      </c>
      <c r="C12" s="31">
        <v>145498868</v>
      </c>
      <c r="D12" s="31">
        <v>60052206</v>
      </c>
      <c r="E12" s="32">
        <v>-3.6738994000443813E-3</v>
      </c>
      <c r="F12" s="31">
        <v>1598788</v>
      </c>
      <c r="G12" s="31">
        <v>145498868</v>
      </c>
      <c r="H12" s="31">
        <v>147097656</v>
      </c>
      <c r="I12" s="32">
        <v>9.2480773854871929E-3</v>
      </c>
    </row>
    <row r="13" spans="1:9" x14ac:dyDescent="0.65">
      <c r="A13" s="30" t="s">
        <v>135</v>
      </c>
      <c r="B13" s="31">
        <v>45056812</v>
      </c>
      <c r="C13" s="31">
        <v>0</v>
      </c>
      <c r="D13" s="31">
        <v>45056812</v>
      </c>
      <c r="E13" s="32">
        <v>-2.7565048080783654E-3</v>
      </c>
      <c r="F13" s="31">
        <v>45056812</v>
      </c>
      <c r="G13" s="31">
        <v>61719786</v>
      </c>
      <c r="H13" s="31">
        <v>106776598</v>
      </c>
      <c r="I13" s="32">
        <v>6.7130793794773803E-3</v>
      </c>
    </row>
    <row r="14" spans="1:9" x14ac:dyDescent="0.65">
      <c r="A14" s="30" t="s">
        <v>145</v>
      </c>
      <c r="B14" s="31">
        <v>34973488</v>
      </c>
      <c r="C14" s="31">
        <v>0</v>
      </c>
      <c r="D14" s="31">
        <v>34973488</v>
      </c>
      <c r="E14" s="32">
        <v>-2.1396229237716823E-3</v>
      </c>
      <c r="F14" s="31">
        <v>-6243138</v>
      </c>
      <c r="G14" s="31">
        <v>0</v>
      </c>
      <c r="H14" s="31">
        <v>-6243138</v>
      </c>
      <c r="I14" s="32">
        <v>-3.9250811278920546E-4</v>
      </c>
    </row>
    <row r="15" spans="1:9" x14ac:dyDescent="0.65">
      <c r="A15" s="30" t="s">
        <v>146</v>
      </c>
      <c r="B15" s="31">
        <v>29871987</v>
      </c>
      <c r="C15" s="31">
        <v>104975841</v>
      </c>
      <c r="D15" s="31">
        <v>134847828</v>
      </c>
      <c r="E15" s="32">
        <v>-8.2497777747996114E-3</v>
      </c>
      <c r="F15" s="31">
        <v>74940162</v>
      </c>
      <c r="G15" s="31">
        <v>104975841</v>
      </c>
      <c r="H15" s="31">
        <v>179916003</v>
      </c>
      <c r="I15" s="32">
        <v>1.1311377515298721E-2</v>
      </c>
    </row>
    <row r="16" spans="1:9" x14ac:dyDescent="0.65">
      <c r="A16" s="30" t="s">
        <v>147</v>
      </c>
      <c r="B16" s="31">
        <v>-9962125</v>
      </c>
      <c r="C16" s="31">
        <v>0</v>
      </c>
      <c r="D16" s="31">
        <v>-9962125</v>
      </c>
      <c r="E16" s="32">
        <v>6.0946712033638087E-4</v>
      </c>
      <c r="F16" s="31">
        <v>-9962125</v>
      </c>
      <c r="G16" s="31">
        <v>0</v>
      </c>
      <c r="H16" s="31">
        <v>-9962125</v>
      </c>
      <c r="I16" s="32">
        <v>-6.2632203278546197E-4</v>
      </c>
    </row>
    <row r="17" spans="1:9" x14ac:dyDescent="0.65">
      <c r="A17" s="30" t="s">
        <v>141</v>
      </c>
      <c r="B17" s="31">
        <v>-34943188</v>
      </c>
      <c r="C17" s="31">
        <v>0</v>
      </c>
      <c r="D17" s="31">
        <v>-34943188</v>
      </c>
      <c r="E17" s="32">
        <v>2.1377692174845003E-3</v>
      </c>
      <c r="F17" s="31">
        <v>-34943188</v>
      </c>
      <c r="G17" s="31">
        <v>0</v>
      </c>
      <c r="H17" s="31">
        <v>-34943188</v>
      </c>
      <c r="I17" s="32">
        <v>-2.1968895732752359E-3</v>
      </c>
    </row>
    <row r="18" spans="1:9" x14ac:dyDescent="0.65">
      <c r="A18" s="30" t="s">
        <v>142</v>
      </c>
      <c r="B18" s="31">
        <v>0</v>
      </c>
      <c r="C18" s="31">
        <v>0</v>
      </c>
      <c r="D18" s="31">
        <v>0</v>
      </c>
      <c r="E18" s="32">
        <v>0</v>
      </c>
      <c r="F18" s="31">
        <v>363724270</v>
      </c>
      <c r="G18" s="31">
        <v>2675971415</v>
      </c>
      <c r="H18" s="31">
        <v>3039695685</v>
      </c>
      <c r="I18" s="32">
        <v>0.19110665450176517</v>
      </c>
    </row>
    <row r="19" spans="1:9" x14ac:dyDescent="0.65">
      <c r="A19" s="30" t="s">
        <v>94</v>
      </c>
      <c r="B19" s="31">
        <v>0</v>
      </c>
      <c r="C19" s="31">
        <v>0</v>
      </c>
      <c r="D19" s="31">
        <v>0</v>
      </c>
      <c r="E19" s="32">
        <v>0</v>
      </c>
      <c r="F19" s="31">
        <v>-81937885</v>
      </c>
      <c r="G19" s="31">
        <v>-11252302</v>
      </c>
      <c r="H19" s="31">
        <v>-93190187</v>
      </c>
      <c r="I19" s="32">
        <v>-5.8588973093087401E-3</v>
      </c>
    </row>
    <row r="20" spans="1:9" x14ac:dyDescent="0.65">
      <c r="A20" s="30" t="s">
        <v>86</v>
      </c>
      <c r="B20" s="31">
        <v>0</v>
      </c>
      <c r="C20" s="31">
        <v>0</v>
      </c>
      <c r="D20" s="31">
        <v>0</v>
      </c>
      <c r="E20" s="32">
        <v>0</v>
      </c>
      <c r="F20" s="31">
        <v>0</v>
      </c>
      <c r="G20" s="31">
        <v>80866755</v>
      </c>
      <c r="H20" s="31">
        <v>80866755</v>
      </c>
      <c r="I20" s="32">
        <v>5.084119138874881E-3</v>
      </c>
    </row>
    <row r="21" spans="1:9" x14ac:dyDescent="0.65">
      <c r="A21" s="30" t="s">
        <v>82</v>
      </c>
      <c r="B21" s="31">
        <v>0</v>
      </c>
      <c r="C21" s="31">
        <v>0</v>
      </c>
      <c r="D21" s="31">
        <v>0</v>
      </c>
      <c r="E21" s="32">
        <v>0</v>
      </c>
      <c r="F21" s="31">
        <v>0</v>
      </c>
      <c r="G21" s="31">
        <v>-116224949</v>
      </c>
      <c r="H21" s="31">
        <v>-116224949</v>
      </c>
      <c r="I21" s="32">
        <v>-7.3071002740947985E-3</v>
      </c>
    </row>
    <row r="22" spans="1:9" x14ac:dyDescent="0.65">
      <c r="A22" s="30" t="s">
        <v>75</v>
      </c>
      <c r="B22" s="31">
        <v>0</v>
      </c>
      <c r="C22" s="31">
        <v>0</v>
      </c>
      <c r="D22" s="31">
        <v>0</v>
      </c>
      <c r="E22" s="32">
        <v>0</v>
      </c>
      <c r="F22" s="31">
        <v>0</v>
      </c>
      <c r="G22" s="31">
        <v>-27066616</v>
      </c>
      <c r="H22" s="31">
        <v>-27066616</v>
      </c>
      <c r="I22" s="32">
        <v>-1.7016869346392974E-3</v>
      </c>
    </row>
    <row r="23" spans="1:9" x14ac:dyDescent="0.65">
      <c r="A23" s="30" t="s">
        <v>78</v>
      </c>
      <c r="B23" s="31">
        <v>0</v>
      </c>
      <c r="C23" s="31">
        <v>0</v>
      </c>
      <c r="D23" s="31">
        <v>0</v>
      </c>
      <c r="E23" s="32">
        <v>0</v>
      </c>
      <c r="F23" s="31">
        <v>0</v>
      </c>
      <c r="G23" s="31">
        <v>299927440</v>
      </c>
      <c r="H23" s="31">
        <v>299927440</v>
      </c>
      <c r="I23" s="32">
        <v>1.8856535519172834E-2</v>
      </c>
    </row>
    <row r="24" spans="1:9" x14ac:dyDescent="0.65">
      <c r="A24" s="30" t="s">
        <v>79</v>
      </c>
      <c r="B24" s="31">
        <v>0</v>
      </c>
      <c r="C24" s="31">
        <v>0</v>
      </c>
      <c r="D24" s="31">
        <v>0</v>
      </c>
      <c r="E24" s="32">
        <v>0</v>
      </c>
      <c r="F24" s="31">
        <v>0</v>
      </c>
      <c r="G24" s="31">
        <v>-23113573</v>
      </c>
      <c r="H24" s="31">
        <v>-23113573</v>
      </c>
      <c r="I24" s="32">
        <v>-1.4531578379407173E-3</v>
      </c>
    </row>
    <row r="25" spans="1:9" x14ac:dyDescent="0.65">
      <c r="A25" s="30" t="s">
        <v>80</v>
      </c>
      <c r="B25" s="31">
        <v>0</v>
      </c>
      <c r="C25" s="31">
        <v>0</v>
      </c>
      <c r="D25" s="31">
        <v>0</v>
      </c>
      <c r="E25" s="32">
        <v>0</v>
      </c>
      <c r="F25" s="31">
        <v>0</v>
      </c>
      <c r="G25" s="31">
        <v>49988663</v>
      </c>
      <c r="H25" s="31">
        <v>49988663</v>
      </c>
      <c r="I25" s="32">
        <v>3.1428034707843369E-3</v>
      </c>
    </row>
    <row r="26" spans="1:9" x14ac:dyDescent="0.65">
      <c r="A26" s="30" t="s">
        <v>81</v>
      </c>
      <c r="B26" s="31">
        <v>0</v>
      </c>
      <c r="C26" s="31">
        <v>0</v>
      </c>
      <c r="D26" s="31">
        <v>0</v>
      </c>
      <c r="E26" s="32">
        <v>0</v>
      </c>
      <c r="F26" s="31">
        <v>0</v>
      </c>
      <c r="G26" s="31">
        <v>-137249186</v>
      </c>
      <c r="H26" s="31">
        <v>-137249186</v>
      </c>
      <c r="I26" s="32">
        <v>-8.6289008794479052E-3</v>
      </c>
    </row>
    <row r="27" spans="1:9" x14ac:dyDescent="0.65">
      <c r="A27" s="30" t="s">
        <v>93</v>
      </c>
      <c r="B27" s="31">
        <v>0</v>
      </c>
      <c r="C27" s="31">
        <v>0</v>
      </c>
      <c r="D27" s="31">
        <v>0</v>
      </c>
      <c r="E27" s="32">
        <v>0</v>
      </c>
      <c r="F27" s="31">
        <v>-17986365</v>
      </c>
      <c r="G27" s="31">
        <v>-31062868</v>
      </c>
      <c r="H27" s="31">
        <v>-49049233</v>
      </c>
      <c r="I27" s="32">
        <v>-3.0837412017142691E-3</v>
      </c>
    </row>
    <row r="28" spans="1:9" x14ac:dyDescent="0.65">
      <c r="A28" s="30" t="s">
        <v>85</v>
      </c>
      <c r="B28" s="31">
        <v>0</v>
      </c>
      <c r="C28" s="31">
        <v>0</v>
      </c>
      <c r="D28" s="31">
        <v>0</v>
      </c>
      <c r="E28" s="32">
        <v>0</v>
      </c>
      <c r="F28" s="31">
        <v>2362210</v>
      </c>
      <c r="G28" s="31">
        <v>76038490</v>
      </c>
      <c r="H28" s="31">
        <v>78400700</v>
      </c>
      <c r="I28" s="32">
        <v>4.9290774604618158E-3</v>
      </c>
    </row>
    <row r="29" spans="1:9" x14ac:dyDescent="0.65">
      <c r="A29" s="30" t="s">
        <v>87</v>
      </c>
      <c r="B29" s="31">
        <v>0</v>
      </c>
      <c r="C29" s="31">
        <v>0</v>
      </c>
      <c r="D29" s="31">
        <v>0</v>
      </c>
      <c r="E29" s="32">
        <v>0</v>
      </c>
      <c r="F29" s="31">
        <v>39969700</v>
      </c>
      <c r="G29" s="31">
        <v>328984960</v>
      </c>
      <c r="H29" s="31">
        <v>368954660</v>
      </c>
      <c r="I29" s="32">
        <v>2.3196299249092837E-2</v>
      </c>
    </row>
    <row r="30" spans="1:9" x14ac:dyDescent="0.65">
      <c r="A30" s="30" t="s">
        <v>98</v>
      </c>
      <c r="B30" s="31">
        <v>0</v>
      </c>
      <c r="C30" s="31">
        <v>0</v>
      </c>
      <c r="D30" s="31">
        <v>0</v>
      </c>
      <c r="E30" s="32">
        <v>0</v>
      </c>
      <c r="F30" s="31">
        <v>0</v>
      </c>
      <c r="G30" s="31">
        <v>2066660694</v>
      </c>
      <c r="H30" s="31">
        <v>2066660694</v>
      </c>
      <c r="I30" s="32">
        <v>0.12993162873823544</v>
      </c>
    </row>
    <row r="31" spans="1:9" x14ac:dyDescent="0.65">
      <c r="A31" s="30" t="s">
        <v>100</v>
      </c>
      <c r="B31" s="31">
        <v>0</v>
      </c>
      <c r="C31" s="31">
        <v>0</v>
      </c>
      <c r="D31" s="31">
        <v>0</v>
      </c>
      <c r="E31" s="32">
        <v>0</v>
      </c>
      <c r="F31" s="31">
        <v>-39969700</v>
      </c>
      <c r="G31" s="31">
        <v>86002390</v>
      </c>
      <c r="H31" s="31">
        <v>46032690</v>
      </c>
      <c r="I31" s="32">
        <v>2.8940901640345817E-3</v>
      </c>
    </row>
    <row r="32" spans="1:9" x14ac:dyDescent="0.65">
      <c r="A32" s="30" t="s">
        <v>101</v>
      </c>
      <c r="B32" s="31">
        <v>0</v>
      </c>
      <c r="C32" s="31">
        <v>0</v>
      </c>
      <c r="D32" s="31">
        <v>0</v>
      </c>
      <c r="E32" s="32">
        <v>0</v>
      </c>
      <c r="F32" s="31">
        <v>0</v>
      </c>
      <c r="G32" s="31">
        <v>2443270643</v>
      </c>
      <c r="H32" s="31">
        <v>2443270643</v>
      </c>
      <c r="I32" s="32">
        <v>0.15360921849191841</v>
      </c>
    </row>
    <row r="33" spans="1:9" x14ac:dyDescent="0.65">
      <c r="A33" s="30" t="s">
        <v>102</v>
      </c>
      <c r="B33" s="31">
        <v>0</v>
      </c>
      <c r="C33" s="31">
        <v>0</v>
      </c>
      <c r="D33" s="31">
        <v>0</v>
      </c>
      <c r="E33" s="32">
        <v>0</v>
      </c>
      <c r="F33" s="31">
        <v>0</v>
      </c>
      <c r="G33" s="31">
        <v>262945640</v>
      </c>
      <c r="H33" s="31">
        <v>262945640</v>
      </c>
      <c r="I33" s="32">
        <v>1.6531477747656679E-2</v>
      </c>
    </row>
    <row r="34" spans="1:9" x14ac:dyDescent="0.65">
      <c r="A34" s="30" t="s">
        <v>107</v>
      </c>
      <c r="B34" s="31">
        <v>0</v>
      </c>
      <c r="C34" s="31">
        <v>0</v>
      </c>
      <c r="D34" s="31">
        <v>0</v>
      </c>
      <c r="E34" s="32">
        <v>0</v>
      </c>
      <c r="F34" s="31">
        <v>13639660</v>
      </c>
      <c r="G34" s="31">
        <v>193957616</v>
      </c>
      <c r="H34" s="31">
        <v>207597276</v>
      </c>
      <c r="I34" s="32">
        <v>1.3051708135066023E-2</v>
      </c>
    </row>
    <row r="35" spans="1:9" x14ac:dyDescent="0.65">
      <c r="A35" s="30" t="s">
        <v>111</v>
      </c>
      <c r="B35" s="31">
        <v>0</v>
      </c>
      <c r="C35" s="31">
        <v>0</v>
      </c>
      <c r="D35" s="31">
        <v>0</v>
      </c>
      <c r="E35" s="32">
        <v>0</v>
      </c>
      <c r="F35" s="31">
        <v>67041178</v>
      </c>
      <c r="G35" s="31">
        <v>283718110</v>
      </c>
      <c r="H35" s="31">
        <v>350759288</v>
      </c>
      <c r="I35" s="32">
        <v>2.2052350304632928E-2</v>
      </c>
    </row>
    <row r="36" spans="1:9" x14ac:dyDescent="0.65">
      <c r="A36" s="30" t="s">
        <v>112</v>
      </c>
      <c r="B36" s="31">
        <v>0</v>
      </c>
      <c r="C36" s="31">
        <v>0</v>
      </c>
      <c r="D36" s="31">
        <v>0</v>
      </c>
      <c r="E36" s="32">
        <v>0</v>
      </c>
      <c r="F36" s="31">
        <v>-68448111</v>
      </c>
      <c r="G36" s="31">
        <v>26915685</v>
      </c>
      <c r="H36" s="31">
        <v>-41532426</v>
      </c>
      <c r="I36" s="32">
        <v>-2.6111571054199556E-3</v>
      </c>
    </row>
    <row r="37" spans="1:9" x14ac:dyDescent="0.65">
      <c r="A37" s="30" t="s">
        <v>110</v>
      </c>
      <c r="B37" s="31">
        <v>0</v>
      </c>
      <c r="C37" s="31">
        <v>0</v>
      </c>
      <c r="D37" s="31">
        <v>0</v>
      </c>
      <c r="E37" s="32">
        <v>0</v>
      </c>
      <c r="F37" s="31">
        <v>-65017255</v>
      </c>
      <c r="G37" s="31">
        <v>-46032636</v>
      </c>
      <c r="H37" s="31">
        <v>-111049891</v>
      </c>
      <c r="I37" s="32">
        <v>-6.9817426976397081E-3</v>
      </c>
    </row>
    <row r="38" spans="1:9" x14ac:dyDescent="0.65">
      <c r="A38" s="30" t="s">
        <v>113</v>
      </c>
      <c r="B38" s="31">
        <v>0</v>
      </c>
      <c r="C38" s="31">
        <v>0</v>
      </c>
      <c r="D38" s="31">
        <v>0</v>
      </c>
      <c r="E38" s="32">
        <v>0</v>
      </c>
      <c r="F38" s="31">
        <v>49962125</v>
      </c>
      <c r="G38" s="31">
        <v>105988655</v>
      </c>
      <c r="H38" s="31">
        <v>155950780</v>
      </c>
      <c r="I38" s="32">
        <v>9.8046761653842289E-3</v>
      </c>
    </row>
    <row r="39" spans="1:9" x14ac:dyDescent="0.65">
      <c r="A39" s="30" t="s">
        <v>114</v>
      </c>
      <c r="B39" s="31">
        <v>0</v>
      </c>
      <c r="C39" s="31">
        <v>0</v>
      </c>
      <c r="D39" s="31">
        <v>0</v>
      </c>
      <c r="E39" s="32">
        <v>0</v>
      </c>
      <c r="F39" s="31">
        <v>4996212</v>
      </c>
      <c r="G39" s="31">
        <v>224975799</v>
      </c>
      <c r="H39" s="31">
        <v>229972011</v>
      </c>
      <c r="I39" s="32">
        <v>1.4458414988095475E-2</v>
      </c>
    </row>
    <row r="40" spans="1:9" x14ac:dyDescent="0.65">
      <c r="A40" s="30" t="s">
        <v>115</v>
      </c>
      <c r="B40" s="31">
        <v>0</v>
      </c>
      <c r="C40" s="31">
        <v>0</v>
      </c>
      <c r="D40" s="31">
        <v>0</v>
      </c>
      <c r="E40" s="32">
        <v>0</v>
      </c>
      <c r="F40" s="31">
        <v>32359469</v>
      </c>
      <c r="G40" s="31">
        <v>295223511</v>
      </c>
      <c r="H40" s="31">
        <v>327582980</v>
      </c>
      <c r="I40" s="32">
        <v>2.0595248296876353E-2</v>
      </c>
    </row>
    <row r="41" spans="1:9" x14ac:dyDescent="0.65">
      <c r="A41" s="30" t="s">
        <v>128</v>
      </c>
      <c r="B41" s="31">
        <v>0</v>
      </c>
      <c r="C41" s="31">
        <v>0</v>
      </c>
      <c r="D41" s="31">
        <v>0</v>
      </c>
      <c r="E41" s="32">
        <v>0</v>
      </c>
      <c r="F41" s="31">
        <v>126154366</v>
      </c>
      <c r="G41" s="31">
        <v>569299070</v>
      </c>
      <c r="H41" s="31">
        <v>695453436</v>
      </c>
      <c r="I41" s="32">
        <v>4.3723383288520691E-2</v>
      </c>
    </row>
    <row r="42" spans="1:9" x14ac:dyDescent="0.65">
      <c r="A42" s="30" t="s">
        <v>122</v>
      </c>
      <c r="B42" s="31">
        <v>0</v>
      </c>
      <c r="C42" s="31">
        <v>0</v>
      </c>
      <c r="D42" s="31">
        <v>0</v>
      </c>
      <c r="E42" s="32">
        <v>0</v>
      </c>
      <c r="F42" s="31">
        <v>0</v>
      </c>
      <c r="G42" s="31">
        <v>380000000</v>
      </c>
      <c r="H42" s="31">
        <v>380000000</v>
      </c>
      <c r="I42" s="32">
        <v>2.3890723360575735E-2</v>
      </c>
    </row>
    <row r="43" spans="1:9" x14ac:dyDescent="0.65">
      <c r="A43" s="30" t="s">
        <v>130</v>
      </c>
      <c r="B43" s="31">
        <v>0</v>
      </c>
      <c r="C43" s="31">
        <v>0</v>
      </c>
      <c r="D43" s="31">
        <v>0</v>
      </c>
      <c r="E43" s="32">
        <v>0</v>
      </c>
      <c r="F43" s="31">
        <v>13989395</v>
      </c>
      <c r="G43" s="31">
        <v>85054895</v>
      </c>
      <c r="H43" s="31">
        <v>99044290</v>
      </c>
      <c r="I43" s="32">
        <v>6.2269466653543095E-3</v>
      </c>
    </row>
    <row r="44" spans="1:9" x14ac:dyDescent="0.65">
      <c r="A44" s="30" t="s">
        <v>132</v>
      </c>
      <c r="B44" s="31">
        <v>0</v>
      </c>
      <c r="C44" s="31">
        <v>0</v>
      </c>
      <c r="D44" s="31">
        <v>0</v>
      </c>
      <c r="E44" s="32">
        <v>0</v>
      </c>
      <c r="F44" s="31">
        <v>29977275</v>
      </c>
      <c r="G44" s="31">
        <v>69977280</v>
      </c>
      <c r="H44" s="31">
        <v>99954555</v>
      </c>
      <c r="I44" s="32">
        <v>6.284175321406453E-3</v>
      </c>
    </row>
    <row r="45" spans="1:9" x14ac:dyDescent="0.65">
      <c r="A45" s="30" t="s">
        <v>131</v>
      </c>
      <c r="B45" s="31">
        <v>0</v>
      </c>
      <c r="C45" s="31">
        <v>0</v>
      </c>
      <c r="D45" s="31">
        <v>0</v>
      </c>
      <c r="E45" s="32">
        <v>0</v>
      </c>
      <c r="F45" s="31">
        <v>29977274</v>
      </c>
      <c r="G45" s="31">
        <v>44950810</v>
      </c>
      <c r="H45" s="31">
        <v>74928084</v>
      </c>
      <c r="I45" s="32">
        <v>4.7107529652157393E-3</v>
      </c>
    </row>
    <row r="46" spans="1:9" x14ac:dyDescent="0.65">
      <c r="A46" s="30" t="s">
        <v>148</v>
      </c>
      <c r="B46" s="31">
        <v>0</v>
      </c>
      <c r="C46" s="31">
        <v>0</v>
      </c>
      <c r="D46" s="31">
        <v>0</v>
      </c>
      <c r="E46" s="32">
        <v>0</v>
      </c>
      <c r="F46" s="31">
        <v>139893</v>
      </c>
      <c r="G46" s="31">
        <v>139852</v>
      </c>
      <c r="H46" s="31">
        <v>279745</v>
      </c>
      <c r="I46" s="32">
        <v>1.7587658964484893E-5</v>
      </c>
    </row>
    <row r="47" spans="1:9" x14ac:dyDescent="0.65">
      <c r="A47" s="30" t="s">
        <v>137</v>
      </c>
      <c r="B47" s="31">
        <v>0</v>
      </c>
      <c r="C47" s="31">
        <v>0</v>
      </c>
      <c r="D47" s="31">
        <v>0</v>
      </c>
      <c r="E47" s="32">
        <v>0</v>
      </c>
      <c r="F47" s="31">
        <v>45068175</v>
      </c>
      <c r="G47" s="31">
        <v>34924266</v>
      </c>
      <c r="H47" s="31">
        <v>79992441</v>
      </c>
      <c r="I47" s="32">
        <v>5.0291507338636214E-3</v>
      </c>
    </row>
    <row r="48" spans="1:9" x14ac:dyDescent="0.65">
      <c r="A48" s="30" t="s">
        <v>138</v>
      </c>
      <c r="B48" s="31">
        <v>0</v>
      </c>
      <c r="C48" s="31">
        <v>0</v>
      </c>
      <c r="D48" s="31">
        <v>0</v>
      </c>
      <c r="E48" s="32">
        <v>0</v>
      </c>
      <c r="F48" s="31">
        <v>11219495</v>
      </c>
      <c r="G48" s="31">
        <v>59977300</v>
      </c>
      <c r="H48" s="31">
        <v>71196795</v>
      </c>
      <c r="I48" s="32">
        <v>4.4761656144858466E-3</v>
      </c>
    </row>
    <row r="49" spans="1:9" ht="19.2" thickBot="1" x14ac:dyDescent="0.7">
      <c r="A49" s="30" t="s">
        <v>2</v>
      </c>
      <c r="B49" s="34">
        <f t="shared" ref="B49:I49" si="0">SUM(B11:B48)</f>
        <v>-2858832485</v>
      </c>
      <c r="C49" s="34">
        <f t="shared" si="0"/>
        <v>3201395299</v>
      </c>
      <c r="D49" s="34">
        <f t="shared" si="0"/>
        <v>342562814</v>
      </c>
      <c r="E49" s="35">
        <f t="shared" si="0"/>
        <v>-2.0957453533549039E-2</v>
      </c>
      <c r="F49" s="34">
        <f t="shared" si="0"/>
        <v>659852294</v>
      </c>
      <c r="G49" s="34">
        <f t="shared" si="0"/>
        <v>13616872894</v>
      </c>
      <c r="H49" s="34">
        <f t="shared" si="0"/>
        <v>14276725188</v>
      </c>
      <c r="I49" s="35">
        <f t="shared" si="0"/>
        <v>0.8975823472670309</v>
      </c>
    </row>
    <row r="50" spans="1:9" ht="19.2" thickTop="1" x14ac:dyDescent="0.65">
      <c r="B50" s="68"/>
      <c r="C50" s="68"/>
      <c r="D50" s="68"/>
      <c r="E50" s="68"/>
      <c r="F50" s="68"/>
      <c r="G50" s="68"/>
      <c r="H50" s="68"/>
      <c r="I50" s="68"/>
    </row>
  </sheetData>
  <mergeCells count="13">
    <mergeCell ref="B7:E7"/>
    <mergeCell ref="F7:I7"/>
    <mergeCell ref="A5:G5"/>
    <mergeCell ref="A1:I1"/>
    <mergeCell ref="A2:I2"/>
    <mergeCell ref="A3:I3"/>
    <mergeCell ref="H8:I9"/>
    <mergeCell ref="A8:A10"/>
    <mergeCell ref="D8:E9"/>
    <mergeCell ref="B8:B10"/>
    <mergeCell ref="C8:C10"/>
    <mergeCell ref="F8:F10"/>
    <mergeCell ref="G8:G10"/>
  </mergeCells>
  <conditionalFormatting sqref="F11:F13 F5:F6">
    <cfRule type="duplicateValues" dxfId="2" priority="4"/>
    <cfRule type="duplicateValues" dxfId="1" priority="5"/>
  </conditionalFormatting>
  <conditionalFormatting sqref="F5:G6 F11:G13 A7:B7">
    <cfRule type="cellIs" dxfId="0" priority="1" operator="equal">
      <formula>-3000000000000</formula>
    </cfRule>
  </conditionalFormatting>
  <pageMargins left="0.7" right="0.7" top="0.75" bottom="0.75" header="0.3" footer="0.3"/>
  <pageSetup scale="52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rightToLeft="1" view="pageBreakPreview" zoomScaleNormal="100" zoomScaleSheetLayoutView="100" workbookViewId="0">
      <selection activeCell="B11" sqref="B11"/>
    </sheetView>
  </sheetViews>
  <sheetFormatPr defaultRowHeight="18.600000000000001" x14ac:dyDescent="0.65"/>
  <cols>
    <col min="1" max="1" width="27.296875" style="1" customWidth="1"/>
    <col min="2" max="2" width="24.796875" style="1" customWidth="1"/>
    <col min="3" max="3" width="29.69921875" style="1" customWidth="1"/>
    <col min="4" max="16384" width="8.796875" style="1"/>
  </cols>
  <sheetData>
    <row r="1" spans="1:3" ht="20.399999999999999" x14ac:dyDescent="0.65">
      <c r="A1" s="10" t="s">
        <v>64</v>
      </c>
      <c r="B1" s="10"/>
      <c r="C1" s="10"/>
    </row>
    <row r="2" spans="1:3" ht="20.399999999999999" x14ac:dyDescent="0.65">
      <c r="A2" s="10" t="s">
        <v>47</v>
      </c>
      <c r="B2" s="10"/>
      <c r="C2" s="10"/>
    </row>
    <row r="3" spans="1:3" ht="20.399999999999999" x14ac:dyDescent="0.65">
      <c r="A3" s="10" t="s">
        <v>66</v>
      </c>
      <c r="B3" s="10"/>
      <c r="C3" s="10"/>
    </row>
    <row r="4" spans="1:3" x14ac:dyDescent="0.65">
      <c r="A4" s="67"/>
      <c r="B4" s="67"/>
      <c r="C4" s="67"/>
    </row>
    <row r="5" spans="1:3" ht="20.399999999999999" x14ac:dyDescent="0.65">
      <c r="A5" s="19" t="s">
        <v>208</v>
      </c>
      <c r="B5" s="19"/>
      <c r="C5" s="19"/>
    </row>
    <row r="6" spans="1:3" ht="19.2" thickBot="1" x14ac:dyDescent="0.7">
      <c r="A6" s="69"/>
      <c r="B6" s="8" t="s">
        <v>201</v>
      </c>
      <c r="C6" s="8" t="s">
        <v>202</v>
      </c>
    </row>
    <row r="7" spans="1:3" ht="16.5" customHeight="1" x14ac:dyDescent="0.65">
      <c r="A7" s="70" t="s">
        <v>18</v>
      </c>
      <c r="B7" s="53" t="s">
        <v>4</v>
      </c>
      <c r="C7" s="53" t="s">
        <v>4</v>
      </c>
    </row>
    <row r="8" spans="1:3" ht="19.2" thickBot="1" x14ac:dyDescent="0.7">
      <c r="A8" s="71"/>
      <c r="B8" s="12"/>
      <c r="C8" s="12"/>
    </row>
    <row r="9" spans="1:3" x14ac:dyDescent="0.65">
      <c r="A9" s="72" t="s">
        <v>209</v>
      </c>
      <c r="B9" s="31">
        <v>0</v>
      </c>
      <c r="C9" s="31">
        <v>183554895</v>
      </c>
    </row>
    <row r="10" spans="1:3" x14ac:dyDescent="0.65">
      <c r="A10" s="72" t="s">
        <v>18</v>
      </c>
      <c r="B10" s="31">
        <v>0</v>
      </c>
      <c r="C10" s="31">
        <v>317399099</v>
      </c>
    </row>
    <row r="11" spans="1:3" ht="19.2" thickBot="1" x14ac:dyDescent="0.7">
      <c r="A11" s="30" t="s">
        <v>2</v>
      </c>
      <c r="B11" s="34">
        <f>SUM(B9:B10)</f>
        <v>0</v>
      </c>
      <c r="C11" s="34">
        <f>SUM(C9:C10)</f>
        <v>500953994</v>
      </c>
    </row>
    <row r="12" spans="1:3" ht="19.2" thickTop="1" x14ac:dyDescent="0.65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"/>
  <sheetViews>
    <sheetView rightToLeft="1" view="pageBreakPreview" zoomScale="98" zoomScaleNormal="100" zoomScaleSheetLayoutView="98" workbookViewId="0">
      <selection activeCell="E6" sqref="E6:J6"/>
    </sheetView>
  </sheetViews>
  <sheetFormatPr defaultColWidth="9.09765625" defaultRowHeight="18" x14ac:dyDescent="0.65"/>
  <cols>
    <col min="1" max="1" width="23.296875" style="18" customWidth="1"/>
    <col min="2" max="2" width="14.296875" style="18" customWidth="1"/>
    <col min="3" max="3" width="21.09765625" style="18" customWidth="1"/>
    <col min="4" max="4" width="22.296875" style="18" customWidth="1"/>
    <col min="5" max="6" width="17.59765625" style="18" customWidth="1"/>
    <col min="7" max="7" width="16" style="18" customWidth="1"/>
    <col min="8" max="8" width="19.3984375" style="18" customWidth="1"/>
    <col min="9" max="9" width="17.59765625" style="18" customWidth="1"/>
    <col min="10" max="10" width="16.09765625" style="18" customWidth="1"/>
    <col min="11" max="16384" width="9.09765625" style="18"/>
  </cols>
  <sheetData>
    <row r="1" spans="1:13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20.399999999999999" x14ac:dyDescent="0.65">
      <c r="A2" s="10" t="s">
        <v>47</v>
      </c>
      <c r="B2" s="10"/>
      <c r="C2" s="10"/>
      <c r="D2" s="10"/>
      <c r="E2" s="10"/>
      <c r="F2" s="10"/>
      <c r="G2" s="10"/>
      <c r="H2" s="10"/>
      <c r="I2" s="10"/>
      <c r="J2" s="10"/>
    </row>
    <row r="3" spans="1:13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  <c r="J3" s="10"/>
    </row>
    <row r="4" spans="1:13" ht="20.399999999999999" x14ac:dyDescent="0.6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3" ht="20.399999999999999" x14ac:dyDescent="0.6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42"/>
      <c r="L5" s="42"/>
      <c r="M5" s="42"/>
    </row>
    <row r="6" spans="1:13" ht="16.5" customHeight="1" thickBot="1" x14ac:dyDescent="0.7">
      <c r="B6" s="80" t="s">
        <v>34</v>
      </c>
      <c r="C6" s="80"/>
      <c r="D6" s="80"/>
      <c r="E6" s="12" t="s">
        <v>201</v>
      </c>
      <c r="F6" s="12"/>
      <c r="G6" s="12"/>
      <c r="H6" s="12" t="s">
        <v>202</v>
      </c>
      <c r="I6" s="12"/>
      <c r="J6" s="12"/>
      <c r="K6" s="59"/>
      <c r="L6" s="59"/>
      <c r="M6" s="59"/>
    </row>
    <row r="7" spans="1:13" ht="47.25" customHeight="1" thickBot="1" x14ac:dyDescent="0.7">
      <c r="A7" s="82" t="s">
        <v>20</v>
      </c>
      <c r="B7" s="81" t="s">
        <v>28</v>
      </c>
      <c r="C7" s="81" t="s">
        <v>33</v>
      </c>
      <c r="D7" s="81" t="s">
        <v>29</v>
      </c>
      <c r="E7" s="81" t="s">
        <v>30</v>
      </c>
      <c r="F7" s="81" t="s">
        <v>31</v>
      </c>
      <c r="G7" s="81" t="s">
        <v>32</v>
      </c>
      <c r="H7" s="81" t="s">
        <v>30</v>
      </c>
      <c r="I7" s="81" t="s">
        <v>31</v>
      </c>
      <c r="J7" s="81" t="s">
        <v>32</v>
      </c>
    </row>
    <row r="8" spans="1:13" x14ac:dyDescent="0.65">
      <c r="A8" s="30" t="s">
        <v>73</v>
      </c>
      <c r="B8" s="31" t="s">
        <v>74</v>
      </c>
      <c r="C8" s="31">
        <v>550000</v>
      </c>
      <c r="D8" s="31">
        <v>8700</v>
      </c>
      <c r="E8" s="33">
        <v>0</v>
      </c>
      <c r="F8" s="33">
        <v>0</v>
      </c>
      <c r="G8" s="33">
        <v>0</v>
      </c>
      <c r="H8" s="31">
        <v>4785000000</v>
      </c>
      <c r="I8" s="31">
        <v>0</v>
      </c>
      <c r="J8" s="31">
        <v>4785000000</v>
      </c>
    </row>
    <row r="9" spans="1:13" x14ac:dyDescent="0.65">
      <c r="A9" s="30" t="s">
        <v>76</v>
      </c>
      <c r="B9" s="31" t="s">
        <v>77</v>
      </c>
      <c r="C9" s="31">
        <v>350000</v>
      </c>
      <c r="D9" s="31">
        <v>9250</v>
      </c>
      <c r="E9" s="33">
        <v>0</v>
      </c>
      <c r="F9" s="33">
        <v>0</v>
      </c>
      <c r="G9" s="33">
        <v>0</v>
      </c>
      <c r="H9" s="31">
        <v>3237500000</v>
      </c>
      <c r="I9" s="31">
        <v>0</v>
      </c>
      <c r="J9" s="31">
        <v>3237500000</v>
      </c>
    </row>
    <row r="10" spans="1:13" ht="18.600000000000001" thickBot="1" x14ac:dyDescent="0.7">
      <c r="A10" s="30" t="s">
        <v>2</v>
      </c>
      <c r="B10" s="31"/>
      <c r="C10" s="31"/>
      <c r="D10" s="31"/>
      <c r="E10" s="34">
        <f t="shared" ref="E10:J10" si="0">SUM(E8:E9)</f>
        <v>0</v>
      </c>
      <c r="F10" s="34">
        <f t="shared" si="0"/>
        <v>0</v>
      </c>
      <c r="G10" s="34">
        <f t="shared" si="0"/>
        <v>0</v>
      </c>
      <c r="H10" s="34">
        <f t="shared" si="0"/>
        <v>8022500000</v>
      </c>
      <c r="I10" s="34">
        <f t="shared" si="0"/>
        <v>0</v>
      </c>
      <c r="J10" s="34">
        <f t="shared" si="0"/>
        <v>8022500000</v>
      </c>
    </row>
    <row r="11" spans="1:13" ht="18.600000000000001" thickTop="1" x14ac:dyDescent="0.65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8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rightToLeft="1" view="pageBreakPreview" zoomScaleNormal="100" zoomScaleSheetLayoutView="100" workbookViewId="0">
      <selection activeCell="A8" sqref="A8"/>
    </sheetView>
  </sheetViews>
  <sheetFormatPr defaultRowHeight="18.600000000000001" x14ac:dyDescent="0.65"/>
  <cols>
    <col min="1" max="1" width="30.69921875" style="1" customWidth="1"/>
    <col min="2" max="2" width="23.69921875" style="1" customWidth="1"/>
    <col min="3" max="3" width="20.296875" style="1" customWidth="1"/>
    <col min="4" max="4" width="22" style="1" customWidth="1"/>
    <col min="5" max="5" width="21.3984375" style="1" customWidth="1"/>
    <col min="6" max="6" width="16.59765625" style="1" customWidth="1"/>
    <col min="7" max="7" width="21.296875" style="1" customWidth="1"/>
    <col min="8" max="16384" width="8.796875" style="1"/>
  </cols>
  <sheetData>
    <row r="1" spans="1:7" ht="19.2" x14ac:dyDescent="0.65">
      <c r="A1" s="11" t="s">
        <v>64</v>
      </c>
      <c r="B1" s="11"/>
      <c r="C1" s="11"/>
      <c r="D1" s="11"/>
      <c r="E1" s="11"/>
      <c r="F1" s="11"/>
      <c r="G1" s="11"/>
    </row>
    <row r="2" spans="1:7" ht="19.2" x14ac:dyDescent="0.65">
      <c r="A2" s="11" t="s">
        <v>47</v>
      </c>
      <c r="B2" s="11"/>
      <c r="C2" s="11"/>
      <c r="D2" s="11"/>
      <c r="E2" s="11"/>
      <c r="F2" s="11"/>
      <c r="G2" s="11"/>
    </row>
    <row r="3" spans="1:7" ht="19.2" x14ac:dyDescent="0.65">
      <c r="A3" s="11" t="s">
        <v>66</v>
      </c>
      <c r="B3" s="11"/>
      <c r="C3" s="11"/>
      <c r="D3" s="11"/>
      <c r="E3" s="11"/>
      <c r="F3" s="11"/>
      <c r="G3" s="11"/>
    </row>
    <row r="4" spans="1:7" ht="19.2" x14ac:dyDescent="0.65">
      <c r="A4" s="7"/>
      <c r="B4" s="7"/>
      <c r="C4" s="7"/>
      <c r="D4" s="7"/>
      <c r="E4" s="7"/>
      <c r="F4" s="7"/>
      <c r="G4" s="7"/>
    </row>
    <row r="5" spans="1:7" ht="20.399999999999999" x14ac:dyDescent="0.65">
      <c r="A5" s="19" t="s">
        <v>58</v>
      </c>
      <c r="B5" s="19"/>
      <c r="C5" s="19"/>
      <c r="D5" s="19"/>
      <c r="E5" s="19"/>
      <c r="F5" s="19"/>
      <c r="G5" s="19"/>
    </row>
    <row r="6" spans="1:7" ht="16.5" customHeight="1" thickBot="1" x14ac:dyDescent="0.7">
      <c r="A6" s="67"/>
      <c r="B6" s="12" t="s">
        <v>201</v>
      </c>
      <c r="C6" s="12"/>
      <c r="D6" s="12"/>
      <c r="E6" s="12" t="s">
        <v>202</v>
      </c>
      <c r="F6" s="12"/>
      <c r="G6" s="12"/>
    </row>
    <row r="7" spans="1:7" ht="38.25" customHeight="1" thickBot="1" x14ac:dyDescent="0.7">
      <c r="A7" s="4" t="s">
        <v>200</v>
      </c>
      <c r="B7" s="83" t="s">
        <v>48</v>
      </c>
      <c r="C7" s="83" t="s">
        <v>31</v>
      </c>
      <c r="D7" s="83" t="s">
        <v>35</v>
      </c>
      <c r="E7" s="83" t="s">
        <v>48</v>
      </c>
      <c r="F7" s="83" t="s">
        <v>31</v>
      </c>
      <c r="G7" s="83" t="s">
        <v>35</v>
      </c>
    </row>
    <row r="8" spans="1:7" x14ac:dyDescent="0.65">
      <c r="A8" s="30" t="s">
        <v>68</v>
      </c>
      <c r="B8" s="31">
        <v>3663840</v>
      </c>
      <c r="C8" s="31">
        <v>0</v>
      </c>
      <c r="D8" s="31">
        <v>3663840</v>
      </c>
      <c r="E8" s="31">
        <v>8958293</v>
      </c>
      <c r="F8" s="31">
        <v>0</v>
      </c>
      <c r="G8" s="31">
        <v>8958293</v>
      </c>
    </row>
    <row r="9" spans="1:7" x14ac:dyDescent="0.65">
      <c r="A9" s="30" t="s">
        <v>69</v>
      </c>
      <c r="B9" s="31">
        <v>1557494911</v>
      </c>
      <c r="C9" s="31">
        <v>-22585404</v>
      </c>
      <c r="D9" s="31">
        <v>1534909507</v>
      </c>
      <c r="E9" s="31">
        <v>3719579263</v>
      </c>
      <c r="F9" s="31">
        <v>-392629</v>
      </c>
      <c r="G9" s="31">
        <v>3719186634</v>
      </c>
    </row>
    <row r="10" spans="1:7" ht="19.2" thickBot="1" x14ac:dyDescent="0.7">
      <c r="A10" s="30" t="s">
        <v>2</v>
      </c>
      <c r="B10" s="34">
        <f t="shared" ref="B10:G10" si="0">SUM(B8:B9)</f>
        <v>1561158751</v>
      </c>
      <c r="C10" s="34">
        <f t="shared" si="0"/>
        <v>-22585404</v>
      </c>
      <c r="D10" s="34">
        <f t="shared" si="0"/>
        <v>1538573347</v>
      </c>
      <c r="E10" s="34">
        <f t="shared" si="0"/>
        <v>3728537556</v>
      </c>
      <c r="F10" s="34">
        <f t="shared" si="0"/>
        <v>-392629</v>
      </c>
      <c r="G10" s="34">
        <f t="shared" si="0"/>
        <v>3728144927</v>
      </c>
    </row>
    <row r="11" spans="1:7" ht="19.2" thickTop="1" x14ac:dyDescent="0.6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4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6"/>
  <sheetViews>
    <sheetView rightToLeft="1" view="pageBreakPreview" zoomScale="60" zoomScaleNormal="70" workbookViewId="0">
      <selection activeCell="B6" sqref="B6:I6"/>
    </sheetView>
  </sheetViews>
  <sheetFormatPr defaultRowHeight="18.600000000000001" x14ac:dyDescent="0.65"/>
  <cols>
    <col min="1" max="1" width="34.69921875" style="1" customWidth="1"/>
    <col min="2" max="2" width="16.59765625" style="1" customWidth="1"/>
    <col min="3" max="3" width="19.8984375" style="1" customWidth="1"/>
    <col min="4" max="4" width="19.59765625" style="1" customWidth="1"/>
    <col min="5" max="5" width="20.69921875" style="1" customWidth="1"/>
    <col min="6" max="6" width="14.3984375" style="1" customWidth="1"/>
    <col min="7" max="7" width="20.59765625" style="1" customWidth="1"/>
    <col min="8" max="8" width="20.296875" style="1" customWidth="1"/>
    <col min="9" max="9" width="23.09765625" style="1" customWidth="1"/>
    <col min="10" max="16384" width="8.796875" style="1"/>
  </cols>
  <sheetData>
    <row r="1" spans="1:9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</row>
    <row r="2" spans="1:9" ht="20.399999999999999" x14ac:dyDescent="0.65">
      <c r="A2" s="10" t="s">
        <v>47</v>
      </c>
      <c r="B2" s="10"/>
      <c r="C2" s="10"/>
      <c r="D2" s="10"/>
      <c r="E2" s="10"/>
      <c r="F2" s="10"/>
      <c r="G2" s="10"/>
      <c r="H2" s="10"/>
      <c r="I2" s="10"/>
    </row>
    <row r="3" spans="1:9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</row>
    <row r="4" spans="1:9" ht="20.399999999999999" x14ac:dyDescent="0.65">
      <c r="A4" s="6"/>
      <c r="B4" s="6"/>
      <c r="C4" s="6"/>
      <c r="D4" s="6"/>
      <c r="E4" s="6"/>
      <c r="F4" s="6"/>
      <c r="G4" s="6"/>
      <c r="H4" s="6"/>
      <c r="I4" s="6"/>
    </row>
    <row r="5" spans="1:9" ht="20.399999999999999" x14ac:dyDescent="0.65">
      <c r="A5" s="19" t="s">
        <v>42</v>
      </c>
      <c r="B5" s="19"/>
      <c r="C5" s="19"/>
      <c r="D5" s="19"/>
      <c r="E5" s="19"/>
      <c r="F5" s="19"/>
      <c r="G5" s="19"/>
      <c r="H5" s="19"/>
      <c r="I5" s="19"/>
    </row>
    <row r="6" spans="1:9" ht="16.5" customHeight="1" thickBot="1" x14ac:dyDescent="0.7">
      <c r="B6" s="12" t="s">
        <v>201</v>
      </c>
      <c r="C6" s="12"/>
      <c r="D6" s="12"/>
      <c r="E6" s="12"/>
      <c r="F6" s="12" t="s">
        <v>202</v>
      </c>
      <c r="G6" s="12"/>
      <c r="H6" s="12"/>
      <c r="I6" s="12"/>
    </row>
    <row r="7" spans="1:9" ht="19.2" thickBot="1" x14ac:dyDescent="0.7">
      <c r="A7" s="4" t="s">
        <v>26</v>
      </c>
      <c r="B7" s="2" t="s">
        <v>3</v>
      </c>
      <c r="C7" s="3" t="s">
        <v>11</v>
      </c>
      <c r="D7" s="2" t="s">
        <v>37</v>
      </c>
      <c r="E7" s="3" t="s">
        <v>39</v>
      </c>
      <c r="F7" s="2" t="s">
        <v>3</v>
      </c>
      <c r="G7" s="3" t="s">
        <v>11</v>
      </c>
      <c r="H7" s="2" t="s">
        <v>37</v>
      </c>
      <c r="I7" s="3" t="s">
        <v>39</v>
      </c>
    </row>
    <row r="8" spans="1:9" x14ac:dyDescent="0.65">
      <c r="A8" s="30" t="s">
        <v>75</v>
      </c>
      <c r="B8" s="31">
        <v>0</v>
      </c>
      <c r="C8" s="31">
        <v>0</v>
      </c>
      <c r="D8" s="31">
        <v>0</v>
      </c>
      <c r="E8" s="31">
        <v>0</v>
      </c>
      <c r="F8" s="31">
        <v>8000000</v>
      </c>
      <c r="G8" s="31">
        <v>60953834</v>
      </c>
      <c r="H8" s="31">
        <v>88020450</v>
      </c>
      <c r="I8" s="31">
        <v>-27066616</v>
      </c>
    </row>
    <row r="9" spans="1:9" x14ac:dyDescent="0.65">
      <c r="A9" s="30" t="s">
        <v>78</v>
      </c>
      <c r="B9" s="31">
        <v>0</v>
      </c>
      <c r="C9" s="31">
        <v>0</v>
      </c>
      <c r="D9" s="31">
        <v>0</v>
      </c>
      <c r="E9" s="31">
        <v>0</v>
      </c>
      <c r="F9" s="31">
        <v>32000000</v>
      </c>
      <c r="G9" s="31">
        <v>395700166</v>
      </c>
      <c r="H9" s="31">
        <v>95772726</v>
      </c>
      <c r="I9" s="31">
        <v>299927440</v>
      </c>
    </row>
    <row r="10" spans="1:9" x14ac:dyDescent="0.65">
      <c r="A10" s="30" t="s">
        <v>79</v>
      </c>
      <c r="B10" s="31">
        <v>0</v>
      </c>
      <c r="C10" s="31">
        <v>0</v>
      </c>
      <c r="D10" s="31">
        <v>0</v>
      </c>
      <c r="E10" s="31">
        <v>0</v>
      </c>
      <c r="F10" s="31">
        <v>14000000</v>
      </c>
      <c r="G10" s="31">
        <v>126903870</v>
      </c>
      <c r="H10" s="31">
        <v>150017443</v>
      </c>
      <c r="I10" s="31">
        <v>-23113573</v>
      </c>
    </row>
    <row r="11" spans="1:9" x14ac:dyDescent="0.65">
      <c r="A11" s="30" t="s">
        <v>80</v>
      </c>
      <c r="B11" s="31">
        <v>0</v>
      </c>
      <c r="C11" s="31">
        <v>0</v>
      </c>
      <c r="D11" s="31">
        <v>0</v>
      </c>
      <c r="E11" s="31">
        <v>0</v>
      </c>
      <c r="F11" s="31">
        <v>5000000</v>
      </c>
      <c r="G11" s="31">
        <v>64950770</v>
      </c>
      <c r="H11" s="31">
        <v>14962107</v>
      </c>
      <c r="I11" s="31">
        <v>49988663</v>
      </c>
    </row>
    <row r="12" spans="1:9" x14ac:dyDescent="0.65">
      <c r="A12" s="30" t="s">
        <v>81</v>
      </c>
      <c r="B12" s="31">
        <v>0</v>
      </c>
      <c r="C12" s="31">
        <v>0</v>
      </c>
      <c r="D12" s="31">
        <v>0</v>
      </c>
      <c r="E12" s="31">
        <v>0</v>
      </c>
      <c r="F12" s="31">
        <v>11000000</v>
      </c>
      <c r="G12" s="31">
        <v>191854617</v>
      </c>
      <c r="H12" s="31">
        <v>329103803</v>
      </c>
      <c r="I12" s="31">
        <v>-137249186</v>
      </c>
    </row>
    <row r="13" spans="1:9" x14ac:dyDescent="0.65">
      <c r="A13" s="30" t="s">
        <v>82</v>
      </c>
      <c r="B13" s="31">
        <v>0</v>
      </c>
      <c r="C13" s="31">
        <v>0</v>
      </c>
      <c r="D13" s="31">
        <v>0</v>
      </c>
      <c r="E13" s="31">
        <v>0</v>
      </c>
      <c r="F13" s="31">
        <v>5000000</v>
      </c>
      <c r="G13" s="31">
        <v>76941700</v>
      </c>
      <c r="H13" s="31">
        <v>193166649</v>
      </c>
      <c r="I13" s="31">
        <v>-116224949</v>
      </c>
    </row>
    <row r="14" spans="1:9" x14ac:dyDescent="0.65">
      <c r="A14" s="30" t="s">
        <v>83</v>
      </c>
      <c r="B14" s="31">
        <v>0</v>
      </c>
      <c r="C14" s="31">
        <v>0</v>
      </c>
      <c r="D14" s="31">
        <v>0</v>
      </c>
      <c r="E14" s="31">
        <v>0</v>
      </c>
      <c r="F14" s="31">
        <v>1105454</v>
      </c>
      <c r="G14" s="31">
        <v>5875656169</v>
      </c>
      <c r="H14" s="31">
        <v>5233649749</v>
      </c>
      <c r="I14" s="31">
        <v>642006420</v>
      </c>
    </row>
    <row r="15" spans="1:9" x14ac:dyDescent="0.65">
      <c r="A15" s="30" t="s">
        <v>84</v>
      </c>
      <c r="B15" s="31">
        <v>0</v>
      </c>
      <c r="C15" s="31">
        <v>0</v>
      </c>
      <c r="D15" s="31">
        <v>0</v>
      </c>
      <c r="E15" s="31">
        <v>0</v>
      </c>
      <c r="F15" s="31">
        <v>10800000</v>
      </c>
      <c r="G15" s="31">
        <v>6220739248</v>
      </c>
      <c r="H15" s="31">
        <v>6274283688</v>
      </c>
      <c r="I15" s="31">
        <v>-53544440</v>
      </c>
    </row>
    <row r="16" spans="1:9" x14ac:dyDescent="0.65">
      <c r="A16" s="30" t="s">
        <v>85</v>
      </c>
      <c r="B16" s="31">
        <v>0</v>
      </c>
      <c r="C16" s="31">
        <v>0</v>
      </c>
      <c r="D16" s="31">
        <v>0</v>
      </c>
      <c r="E16" s="31">
        <v>0</v>
      </c>
      <c r="F16" s="31">
        <v>1000000</v>
      </c>
      <c r="G16" s="31">
        <v>77980889</v>
      </c>
      <c r="H16" s="31">
        <v>1942399</v>
      </c>
      <c r="I16" s="31">
        <v>76038490</v>
      </c>
    </row>
    <row r="17" spans="1:9" x14ac:dyDescent="0.65">
      <c r="A17" s="30" t="s">
        <v>86</v>
      </c>
      <c r="B17" s="31">
        <v>0</v>
      </c>
      <c r="C17" s="31">
        <v>0</v>
      </c>
      <c r="D17" s="31">
        <v>0</v>
      </c>
      <c r="E17" s="31">
        <v>0</v>
      </c>
      <c r="F17" s="31">
        <v>11000000</v>
      </c>
      <c r="G17" s="31">
        <v>144890222</v>
      </c>
      <c r="H17" s="31">
        <v>64023467</v>
      </c>
      <c r="I17" s="31">
        <v>80866755</v>
      </c>
    </row>
    <row r="18" spans="1:9" x14ac:dyDescent="0.65">
      <c r="A18" s="30" t="s">
        <v>87</v>
      </c>
      <c r="B18" s="31">
        <v>0</v>
      </c>
      <c r="C18" s="31">
        <v>0</v>
      </c>
      <c r="D18" s="31">
        <v>0</v>
      </c>
      <c r="E18" s="31">
        <v>0</v>
      </c>
      <c r="F18" s="31">
        <v>20000000</v>
      </c>
      <c r="G18" s="31">
        <v>348735672</v>
      </c>
      <c r="H18" s="31">
        <v>19750712</v>
      </c>
      <c r="I18" s="31">
        <v>328984960</v>
      </c>
    </row>
    <row r="19" spans="1:9" x14ac:dyDescent="0.65">
      <c r="A19" s="30" t="s">
        <v>88</v>
      </c>
      <c r="B19" s="31">
        <v>0</v>
      </c>
      <c r="C19" s="31">
        <v>0</v>
      </c>
      <c r="D19" s="31">
        <v>0</v>
      </c>
      <c r="E19" s="31">
        <v>0</v>
      </c>
      <c r="F19" s="31">
        <v>1200000</v>
      </c>
      <c r="G19" s="31">
        <v>3952012977</v>
      </c>
      <c r="H19" s="31">
        <v>3772517754</v>
      </c>
      <c r="I19" s="31">
        <v>179495223</v>
      </c>
    </row>
    <row r="20" spans="1:9" x14ac:dyDescent="0.65">
      <c r="A20" s="30" t="s">
        <v>89</v>
      </c>
      <c r="B20" s="31">
        <v>0</v>
      </c>
      <c r="C20" s="31">
        <v>0</v>
      </c>
      <c r="D20" s="31">
        <v>0</v>
      </c>
      <c r="E20" s="31">
        <v>0</v>
      </c>
      <c r="F20" s="31">
        <v>200000</v>
      </c>
      <c r="G20" s="31">
        <v>1738457084</v>
      </c>
      <c r="H20" s="31">
        <v>1728227686</v>
      </c>
      <c r="I20" s="31">
        <v>10229398</v>
      </c>
    </row>
    <row r="21" spans="1:9" x14ac:dyDescent="0.65">
      <c r="A21" s="30" t="s">
        <v>90</v>
      </c>
      <c r="B21" s="31">
        <v>0</v>
      </c>
      <c r="C21" s="31">
        <v>0</v>
      </c>
      <c r="D21" s="31">
        <v>0</v>
      </c>
      <c r="E21" s="31">
        <v>0</v>
      </c>
      <c r="F21" s="31">
        <v>1100000</v>
      </c>
      <c r="G21" s="31">
        <v>14835801785</v>
      </c>
      <c r="H21" s="31">
        <v>12551375714</v>
      </c>
      <c r="I21" s="31">
        <v>2284426071</v>
      </c>
    </row>
    <row r="22" spans="1:9" x14ac:dyDescent="0.65">
      <c r="A22" s="30" t="s">
        <v>91</v>
      </c>
      <c r="B22" s="31">
        <v>0</v>
      </c>
      <c r="C22" s="31">
        <v>0</v>
      </c>
      <c r="D22" s="31">
        <v>0</v>
      </c>
      <c r="E22" s="31">
        <v>0</v>
      </c>
      <c r="F22" s="31">
        <v>133750</v>
      </c>
      <c r="G22" s="31">
        <v>4817594885</v>
      </c>
      <c r="H22" s="31">
        <v>3904138426</v>
      </c>
      <c r="I22" s="31">
        <v>913456459</v>
      </c>
    </row>
    <row r="23" spans="1:9" x14ac:dyDescent="0.65">
      <c r="A23" s="30" t="s">
        <v>92</v>
      </c>
      <c r="B23" s="31">
        <v>0</v>
      </c>
      <c r="C23" s="31">
        <v>0</v>
      </c>
      <c r="D23" s="31">
        <v>0</v>
      </c>
      <c r="E23" s="31">
        <v>0</v>
      </c>
      <c r="F23" s="31">
        <v>2450000</v>
      </c>
      <c r="G23" s="31">
        <v>9241456646</v>
      </c>
      <c r="H23" s="31">
        <v>10267435753</v>
      </c>
      <c r="I23" s="31">
        <v>-1025979107</v>
      </c>
    </row>
    <row r="24" spans="1:9" x14ac:dyDescent="0.65">
      <c r="A24" s="30" t="s">
        <v>93</v>
      </c>
      <c r="B24" s="31">
        <v>0</v>
      </c>
      <c r="C24" s="31">
        <v>0</v>
      </c>
      <c r="D24" s="31">
        <v>0</v>
      </c>
      <c r="E24" s="31">
        <v>0</v>
      </c>
      <c r="F24" s="31">
        <v>1000000</v>
      </c>
      <c r="G24" s="31">
        <v>51960615</v>
      </c>
      <c r="H24" s="31">
        <v>83023483</v>
      </c>
      <c r="I24" s="31">
        <v>-31062868</v>
      </c>
    </row>
    <row r="25" spans="1:9" x14ac:dyDescent="0.65">
      <c r="A25" s="30" t="s">
        <v>94</v>
      </c>
      <c r="B25" s="31">
        <v>0</v>
      </c>
      <c r="C25" s="31">
        <v>0</v>
      </c>
      <c r="D25" s="31">
        <v>0</v>
      </c>
      <c r="E25" s="31">
        <v>0</v>
      </c>
      <c r="F25" s="31">
        <v>1000000</v>
      </c>
      <c r="G25" s="31">
        <v>381161053</v>
      </c>
      <c r="H25" s="31">
        <v>392413355</v>
      </c>
      <c r="I25" s="31">
        <v>-11252302</v>
      </c>
    </row>
    <row r="26" spans="1:9" x14ac:dyDescent="0.65">
      <c r="A26" s="30" t="s">
        <v>95</v>
      </c>
      <c r="B26" s="31">
        <v>0</v>
      </c>
      <c r="C26" s="31">
        <v>0</v>
      </c>
      <c r="D26" s="31">
        <v>0</v>
      </c>
      <c r="E26" s="31">
        <v>0</v>
      </c>
      <c r="F26" s="31">
        <v>2900000</v>
      </c>
      <c r="G26" s="31">
        <v>21814981638</v>
      </c>
      <c r="H26" s="31">
        <v>23394781032</v>
      </c>
      <c r="I26" s="31">
        <v>-1579799394</v>
      </c>
    </row>
    <row r="27" spans="1:9" x14ac:dyDescent="0.65">
      <c r="A27" s="30" t="s">
        <v>96</v>
      </c>
      <c r="B27" s="31">
        <v>0</v>
      </c>
      <c r="C27" s="31">
        <v>0</v>
      </c>
      <c r="D27" s="31">
        <v>0</v>
      </c>
      <c r="E27" s="31">
        <v>0</v>
      </c>
      <c r="F27" s="31">
        <v>170000</v>
      </c>
      <c r="G27" s="31">
        <v>2753946186</v>
      </c>
      <c r="H27" s="31">
        <v>2564501033</v>
      </c>
      <c r="I27" s="31">
        <v>189445153</v>
      </c>
    </row>
    <row r="28" spans="1:9" x14ac:dyDescent="0.65">
      <c r="A28" s="30" t="s">
        <v>97</v>
      </c>
      <c r="B28" s="31">
        <v>0</v>
      </c>
      <c r="C28" s="31">
        <v>0</v>
      </c>
      <c r="D28" s="31">
        <v>0</v>
      </c>
      <c r="E28" s="31">
        <v>0</v>
      </c>
      <c r="F28" s="31">
        <v>49000</v>
      </c>
      <c r="G28" s="31">
        <v>1444536745</v>
      </c>
      <c r="H28" s="31">
        <v>1279640401</v>
      </c>
      <c r="I28" s="31">
        <v>164896344</v>
      </c>
    </row>
    <row r="29" spans="1:9" x14ac:dyDescent="0.65">
      <c r="A29" s="30" t="s">
        <v>98</v>
      </c>
      <c r="B29" s="31">
        <v>0</v>
      </c>
      <c r="C29" s="31">
        <v>0</v>
      </c>
      <c r="D29" s="31">
        <v>0</v>
      </c>
      <c r="E29" s="31">
        <v>0</v>
      </c>
      <c r="F29" s="31">
        <v>5149000</v>
      </c>
      <c r="G29" s="31">
        <v>2128867180</v>
      </c>
      <c r="H29" s="31">
        <v>62206486</v>
      </c>
      <c r="I29" s="31">
        <v>2066660694</v>
      </c>
    </row>
    <row r="30" spans="1:9" x14ac:dyDescent="0.65">
      <c r="A30" s="30" t="s">
        <v>99</v>
      </c>
      <c r="B30" s="31">
        <v>0</v>
      </c>
      <c r="C30" s="31">
        <v>0</v>
      </c>
      <c r="D30" s="31">
        <v>0</v>
      </c>
      <c r="E30" s="31">
        <v>0</v>
      </c>
      <c r="F30" s="31">
        <v>100000</v>
      </c>
      <c r="G30" s="31">
        <v>2222684823</v>
      </c>
      <c r="H30" s="31">
        <v>2066451823</v>
      </c>
      <c r="I30" s="31">
        <v>156233000</v>
      </c>
    </row>
    <row r="31" spans="1:9" x14ac:dyDescent="0.65">
      <c r="A31" s="30" t="s">
        <v>100</v>
      </c>
      <c r="B31" s="31">
        <v>0</v>
      </c>
      <c r="C31" s="31">
        <v>0</v>
      </c>
      <c r="D31" s="31">
        <v>0</v>
      </c>
      <c r="E31" s="31">
        <v>0</v>
      </c>
      <c r="F31" s="31">
        <v>4000000</v>
      </c>
      <c r="G31" s="31">
        <v>1402936497</v>
      </c>
      <c r="H31" s="31">
        <v>1316934107</v>
      </c>
      <c r="I31" s="31">
        <v>86002390</v>
      </c>
    </row>
    <row r="32" spans="1:9" x14ac:dyDescent="0.65">
      <c r="A32" s="30" t="s">
        <v>101</v>
      </c>
      <c r="B32" s="31">
        <v>0</v>
      </c>
      <c r="C32" s="31">
        <v>0</v>
      </c>
      <c r="D32" s="31">
        <v>0</v>
      </c>
      <c r="E32" s="31">
        <v>0</v>
      </c>
      <c r="F32" s="31">
        <v>148596000</v>
      </c>
      <c r="G32" s="31">
        <v>2596420247</v>
      </c>
      <c r="H32" s="31">
        <v>153149604</v>
      </c>
      <c r="I32" s="31">
        <v>2443270643</v>
      </c>
    </row>
    <row r="33" spans="1:9" x14ac:dyDescent="0.65">
      <c r="A33" s="30" t="s">
        <v>102</v>
      </c>
      <c r="B33" s="31">
        <v>0</v>
      </c>
      <c r="C33" s="31">
        <v>0</v>
      </c>
      <c r="D33" s="31">
        <v>0</v>
      </c>
      <c r="E33" s="31">
        <v>0</v>
      </c>
      <c r="F33" s="31">
        <v>36000000</v>
      </c>
      <c r="G33" s="31">
        <v>334746428</v>
      </c>
      <c r="H33" s="31">
        <v>71800788</v>
      </c>
      <c r="I33" s="31">
        <v>262945640</v>
      </c>
    </row>
    <row r="34" spans="1:9" x14ac:dyDescent="0.65">
      <c r="A34" s="30" t="s">
        <v>103</v>
      </c>
      <c r="B34" s="31">
        <v>0</v>
      </c>
      <c r="C34" s="31">
        <v>0</v>
      </c>
      <c r="D34" s="31">
        <v>0</v>
      </c>
      <c r="E34" s="31">
        <v>0</v>
      </c>
      <c r="F34" s="31">
        <v>200000</v>
      </c>
      <c r="G34" s="31">
        <v>5146100772</v>
      </c>
      <c r="H34" s="31">
        <v>4429940696</v>
      </c>
      <c r="I34" s="31">
        <v>716160076</v>
      </c>
    </row>
    <row r="35" spans="1:9" x14ac:dyDescent="0.65">
      <c r="A35" s="30" t="s">
        <v>104</v>
      </c>
      <c r="B35" s="31">
        <v>0</v>
      </c>
      <c r="C35" s="31">
        <v>0</v>
      </c>
      <c r="D35" s="31">
        <v>0</v>
      </c>
      <c r="E35" s="31">
        <v>0</v>
      </c>
      <c r="F35" s="31">
        <v>9141000</v>
      </c>
      <c r="G35" s="31">
        <v>15623586935</v>
      </c>
      <c r="H35" s="31">
        <v>15652072694</v>
      </c>
      <c r="I35" s="31">
        <v>-28485759</v>
      </c>
    </row>
    <row r="36" spans="1:9" x14ac:dyDescent="0.65">
      <c r="A36" s="30" t="s">
        <v>105</v>
      </c>
      <c r="B36" s="31">
        <v>0</v>
      </c>
      <c r="C36" s="31">
        <v>0</v>
      </c>
      <c r="D36" s="31">
        <v>0</v>
      </c>
      <c r="E36" s="31">
        <v>0</v>
      </c>
      <c r="F36" s="31">
        <v>200000</v>
      </c>
      <c r="G36" s="31">
        <v>1492374080</v>
      </c>
      <c r="H36" s="31">
        <v>1290832722</v>
      </c>
      <c r="I36" s="31">
        <v>201541358</v>
      </c>
    </row>
    <row r="37" spans="1:9" x14ac:dyDescent="0.65">
      <c r="A37" s="30" t="s">
        <v>106</v>
      </c>
      <c r="B37" s="31">
        <v>0</v>
      </c>
      <c r="C37" s="31">
        <v>0</v>
      </c>
      <c r="D37" s="31">
        <v>-2950920590</v>
      </c>
      <c r="E37" s="31">
        <v>2950920590</v>
      </c>
      <c r="F37" s="31">
        <v>3500000</v>
      </c>
      <c r="G37" s="31">
        <v>3004685259</v>
      </c>
      <c r="H37" s="31">
        <v>53764669</v>
      </c>
      <c r="I37" s="31">
        <v>2950920590</v>
      </c>
    </row>
    <row r="38" spans="1:9" x14ac:dyDescent="0.65">
      <c r="A38" s="30" t="s">
        <v>107</v>
      </c>
      <c r="B38" s="31">
        <v>0</v>
      </c>
      <c r="C38" s="31">
        <v>0</v>
      </c>
      <c r="D38" s="31">
        <v>0</v>
      </c>
      <c r="E38" s="31">
        <v>0</v>
      </c>
      <c r="F38" s="31">
        <v>8000000</v>
      </c>
      <c r="G38" s="31">
        <v>249810648</v>
      </c>
      <c r="H38" s="31">
        <v>55853032</v>
      </c>
      <c r="I38" s="31">
        <v>193957616</v>
      </c>
    </row>
    <row r="39" spans="1:9" x14ac:dyDescent="0.65">
      <c r="A39" s="30" t="s">
        <v>108</v>
      </c>
      <c r="B39" s="31">
        <v>0</v>
      </c>
      <c r="C39" s="31">
        <v>0</v>
      </c>
      <c r="D39" s="31">
        <v>0</v>
      </c>
      <c r="E39" s="31">
        <v>0</v>
      </c>
      <c r="F39" s="31">
        <v>2300000</v>
      </c>
      <c r="G39" s="31">
        <v>17160317626</v>
      </c>
      <c r="H39" s="31">
        <v>18580529826</v>
      </c>
      <c r="I39" s="31">
        <v>-1420212200</v>
      </c>
    </row>
    <row r="40" spans="1:9" x14ac:dyDescent="0.65">
      <c r="A40" s="30" t="s">
        <v>109</v>
      </c>
      <c r="B40" s="31">
        <v>0</v>
      </c>
      <c r="C40" s="31">
        <v>0</v>
      </c>
      <c r="D40" s="31">
        <v>0</v>
      </c>
      <c r="E40" s="31">
        <v>0</v>
      </c>
      <c r="F40" s="31">
        <v>700000</v>
      </c>
      <c r="G40" s="31">
        <v>10200715278</v>
      </c>
      <c r="H40" s="31">
        <v>10478287108</v>
      </c>
      <c r="I40" s="31">
        <v>-277571830</v>
      </c>
    </row>
    <row r="41" spans="1:9" x14ac:dyDescent="0.65">
      <c r="A41" s="30" t="s">
        <v>110</v>
      </c>
      <c r="B41" s="31">
        <v>0</v>
      </c>
      <c r="C41" s="31">
        <v>0</v>
      </c>
      <c r="D41" s="31">
        <v>0</v>
      </c>
      <c r="E41" s="31">
        <v>0</v>
      </c>
      <c r="F41" s="31">
        <v>200000</v>
      </c>
      <c r="G41" s="31">
        <v>1053201595</v>
      </c>
      <c r="H41" s="31">
        <v>1099234231</v>
      </c>
      <c r="I41" s="31">
        <v>-46032636</v>
      </c>
    </row>
    <row r="42" spans="1:9" x14ac:dyDescent="0.65">
      <c r="A42" s="30" t="s">
        <v>111</v>
      </c>
      <c r="B42" s="31">
        <v>0</v>
      </c>
      <c r="C42" s="31">
        <v>0</v>
      </c>
      <c r="D42" s="31">
        <v>0</v>
      </c>
      <c r="E42" s="31">
        <v>0</v>
      </c>
      <c r="F42" s="31">
        <v>25424000</v>
      </c>
      <c r="G42" s="31">
        <v>608223068</v>
      </c>
      <c r="H42" s="31">
        <v>324504958</v>
      </c>
      <c r="I42" s="31">
        <v>283718110</v>
      </c>
    </row>
    <row r="43" spans="1:9" x14ac:dyDescent="0.65">
      <c r="A43" s="30" t="s">
        <v>112</v>
      </c>
      <c r="B43" s="31">
        <v>0</v>
      </c>
      <c r="C43" s="31">
        <v>0</v>
      </c>
      <c r="D43" s="31">
        <v>0</v>
      </c>
      <c r="E43" s="31">
        <v>0</v>
      </c>
      <c r="F43" s="31">
        <v>100000</v>
      </c>
      <c r="G43" s="31">
        <v>139894951</v>
      </c>
      <c r="H43" s="31">
        <v>112979266</v>
      </c>
      <c r="I43" s="31">
        <v>26915685</v>
      </c>
    </row>
    <row r="44" spans="1:9" x14ac:dyDescent="0.65">
      <c r="A44" s="30" t="s">
        <v>113</v>
      </c>
      <c r="B44" s="31">
        <v>0</v>
      </c>
      <c r="C44" s="31">
        <v>0</v>
      </c>
      <c r="D44" s="31">
        <v>0</v>
      </c>
      <c r="E44" s="31">
        <v>0</v>
      </c>
      <c r="F44" s="31">
        <v>5000000</v>
      </c>
      <c r="G44" s="31">
        <v>120908364</v>
      </c>
      <c r="H44" s="31">
        <v>14919709</v>
      </c>
      <c r="I44" s="31">
        <v>105988655</v>
      </c>
    </row>
    <row r="45" spans="1:9" x14ac:dyDescent="0.65">
      <c r="A45" s="30" t="s">
        <v>114</v>
      </c>
      <c r="B45" s="31">
        <v>0</v>
      </c>
      <c r="C45" s="31">
        <v>0</v>
      </c>
      <c r="D45" s="31">
        <v>0</v>
      </c>
      <c r="E45" s="31">
        <v>0</v>
      </c>
      <c r="F45" s="31">
        <v>8000000</v>
      </c>
      <c r="G45" s="31">
        <v>256805344</v>
      </c>
      <c r="H45" s="31">
        <v>31829545</v>
      </c>
      <c r="I45" s="31">
        <v>224975799</v>
      </c>
    </row>
    <row r="46" spans="1:9" x14ac:dyDescent="0.65">
      <c r="A46" s="30" t="s">
        <v>115</v>
      </c>
      <c r="B46" s="31">
        <v>0</v>
      </c>
      <c r="C46" s="31">
        <v>0</v>
      </c>
      <c r="D46" s="31">
        <v>0</v>
      </c>
      <c r="E46" s="31">
        <v>0</v>
      </c>
      <c r="F46" s="31">
        <v>8096000</v>
      </c>
      <c r="G46" s="31">
        <v>327383857</v>
      </c>
      <c r="H46" s="31">
        <v>32160346</v>
      </c>
      <c r="I46" s="31">
        <v>295223511</v>
      </c>
    </row>
    <row r="47" spans="1:9" x14ac:dyDescent="0.65">
      <c r="A47" s="30" t="s">
        <v>116</v>
      </c>
      <c r="B47" s="31">
        <v>0</v>
      </c>
      <c r="C47" s="31">
        <v>0</v>
      </c>
      <c r="D47" s="31">
        <v>0</v>
      </c>
      <c r="E47" s="31">
        <v>0</v>
      </c>
      <c r="F47" s="31">
        <v>1256501</v>
      </c>
      <c r="G47" s="31">
        <v>9700012759</v>
      </c>
      <c r="H47" s="31">
        <v>7872659474</v>
      </c>
      <c r="I47" s="31">
        <v>1827353285</v>
      </c>
    </row>
    <row r="48" spans="1:9" x14ac:dyDescent="0.65">
      <c r="A48" s="30" t="s">
        <v>117</v>
      </c>
      <c r="B48" s="31">
        <v>0</v>
      </c>
      <c r="C48" s="31">
        <v>0</v>
      </c>
      <c r="D48" s="31">
        <v>0</v>
      </c>
      <c r="E48" s="31">
        <v>0</v>
      </c>
      <c r="F48" s="31">
        <v>100000</v>
      </c>
      <c r="G48" s="31">
        <v>6318775366</v>
      </c>
      <c r="H48" s="31">
        <v>4303656508</v>
      </c>
      <c r="I48" s="31">
        <v>2015118858</v>
      </c>
    </row>
    <row r="49" spans="1:9" x14ac:dyDescent="0.65">
      <c r="A49" s="30" t="s">
        <v>118</v>
      </c>
      <c r="B49" s="31">
        <v>0</v>
      </c>
      <c r="C49" s="31">
        <v>0</v>
      </c>
      <c r="D49" s="31">
        <v>0</v>
      </c>
      <c r="E49" s="31">
        <v>0</v>
      </c>
      <c r="F49" s="31">
        <v>6000000</v>
      </c>
      <c r="G49" s="31">
        <v>2470752400</v>
      </c>
      <c r="H49" s="31">
        <v>2814280790</v>
      </c>
      <c r="I49" s="31">
        <v>-343528390</v>
      </c>
    </row>
    <row r="50" spans="1:9" x14ac:dyDescent="0.65">
      <c r="A50" s="30" t="s">
        <v>73</v>
      </c>
      <c r="B50" s="31">
        <v>0</v>
      </c>
      <c r="C50" s="31">
        <v>0</v>
      </c>
      <c r="D50" s="31">
        <v>0</v>
      </c>
      <c r="E50" s="31">
        <v>0</v>
      </c>
      <c r="F50" s="31">
        <v>200000</v>
      </c>
      <c r="G50" s="31">
        <v>5665861700</v>
      </c>
      <c r="H50" s="31">
        <v>5510589160</v>
      </c>
      <c r="I50" s="31">
        <v>155272540</v>
      </c>
    </row>
    <row r="51" spans="1:9" x14ac:dyDescent="0.65">
      <c r="A51" s="30" t="s">
        <v>119</v>
      </c>
      <c r="B51" s="31">
        <v>0</v>
      </c>
      <c r="C51" s="31">
        <v>0</v>
      </c>
      <c r="D51" s="31">
        <v>0</v>
      </c>
      <c r="E51" s="31">
        <v>0</v>
      </c>
      <c r="F51" s="31">
        <v>3200000</v>
      </c>
      <c r="G51" s="31">
        <v>11113821014</v>
      </c>
      <c r="H51" s="31">
        <v>12416498507</v>
      </c>
      <c r="I51" s="31">
        <v>-1302677493</v>
      </c>
    </row>
    <row r="52" spans="1:9" x14ac:dyDescent="0.65">
      <c r="A52" s="30" t="s">
        <v>120</v>
      </c>
      <c r="B52" s="31">
        <v>0</v>
      </c>
      <c r="C52" s="31">
        <v>0</v>
      </c>
      <c r="D52" s="31">
        <v>0</v>
      </c>
      <c r="E52" s="31">
        <v>0</v>
      </c>
      <c r="F52" s="31">
        <v>16520000</v>
      </c>
      <c r="G52" s="31">
        <v>21398380503</v>
      </c>
      <c r="H52" s="31">
        <v>24660196930</v>
      </c>
      <c r="I52" s="31">
        <v>-3261816427</v>
      </c>
    </row>
    <row r="53" spans="1:9" x14ac:dyDescent="0.65">
      <c r="A53" s="30" t="s">
        <v>121</v>
      </c>
      <c r="B53" s="31">
        <v>0</v>
      </c>
      <c r="C53" s="31">
        <v>0</v>
      </c>
      <c r="D53" s="31">
        <v>0</v>
      </c>
      <c r="E53" s="31">
        <v>0</v>
      </c>
      <c r="F53" s="31">
        <v>400000</v>
      </c>
      <c r="G53" s="31">
        <v>4735112467</v>
      </c>
      <c r="H53" s="31">
        <v>4102862907</v>
      </c>
      <c r="I53" s="31">
        <v>632249560</v>
      </c>
    </row>
    <row r="54" spans="1:9" x14ac:dyDescent="0.65">
      <c r="A54" s="30" t="s">
        <v>122</v>
      </c>
      <c r="B54" s="31">
        <v>0</v>
      </c>
      <c r="C54" s="31">
        <v>0</v>
      </c>
      <c r="D54" s="31">
        <v>0</v>
      </c>
      <c r="E54" s="31">
        <v>0</v>
      </c>
      <c r="F54" s="31">
        <v>77000000</v>
      </c>
      <c r="G54" s="31">
        <v>379712256</v>
      </c>
      <c r="H54" s="31">
        <v>-287744</v>
      </c>
      <c r="I54" s="31">
        <v>380000000</v>
      </c>
    </row>
    <row r="55" spans="1:9" x14ac:dyDescent="0.65">
      <c r="A55" s="30" t="s">
        <v>123</v>
      </c>
      <c r="B55" s="31">
        <v>0</v>
      </c>
      <c r="C55" s="31">
        <v>0</v>
      </c>
      <c r="D55" s="31">
        <v>0</v>
      </c>
      <c r="E55" s="31">
        <v>0</v>
      </c>
      <c r="F55" s="31">
        <v>50000</v>
      </c>
      <c r="G55" s="31">
        <v>2588588775</v>
      </c>
      <c r="H55" s="31">
        <v>2526991446</v>
      </c>
      <c r="I55" s="31">
        <v>61597329</v>
      </c>
    </row>
    <row r="56" spans="1:9" x14ac:dyDescent="0.65">
      <c r="A56" s="30" t="s">
        <v>124</v>
      </c>
      <c r="B56" s="31">
        <v>0</v>
      </c>
      <c r="C56" s="31">
        <v>0</v>
      </c>
      <c r="D56" s="31">
        <v>0</v>
      </c>
      <c r="E56" s="31">
        <v>0</v>
      </c>
      <c r="F56" s="31">
        <v>301000</v>
      </c>
      <c r="G56" s="31">
        <v>4325866110</v>
      </c>
      <c r="H56" s="31">
        <v>4207461025</v>
      </c>
      <c r="I56" s="31">
        <v>118405085</v>
      </c>
    </row>
    <row r="57" spans="1:9" x14ac:dyDescent="0.65">
      <c r="A57" s="30" t="s">
        <v>125</v>
      </c>
      <c r="B57" s="31">
        <v>0</v>
      </c>
      <c r="C57" s="31">
        <v>0</v>
      </c>
      <c r="D57" s="31">
        <v>0</v>
      </c>
      <c r="E57" s="31">
        <v>0</v>
      </c>
      <c r="F57" s="31">
        <v>750000</v>
      </c>
      <c r="G57" s="31">
        <v>9053223432</v>
      </c>
      <c r="H57" s="31">
        <v>6095734032</v>
      </c>
      <c r="I57" s="31">
        <v>2957489400</v>
      </c>
    </row>
    <row r="58" spans="1:9" x14ac:dyDescent="0.65">
      <c r="A58" s="30" t="s">
        <v>126</v>
      </c>
      <c r="B58" s="31">
        <v>0</v>
      </c>
      <c r="C58" s="31">
        <v>0</v>
      </c>
      <c r="D58" s="31">
        <v>0</v>
      </c>
      <c r="E58" s="31">
        <v>0</v>
      </c>
      <c r="F58" s="31">
        <v>50000</v>
      </c>
      <c r="G58" s="31">
        <v>3345438305</v>
      </c>
      <c r="H58" s="31">
        <v>2323638386</v>
      </c>
      <c r="I58" s="31">
        <v>1021799919</v>
      </c>
    </row>
    <row r="59" spans="1:9" x14ac:dyDescent="0.65">
      <c r="A59" s="30" t="s">
        <v>127</v>
      </c>
      <c r="B59" s="31">
        <v>0</v>
      </c>
      <c r="C59" s="31">
        <v>0</v>
      </c>
      <c r="D59" s="31">
        <v>0</v>
      </c>
      <c r="E59" s="31">
        <v>0</v>
      </c>
      <c r="F59" s="31">
        <v>800000</v>
      </c>
      <c r="G59" s="31">
        <v>3354666439</v>
      </c>
      <c r="H59" s="31">
        <v>2871294839</v>
      </c>
      <c r="I59" s="31">
        <v>483371600</v>
      </c>
    </row>
    <row r="60" spans="1:9" x14ac:dyDescent="0.65">
      <c r="A60" s="30" t="s">
        <v>128</v>
      </c>
      <c r="B60" s="31">
        <v>0</v>
      </c>
      <c r="C60" s="31">
        <v>0</v>
      </c>
      <c r="D60" s="31">
        <v>0</v>
      </c>
      <c r="E60" s="31">
        <v>0</v>
      </c>
      <c r="F60" s="31">
        <v>100000</v>
      </c>
      <c r="G60" s="31">
        <v>1139636072</v>
      </c>
      <c r="H60" s="31">
        <v>570337002</v>
      </c>
      <c r="I60" s="31">
        <v>569299070</v>
      </c>
    </row>
    <row r="61" spans="1:9" x14ac:dyDescent="0.65">
      <c r="A61" s="30" t="s">
        <v>129</v>
      </c>
      <c r="B61" s="31">
        <v>0</v>
      </c>
      <c r="C61" s="31">
        <v>0</v>
      </c>
      <c r="D61" s="31">
        <v>0</v>
      </c>
      <c r="E61" s="31">
        <v>0</v>
      </c>
      <c r="F61" s="31">
        <v>837500</v>
      </c>
      <c r="G61" s="31">
        <v>4535170175</v>
      </c>
      <c r="H61" s="31">
        <v>3589717023</v>
      </c>
      <c r="I61" s="31">
        <v>945453152</v>
      </c>
    </row>
    <row r="62" spans="1:9" x14ac:dyDescent="0.65">
      <c r="A62" s="30" t="s">
        <v>130</v>
      </c>
      <c r="B62" s="31">
        <v>0</v>
      </c>
      <c r="C62" s="31">
        <v>0</v>
      </c>
      <c r="D62" s="31">
        <v>0</v>
      </c>
      <c r="E62" s="31">
        <v>0</v>
      </c>
      <c r="F62" s="31">
        <v>10009000</v>
      </c>
      <c r="G62" s="31">
        <v>155143432</v>
      </c>
      <c r="H62" s="31">
        <v>70088537</v>
      </c>
      <c r="I62" s="31">
        <v>85054895</v>
      </c>
    </row>
    <row r="63" spans="1:9" x14ac:dyDescent="0.65">
      <c r="A63" s="30" t="s">
        <v>131</v>
      </c>
      <c r="B63" s="31">
        <v>0</v>
      </c>
      <c r="C63" s="31">
        <v>0</v>
      </c>
      <c r="D63" s="31">
        <v>0</v>
      </c>
      <c r="E63" s="31">
        <v>0</v>
      </c>
      <c r="F63" s="31">
        <v>10000000</v>
      </c>
      <c r="G63" s="31">
        <v>109916722</v>
      </c>
      <c r="H63" s="31">
        <v>64965912</v>
      </c>
      <c r="I63" s="31">
        <v>44950810</v>
      </c>
    </row>
    <row r="64" spans="1:9" x14ac:dyDescent="0.65">
      <c r="A64" s="30" t="s">
        <v>132</v>
      </c>
      <c r="B64" s="31">
        <v>0</v>
      </c>
      <c r="C64" s="31">
        <v>0</v>
      </c>
      <c r="D64" s="31">
        <v>0</v>
      </c>
      <c r="E64" s="31">
        <v>0</v>
      </c>
      <c r="F64" s="31">
        <v>10000000</v>
      </c>
      <c r="G64" s="31">
        <v>99924294</v>
      </c>
      <c r="H64" s="31">
        <v>29947014</v>
      </c>
      <c r="I64" s="31">
        <v>69977280</v>
      </c>
    </row>
    <row r="65" spans="1:9" x14ac:dyDescent="0.65">
      <c r="A65" s="30" t="s">
        <v>133</v>
      </c>
      <c r="B65" s="31">
        <v>0</v>
      </c>
      <c r="C65" s="31">
        <v>0</v>
      </c>
      <c r="D65" s="31">
        <v>0</v>
      </c>
      <c r="E65" s="31">
        <v>0</v>
      </c>
      <c r="F65" s="31">
        <v>20000</v>
      </c>
      <c r="G65" s="31">
        <v>339744</v>
      </c>
      <c r="H65" s="31">
        <v>199892</v>
      </c>
      <c r="I65" s="31">
        <v>139852</v>
      </c>
    </row>
    <row r="66" spans="1:9" x14ac:dyDescent="0.65">
      <c r="A66" s="30" t="s">
        <v>134</v>
      </c>
      <c r="B66" s="31">
        <v>0</v>
      </c>
      <c r="C66" s="31">
        <v>0</v>
      </c>
      <c r="D66" s="31">
        <v>-145498868</v>
      </c>
      <c r="E66" s="31">
        <v>145498868</v>
      </c>
      <c r="F66" s="31">
        <v>100000</v>
      </c>
      <c r="G66" s="31">
        <v>146888649</v>
      </c>
      <c r="H66" s="31">
        <v>1389781</v>
      </c>
      <c r="I66" s="31">
        <v>145498868</v>
      </c>
    </row>
    <row r="67" spans="1:9" x14ac:dyDescent="0.65">
      <c r="A67" s="30" t="s">
        <v>135</v>
      </c>
      <c r="B67" s="31">
        <v>5000000</v>
      </c>
      <c r="C67" s="31">
        <v>119909125</v>
      </c>
      <c r="D67" s="31">
        <v>119909125</v>
      </c>
      <c r="E67" s="31">
        <v>0</v>
      </c>
      <c r="F67" s="31">
        <v>15000000</v>
      </c>
      <c r="G67" s="31">
        <v>551581958</v>
      </c>
      <c r="H67" s="31">
        <v>489862172</v>
      </c>
      <c r="I67" s="31">
        <v>61719786</v>
      </c>
    </row>
    <row r="68" spans="1:9" x14ac:dyDescent="0.65">
      <c r="A68" s="30" t="s">
        <v>136</v>
      </c>
      <c r="B68" s="31">
        <v>0</v>
      </c>
      <c r="C68" s="31">
        <v>0</v>
      </c>
      <c r="D68" s="31">
        <v>0</v>
      </c>
      <c r="E68" s="31">
        <v>0</v>
      </c>
      <c r="F68" s="31">
        <v>562500</v>
      </c>
      <c r="G68" s="31">
        <v>4950825640</v>
      </c>
      <c r="H68" s="31">
        <v>5503880249</v>
      </c>
      <c r="I68" s="31">
        <v>-553054609</v>
      </c>
    </row>
    <row r="69" spans="1:9" x14ac:dyDescent="0.65">
      <c r="A69" s="30" t="s">
        <v>137</v>
      </c>
      <c r="B69" s="31">
        <v>0</v>
      </c>
      <c r="C69" s="31">
        <v>0</v>
      </c>
      <c r="D69" s="31">
        <v>0</v>
      </c>
      <c r="E69" s="31">
        <v>0</v>
      </c>
      <c r="F69" s="31">
        <v>10000000</v>
      </c>
      <c r="G69" s="31">
        <v>134897786</v>
      </c>
      <c r="H69" s="31">
        <v>99973520</v>
      </c>
      <c r="I69" s="31">
        <v>34924266</v>
      </c>
    </row>
    <row r="70" spans="1:9" x14ac:dyDescent="0.65">
      <c r="A70" s="30" t="s">
        <v>138</v>
      </c>
      <c r="B70" s="31">
        <v>0</v>
      </c>
      <c r="C70" s="31">
        <v>0</v>
      </c>
      <c r="D70" s="31">
        <v>0</v>
      </c>
      <c r="E70" s="31">
        <v>0</v>
      </c>
      <c r="F70" s="31">
        <v>5000000</v>
      </c>
      <c r="G70" s="31">
        <v>89931841</v>
      </c>
      <c r="H70" s="31">
        <v>29954541</v>
      </c>
      <c r="I70" s="31">
        <v>59977300</v>
      </c>
    </row>
    <row r="71" spans="1:9" x14ac:dyDescent="0.65">
      <c r="A71" s="30" t="s">
        <v>139</v>
      </c>
      <c r="B71" s="31">
        <v>1000000</v>
      </c>
      <c r="C71" s="31">
        <v>1998490</v>
      </c>
      <c r="D71" s="31">
        <v>-102977351</v>
      </c>
      <c r="E71" s="31">
        <v>104975841</v>
      </c>
      <c r="F71" s="31">
        <v>16000000</v>
      </c>
      <c r="G71" s="31">
        <v>136896309</v>
      </c>
      <c r="H71" s="31">
        <v>31920468</v>
      </c>
      <c r="I71" s="31">
        <v>104975841</v>
      </c>
    </row>
    <row r="72" spans="1:9" x14ac:dyDescent="0.65">
      <c r="A72" s="30" t="s">
        <v>140</v>
      </c>
      <c r="B72" s="31">
        <v>5000000</v>
      </c>
      <c r="C72" s="31">
        <v>39969728</v>
      </c>
      <c r="D72" s="31">
        <v>39969728</v>
      </c>
      <c r="E72" s="31">
        <v>0</v>
      </c>
      <c r="F72" s="31">
        <v>5000000</v>
      </c>
      <c r="G72" s="31">
        <v>39969728</v>
      </c>
      <c r="H72" s="31">
        <v>39969728</v>
      </c>
      <c r="I72" s="31">
        <v>0</v>
      </c>
    </row>
    <row r="73" spans="1:9" x14ac:dyDescent="0.65">
      <c r="A73" s="30" t="s">
        <v>141</v>
      </c>
      <c r="B73" s="31">
        <v>5000000</v>
      </c>
      <c r="C73" s="31">
        <v>39969725</v>
      </c>
      <c r="D73" s="31">
        <v>39969725</v>
      </c>
      <c r="E73" s="31">
        <v>0</v>
      </c>
      <c r="F73" s="31">
        <v>5000000</v>
      </c>
      <c r="G73" s="31">
        <v>39969725</v>
      </c>
      <c r="H73" s="31">
        <v>39969725</v>
      </c>
      <c r="I73" s="31">
        <v>0</v>
      </c>
    </row>
    <row r="74" spans="1:9" x14ac:dyDescent="0.65">
      <c r="A74" s="30" t="s">
        <v>142</v>
      </c>
      <c r="B74" s="31">
        <v>0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-2675971415</v>
      </c>
      <c r="I74" s="31">
        <v>2675971415</v>
      </c>
    </row>
    <row r="75" spans="1:9" ht="19.2" thickBot="1" x14ac:dyDescent="0.7">
      <c r="A75" s="30" t="s">
        <v>2</v>
      </c>
      <c r="B75" s="31"/>
      <c r="C75" s="34">
        <f t="shared" ref="B75:I75" si="0">SUM(C8:C74)</f>
        <v>201847068</v>
      </c>
      <c r="D75" s="34">
        <f t="shared" si="0"/>
        <v>-2999548231</v>
      </c>
      <c r="E75" s="34">
        <f t="shared" si="0"/>
        <v>3201395299</v>
      </c>
      <c r="F75" s="31"/>
      <c r="G75" s="34">
        <f t="shared" si="0"/>
        <v>235268183324</v>
      </c>
      <c r="H75" s="34">
        <f t="shared" si="0"/>
        <v>215821979849</v>
      </c>
      <c r="I75" s="34">
        <f t="shared" si="0"/>
        <v>19446203475</v>
      </c>
    </row>
    <row r="76" spans="1:9" ht="19.2" thickTop="1" x14ac:dyDescent="0.65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5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2"/>
  <sheetViews>
    <sheetView rightToLeft="1" view="pageBreakPreview" zoomScale="40" zoomScaleNormal="100" zoomScaleSheetLayoutView="40" workbookViewId="0">
      <selection activeCell="E69" sqref="E69"/>
    </sheetView>
  </sheetViews>
  <sheetFormatPr defaultRowHeight="18.600000000000001" x14ac:dyDescent="0.65"/>
  <cols>
    <col min="1" max="1" width="32.59765625" style="1" customWidth="1"/>
    <col min="2" max="2" width="17.5" style="1" customWidth="1"/>
    <col min="3" max="3" width="20.3984375" style="1" customWidth="1"/>
    <col min="4" max="4" width="19.796875" style="1" customWidth="1"/>
    <col min="5" max="5" width="20.19921875" style="1" customWidth="1"/>
    <col min="6" max="6" width="17.59765625" style="1" customWidth="1"/>
    <col min="7" max="7" width="19.69921875" style="1" customWidth="1"/>
    <col min="8" max="8" width="18.5" style="1" customWidth="1"/>
    <col min="9" max="9" width="20.296875" style="1" customWidth="1"/>
    <col min="10" max="16384" width="8.796875" style="1"/>
  </cols>
  <sheetData>
    <row r="1" spans="1:9" ht="20.399999999999999" x14ac:dyDescent="0.65">
      <c r="A1" s="10" t="s">
        <v>64</v>
      </c>
      <c r="B1" s="10"/>
      <c r="C1" s="10"/>
      <c r="D1" s="10"/>
      <c r="E1" s="10"/>
      <c r="F1" s="10"/>
      <c r="G1" s="10"/>
      <c r="H1" s="10"/>
      <c r="I1" s="10"/>
    </row>
    <row r="2" spans="1:9" ht="20.399999999999999" x14ac:dyDescent="0.65">
      <c r="A2" s="10" t="s">
        <v>47</v>
      </c>
      <c r="B2" s="10"/>
      <c r="C2" s="10"/>
      <c r="D2" s="10"/>
      <c r="E2" s="10"/>
      <c r="F2" s="10"/>
      <c r="G2" s="10"/>
      <c r="H2" s="10"/>
      <c r="I2" s="10"/>
    </row>
    <row r="3" spans="1:9" ht="20.399999999999999" x14ac:dyDescent="0.65">
      <c r="A3" s="10" t="s">
        <v>66</v>
      </c>
      <c r="B3" s="10"/>
      <c r="C3" s="10"/>
      <c r="D3" s="10"/>
      <c r="E3" s="10"/>
      <c r="F3" s="10"/>
      <c r="G3" s="10"/>
      <c r="H3" s="10"/>
      <c r="I3" s="10"/>
    </row>
    <row r="4" spans="1:9" ht="20.399999999999999" x14ac:dyDescent="0.65">
      <c r="A4" s="6"/>
      <c r="B4" s="6"/>
      <c r="C4" s="6"/>
      <c r="D4" s="6"/>
      <c r="E4" s="6"/>
      <c r="F4" s="6"/>
      <c r="G4" s="6"/>
      <c r="H4" s="6"/>
      <c r="I4" s="6"/>
    </row>
    <row r="5" spans="1:9" ht="20.399999999999999" x14ac:dyDescent="0.65">
      <c r="A5" s="19" t="s">
        <v>36</v>
      </c>
      <c r="B5" s="19"/>
      <c r="C5" s="19"/>
      <c r="D5" s="19"/>
    </row>
    <row r="6" spans="1:9" ht="16.5" customHeight="1" thickBot="1" x14ac:dyDescent="0.7">
      <c r="B6" s="12" t="s">
        <v>201</v>
      </c>
      <c r="C6" s="12"/>
      <c r="D6" s="12"/>
      <c r="E6" s="12"/>
      <c r="F6" s="12" t="s">
        <v>202</v>
      </c>
      <c r="G6" s="12"/>
      <c r="H6" s="12"/>
      <c r="I6" s="12"/>
    </row>
    <row r="7" spans="1:9" ht="19.2" thickBot="1" x14ac:dyDescent="0.7">
      <c r="A7" s="4" t="s">
        <v>26</v>
      </c>
      <c r="B7" s="2" t="s">
        <v>3</v>
      </c>
      <c r="C7" s="3" t="s">
        <v>11</v>
      </c>
      <c r="D7" s="2" t="s">
        <v>37</v>
      </c>
      <c r="E7" s="3" t="s">
        <v>38</v>
      </c>
      <c r="F7" s="2" t="s">
        <v>3</v>
      </c>
      <c r="G7" s="3" t="s">
        <v>11</v>
      </c>
      <c r="H7" s="2" t="s">
        <v>37</v>
      </c>
      <c r="I7" s="3" t="s">
        <v>38</v>
      </c>
    </row>
    <row r="8" spans="1:9" x14ac:dyDescent="0.65">
      <c r="A8" s="30" t="s">
        <v>164</v>
      </c>
      <c r="B8" s="31">
        <v>1600000</v>
      </c>
      <c r="C8" s="31">
        <v>8843110240</v>
      </c>
      <c r="D8" s="31">
        <v>9398781440</v>
      </c>
      <c r="E8" s="31">
        <v>-555671200</v>
      </c>
      <c r="F8" s="31">
        <v>1600000</v>
      </c>
      <c r="G8" s="31">
        <v>8843110240</v>
      </c>
      <c r="H8" s="31">
        <v>10423704772</v>
      </c>
      <c r="I8" s="31">
        <v>-1580594532</v>
      </c>
    </row>
    <row r="9" spans="1:9" x14ac:dyDescent="0.65">
      <c r="A9" s="30" t="s">
        <v>129</v>
      </c>
      <c r="B9" s="31">
        <v>837500</v>
      </c>
      <c r="C9" s="31">
        <v>3451251497</v>
      </c>
      <c r="D9" s="31">
        <v>3712193700</v>
      </c>
      <c r="E9" s="31">
        <v>-260942203</v>
      </c>
      <c r="F9" s="31">
        <v>837500</v>
      </c>
      <c r="G9" s="31">
        <v>3451251497</v>
      </c>
      <c r="H9" s="31">
        <v>3625046848</v>
      </c>
      <c r="I9" s="31">
        <v>-173795351</v>
      </c>
    </row>
    <row r="10" spans="1:9" x14ac:dyDescent="0.65">
      <c r="A10" s="30" t="s">
        <v>173</v>
      </c>
      <c r="B10" s="31">
        <v>0</v>
      </c>
      <c r="C10" s="31">
        <v>2498107</v>
      </c>
      <c r="D10" s="31">
        <v>2498107</v>
      </c>
      <c r="E10" s="31">
        <v>0</v>
      </c>
      <c r="F10" s="31">
        <v>0</v>
      </c>
      <c r="G10" s="31">
        <v>2498107</v>
      </c>
      <c r="H10" s="31">
        <v>2498107</v>
      </c>
      <c r="I10" s="31">
        <v>0</v>
      </c>
    </row>
    <row r="11" spans="1:9" x14ac:dyDescent="0.65">
      <c r="A11" s="30" t="s">
        <v>93</v>
      </c>
      <c r="B11" s="31">
        <v>0</v>
      </c>
      <c r="C11" s="31">
        <v>-17986365</v>
      </c>
      <c r="D11" s="31">
        <v>-17986365</v>
      </c>
      <c r="E11" s="31">
        <v>0</v>
      </c>
      <c r="F11" s="31">
        <v>0</v>
      </c>
      <c r="G11" s="31">
        <v>-17986365</v>
      </c>
      <c r="H11" s="31">
        <v>0</v>
      </c>
      <c r="I11" s="31">
        <v>-17986365</v>
      </c>
    </row>
    <row r="12" spans="1:9" x14ac:dyDescent="0.65">
      <c r="A12" s="30" t="s">
        <v>111</v>
      </c>
      <c r="B12" s="31">
        <v>0</v>
      </c>
      <c r="C12" s="31">
        <v>67041178</v>
      </c>
      <c r="D12" s="31">
        <v>67041178</v>
      </c>
      <c r="E12" s="31">
        <v>0</v>
      </c>
      <c r="F12" s="31">
        <v>0</v>
      </c>
      <c r="G12" s="31">
        <v>67041178</v>
      </c>
      <c r="H12" s="31">
        <v>0</v>
      </c>
      <c r="I12" s="31">
        <v>67041178</v>
      </c>
    </row>
    <row r="13" spans="1:9" x14ac:dyDescent="0.65">
      <c r="A13" s="30" t="s">
        <v>85</v>
      </c>
      <c r="B13" s="31">
        <v>0</v>
      </c>
      <c r="C13" s="31">
        <v>2362210</v>
      </c>
      <c r="D13" s="31">
        <v>2362210</v>
      </c>
      <c r="E13" s="31">
        <v>0</v>
      </c>
      <c r="F13" s="31">
        <v>0</v>
      </c>
      <c r="G13" s="31">
        <v>2362210</v>
      </c>
      <c r="H13" s="31">
        <v>0</v>
      </c>
      <c r="I13" s="31">
        <v>2362210</v>
      </c>
    </row>
    <row r="14" spans="1:9" x14ac:dyDescent="0.65">
      <c r="A14" s="30" t="s">
        <v>87</v>
      </c>
      <c r="B14" s="31">
        <v>0</v>
      </c>
      <c r="C14" s="31">
        <v>39969700</v>
      </c>
      <c r="D14" s="31">
        <v>39969700</v>
      </c>
      <c r="E14" s="31">
        <v>0</v>
      </c>
      <c r="F14" s="31">
        <v>0</v>
      </c>
      <c r="G14" s="31">
        <v>39969700</v>
      </c>
      <c r="H14" s="31">
        <v>0</v>
      </c>
      <c r="I14" s="31">
        <v>39969700</v>
      </c>
    </row>
    <row r="15" spans="1:9" x14ac:dyDescent="0.65">
      <c r="A15" s="30" t="s">
        <v>174</v>
      </c>
      <c r="B15" s="31">
        <v>0</v>
      </c>
      <c r="C15" s="31">
        <v>16531468</v>
      </c>
      <c r="D15" s="31">
        <v>16531468</v>
      </c>
      <c r="E15" s="31">
        <v>0</v>
      </c>
      <c r="F15" s="31">
        <v>0</v>
      </c>
      <c r="G15" s="31">
        <v>16531468</v>
      </c>
      <c r="H15" s="31">
        <v>16531468</v>
      </c>
      <c r="I15" s="31">
        <v>0</v>
      </c>
    </row>
    <row r="16" spans="1:9" x14ac:dyDescent="0.65">
      <c r="A16" s="30" t="s">
        <v>100</v>
      </c>
      <c r="B16" s="31">
        <v>0</v>
      </c>
      <c r="C16" s="31">
        <v>-39969700</v>
      </c>
      <c r="D16" s="31">
        <v>-39969700</v>
      </c>
      <c r="E16" s="31">
        <v>0</v>
      </c>
      <c r="F16" s="31">
        <v>0</v>
      </c>
      <c r="G16" s="31">
        <v>-39969700</v>
      </c>
      <c r="H16" s="31">
        <v>0</v>
      </c>
      <c r="I16" s="31">
        <v>-39969700</v>
      </c>
    </row>
    <row r="17" spans="1:9" x14ac:dyDescent="0.65">
      <c r="A17" s="30" t="s">
        <v>141</v>
      </c>
      <c r="B17" s="31">
        <v>-5000000</v>
      </c>
      <c r="C17" s="31">
        <v>-74943188</v>
      </c>
      <c r="D17" s="31">
        <v>-40000000</v>
      </c>
      <c r="E17" s="31">
        <v>-34943188</v>
      </c>
      <c r="F17" s="31">
        <v>-5000000</v>
      </c>
      <c r="G17" s="31">
        <v>-74943188</v>
      </c>
      <c r="H17" s="31">
        <v>-40000000</v>
      </c>
      <c r="I17" s="31">
        <v>-34943188</v>
      </c>
    </row>
    <row r="18" spans="1:9" x14ac:dyDescent="0.65">
      <c r="A18" s="30" t="s">
        <v>113</v>
      </c>
      <c r="B18" s="31">
        <v>0</v>
      </c>
      <c r="C18" s="31">
        <v>49962125</v>
      </c>
      <c r="D18" s="31">
        <v>49962125</v>
      </c>
      <c r="E18" s="31">
        <v>0</v>
      </c>
      <c r="F18" s="31">
        <v>0</v>
      </c>
      <c r="G18" s="31">
        <v>49962125</v>
      </c>
      <c r="H18" s="31">
        <v>0</v>
      </c>
      <c r="I18" s="31">
        <v>49962125</v>
      </c>
    </row>
    <row r="19" spans="1:9" x14ac:dyDescent="0.65">
      <c r="A19" s="30" t="s">
        <v>138</v>
      </c>
      <c r="B19" s="31">
        <v>0</v>
      </c>
      <c r="C19" s="31">
        <v>11219495</v>
      </c>
      <c r="D19" s="31">
        <v>11219495</v>
      </c>
      <c r="E19" s="31">
        <v>0</v>
      </c>
      <c r="F19" s="31">
        <v>0</v>
      </c>
      <c r="G19" s="31">
        <v>11219495</v>
      </c>
      <c r="H19" s="31">
        <v>0</v>
      </c>
      <c r="I19" s="31">
        <v>11219495</v>
      </c>
    </row>
    <row r="20" spans="1:9" x14ac:dyDescent="0.65">
      <c r="A20" s="30" t="s">
        <v>106</v>
      </c>
      <c r="B20" s="31">
        <v>0</v>
      </c>
      <c r="C20" s="31">
        <v>32183602</v>
      </c>
      <c r="D20" s="31">
        <v>2870566399</v>
      </c>
      <c r="E20" s="31">
        <v>-2838382797</v>
      </c>
      <c r="F20" s="31">
        <v>0</v>
      </c>
      <c r="G20" s="31">
        <v>32183602</v>
      </c>
      <c r="H20" s="31">
        <v>0</v>
      </c>
      <c r="I20" s="31">
        <v>32183602</v>
      </c>
    </row>
    <row r="21" spans="1:9" x14ac:dyDescent="0.65">
      <c r="A21" s="30" t="s">
        <v>128</v>
      </c>
      <c r="B21" s="31">
        <v>0</v>
      </c>
      <c r="C21" s="31">
        <v>126154366</v>
      </c>
      <c r="D21" s="31">
        <v>126154366</v>
      </c>
      <c r="E21" s="31">
        <v>0</v>
      </c>
      <c r="F21" s="31">
        <v>0</v>
      </c>
      <c r="G21" s="31">
        <v>126154366</v>
      </c>
      <c r="H21" s="31">
        <v>0</v>
      </c>
      <c r="I21" s="31">
        <v>126154366</v>
      </c>
    </row>
    <row r="22" spans="1:9" x14ac:dyDescent="0.65">
      <c r="A22" s="30" t="s">
        <v>112</v>
      </c>
      <c r="B22" s="31">
        <v>0</v>
      </c>
      <c r="C22" s="31">
        <v>-68448111</v>
      </c>
      <c r="D22" s="31">
        <v>-68448111</v>
      </c>
      <c r="E22" s="31">
        <v>0</v>
      </c>
      <c r="F22" s="31">
        <v>0</v>
      </c>
      <c r="G22" s="31">
        <v>-68448111</v>
      </c>
      <c r="H22" s="31">
        <v>0</v>
      </c>
      <c r="I22" s="31">
        <v>-68448111</v>
      </c>
    </row>
    <row r="23" spans="1:9" x14ac:dyDescent="0.65">
      <c r="A23" s="30" t="s">
        <v>134</v>
      </c>
      <c r="B23" s="31">
        <v>0</v>
      </c>
      <c r="C23" s="31">
        <v>1598788</v>
      </c>
      <c r="D23" s="31">
        <v>87045450</v>
      </c>
      <c r="E23" s="31">
        <v>-85446662</v>
      </c>
      <c r="F23" s="31">
        <v>0</v>
      </c>
      <c r="G23" s="31">
        <v>1598788</v>
      </c>
      <c r="H23" s="31">
        <v>0</v>
      </c>
      <c r="I23" s="31">
        <v>1598788</v>
      </c>
    </row>
    <row r="24" spans="1:9" x14ac:dyDescent="0.65">
      <c r="A24" s="30" t="s">
        <v>175</v>
      </c>
      <c r="B24" s="31">
        <v>50000</v>
      </c>
      <c r="C24" s="31">
        <v>653504595</v>
      </c>
      <c r="D24" s="31">
        <v>618531107</v>
      </c>
      <c r="E24" s="31">
        <v>34973488</v>
      </c>
      <c r="F24" s="31">
        <v>50000</v>
      </c>
      <c r="G24" s="31">
        <v>653504595</v>
      </c>
      <c r="H24" s="31">
        <v>659747733</v>
      </c>
      <c r="I24" s="31">
        <v>-6243138</v>
      </c>
    </row>
    <row r="25" spans="1:9" x14ac:dyDescent="0.65">
      <c r="A25" s="30" t="s">
        <v>94</v>
      </c>
      <c r="B25" s="31">
        <v>0</v>
      </c>
      <c r="C25" s="31">
        <v>-81937885</v>
      </c>
      <c r="D25" s="31">
        <v>-81937885</v>
      </c>
      <c r="E25" s="31">
        <v>0</v>
      </c>
      <c r="F25" s="31">
        <v>0</v>
      </c>
      <c r="G25" s="31">
        <v>-81937885</v>
      </c>
      <c r="H25" s="31">
        <v>0</v>
      </c>
      <c r="I25" s="31">
        <v>-81937885</v>
      </c>
    </row>
    <row r="26" spans="1:9" x14ac:dyDescent="0.65">
      <c r="A26" s="30" t="s">
        <v>142</v>
      </c>
      <c r="B26" s="31">
        <v>0</v>
      </c>
      <c r="C26" s="31">
        <v>363724270</v>
      </c>
      <c r="D26" s="31">
        <v>363724270</v>
      </c>
      <c r="E26" s="31">
        <v>0</v>
      </c>
      <c r="F26" s="31">
        <v>0</v>
      </c>
      <c r="G26" s="31">
        <v>363724270</v>
      </c>
      <c r="H26" s="31">
        <v>0</v>
      </c>
      <c r="I26" s="31">
        <v>363724270</v>
      </c>
    </row>
    <row r="27" spans="1:9" x14ac:dyDescent="0.65">
      <c r="A27" s="30" t="s">
        <v>137</v>
      </c>
      <c r="B27" s="31">
        <v>0</v>
      </c>
      <c r="C27" s="31">
        <v>45068175</v>
      </c>
      <c r="D27" s="31">
        <v>45068175</v>
      </c>
      <c r="E27" s="31">
        <v>0</v>
      </c>
      <c r="F27" s="31">
        <v>0</v>
      </c>
      <c r="G27" s="31">
        <v>45068175</v>
      </c>
      <c r="H27" s="31">
        <v>0</v>
      </c>
      <c r="I27" s="31">
        <v>45068175</v>
      </c>
    </row>
    <row r="28" spans="1:9" x14ac:dyDescent="0.65">
      <c r="A28" s="30" t="s">
        <v>131</v>
      </c>
      <c r="B28" s="31">
        <v>0</v>
      </c>
      <c r="C28" s="31">
        <v>29977274</v>
      </c>
      <c r="D28" s="31">
        <v>29977274</v>
      </c>
      <c r="E28" s="31">
        <v>0</v>
      </c>
      <c r="F28" s="31">
        <v>0</v>
      </c>
      <c r="G28" s="31">
        <v>29977274</v>
      </c>
      <c r="H28" s="31">
        <v>0</v>
      </c>
      <c r="I28" s="31">
        <v>29977274</v>
      </c>
    </row>
    <row r="29" spans="1:9" x14ac:dyDescent="0.65">
      <c r="A29" s="30" t="s">
        <v>140</v>
      </c>
      <c r="B29" s="31">
        <v>-5000000</v>
      </c>
      <c r="C29" s="31">
        <v>-49962125</v>
      </c>
      <c r="D29" s="31">
        <v>-40000000</v>
      </c>
      <c r="E29" s="31">
        <v>-9962125</v>
      </c>
      <c r="F29" s="31">
        <v>-5000000</v>
      </c>
      <c r="G29" s="31">
        <v>-49962125</v>
      </c>
      <c r="H29" s="31">
        <v>-40000000</v>
      </c>
      <c r="I29" s="31">
        <v>-9962125</v>
      </c>
    </row>
    <row r="30" spans="1:9" x14ac:dyDescent="0.65">
      <c r="A30" s="30" t="s">
        <v>139</v>
      </c>
      <c r="B30" s="31">
        <v>0</v>
      </c>
      <c r="C30" s="31">
        <v>74940162</v>
      </c>
      <c r="D30" s="31">
        <v>45068175</v>
      </c>
      <c r="E30" s="31">
        <v>29871987</v>
      </c>
      <c r="F30" s="31">
        <v>0</v>
      </c>
      <c r="G30" s="31">
        <v>74940162</v>
      </c>
      <c r="H30" s="31">
        <v>0</v>
      </c>
      <c r="I30" s="31">
        <v>74940162</v>
      </c>
    </row>
    <row r="31" spans="1:9" x14ac:dyDescent="0.65">
      <c r="A31" s="30" t="s">
        <v>115</v>
      </c>
      <c r="B31" s="31">
        <v>0</v>
      </c>
      <c r="C31" s="31">
        <v>32359469</v>
      </c>
      <c r="D31" s="31">
        <v>32359469</v>
      </c>
      <c r="E31" s="31">
        <v>0</v>
      </c>
      <c r="F31" s="31">
        <v>0</v>
      </c>
      <c r="G31" s="31">
        <v>32359469</v>
      </c>
      <c r="H31" s="31">
        <v>0</v>
      </c>
      <c r="I31" s="31">
        <v>32359469</v>
      </c>
    </row>
    <row r="32" spans="1:9" x14ac:dyDescent="0.65">
      <c r="A32" s="30" t="s">
        <v>114</v>
      </c>
      <c r="B32" s="31">
        <v>0</v>
      </c>
      <c r="C32" s="31">
        <v>4996212</v>
      </c>
      <c r="D32" s="31">
        <v>4996212</v>
      </c>
      <c r="E32" s="31">
        <v>0</v>
      </c>
      <c r="F32" s="31">
        <v>0</v>
      </c>
      <c r="G32" s="31">
        <v>4996212</v>
      </c>
      <c r="H32" s="31">
        <v>0</v>
      </c>
      <c r="I32" s="31">
        <v>4996212</v>
      </c>
    </row>
    <row r="33" spans="1:9" x14ac:dyDescent="0.65">
      <c r="A33" s="30" t="s">
        <v>107</v>
      </c>
      <c r="B33" s="31">
        <v>0</v>
      </c>
      <c r="C33" s="31">
        <v>13639660</v>
      </c>
      <c r="D33" s="31">
        <v>13639660</v>
      </c>
      <c r="E33" s="31">
        <v>0</v>
      </c>
      <c r="F33" s="31">
        <v>0</v>
      </c>
      <c r="G33" s="31">
        <v>13639660</v>
      </c>
      <c r="H33" s="31">
        <v>0</v>
      </c>
      <c r="I33" s="31">
        <v>13639660</v>
      </c>
    </row>
    <row r="34" spans="1:9" x14ac:dyDescent="0.65">
      <c r="A34" s="30" t="s">
        <v>110</v>
      </c>
      <c r="B34" s="31">
        <v>0</v>
      </c>
      <c r="C34" s="31">
        <v>-65017255</v>
      </c>
      <c r="D34" s="31">
        <v>-65017255</v>
      </c>
      <c r="E34" s="31">
        <v>0</v>
      </c>
      <c r="F34" s="31">
        <v>0</v>
      </c>
      <c r="G34" s="31">
        <v>-65017255</v>
      </c>
      <c r="H34" s="31">
        <v>0</v>
      </c>
      <c r="I34" s="31">
        <v>-65017255</v>
      </c>
    </row>
    <row r="35" spans="1:9" x14ac:dyDescent="0.65">
      <c r="A35" s="30" t="s">
        <v>130</v>
      </c>
      <c r="B35" s="31">
        <v>0</v>
      </c>
      <c r="C35" s="31">
        <v>13989395</v>
      </c>
      <c r="D35" s="31">
        <v>13989395</v>
      </c>
      <c r="E35" s="31">
        <v>0</v>
      </c>
      <c r="F35" s="31">
        <v>0</v>
      </c>
      <c r="G35" s="31">
        <v>13989395</v>
      </c>
      <c r="H35" s="31">
        <v>0</v>
      </c>
      <c r="I35" s="31">
        <v>13989395</v>
      </c>
    </row>
    <row r="36" spans="1:9" x14ac:dyDescent="0.65">
      <c r="A36" s="30" t="s">
        <v>135</v>
      </c>
      <c r="B36" s="31">
        <v>-5000000</v>
      </c>
      <c r="C36" s="31">
        <v>-74943188</v>
      </c>
      <c r="D36" s="31">
        <v>-120000000</v>
      </c>
      <c r="E36" s="31">
        <v>45056812</v>
      </c>
      <c r="F36" s="31">
        <v>-5000000</v>
      </c>
      <c r="G36" s="31">
        <v>-74943188</v>
      </c>
      <c r="H36" s="31">
        <v>-120000000</v>
      </c>
      <c r="I36" s="31">
        <v>45056812</v>
      </c>
    </row>
    <row r="37" spans="1:9" x14ac:dyDescent="0.65">
      <c r="A37" s="30" t="s">
        <v>132</v>
      </c>
      <c r="B37" s="31">
        <v>0</v>
      </c>
      <c r="C37" s="31">
        <v>29977275</v>
      </c>
      <c r="D37" s="31">
        <v>29977275</v>
      </c>
      <c r="E37" s="31">
        <v>0</v>
      </c>
      <c r="F37" s="31">
        <v>0</v>
      </c>
      <c r="G37" s="31">
        <v>29977275</v>
      </c>
      <c r="H37" s="31">
        <v>0</v>
      </c>
      <c r="I37" s="31">
        <v>29977275</v>
      </c>
    </row>
    <row r="38" spans="1:9" x14ac:dyDescent="0.65">
      <c r="A38" s="30" t="s">
        <v>133</v>
      </c>
      <c r="B38" s="31">
        <v>0</v>
      </c>
      <c r="C38" s="31">
        <v>139893</v>
      </c>
      <c r="D38" s="31">
        <v>139893</v>
      </c>
      <c r="E38" s="31">
        <v>0</v>
      </c>
      <c r="F38" s="31">
        <v>0</v>
      </c>
      <c r="G38" s="31">
        <v>139893</v>
      </c>
      <c r="H38" s="31">
        <v>0</v>
      </c>
      <c r="I38" s="31">
        <v>139893</v>
      </c>
    </row>
    <row r="39" spans="1:9" x14ac:dyDescent="0.65">
      <c r="A39" s="30" t="s">
        <v>176</v>
      </c>
      <c r="B39" s="31">
        <v>9890291</v>
      </c>
      <c r="C39" s="31">
        <v>19863210238</v>
      </c>
      <c r="D39" s="31">
        <v>19254752217</v>
      </c>
      <c r="E39" s="31">
        <v>608458021</v>
      </c>
      <c r="F39" s="31">
        <v>9890291</v>
      </c>
      <c r="G39" s="31">
        <v>19863210238</v>
      </c>
      <c r="H39" s="31">
        <v>20583450426</v>
      </c>
      <c r="I39" s="31">
        <v>-720240188</v>
      </c>
    </row>
    <row r="40" spans="1:9" x14ac:dyDescent="0.65">
      <c r="A40" s="30" t="s">
        <v>151</v>
      </c>
      <c r="B40" s="31">
        <v>43438000</v>
      </c>
      <c r="C40" s="31">
        <v>20473556523</v>
      </c>
      <c r="D40" s="31">
        <v>21637316579</v>
      </c>
      <c r="E40" s="31">
        <v>-1163760056</v>
      </c>
      <c r="F40" s="31">
        <v>43438000</v>
      </c>
      <c r="G40" s="31">
        <v>20473556523</v>
      </c>
      <c r="H40" s="31">
        <v>26809583490</v>
      </c>
      <c r="I40" s="31">
        <v>-6336026967</v>
      </c>
    </row>
    <row r="41" spans="1:9" x14ac:dyDescent="0.65">
      <c r="A41" s="30" t="s">
        <v>120</v>
      </c>
      <c r="B41" s="31">
        <v>40680000</v>
      </c>
      <c r="C41" s="31">
        <v>50093639608</v>
      </c>
      <c r="D41" s="31">
        <v>50739488305</v>
      </c>
      <c r="E41" s="31">
        <v>-645848697</v>
      </c>
      <c r="F41" s="31">
        <v>40680000</v>
      </c>
      <c r="G41" s="31">
        <v>50093639608</v>
      </c>
      <c r="H41" s="31">
        <v>61042448926</v>
      </c>
      <c r="I41" s="31">
        <v>-10948809318</v>
      </c>
    </row>
    <row r="42" spans="1:9" x14ac:dyDescent="0.65">
      <c r="A42" s="30" t="s">
        <v>177</v>
      </c>
      <c r="B42" s="31">
        <v>5850000</v>
      </c>
      <c r="C42" s="31">
        <v>11893993195</v>
      </c>
      <c r="D42" s="31">
        <v>12486080704</v>
      </c>
      <c r="E42" s="31">
        <v>-592087509</v>
      </c>
      <c r="F42" s="31">
        <v>5850000</v>
      </c>
      <c r="G42" s="31">
        <v>11893993195</v>
      </c>
      <c r="H42" s="31">
        <v>15511892164</v>
      </c>
      <c r="I42" s="31">
        <v>-3617898969</v>
      </c>
    </row>
    <row r="43" spans="1:9" x14ac:dyDescent="0.65">
      <c r="A43" s="30" t="s">
        <v>104</v>
      </c>
      <c r="B43" s="31">
        <v>20000000</v>
      </c>
      <c r="C43" s="31">
        <v>32526610600</v>
      </c>
      <c r="D43" s="31">
        <v>32685373800</v>
      </c>
      <c r="E43" s="31">
        <v>-158763200</v>
      </c>
      <c r="F43" s="31">
        <v>20000000</v>
      </c>
      <c r="G43" s="31">
        <v>32526610600</v>
      </c>
      <c r="H43" s="31">
        <v>34512162256</v>
      </c>
      <c r="I43" s="31">
        <v>-1985551656</v>
      </c>
    </row>
    <row r="44" spans="1:9" x14ac:dyDescent="0.65">
      <c r="A44" s="30" t="s">
        <v>150</v>
      </c>
      <c r="B44" s="31">
        <v>350000</v>
      </c>
      <c r="C44" s="31">
        <v>12155307500</v>
      </c>
      <c r="D44" s="31">
        <v>12884625950</v>
      </c>
      <c r="E44" s="31">
        <v>-729318450</v>
      </c>
      <c r="F44" s="31">
        <v>350000</v>
      </c>
      <c r="G44" s="31">
        <v>12155307500</v>
      </c>
      <c r="H44" s="31">
        <v>13384730030</v>
      </c>
      <c r="I44" s="31">
        <v>-1229422530</v>
      </c>
    </row>
    <row r="45" spans="1:9" x14ac:dyDescent="0.65">
      <c r="A45" s="30" t="s">
        <v>167</v>
      </c>
      <c r="B45" s="31">
        <v>2250000</v>
      </c>
      <c r="C45" s="31">
        <v>30564396675</v>
      </c>
      <c r="D45" s="31">
        <v>30028570875</v>
      </c>
      <c r="E45" s="31">
        <v>535825800</v>
      </c>
      <c r="F45" s="31">
        <v>2250000</v>
      </c>
      <c r="G45" s="31">
        <v>30564396675</v>
      </c>
      <c r="H45" s="31">
        <v>30251831625</v>
      </c>
      <c r="I45" s="31">
        <v>312565050</v>
      </c>
    </row>
    <row r="46" spans="1:9" x14ac:dyDescent="0.65">
      <c r="A46" s="30" t="s">
        <v>124</v>
      </c>
      <c r="B46" s="31">
        <v>3299000</v>
      </c>
      <c r="C46" s="31">
        <v>49364360848</v>
      </c>
      <c r="D46" s="31">
        <v>49102480950</v>
      </c>
      <c r="E46" s="31">
        <v>261879898</v>
      </c>
      <c r="F46" s="31">
        <v>3299000</v>
      </c>
      <c r="G46" s="31">
        <v>49364360848</v>
      </c>
      <c r="H46" s="31">
        <v>46483681965</v>
      </c>
      <c r="I46" s="31">
        <v>2880678883</v>
      </c>
    </row>
    <row r="47" spans="1:9" x14ac:dyDescent="0.65">
      <c r="A47" s="30" t="s">
        <v>152</v>
      </c>
      <c r="B47" s="31">
        <v>1100000</v>
      </c>
      <c r="C47" s="31">
        <v>17136502900</v>
      </c>
      <c r="D47" s="31">
        <v>16940033440</v>
      </c>
      <c r="E47" s="31">
        <v>196469460</v>
      </c>
      <c r="F47" s="31">
        <v>1100000</v>
      </c>
      <c r="G47" s="31">
        <v>17136502900</v>
      </c>
      <c r="H47" s="31">
        <v>20640208270</v>
      </c>
      <c r="I47" s="31">
        <v>-3503705370</v>
      </c>
    </row>
    <row r="48" spans="1:9" x14ac:dyDescent="0.65">
      <c r="A48" s="30" t="s">
        <v>121</v>
      </c>
      <c r="B48" s="31">
        <v>9200000</v>
      </c>
      <c r="C48" s="31">
        <v>95853282000</v>
      </c>
      <c r="D48" s="31">
        <v>98591947200</v>
      </c>
      <c r="E48" s="31">
        <v>-2738665200</v>
      </c>
      <c r="F48" s="31">
        <v>9200000</v>
      </c>
      <c r="G48" s="31">
        <v>95853282000</v>
      </c>
      <c r="H48" s="31">
        <v>95214260120</v>
      </c>
      <c r="I48" s="31">
        <v>639021880</v>
      </c>
    </row>
    <row r="49" spans="1:9" x14ac:dyDescent="0.65">
      <c r="A49" s="30" t="s">
        <v>99</v>
      </c>
      <c r="B49" s="31">
        <v>600000</v>
      </c>
      <c r="C49" s="31">
        <v>10115200380</v>
      </c>
      <c r="D49" s="31">
        <v>10627211700</v>
      </c>
      <c r="E49" s="31">
        <v>-512011320</v>
      </c>
      <c r="F49" s="31">
        <v>600000</v>
      </c>
      <c r="G49" s="31">
        <v>10115200380</v>
      </c>
      <c r="H49" s="31">
        <v>12502602000</v>
      </c>
      <c r="I49" s="31">
        <v>-2387401620</v>
      </c>
    </row>
    <row r="50" spans="1:9" x14ac:dyDescent="0.65">
      <c r="A50" s="30" t="s">
        <v>119</v>
      </c>
      <c r="B50" s="31">
        <v>17690000</v>
      </c>
      <c r="C50" s="31">
        <v>59101813962</v>
      </c>
      <c r="D50" s="31">
        <v>59154473731</v>
      </c>
      <c r="E50" s="31">
        <v>-52659769</v>
      </c>
      <c r="F50" s="31">
        <v>17690000</v>
      </c>
      <c r="G50" s="31">
        <v>59101813962</v>
      </c>
      <c r="H50" s="31">
        <v>69118575261</v>
      </c>
      <c r="I50" s="31">
        <v>-10016761299</v>
      </c>
    </row>
    <row r="51" spans="1:9" x14ac:dyDescent="0.65">
      <c r="A51" s="30" t="s">
        <v>91</v>
      </c>
      <c r="B51" s="31">
        <v>133750</v>
      </c>
      <c r="C51" s="31">
        <v>5023304858</v>
      </c>
      <c r="D51" s="31">
        <v>5122841942</v>
      </c>
      <c r="E51" s="31">
        <v>-99537084</v>
      </c>
      <c r="F51" s="31">
        <v>133750</v>
      </c>
      <c r="G51" s="31">
        <v>5023304858</v>
      </c>
      <c r="H51" s="31">
        <v>3941668541</v>
      </c>
      <c r="I51" s="31">
        <v>1081636317</v>
      </c>
    </row>
    <row r="52" spans="1:9" x14ac:dyDescent="0.65">
      <c r="A52" s="30" t="s">
        <v>96</v>
      </c>
      <c r="B52" s="31">
        <v>800000</v>
      </c>
      <c r="C52" s="31">
        <v>11796105760</v>
      </c>
      <c r="D52" s="31">
        <v>12026312400</v>
      </c>
      <c r="E52" s="31">
        <v>-230206640</v>
      </c>
      <c r="F52" s="31">
        <v>800000</v>
      </c>
      <c r="G52" s="31">
        <v>11796105760</v>
      </c>
      <c r="H52" s="31">
        <v>12680340666</v>
      </c>
      <c r="I52" s="31">
        <v>-884234906</v>
      </c>
    </row>
    <row r="53" spans="1:9" x14ac:dyDescent="0.65">
      <c r="A53" s="30" t="s">
        <v>116</v>
      </c>
      <c r="B53" s="31">
        <v>1256499</v>
      </c>
      <c r="C53" s="31">
        <v>7630331928</v>
      </c>
      <c r="D53" s="31">
        <v>8166450021</v>
      </c>
      <c r="E53" s="31">
        <v>-536118093</v>
      </c>
      <c r="F53" s="31">
        <v>1256499</v>
      </c>
      <c r="G53" s="31">
        <v>7630331928</v>
      </c>
      <c r="H53" s="31">
        <v>7948211844</v>
      </c>
      <c r="I53" s="31">
        <v>-317879916</v>
      </c>
    </row>
    <row r="54" spans="1:9" x14ac:dyDescent="0.65">
      <c r="A54" s="30" t="s">
        <v>89</v>
      </c>
      <c r="B54" s="31">
        <v>1200000</v>
      </c>
      <c r="C54" s="31">
        <v>8882801040</v>
      </c>
      <c r="D54" s="31">
        <v>9180482040</v>
      </c>
      <c r="E54" s="31">
        <v>-297681000</v>
      </c>
      <c r="F54" s="31">
        <v>1200000</v>
      </c>
      <c r="G54" s="31">
        <v>8882801040</v>
      </c>
      <c r="H54" s="31">
        <v>10450623609</v>
      </c>
      <c r="I54" s="31">
        <v>-1567822569</v>
      </c>
    </row>
    <row r="55" spans="1:9" x14ac:dyDescent="0.65">
      <c r="A55" s="30" t="s">
        <v>90</v>
      </c>
      <c r="B55" s="31">
        <v>10200000</v>
      </c>
      <c r="C55" s="31">
        <v>138659809800</v>
      </c>
      <c r="D55" s="31">
        <v>137040425160</v>
      </c>
      <c r="E55" s="31">
        <v>1619384640</v>
      </c>
      <c r="F55" s="31">
        <v>10200000</v>
      </c>
      <c r="G55" s="31">
        <v>138659809800</v>
      </c>
      <c r="H55" s="31">
        <v>117457169653</v>
      </c>
      <c r="I55" s="31">
        <v>21202640147</v>
      </c>
    </row>
    <row r="56" spans="1:9" x14ac:dyDescent="0.65">
      <c r="A56" s="30" t="s">
        <v>178</v>
      </c>
      <c r="B56" s="31">
        <v>11650000</v>
      </c>
      <c r="C56" s="31">
        <v>71093664825</v>
      </c>
      <c r="D56" s="31">
        <v>73174455015</v>
      </c>
      <c r="E56" s="31">
        <v>-2080790190</v>
      </c>
      <c r="F56" s="31">
        <v>11650000</v>
      </c>
      <c r="G56" s="31">
        <v>71093664825</v>
      </c>
      <c r="H56" s="31">
        <v>76799313736</v>
      </c>
      <c r="I56" s="31">
        <v>-5705648911</v>
      </c>
    </row>
    <row r="57" spans="1:9" x14ac:dyDescent="0.65">
      <c r="A57" s="30" t="s">
        <v>105</v>
      </c>
      <c r="B57" s="31">
        <v>5175000</v>
      </c>
      <c r="C57" s="31">
        <v>35636880915</v>
      </c>
      <c r="D57" s="31">
        <v>38717879265</v>
      </c>
      <c r="E57" s="31">
        <v>-3080998350</v>
      </c>
      <c r="F57" s="31">
        <v>5175000</v>
      </c>
      <c r="G57" s="31">
        <v>35636880915</v>
      </c>
      <c r="H57" s="31">
        <v>33701117359</v>
      </c>
      <c r="I57" s="31">
        <v>1935763556</v>
      </c>
    </row>
    <row r="58" spans="1:9" x14ac:dyDescent="0.65">
      <c r="A58" s="30" t="s">
        <v>97</v>
      </c>
      <c r="B58" s="31">
        <v>200000</v>
      </c>
      <c r="C58" s="31">
        <v>5139958600</v>
      </c>
      <c r="D58" s="31">
        <v>5413825120</v>
      </c>
      <c r="E58" s="31">
        <v>-273866520</v>
      </c>
      <c r="F58" s="31">
        <v>200000</v>
      </c>
      <c r="G58" s="31">
        <v>5139958600</v>
      </c>
      <c r="H58" s="31">
        <v>5268953700</v>
      </c>
      <c r="I58" s="31">
        <v>-128995100</v>
      </c>
    </row>
    <row r="59" spans="1:9" x14ac:dyDescent="0.65">
      <c r="A59" s="30" t="s">
        <v>127</v>
      </c>
      <c r="B59" s="31">
        <v>4700000</v>
      </c>
      <c r="C59" s="31">
        <v>17442122060</v>
      </c>
      <c r="D59" s="31">
        <v>18262927804</v>
      </c>
      <c r="E59" s="31">
        <v>-820805744</v>
      </c>
      <c r="F59" s="31">
        <v>4700000</v>
      </c>
      <c r="G59" s="31">
        <v>17442122060</v>
      </c>
      <c r="H59" s="31">
        <v>17022391850</v>
      </c>
      <c r="I59" s="31">
        <v>419730210</v>
      </c>
    </row>
    <row r="60" spans="1:9" x14ac:dyDescent="0.65">
      <c r="A60" s="30" t="s">
        <v>73</v>
      </c>
      <c r="B60" s="31">
        <v>1450000</v>
      </c>
      <c r="C60" s="31">
        <v>38861758415</v>
      </c>
      <c r="D60" s="31">
        <v>40171058680</v>
      </c>
      <c r="E60" s="31">
        <v>-1309300265</v>
      </c>
      <c r="F60" s="31">
        <v>1450000</v>
      </c>
      <c r="G60" s="31">
        <v>38861758415</v>
      </c>
      <c r="H60" s="31">
        <v>40271774085</v>
      </c>
      <c r="I60" s="31">
        <v>-1410015670</v>
      </c>
    </row>
    <row r="61" spans="1:9" x14ac:dyDescent="0.65">
      <c r="A61" s="30" t="s">
        <v>179</v>
      </c>
      <c r="B61" s="31">
        <v>2000000</v>
      </c>
      <c r="C61" s="31">
        <v>16352609600</v>
      </c>
      <c r="D61" s="31">
        <v>17622715200</v>
      </c>
      <c r="E61" s="31">
        <v>-1270105600</v>
      </c>
      <c r="F61" s="31">
        <v>2000000</v>
      </c>
      <c r="G61" s="31">
        <v>16352609600</v>
      </c>
      <c r="H61" s="31">
        <v>18890189691</v>
      </c>
      <c r="I61" s="31">
        <v>-2537580091</v>
      </c>
    </row>
    <row r="62" spans="1:9" x14ac:dyDescent="0.65">
      <c r="A62" s="30" t="s">
        <v>117</v>
      </c>
      <c r="B62" s="31">
        <v>454</v>
      </c>
      <c r="C62" s="31">
        <v>23740854</v>
      </c>
      <c r="D62" s="31">
        <v>23493084</v>
      </c>
      <c r="E62" s="31">
        <v>247770</v>
      </c>
      <c r="F62" s="31">
        <v>454</v>
      </c>
      <c r="G62" s="31">
        <v>23740854</v>
      </c>
      <c r="H62" s="31">
        <v>19762080</v>
      </c>
      <c r="I62" s="31">
        <v>3978774</v>
      </c>
    </row>
    <row r="63" spans="1:9" x14ac:dyDescent="0.65">
      <c r="A63" s="30" t="s">
        <v>156</v>
      </c>
      <c r="B63" s="31">
        <v>200000</v>
      </c>
      <c r="C63" s="31">
        <v>8692285200</v>
      </c>
      <c r="D63" s="31">
        <v>9291616280</v>
      </c>
      <c r="E63" s="31">
        <v>-599331080</v>
      </c>
      <c r="F63" s="31">
        <v>200000</v>
      </c>
      <c r="G63" s="31">
        <v>8692285200</v>
      </c>
      <c r="H63" s="31">
        <v>12095771300</v>
      </c>
      <c r="I63" s="31">
        <v>-3403486100</v>
      </c>
    </row>
    <row r="64" spans="1:9" x14ac:dyDescent="0.65">
      <c r="A64" s="30" t="s">
        <v>126</v>
      </c>
      <c r="B64" s="31">
        <v>750000</v>
      </c>
      <c r="C64" s="31">
        <v>45195417825</v>
      </c>
      <c r="D64" s="31">
        <v>44905178850</v>
      </c>
      <c r="E64" s="31">
        <v>290238975</v>
      </c>
      <c r="F64" s="31">
        <v>750000</v>
      </c>
      <c r="G64" s="31">
        <v>45195417825</v>
      </c>
      <c r="H64" s="31">
        <v>35245501211</v>
      </c>
      <c r="I64" s="31">
        <v>9949916614</v>
      </c>
    </row>
    <row r="65" spans="1:9" x14ac:dyDescent="0.65">
      <c r="A65" s="30" t="s">
        <v>123</v>
      </c>
      <c r="B65" s="31">
        <v>450000</v>
      </c>
      <c r="C65" s="31">
        <v>20361380400</v>
      </c>
      <c r="D65" s="31">
        <v>20602502010</v>
      </c>
      <c r="E65" s="31">
        <v>-241121610</v>
      </c>
      <c r="F65" s="31">
        <v>450000</v>
      </c>
      <c r="G65" s="31">
        <v>20361380400</v>
      </c>
      <c r="H65" s="31">
        <v>22924413809</v>
      </c>
      <c r="I65" s="31">
        <v>-2563033409</v>
      </c>
    </row>
    <row r="66" spans="1:9" x14ac:dyDescent="0.65">
      <c r="A66" s="30" t="s">
        <v>166</v>
      </c>
      <c r="B66" s="31">
        <v>3000000</v>
      </c>
      <c r="C66" s="31">
        <v>8156459400</v>
      </c>
      <c r="D66" s="31">
        <v>8394604200</v>
      </c>
      <c r="E66" s="31">
        <v>-238144800</v>
      </c>
      <c r="F66" s="31">
        <v>3000000</v>
      </c>
      <c r="G66" s="31">
        <v>8156459400</v>
      </c>
      <c r="H66" s="31">
        <v>9552583290</v>
      </c>
      <c r="I66" s="31">
        <v>-1396123890</v>
      </c>
    </row>
    <row r="67" spans="1:9" x14ac:dyDescent="0.65">
      <c r="A67" s="30" t="s">
        <v>180</v>
      </c>
      <c r="B67" s="31">
        <v>120000</v>
      </c>
      <c r="C67" s="31">
        <v>60407809968</v>
      </c>
      <c r="D67" s="31">
        <v>62599932852</v>
      </c>
      <c r="E67" s="31">
        <v>-2192122884</v>
      </c>
      <c r="F67" s="31">
        <v>120000</v>
      </c>
      <c r="G67" s="31">
        <v>60407809968</v>
      </c>
      <c r="H67" s="31">
        <v>47041933068</v>
      </c>
      <c r="I67" s="31">
        <v>13365876900</v>
      </c>
    </row>
    <row r="68" spans="1:9" x14ac:dyDescent="0.65">
      <c r="A68" s="30" t="s">
        <v>103</v>
      </c>
      <c r="B68" s="31">
        <v>1200000</v>
      </c>
      <c r="C68" s="31">
        <v>22588034280</v>
      </c>
      <c r="D68" s="31">
        <v>23421541080</v>
      </c>
      <c r="E68" s="31">
        <v>-833506800</v>
      </c>
      <c r="F68" s="31">
        <v>1200000</v>
      </c>
      <c r="G68" s="31">
        <v>22588034280</v>
      </c>
      <c r="H68" s="31">
        <v>26820179544</v>
      </c>
      <c r="I68" s="31">
        <v>-4232145264</v>
      </c>
    </row>
    <row r="69" spans="1:9" x14ac:dyDescent="0.65">
      <c r="A69" s="30" t="s">
        <v>76</v>
      </c>
      <c r="B69" s="31">
        <v>350000</v>
      </c>
      <c r="C69" s="31">
        <v>36604840300</v>
      </c>
      <c r="D69" s="31">
        <v>36674299200</v>
      </c>
      <c r="E69" s="31">
        <v>-69458900</v>
      </c>
      <c r="F69" s="31">
        <v>350000</v>
      </c>
      <c r="G69" s="31">
        <v>36604840300</v>
      </c>
      <c r="H69" s="31">
        <v>34764179450</v>
      </c>
      <c r="I69" s="31">
        <v>1840660850</v>
      </c>
    </row>
    <row r="70" spans="1:9" x14ac:dyDescent="0.65">
      <c r="A70" s="30" t="s">
        <v>181</v>
      </c>
      <c r="B70" s="31">
        <v>5802960</v>
      </c>
      <c r="C70" s="31">
        <v>14308886251</v>
      </c>
      <c r="D70" s="31">
        <v>14487387448</v>
      </c>
      <c r="E70" s="31">
        <v>-178501197</v>
      </c>
      <c r="F70" s="31">
        <v>5802960</v>
      </c>
      <c r="G70" s="31">
        <v>14308886251</v>
      </c>
      <c r="H70" s="31">
        <v>17746473813</v>
      </c>
      <c r="I70" s="31">
        <v>-3437587562</v>
      </c>
    </row>
    <row r="71" spans="1:9" ht="19.2" thickBot="1" x14ac:dyDescent="0.7">
      <c r="A71" s="30" t="s">
        <v>2</v>
      </c>
      <c r="B71" s="31"/>
      <c r="C71" s="34">
        <f t="shared" ref="B71:I71" si="0">SUM(C8:C70)</f>
        <v>995433068047</v>
      </c>
      <c r="D71" s="34">
        <f t="shared" si="0"/>
        <v>1016540720329</v>
      </c>
      <c r="E71" s="34">
        <f t="shared" si="0"/>
        <v>-21107652282</v>
      </c>
      <c r="F71" s="31"/>
      <c r="G71" s="34">
        <f t="shared" si="0"/>
        <v>995433068047</v>
      </c>
      <c r="H71" s="34">
        <f t="shared" si="0"/>
        <v>1011225507760</v>
      </c>
      <c r="I71" s="34">
        <f t="shared" si="0"/>
        <v>-15792439713</v>
      </c>
    </row>
    <row r="72" spans="1:9" ht="19.2" thickTop="1" x14ac:dyDescent="0.65"/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سربرگ</vt:lpstr>
      <vt:lpstr> سهام</vt:lpstr>
      <vt:lpstr>اوراق مشتقه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  <vt:lpstr>'درآمد سرمایه گذاری در سهام '!Print_Titles</vt:lpstr>
      <vt:lpstr>'درآمد ناشی از تغییر قیمت اوراق '!Print_Titles</vt:lpstr>
      <vt:lpstr>'درآمد ناشی ازفروش'!Print_Titles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Arash Ranjbar</cp:lastModifiedBy>
  <cp:lastPrinted>2026-03-30T02:29:34Z</cp:lastPrinted>
  <dcterms:created xsi:type="dcterms:W3CDTF">2017-11-22T14:26:20Z</dcterms:created>
  <dcterms:modified xsi:type="dcterms:W3CDTF">2026-03-30T02:29:55Z</dcterms:modified>
</cp:coreProperties>
</file>