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.ranjbar\Desktop\"/>
    </mc:Choice>
  </mc:AlternateContent>
  <xr:revisionPtr revIDLastSave="0" documentId="8_{C3A78791-4EE3-45F9-B2DD-3061BD84D51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0" sheetId="17" r:id="rId1"/>
    <sheet name="1" sheetId="2" r:id="rId2"/>
    <sheet name="2" sheetId="3" r:id="rId3"/>
    <sheet name="3" sheetId="6" r:id="rId4"/>
    <sheet name="4" sheetId="8" r:id="rId5"/>
    <sheet name="5" sheetId="13" r:id="rId6"/>
    <sheet name="6" sheetId="15" r:id="rId7"/>
    <sheet name="7" sheetId="16" r:id="rId8"/>
    <sheet name="8" sheetId="9" r:id="rId9"/>
    <sheet name="9" sheetId="10" r:id="rId10"/>
    <sheet name="10" sheetId="11" r:id="rId11"/>
    <sheet name="11" sheetId="12" r:id="rId12"/>
  </sheets>
  <definedNames>
    <definedName name="_xlnm.Print_Area" localSheetId="0">'0'!$A$1:$J$29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111" i="12" l="1"/>
  <c r="O111" i="12"/>
  <c r="M111" i="12"/>
  <c r="I111" i="12"/>
  <c r="G111" i="12"/>
  <c r="E111" i="12"/>
  <c r="Q32" i="12"/>
  <c r="Q41" i="12" s="1"/>
  <c r="O32" i="12"/>
  <c r="O41" i="12" s="1"/>
  <c r="M32" i="12"/>
  <c r="M41" i="12" s="1"/>
  <c r="M64" i="12" s="1"/>
  <c r="M73" i="12" s="1"/>
  <c r="M96" i="12" s="1"/>
  <c r="M105" i="12" s="1"/>
  <c r="I32" i="12"/>
  <c r="I41" i="12" s="1"/>
  <c r="I64" i="12" s="1"/>
  <c r="I73" i="12" s="1"/>
  <c r="I96" i="12" s="1"/>
  <c r="I105" i="12" s="1"/>
  <c r="G32" i="12"/>
  <c r="G41" i="12" s="1"/>
  <c r="E32" i="12"/>
  <c r="E41" i="12" s="1"/>
  <c r="Q46" i="11"/>
  <c r="O46" i="11"/>
  <c r="M46" i="11"/>
  <c r="I46" i="11"/>
  <c r="G46" i="11"/>
  <c r="E46" i="11"/>
  <c r="Q40" i="11"/>
  <c r="O40" i="11"/>
  <c r="M40" i="11"/>
  <c r="I40" i="11"/>
  <c r="G40" i="11"/>
  <c r="E40" i="11"/>
  <c r="Q31" i="11"/>
  <c r="O31" i="11"/>
  <c r="M31" i="11"/>
  <c r="I31" i="11"/>
  <c r="G31" i="11"/>
  <c r="E31" i="11"/>
  <c r="E10" i="8"/>
  <c r="E9" i="8"/>
  <c r="E8" i="8"/>
  <c r="U99" i="13"/>
  <c r="S99" i="13"/>
  <c r="Q99" i="13"/>
  <c r="O99" i="13"/>
  <c r="M99" i="13"/>
  <c r="K99" i="13"/>
  <c r="I99" i="13"/>
  <c r="G99" i="13"/>
  <c r="E99" i="13"/>
  <c r="C99" i="13"/>
  <c r="U87" i="13"/>
  <c r="Q87" i="13"/>
  <c r="O87" i="13"/>
  <c r="M87" i="13"/>
  <c r="G87" i="13"/>
  <c r="O78" i="13"/>
  <c r="O48" i="13"/>
  <c r="M48" i="13"/>
  <c r="M78" i="13" s="1"/>
  <c r="K48" i="13"/>
  <c r="K78" i="13" s="1"/>
  <c r="K87" i="13" s="1"/>
  <c r="U39" i="13"/>
  <c r="U48" i="13" s="1"/>
  <c r="U78" i="13" s="1"/>
  <c r="Q39" i="13"/>
  <c r="Q48" i="13" s="1"/>
  <c r="Q78" i="13" s="1"/>
  <c r="O39" i="13"/>
  <c r="M39" i="13"/>
  <c r="K39" i="13"/>
  <c r="G39" i="13"/>
  <c r="G48" i="13" s="1"/>
  <c r="G78" i="13" s="1"/>
  <c r="E39" i="13"/>
  <c r="C39" i="13"/>
  <c r="S98" i="13"/>
  <c r="S97" i="13"/>
  <c r="S96" i="13"/>
  <c r="S95" i="13"/>
  <c r="S94" i="13"/>
  <c r="S93" i="13"/>
  <c r="S92" i="13"/>
  <c r="S91" i="13"/>
  <c r="S90" i="13"/>
  <c r="S89" i="13"/>
  <c r="S88" i="13"/>
  <c r="S77" i="13"/>
  <c r="S76" i="13"/>
  <c r="S75" i="13"/>
  <c r="S74" i="13"/>
  <c r="S73" i="13"/>
  <c r="S72" i="13"/>
  <c r="S71" i="13"/>
  <c r="S70" i="13"/>
  <c r="S69" i="13"/>
  <c r="S68" i="13"/>
  <c r="S67" i="13"/>
  <c r="S66" i="13"/>
  <c r="S65" i="13"/>
  <c r="S64" i="13"/>
  <c r="S63" i="13"/>
  <c r="S62" i="13"/>
  <c r="S61" i="13"/>
  <c r="S60" i="13"/>
  <c r="S59" i="13"/>
  <c r="S58" i="13"/>
  <c r="S57" i="13"/>
  <c r="S56" i="13"/>
  <c r="S55" i="13"/>
  <c r="S54" i="13"/>
  <c r="S53" i="13"/>
  <c r="S52" i="13"/>
  <c r="S51" i="13"/>
  <c r="S50" i="13"/>
  <c r="S49" i="13"/>
  <c r="S38" i="13"/>
  <c r="S37" i="13"/>
  <c r="S36" i="13"/>
  <c r="S35" i="13"/>
  <c r="S34" i="13"/>
  <c r="S33" i="13"/>
  <c r="S32" i="13"/>
  <c r="S31" i="13"/>
  <c r="S30" i="13"/>
  <c r="S29" i="13"/>
  <c r="S28" i="13"/>
  <c r="S27" i="13"/>
  <c r="S26" i="13"/>
  <c r="S25" i="13"/>
  <c r="S24" i="13"/>
  <c r="S23" i="13"/>
  <c r="S22" i="13"/>
  <c r="S21" i="13"/>
  <c r="S20" i="13"/>
  <c r="S19" i="13"/>
  <c r="S18" i="13"/>
  <c r="S17" i="13"/>
  <c r="S16" i="13"/>
  <c r="S15" i="13"/>
  <c r="S14" i="13"/>
  <c r="S13" i="13"/>
  <c r="S12" i="13"/>
  <c r="S11" i="13"/>
  <c r="S10" i="13"/>
  <c r="S9" i="13"/>
  <c r="I10" i="13"/>
  <c r="I11" i="13"/>
  <c r="I12" i="13"/>
  <c r="I13" i="13"/>
  <c r="I14" i="13"/>
  <c r="I15" i="13"/>
  <c r="I16" i="13"/>
  <c r="I17" i="13"/>
  <c r="I18" i="13"/>
  <c r="I19" i="13"/>
  <c r="I20" i="13"/>
  <c r="I21" i="13"/>
  <c r="I22" i="13"/>
  <c r="I23" i="13"/>
  <c r="I24" i="13"/>
  <c r="I25" i="13"/>
  <c r="I26" i="13"/>
  <c r="I27" i="13"/>
  <c r="I28" i="13"/>
  <c r="I29" i="13"/>
  <c r="I30" i="13"/>
  <c r="I31" i="13"/>
  <c r="I32" i="13"/>
  <c r="I33" i="13"/>
  <c r="I34" i="13"/>
  <c r="I35" i="13"/>
  <c r="I36" i="13"/>
  <c r="I37" i="13"/>
  <c r="I38" i="13"/>
  <c r="I49" i="13"/>
  <c r="I50" i="13"/>
  <c r="I51" i="13"/>
  <c r="I52" i="13"/>
  <c r="I53" i="13"/>
  <c r="I54" i="13"/>
  <c r="I55" i="13"/>
  <c r="I56" i="13"/>
  <c r="I57" i="13"/>
  <c r="I58" i="13"/>
  <c r="I59" i="13"/>
  <c r="I60" i="13"/>
  <c r="I61" i="13"/>
  <c r="I62" i="13"/>
  <c r="I63" i="13"/>
  <c r="I64" i="13"/>
  <c r="I65" i="13"/>
  <c r="I66" i="13"/>
  <c r="I67" i="13"/>
  <c r="I68" i="13"/>
  <c r="I69" i="13"/>
  <c r="I70" i="13"/>
  <c r="I71" i="13"/>
  <c r="I72" i="13"/>
  <c r="I73" i="13"/>
  <c r="I74" i="13"/>
  <c r="I75" i="13"/>
  <c r="I76" i="13"/>
  <c r="I77" i="13"/>
  <c r="I88" i="13"/>
  <c r="I89" i="13"/>
  <c r="I90" i="13"/>
  <c r="I91" i="13"/>
  <c r="I92" i="13"/>
  <c r="I93" i="13"/>
  <c r="I94" i="13"/>
  <c r="I95" i="13"/>
  <c r="I96" i="13"/>
  <c r="I97" i="13"/>
  <c r="I98" i="13"/>
  <c r="I9" i="13"/>
  <c r="J51" i="2"/>
  <c r="J78" i="2" s="1"/>
  <c r="W40" i="2"/>
  <c r="W51" i="2" s="1"/>
  <c r="W78" i="2" s="1"/>
  <c r="U40" i="2"/>
  <c r="U51" i="2" s="1"/>
  <c r="U78" i="2" s="1"/>
  <c r="S40" i="2"/>
  <c r="S51" i="2" s="1"/>
  <c r="S78" i="2" s="1"/>
  <c r="M40" i="2"/>
  <c r="M51" i="2" s="1"/>
  <c r="M78" i="2" s="1"/>
  <c r="J40" i="2"/>
  <c r="G40" i="2"/>
  <c r="G51" i="2" s="1"/>
  <c r="G78" i="2" s="1"/>
  <c r="E40" i="2"/>
  <c r="E51" i="2" s="1"/>
  <c r="E78" i="2" s="1"/>
  <c r="E10" i="16"/>
  <c r="C10" i="16"/>
  <c r="I11" i="15"/>
  <c r="K10" i="15" s="1"/>
  <c r="E11" i="15"/>
  <c r="G10" i="15" s="1"/>
  <c r="S11" i="10"/>
  <c r="Q11" i="10"/>
  <c r="O11" i="10"/>
  <c r="M11" i="10"/>
  <c r="K11" i="10"/>
  <c r="I11" i="10"/>
  <c r="S11" i="9"/>
  <c r="Q11" i="9"/>
  <c r="O11" i="9"/>
  <c r="M11" i="9"/>
  <c r="K11" i="9"/>
  <c r="I11" i="9"/>
  <c r="S12" i="6"/>
  <c r="Q12" i="6"/>
  <c r="O12" i="6"/>
  <c r="M12" i="6"/>
  <c r="K12" i="6"/>
  <c r="O64" i="12" l="1"/>
  <c r="O73" i="12" s="1"/>
  <c r="O96" i="12" s="1"/>
  <c r="O105" i="12" s="1"/>
  <c r="Q64" i="12"/>
  <c r="Q73" i="12" s="1"/>
  <c r="Q96" i="12" s="1"/>
  <c r="Q105" i="12" s="1"/>
  <c r="E64" i="12"/>
  <c r="E73" i="12" s="1"/>
  <c r="E96" i="12" s="1"/>
  <c r="E105" i="12" s="1"/>
  <c r="G64" i="12"/>
  <c r="E11" i="8"/>
  <c r="I11" i="8"/>
  <c r="I39" i="13"/>
  <c r="I48" i="13" s="1"/>
  <c r="I78" i="13" s="1"/>
  <c r="I87" i="13" s="1"/>
  <c r="C48" i="13"/>
  <c r="C78" i="13" s="1"/>
  <c r="C87" i="13" s="1"/>
  <c r="E48" i="13"/>
  <c r="E78" i="13" s="1"/>
  <c r="E87" i="13" s="1"/>
  <c r="S39" i="13"/>
  <c r="S48" i="13" s="1"/>
  <c r="S78" i="13" s="1"/>
  <c r="S87" i="13" s="1"/>
  <c r="G9" i="15"/>
  <c r="G11" i="15" s="1"/>
  <c r="K9" i="15"/>
  <c r="K11" i="15" s="1"/>
  <c r="G73" i="12" l="1"/>
  <c r="G9" i="8"/>
  <c r="G8" i="8"/>
  <c r="G11" i="8" s="1"/>
  <c r="G10" i="8"/>
  <c r="G96" i="12" l="1"/>
  <c r="G105" i="12" s="1"/>
</calcChain>
</file>

<file path=xl/sharedStrings.xml><?xml version="1.0" encoding="utf-8"?>
<sst xmlns="http://schemas.openxmlformats.org/spreadsheetml/2006/main" count="660" uniqueCount="252">
  <si>
    <t>‫سرمایه گذاری قابل معامله شاخصی بازار آشنا</t>
  </si>
  <si>
    <t>‫صورت وضعیت پورتفوی</t>
  </si>
  <si>
    <t>‫برای ماه منتهی به 1403/10/30</t>
  </si>
  <si>
    <t>‫1- سرمایه گذاری ها</t>
  </si>
  <si>
    <t>‫1-1- سرمایه گذاری در سهام و حق تقدم سهام</t>
  </si>
  <si>
    <t>‫1403/09/30</t>
  </si>
  <si>
    <t>‫تغییرات طی دوره</t>
  </si>
  <si>
    <t>‫1403/10/30</t>
  </si>
  <si>
    <t>‫شرکت</t>
  </si>
  <si>
    <t>‫تعداد</t>
  </si>
  <si>
    <t>‫بهای تمام شده</t>
  </si>
  <si>
    <t>‫خالص ارزش فروش</t>
  </si>
  <si>
    <t>‫خرید طی دوره</t>
  </si>
  <si>
    <t>‫فروش طی دوره</t>
  </si>
  <si>
    <t>‫قیمت بازار هر سهم</t>
  </si>
  <si>
    <t>‫درصد به کل دارایی ها</t>
  </si>
  <si>
    <t>‫مبلغ فروش</t>
  </si>
  <si>
    <t>‫آلومينيوم ايران</t>
  </si>
  <si>
    <t>‫اختيارخ خودرو-3750-1403/12/01</t>
  </si>
  <si>
    <t>‫اختيارخ خودرو-4000-1403/11/03</t>
  </si>
  <si>
    <t>‫اختيارخ خودرو-5000-1403/12/01</t>
  </si>
  <si>
    <t>‫اختيارخ ذوب-500-1403/12/22</t>
  </si>
  <si>
    <t>‫اختيارخ ذوب-600-1403/11/24</t>
  </si>
  <si>
    <t>‫اختيارخ ذوب-700-1403/11/24</t>
  </si>
  <si>
    <t>‫اختيارخ شستا-1350-1403/10/12</t>
  </si>
  <si>
    <t>‫اختيارخ شستا-1450-1403/10/12</t>
  </si>
  <si>
    <t>‫اختيارخ شستا-1550-1403/11/10</t>
  </si>
  <si>
    <t>‫اختيارخ شستا-1650-1403/11/10</t>
  </si>
  <si>
    <t>‫اختيارخ شستا-1650-1403/12/08</t>
  </si>
  <si>
    <t>‫اختيارخ شپنا-5500-1403/12/08</t>
  </si>
  <si>
    <t>‫اختيارخ وبملت-3000-1403/11/24</t>
  </si>
  <si>
    <t>‫اختيارخ وبملت-3750-1403/11/24</t>
  </si>
  <si>
    <t>‫اختيارخ وتجارت-1800-1403/12/15</t>
  </si>
  <si>
    <t>‫اختيارخ وتجارت-2200-1403/12/15</t>
  </si>
  <si>
    <t>‫اختيارف خودرو-3250-1403/11/03</t>
  </si>
  <si>
    <t>‫اختيارف خودرو-3250-1403/12/01</t>
  </si>
  <si>
    <t>‫ارتباطات سیار</t>
  </si>
  <si>
    <t>‫ايران خودرو</t>
  </si>
  <si>
    <t>‫بانك تجارت</t>
  </si>
  <si>
    <t>‫بانك صادرات</t>
  </si>
  <si>
    <t>‫بانك ملت</t>
  </si>
  <si>
    <t>‫بين المللي توسعه ص. معادن غدير</t>
  </si>
  <si>
    <t>‫توسعه معادن وص.معدني خاورميانه</t>
  </si>
  <si>
    <t>‫توسعه نيشكر و صنايع جانبي</t>
  </si>
  <si>
    <t>‫توسعه‌معادن‌وفلزات‌</t>
  </si>
  <si>
    <t>‫توليدي برنا باطري</t>
  </si>
  <si>
    <t>‫دارويي تامين</t>
  </si>
  <si>
    <t>‫دارويي و نهاده هاي زاگرس دارو</t>
  </si>
  <si>
    <t>‫ذوب آهن  اصفهان</t>
  </si>
  <si>
    <t>‫سايپا</t>
  </si>
  <si>
    <t>‫سرمايه گذاري تامين اجتماعي</t>
  </si>
  <si>
    <t>‫سرمايه گذاري جامي</t>
  </si>
  <si>
    <t>‫سرمايه گذاري صدرتامين</t>
  </si>
  <si>
    <t>‫سرمايه گذاري غدير</t>
  </si>
  <si>
    <t>‫سرمايه گذاري ملي ايران</t>
  </si>
  <si>
    <t>‫سيمان تهران</t>
  </si>
  <si>
    <t>‫سيمان سپاهان</t>
  </si>
  <si>
    <t>‫صبا فولاد خليج فارس</t>
  </si>
  <si>
    <t>‫صنايع ارتباطي آوا</t>
  </si>
  <si>
    <t>‫صنايع شيميايي كيمياگران امروز</t>
  </si>
  <si>
    <t>‫صنايع پتروشيمي خليج فارس</t>
  </si>
  <si>
    <t>‫صندوق بازنشستگي</t>
  </si>
  <si>
    <t>‫صنعتی صبانور</t>
  </si>
  <si>
    <t>‫فولاد اميركبير</t>
  </si>
  <si>
    <t>‫فولاد خوزستان</t>
  </si>
  <si>
    <t>‫فولاد مباركه</t>
  </si>
  <si>
    <t>‫قند چهار محال</t>
  </si>
  <si>
    <t>‫كاني كربن طبس</t>
  </si>
  <si>
    <t>‫كشتيراني ايران</t>
  </si>
  <si>
    <t>‫مخابرات</t>
  </si>
  <si>
    <t>‫مديريت نيروگاهي ايرانيان مپنا</t>
  </si>
  <si>
    <t>‫معادن روي</t>
  </si>
  <si>
    <t>‫ملي مس</t>
  </si>
  <si>
    <t>‫نساجي بابكان</t>
  </si>
  <si>
    <t>‫نفت اصفهان</t>
  </si>
  <si>
    <t>‫نفت بهران</t>
  </si>
  <si>
    <t>‫نفت تبريز</t>
  </si>
  <si>
    <t>‫نفت تهران</t>
  </si>
  <si>
    <t>‫نفت و گاز پارسیان</t>
  </si>
  <si>
    <t>‫پتروشيمي بوعلي سينا</t>
  </si>
  <si>
    <t>‫پتروشيمي جم</t>
  </si>
  <si>
    <t>‫پتروشيمي شيراز</t>
  </si>
  <si>
    <t>‫پتروشيمي نوري</t>
  </si>
  <si>
    <t>‫پتروشيمي پارس</t>
  </si>
  <si>
    <t>‫پتروشيمی پردیس</t>
  </si>
  <si>
    <t>‫پتروشیمی تامین</t>
  </si>
  <si>
    <t>‫پخش هجرت</t>
  </si>
  <si>
    <t>‫پست بانك ايران</t>
  </si>
  <si>
    <t>‫چادرملو</t>
  </si>
  <si>
    <t>‫گل گهر</t>
  </si>
  <si>
    <t>‫جمع</t>
  </si>
  <si>
    <t>‫نام سهام</t>
  </si>
  <si>
    <t>‫قیمت اعمال</t>
  </si>
  <si>
    <t>‫تاریخ اعمال</t>
  </si>
  <si>
    <t>‫اطلاعات آماری مرتبط با موقعیت‌های اخذ شده در اوراق اختیار معامله توسط صندوق سرمایه گذاری:</t>
  </si>
  <si>
    <t>‫نوع اختیار</t>
  </si>
  <si>
    <t>‫نوع موقعیت</t>
  </si>
  <si>
    <t>‫تعداد اوراق</t>
  </si>
  <si>
    <t>‫اختيار معامله خرید</t>
  </si>
  <si>
    <t>‫موقعیت فروش</t>
  </si>
  <si>
    <t>‫10,469,000</t>
  </si>
  <si>
    <t>‫4000</t>
  </si>
  <si>
    <t>‫1403/11/03</t>
  </si>
  <si>
    <t>‫10,803,000</t>
  </si>
  <si>
    <t>‫500</t>
  </si>
  <si>
    <t>‫1403/12/22</t>
  </si>
  <si>
    <t>‫12,000,000</t>
  </si>
  <si>
    <t>‫600</t>
  </si>
  <si>
    <t>‫1403/11/24</t>
  </si>
  <si>
    <t>‫11,000,000</t>
  </si>
  <si>
    <t>‫700</t>
  </si>
  <si>
    <t>‫25,000,000</t>
  </si>
  <si>
    <t>‫1350</t>
  </si>
  <si>
    <t>‫1403/10/12</t>
  </si>
  <si>
    <t>‫3,692,000</t>
  </si>
  <si>
    <t>‫1450</t>
  </si>
  <si>
    <t>‫2,000,000</t>
  </si>
  <si>
    <t>‫1550</t>
  </si>
  <si>
    <t>‫1403/11/10</t>
  </si>
  <si>
    <t>‫1650</t>
  </si>
  <si>
    <t>‫6,900,000</t>
  </si>
  <si>
    <t>‫3000</t>
  </si>
  <si>
    <t>‫1,298,000</t>
  </si>
  <si>
    <t>‫1800</t>
  </si>
  <si>
    <t>‫1403/12/15</t>
  </si>
  <si>
    <t>‫6,699,000</t>
  </si>
  <si>
    <t>‫2200</t>
  </si>
  <si>
    <t>‫اختيار معامله فروش</t>
  </si>
  <si>
    <t>‫10,000,000</t>
  </si>
  <si>
    <t>‫3250</t>
  </si>
  <si>
    <t>‫1,000,000</t>
  </si>
  <si>
    <t>‫1403/12/01</t>
  </si>
  <si>
    <t>‫تاریخ سررسید</t>
  </si>
  <si>
    <t>‫مشخصات حساب بانکی</t>
  </si>
  <si>
    <t>‫سپرده‌های بانکی</t>
  </si>
  <si>
    <t>‫شماره حساب</t>
  </si>
  <si>
    <t>‫نوع سپرده</t>
  </si>
  <si>
    <t>‫تاریخ افتتاح حساب</t>
  </si>
  <si>
    <t>‫نرخ سود علی الحساب</t>
  </si>
  <si>
    <t>‫مبلغ</t>
  </si>
  <si>
    <t>‫افزایش</t>
  </si>
  <si>
    <t>‫کاهش</t>
  </si>
  <si>
    <t>‫سپرده بانکی نزد بانک پاسارگاد</t>
  </si>
  <si>
    <t>‫415.8100.14938708.1</t>
  </si>
  <si>
    <t>‫کوتاه مدت</t>
  </si>
  <si>
    <t>‫1400/08/09</t>
  </si>
  <si>
    <t>‫0</t>
  </si>
  <si>
    <t>‫سپرده بانکی نزد بانک گردشگري</t>
  </si>
  <si>
    <t>‫132-711270160-1</t>
  </si>
  <si>
    <t>‫جاري</t>
  </si>
  <si>
    <t>‫1401/09/22</t>
  </si>
  <si>
    <t>‫132.9967.1270160.1</t>
  </si>
  <si>
    <t>‫1403/05/03</t>
  </si>
  <si>
    <t>‫23</t>
  </si>
  <si>
    <t>‫صورت وضعیت درآمدها</t>
  </si>
  <si>
    <t>‫2- درآمد حاصل از سرمایه گذاری ها</t>
  </si>
  <si>
    <t>‫شرح</t>
  </si>
  <si>
    <t>‫یادداشت</t>
  </si>
  <si>
    <t>‫درصد از کل درآمدها</t>
  </si>
  <si>
    <t>‫درصد از کل دارایی ها</t>
  </si>
  <si>
    <t>‫درآمد حاصل از سرمایه گذاری در سهام و حق تقدم سهام</t>
  </si>
  <si>
    <t>‫1-2</t>
  </si>
  <si>
    <t>‫درآمد حاصل از سرمایه گذاری در سپرده بانکی و گواهی سپرده</t>
  </si>
  <si>
    <t>‫3-2</t>
  </si>
  <si>
    <t>‫سایر درآمدها</t>
  </si>
  <si>
    <t>‫4-2</t>
  </si>
  <si>
    <t>‫درآمد سود سهام</t>
  </si>
  <si>
    <t>‫اطلاعات مجمع</t>
  </si>
  <si>
    <t>‫طی دوره</t>
  </si>
  <si>
    <t>‫تاریخ تشکیل مجمع</t>
  </si>
  <si>
    <t>‫تعداد سهام متعلقه در زمان مجمع</t>
  </si>
  <si>
    <t>‫سود متعلق به هر سهم</t>
  </si>
  <si>
    <t>‫جمع درآمد سود سهام</t>
  </si>
  <si>
    <t>‫هزینه تنزیل</t>
  </si>
  <si>
    <t>‫خالص درآمد سود سهام</t>
  </si>
  <si>
    <t>‫1403/10/15</t>
  </si>
  <si>
    <t>‫1403/10/19</t>
  </si>
  <si>
    <t>‫تاریخ دریافت سود</t>
  </si>
  <si>
    <t>‫درآمد سود</t>
  </si>
  <si>
    <t>‫خالص درآمد</t>
  </si>
  <si>
    <t>‫كوتاه مدت-1.1270160.9967.132-گردشگري</t>
  </si>
  <si>
    <t>‫1403/10/03</t>
  </si>
  <si>
    <t>‫-</t>
  </si>
  <si>
    <t>‫كوتاه مدت-1.14938708.8100.415-پاسارگاد</t>
  </si>
  <si>
    <t>‫1403/10/01</t>
  </si>
  <si>
    <t>‫سود(زیان) حاصل از فروش اوراق بهادار</t>
  </si>
  <si>
    <t>‫ارزش دفتری</t>
  </si>
  <si>
    <t>‫سود و زیان ناشی از فروش</t>
  </si>
  <si>
    <t>‫ارزش دفتری برابر است با میانگین موزون خالص ارزش فروش هر سهم/ورقه در ابتدای دوره با خرید طی دوره ضربدر تعداد در پایان دوره</t>
  </si>
  <si>
    <t>‫درآمد ناشی از تغییر قیمت اوراق بهادار</t>
  </si>
  <si>
    <t>‫سود و زیان ناشی از تغییر قیمت</t>
  </si>
  <si>
    <t>‫سهام</t>
  </si>
  <si>
    <t>‫درآمد تغییر ارزش</t>
  </si>
  <si>
    <t>‫درآمد فروش</t>
  </si>
  <si>
    <t>‫جمع مبلغ</t>
  </si>
  <si>
    <t>‫درصد از کل درآمد ها</t>
  </si>
  <si>
    <t>‫بانك صادرات ايران</t>
  </si>
  <si>
    <t>‫توسعه معادن روي ايران</t>
  </si>
  <si>
    <t>‫توسعه معدني و صنعتي صبانور</t>
  </si>
  <si>
    <t>‫ذوب آهن اصفهان</t>
  </si>
  <si>
    <t>‫س. نفت و گاز و پتروشيمي تامين</t>
  </si>
  <si>
    <t>‫سرمايه گذاري توسعه معادن و فلزات (هلدينگ)</t>
  </si>
  <si>
    <t>‫سرمايه گذاري دارويي تامين</t>
  </si>
  <si>
    <t>‫سرمايه گذاري صندوق بازنشستگي كشوري (هلدينگ)</t>
  </si>
  <si>
    <t>‫سرمايه گذاري غدير (هلدينگ)</t>
  </si>
  <si>
    <t>‫شركت ارتباطات سيار ايران</t>
  </si>
  <si>
    <t>‫شركت مخابرات ايران</t>
  </si>
  <si>
    <t>‫شركت گسترش نفت و گاز پارسيان</t>
  </si>
  <si>
    <t>‫فرآورده هاي غذايي و قند چهار محال</t>
  </si>
  <si>
    <t>‫فولاد اميركبير كاشان</t>
  </si>
  <si>
    <t>‫فولاد مباركه اصفهان</t>
  </si>
  <si>
    <t>‫كشتيراني جمهوري اسلامي ايران</t>
  </si>
  <si>
    <t>‫معدني و صنعتي چادر ملو</t>
  </si>
  <si>
    <t>‫معدني و صنعتي گل گهر</t>
  </si>
  <si>
    <t>‫ملي صنايع مس ايران</t>
  </si>
  <si>
    <t>‫پالايش نفت اصفهان</t>
  </si>
  <si>
    <t>‫پالايش نفت تبريز</t>
  </si>
  <si>
    <t>‫پالايش نفت تهران</t>
  </si>
  <si>
    <t>‫نام سپرده بانکی</t>
  </si>
  <si>
    <t>‫نام سپرده</t>
  </si>
  <si>
    <t>‫سود سپرده بانکی و گواهی سپرده</t>
  </si>
  <si>
    <t>‫درصد سود به میانگین سپرده</t>
  </si>
  <si>
    <t>‫سپرده بانکی کوتاه مدت - پاسارگاد</t>
  </si>
  <si>
    <t>‫سپرده بانکی کوتاه مدت - گردشگري</t>
  </si>
  <si>
    <t>رکن صندوق</t>
  </si>
  <si>
    <t>شرکت</t>
  </si>
  <si>
    <t>نماینده</t>
  </si>
  <si>
    <t xml:space="preserve">امضا </t>
  </si>
  <si>
    <t>مدیر صندوق</t>
  </si>
  <si>
    <t>شرکت سبدگردان سهم آشنا</t>
  </si>
  <si>
    <t>علی اسماعیلی</t>
  </si>
  <si>
    <t>‫1-2- سرمایه گذاری در سپرده بانکی</t>
  </si>
  <si>
    <t>نقل به صفحه بعد</t>
  </si>
  <si>
    <t>نقل از صفحه قبل</t>
  </si>
  <si>
    <t>اختیارخ شستا-1350-1403/10/12</t>
  </si>
  <si>
    <t>اختیارخ شستا-1450-1403/10/12</t>
  </si>
  <si>
    <t>اختیارخ شستا-1650-1403/11/10</t>
  </si>
  <si>
    <t>اختیارخ شستا-1550-1403/11/10</t>
  </si>
  <si>
    <t>اختیارخ خودرو-4000-1403/11/03</t>
  </si>
  <si>
    <t>اختیارخ وبصادر-2200-1403/11/17</t>
  </si>
  <si>
    <t>اختیارخ وبصادر-2400-1403/11/17</t>
  </si>
  <si>
    <t>اختیارخ خودرو-3750-1403/12/01</t>
  </si>
  <si>
    <t>اختیارخ خودرو-5000-1403/12/01</t>
  </si>
  <si>
    <t>اختیارخ شپنا-5500-1403/12/08</t>
  </si>
  <si>
    <t>اختیارخ شستا-1650-1403/12/08</t>
  </si>
  <si>
    <t>‫2-1- درآمد حاصل از سرمایه گذاری در سهام و حق تقدم سهام:</t>
  </si>
  <si>
    <t>‫2-2- درآمد حاصل از سرمایه گذاری در سپرده بانکی و گواهی سپرده:</t>
  </si>
  <si>
    <t>‫2-3- سایر درآمدها:</t>
  </si>
  <si>
    <t>تعدیل کارمزد کارگزاری</t>
  </si>
  <si>
    <t>‫سود سپرده های بانکی</t>
  </si>
  <si>
    <t>‫اختيارخ وبصادر-2200-1403/11/17</t>
  </si>
  <si>
    <t>‫اختيارخ وبصادر-2400-1403/11/17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</si>
</sst>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indexed="8"/>
      <name val="Calibri"/>
      <family val="2"/>
      <scheme val="minor"/>
    </font>
    <font>
      <sz val="11"/>
      <color indexed="8"/>
      <name val="Calibri"/>
      <family val="2"/>
      <scheme val="minor"/>
    </font>
    <font>
      <b/>
      <u/>
      <sz val="18"/>
      <name val="B Zar"/>
      <charset val="178"/>
    </font>
    <font>
      <sz val="11"/>
      <color indexed="8"/>
      <name val="B Zar"/>
      <charset val="178"/>
    </font>
    <font>
      <b/>
      <sz val="13"/>
      <color rgb="FFFFFFFF"/>
      <name val="B Zar"/>
      <charset val="178"/>
    </font>
    <font>
      <b/>
      <sz val="13"/>
      <color theme="1"/>
      <name val="B Zar"/>
      <charset val="178"/>
    </font>
    <font>
      <b/>
      <u/>
      <sz val="16"/>
      <name val="B Zar"/>
      <charset val="178"/>
    </font>
    <font>
      <b/>
      <sz val="12"/>
      <name val="B Zar"/>
      <charset val="178"/>
    </font>
    <font>
      <sz val="12"/>
      <name val="B Zar"/>
      <charset val="178"/>
    </font>
    <font>
      <sz val="7"/>
      <color rgb="FF000000"/>
      <name val="B Zar"/>
      <charset val="178"/>
    </font>
  </fonts>
  <fills count="4">
    <fill>
      <patternFill patternType="none"/>
    </fill>
    <fill>
      <patternFill patternType="gray125"/>
    </fill>
    <fill>
      <patternFill patternType="none">
        <bgColor indexed="64"/>
      </patternFill>
    </fill>
    <fill>
      <patternFill patternType="solid">
        <fgColor rgb="FF0070C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/>
      <bottom style="thin">
        <color indexed="8"/>
      </bottom>
      <diagonal/>
    </border>
    <border>
      <left/>
      <right/>
      <top style="thin">
        <color auto="1"/>
      </top>
      <bottom/>
      <diagonal/>
    </border>
    <border>
      <left/>
      <right/>
      <top style="double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2">
    <xf numFmtId="0" fontId="0" fillId="0" borderId="0"/>
    <xf numFmtId="0" fontId="1" fillId="2" borderId="6"/>
  </cellStyleXfs>
  <cellXfs count="60">
    <xf numFmtId="0" fontId="0" fillId="0" borderId="0" xfId="0"/>
    <xf numFmtId="0" fontId="3" fillId="2" borderId="6" xfId="1" applyFont="1"/>
    <xf numFmtId="0" fontId="3" fillId="0" borderId="0" xfId="0" applyFont="1"/>
    <xf numFmtId="37" fontId="7" fillId="0" borderId="1" xfId="0" applyNumberFormat="1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37" fontId="8" fillId="0" borderId="0" xfId="0" applyNumberFormat="1" applyFont="1" applyAlignment="1">
      <alignment horizontal="center" vertical="center" wrapText="1"/>
    </xf>
    <xf numFmtId="37" fontId="8" fillId="0" borderId="1" xfId="0" applyNumberFormat="1" applyFont="1" applyBorder="1" applyAlignment="1">
      <alignment horizontal="center" vertical="center"/>
    </xf>
    <xf numFmtId="37" fontId="8" fillId="0" borderId="0" xfId="0" applyNumberFormat="1" applyFont="1" applyAlignment="1">
      <alignment horizontal="right" vertical="center" wrapText="1"/>
    </xf>
    <xf numFmtId="37" fontId="8" fillId="0" borderId="0" xfId="0" applyNumberFormat="1" applyFont="1" applyAlignment="1">
      <alignment horizontal="center" vertical="center"/>
    </xf>
    <xf numFmtId="10" fontId="8" fillId="0" borderId="0" xfId="0" applyNumberFormat="1" applyFont="1" applyAlignment="1">
      <alignment horizontal="center" vertical="center"/>
    </xf>
    <xf numFmtId="37" fontId="8" fillId="0" borderId="3" xfId="0" applyNumberFormat="1" applyFont="1" applyBorder="1" applyAlignment="1">
      <alignment horizontal="center" vertical="center"/>
    </xf>
    <xf numFmtId="10" fontId="8" fillId="0" borderId="3" xfId="0" applyNumberFormat="1" applyFont="1" applyBorder="1" applyAlignment="1">
      <alignment horizontal="center" vertical="center"/>
    </xf>
    <xf numFmtId="37" fontId="8" fillId="0" borderId="4" xfId="0" applyNumberFormat="1" applyFont="1" applyBorder="1" applyAlignment="1">
      <alignment horizontal="center" vertical="center"/>
    </xf>
    <xf numFmtId="37" fontId="7" fillId="0" borderId="1" xfId="0" applyNumberFormat="1" applyFont="1" applyBorder="1" applyAlignment="1">
      <alignment horizontal="center" vertical="center" wrapText="1"/>
    </xf>
    <xf numFmtId="3" fontId="3" fillId="0" borderId="0" xfId="0" applyNumberFormat="1" applyFont="1"/>
    <xf numFmtId="37" fontId="7" fillId="0" borderId="1" xfId="0" applyNumberFormat="1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3" fillId="0" borderId="0" xfId="0" applyFont="1"/>
    <xf numFmtId="37" fontId="8" fillId="0" borderId="0" xfId="0" applyNumberFormat="1" applyFont="1" applyAlignment="1">
      <alignment horizontal="center" vertical="center" wrapText="1"/>
    </xf>
    <xf numFmtId="37" fontId="7" fillId="0" borderId="0" xfId="0" applyNumberFormat="1" applyFont="1" applyAlignment="1">
      <alignment horizontal="right" vertical="center"/>
    </xf>
    <xf numFmtId="37" fontId="8" fillId="0" borderId="0" xfId="0" applyNumberFormat="1" applyFont="1" applyFill="1" applyAlignment="1">
      <alignment horizontal="center" vertical="center" wrapText="1"/>
    </xf>
    <xf numFmtId="37" fontId="8" fillId="0" borderId="6" xfId="0" applyNumberFormat="1" applyFont="1" applyBorder="1" applyAlignment="1">
      <alignment horizontal="center" vertical="center"/>
    </xf>
    <xf numFmtId="0" fontId="3" fillId="0" borderId="6" xfId="0" applyFont="1" applyBorder="1"/>
    <xf numFmtId="10" fontId="8" fillId="0" borderId="10" xfId="0" applyNumberFormat="1" applyFont="1" applyBorder="1" applyAlignment="1">
      <alignment horizontal="center" vertical="center"/>
    </xf>
    <xf numFmtId="37" fontId="8" fillId="0" borderId="10" xfId="0" applyNumberFormat="1" applyFont="1" applyBorder="1" applyAlignment="1">
      <alignment horizontal="center" vertical="center"/>
    </xf>
    <xf numFmtId="10" fontId="8" fillId="0" borderId="11" xfId="0" applyNumberFormat="1" applyFont="1" applyBorder="1" applyAlignment="1">
      <alignment horizontal="center" vertical="center"/>
    </xf>
    <xf numFmtId="3" fontId="9" fillId="0" borderId="0" xfId="0" applyNumberFormat="1" applyFont="1"/>
    <xf numFmtId="37" fontId="7" fillId="0" borderId="1" xfId="0" applyNumberFormat="1" applyFont="1" applyFill="1" applyBorder="1" applyAlignment="1">
      <alignment horizontal="center" vertical="center" wrapText="1"/>
    </xf>
    <xf numFmtId="0" fontId="5" fillId="2" borderId="6" xfId="1" applyFont="1" applyAlignment="1">
      <alignment horizontal="center" vertical="center" wrapText="1" readingOrder="2"/>
    </xf>
    <xf numFmtId="37" fontId="2" fillId="2" borderId="6" xfId="1" applyNumberFormat="1" applyFont="1" applyAlignment="1">
      <alignment horizontal="center" vertical="center"/>
    </xf>
    <xf numFmtId="0" fontId="3" fillId="2" borderId="6" xfId="1" applyFont="1"/>
    <xf numFmtId="0" fontId="4" fillId="3" borderId="6" xfId="1" applyFont="1" applyFill="1" applyAlignment="1">
      <alignment horizontal="center" vertical="center" wrapText="1" readingOrder="2"/>
    </xf>
    <xf numFmtId="37" fontId="7" fillId="0" borderId="1" xfId="0" applyNumberFormat="1" applyFont="1" applyBorder="1" applyAlignment="1">
      <alignment horizontal="center" vertical="center"/>
    </xf>
    <xf numFmtId="0" fontId="3" fillId="2" borderId="2" xfId="0" applyFont="1" applyFill="1" applyBorder="1"/>
    <xf numFmtId="0" fontId="8" fillId="0" borderId="0" xfId="0" applyFont="1" applyAlignment="1">
      <alignment horizontal="center" vertical="center"/>
    </xf>
    <xf numFmtId="37" fontId="8" fillId="0" borderId="1" xfId="0" applyNumberFormat="1" applyFont="1" applyBorder="1" applyAlignment="1">
      <alignment horizontal="center" vertical="center"/>
    </xf>
    <xf numFmtId="0" fontId="3" fillId="0" borderId="0" xfId="0" applyFont="1"/>
    <xf numFmtId="37" fontId="8" fillId="0" borderId="0" xfId="0" applyNumberFormat="1" applyFont="1" applyAlignment="1">
      <alignment horizontal="center" vertical="center" wrapText="1"/>
    </xf>
    <xf numFmtId="37" fontId="8" fillId="0" borderId="0" xfId="0" applyNumberFormat="1" applyFont="1" applyFill="1" applyAlignment="1">
      <alignment horizontal="center" vertical="center" wrapText="1"/>
    </xf>
    <xf numFmtId="37" fontId="8" fillId="0" borderId="1" xfId="0" applyNumberFormat="1" applyFont="1" applyFill="1" applyBorder="1" applyAlignment="1">
      <alignment horizontal="center" vertical="center"/>
    </xf>
    <xf numFmtId="37" fontId="6" fillId="0" borderId="0" xfId="0" applyNumberFormat="1" applyFont="1" applyAlignment="1">
      <alignment horizontal="center" vertical="center"/>
    </xf>
    <xf numFmtId="37" fontId="7" fillId="0" borderId="0" xfId="0" applyNumberFormat="1" applyFont="1" applyAlignment="1">
      <alignment horizontal="right" vertical="center"/>
    </xf>
    <xf numFmtId="0" fontId="8" fillId="0" borderId="6" xfId="0" applyFont="1" applyBorder="1" applyAlignment="1">
      <alignment horizontal="center" vertical="center"/>
    </xf>
    <xf numFmtId="0" fontId="3" fillId="0" borderId="9" xfId="0" applyFont="1" applyBorder="1"/>
    <xf numFmtId="9" fontId="8" fillId="0" borderId="3" xfId="0" applyNumberFormat="1" applyFont="1" applyBorder="1" applyAlignment="1">
      <alignment horizontal="center" vertical="center"/>
    </xf>
    <xf numFmtId="37" fontId="7" fillId="0" borderId="9" xfId="0" applyNumberFormat="1" applyFont="1" applyBorder="1" applyAlignment="1">
      <alignment horizontal="center" vertical="center"/>
    </xf>
    <xf numFmtId="37" fontId="8" fillId="0" borderId="5" xfId="0" applyNumberFormat="1" applyFont="1" applyBorder="1" applyAlignment="1">
      <alignment horizontal="center" vertical="center"/>
    </xf>
    <xf numFmtId="0" fontId="3" fillId="2" borderId="7" xfId="0" applyFont="1" applyFill="1" applyBorder="1"/>
    <xf numFmtId="0" fontId="3" fillId="2" borderId="8" xfId="0" applyFont="1" applyFill="1" applyBorder="1"/>
    <xf numFmtId="0" fontId="3" fillId="0" borderId="0" xfId="0" applyFont="1" applyFill="1"/>
    <xf numFmtId="37" fontId="8" fillId="0" borderId="0" xfId="0" applyNumberFormat="1" applyFont="1" applyFill="1" applyAlignment="1">
      <alignment horizontal="center" vertical="center"/>
    </xf>
    <xf numFmtId="10" fontId="8" fillId="0" borderId="0" xfId="0" applyNumberFormat="1" applyFont="1" applyFill="1" applyAlignment="1">
      <alignment horizontal="center" vertical="center"/>
    </xf>
    <xf numFmtId="37" fontId="8" fillId="0" borderId="10" xfId="0" applyNumberFormat="1" applyFont="1" applyFill="1" applyBorder="1" applyAlignment="1">
      <alignment horizontal="center" vertical="center"/>
    </xf>
    <xf numFmtId="10" fontId="8" fillId="0" borderId="10" xfId="0" applyNumberFormat="1" applyFont="1" applyFill="1" applyBorder="1" applyAlignment="1">
      <alignment horizontal="center" vertical="center"/>
    </xf>
    <xf numFmtId="37" fontId="6" fillId="0" borderId="0" xfId="0" applyNumberFormat="1" applyFont="1" applyFill="1" applyAlignment="1">
      <alignment horizontal="center" vertical="center"/>
    </xf>
    <xf numFmtId="0" fontId="3" fillId="0" borderId="0" xfId="0" applyFont="1" applyFill="1"/>
    <xf numFmtId="37" fontId="7" fillId="0" borderId="0" xfId="0" applyNumberFormat="1" applyFont="1" applyFill="1" applyAlignment="1">
      <alignment horizontal="right" vertical="center"/>
    </xf>
    <xf numFmtId="37" fontId="7" fillId="0" borderId="1" xfId="0" applyNumberFormat="1" applyFont="1" applyFill="1" applyBorder="1" applyAlignment="1">
      <alignment horizontal="center" vertical="center"/>
    </xf>
    <xf numFmtId="0" fontId="3" fillId="0" borderId="2" xfId="0" applyFont="1" applyFill="1" applyBorder="1"/>
    <xf numFmtId="37" fontId="7" fillId="0" borderId="1" xfId="0" applyNumberFormat="1" applyFont="1" applyFill="1" applyBorder="1" applyAlignment="1">
      <alignment horizontal="center" vertical="center"/>
    </xf>
  </cellXfs>
  <cellStyles count="2">
    <cellStyle name="Normal" xfId="0" builtinId="0"/>
    <cellStyle name="Normal 2" xfId="1" xr:uid="{5DFC43BA-4734-4434-AFD0-5C29A303718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270330</xdr:colOff>
      <xdr:row>6</xdr:row>
      <xdr:rowOff>76200</xdr:rowOff>
    </xdr:from>
    <xdr:to>
      <xdr:col>6</xdr:col>
      <xdr:colOff>235378</xdr:colOff>
      <xdr:row>13</xdr:row>
      <xdr:rowOff>155575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4405686-B807-4ACD-9CE6-32D192136E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106996662" y="1493520"/>
          <a:ext cx="1999588" cy="17329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33615</xdr:rowOff>
    </xdr:from>
    <xdr:to>
      <xdr:col>0</xdr:col>
      <xdr:colOff>842723</xdr:colOff>
      <xdr:row>3</xdr:row>
      <xdr:rowOff>134471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284A515-D0FB-48DF-B97A-874F5895B2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31006659" y="33615"/>
          <a:ext cx="842723" cy="840444"/>
        </a:xfrm>
        <a:prstGeom prst="rect">
          <a:avLst/>
        </a:prstGeom>
      </xdr:spPr>
    </xdr:pic>
    <xdr:clientData/>
  </xdr:twoCellAnchor>
  <xdr:oneCellAnchor>
    <xdr:from>
      <xdr:col>0</xdr:col>
      <xdr:colOff>0</xdr:colOff>
      <xdr:row>40</xdr:row>
      <xdr:rowOff>33615</xdr:rowOff>
    </xdr:from>
    <xdr:ext cx="842723" cy="862856"/>
    <xdr:pic>
      <xdr:nvPicPr>
        <xdr:cNvPr id="3" name="Picture 2">
          <a:extLst>
            <a:ext uri="{FF2B5EF4-FFF2-40B4-BE49-F238E27FC236}">
              <a16:creationId xmlns:a16="http://schemas.microsoft.com/office/drawing/2014/main" id="{5782CB51-0559-456E-B793-EAA090AF2E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23979277" y="33615"/>
          <a:ext cx="842723" cy="862856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31750</xdr:rowOff>
    </xdr:from>
    <xdr:to>
      <xdr:col>0</xdr:col>
      <xdr:colOff>842723</xdr:colOff>
      <xdr:row>3</xdr:row>
      <xdr:rowOff>132606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CD0136A-9961-463D-89EB-4780D143B2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24265027" y="31750"/>
          <a:ext cx="842723" cy="862856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842723</xdr:colOff>
      <xdr:row>3</xdr:row>
      <xdr:rowOff>119906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AB83E0A-95FC-4781-BEF7-EFDA72C372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75861952" y="0"/>
          <a:ext cx="842723" cy="862856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842723</xdr:colOff>
      <xdr:row>3</xdr:row>
      <xdr:rowOff>138956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D29FD4B-E051-44B2-98D5-21EBA652C7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9082052" y="0"/>
          <a:ext cx="842723" cy="881906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11203</xdr:rowOff>
    </xdr:from>
    <xdr:to>
      <xdr:col>0</xdr:col>
      <xdr:colOff>842723</xdr:colOff>
      <xdr:row>3</xdr:row>
      <xdr:rowOff>153521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17695F8-7F7D-4AFE-A3E5-508DB70BB2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15152924" y="11203"/>
          <a:ext cx="842723" cy="881906"/>
        </a:xfrm>
        <a:prstGeom prst="rect">
          <a:avLst/>
        </a:prstGeom>
      </xdr:spPr>
    </xdr:pic>
    <xdr:clientData/>
  </xdr:twoCellAnchor>
  <xdr:oneCellAnchor>
    <xdr:from>
      <xdr:col>0</xdr:col>
      <xdr:colOff>0</xdr:colOff>
      <xdr:row>39</xdr:row>
      <xdr:rowOff>11203</xdr:rowOff>
    </xdr:from>
    <xdr:ext cx="842723" cy="904318"/>
    <xdr:pic>
      <xdr:nvPicPr>
        <xdr:cNvPr id="3" name="Picture 2">
          <a:extLst>
            <a:ext uri="{FF2B5EF4-FFF2-40B4-BE49-F238E27FC236}">
              <a16:creationId xmlns:a16="http://schemas.microsoft.com/office/drawing/2014/main" id="{D77CDE37-ACF0-4502-9479-21E1A5429D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84789652" y="11203"/>
          <a:ext cx="842723" cy="904318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78</xdr:row>
      <xdr:rowOff>11203</xdr:rowOff>
    </xdr:from>
    <xdr:ext cx="842723" cy="904318"/>
    <xdr:pic>
      <xdr:nvPicPr>
        <xdr:cNvPr id="4" name="Picture 3">
          <a:extLst>
            <a:ext uri="{FF2B5EF4-FFF2-40B4-BE49-F238E27FC236}">
              <a16:creationId xmlns:a16="http://schemas.microsoft.com/office/drawing/2014/main" id="{69661404-8626-4190-AD81-EFAAD2CB23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84789652" y="10726828"/>
          <a:ext cx="842723" cy="904318"/>
        </a:xfrm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809625</xdr:colOff>
      <xdr:row>3</xdr:row>
      <xdr:rowOff>125851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2B4B957-7BD5-44DF-9563-97BEB497F2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8381725" y="0"/>
          <a:ext cx="809625" cy="868801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720920</xdr:colOff>
      <xdr:row>3</xdr:row>
      <xdr:rowOff>47625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3D24960-CF36-4082-9749-885B1CF9AC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9413405" y="0"/>
          <a:ext cx="720920" cy="79057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790575</xdr:colOff>
      <xdr:row>3</xdr:row>
      <xdr:rowOff>66675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A9100D6-3F5F-4AD0-921B-64134A7580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7172050" y="0"/>
          <a:ext cx="790575" cy="809625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790575</xdr:colOff>
      <xdr:row>3</xdr:row>
      <xdr:rowOff>85725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BBCDD42-80D4-4F68-8A0F-02C46B674D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8153125" y="0"/>
          <a:ext cx="790575" cy="828675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790575</xdr:colOff>
      <xdr:row>3</xdr:row>
      <xdr:rowOff>85725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1EB9400-21F9-4BE5-BDC0-9A59E7BB6E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84095675" y="0"/>
          <a:ext cx="790575" cy="847725"/>
        </a:xfrm>
        <a:prstGeom prst="rect">
          <a:avLst/>
        </a:prstGeom>
      </xdr:spPr>
    </xdr:pic>
    <xdr:clientData/>
  </xdr:twoCellAnchor>
  <xdr:oneCellAnchor>
    <xdr:from>
      <xdr:col>0</xdr:col>
      <xdr:colOff>0</xdr:colOff>
      <xdr:row>31</xdr:row>
      <xdr:rowOff>0</xdr:rowOff>
    </xdr:from>
    <xdr:ext cx="790575" cy="847725"/>
    <xdr:pic>
      <xdr:nvPicPr>
        <xdr:cNvPr id="3" name="Picture 2">
          <a:extLst>
            <a:ext uri="{FF2B5EF4-FFF2-40B4-BE49-F238E27FC236}">
              <a16:creationId xmlns:a16="http://schemas.microsoft.com/office/drawing/2014/main" id="{14F306F5-1C5E-4622-9EC1-C86C085A92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84095675" y="0"/>
          <a:ext cx="790575" cy="847725"/>
        </a:xfrm>
        <a:prstGeom prst="rect">
          <a:avLst/>
        </a:prstGeom>
      </xdr:spPr>
    </xdr:pic>
    <xdr:clientData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19050</xdr:rowOff>
    </xdr:from>
    <xdr:to>
      <xdr:col>0</xdr:col>
      <xdr:colOff>790575</xdr:colOff>
      <xdr:row>3</xdr:row>
      <xdr:rowOff>123825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BFFDB7F-BF0A-4327-AD93-03906FC25F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8619850" y="19050"/>
          <a:ext cx="790575" cy="847725"/>
        </a:xfrm>
        <a:prstGeom prst="rect">
          <a:avLst/>
        </a:prstGeom>
      </xdr:spPr>
    </xdr:pic>
    <xdr:clientData/>
  </xdr:twoCellAnchor>
  <xdr:oneCellAnchor>
    <xdr:from>
      <xdr:col>0</xdr:col>
      <xdr:colOff>0</xdr:colOff>
      <xdr:row>32</xdr:row>
      <xdr:rowOff>19050</xdr:rowOff>
    </xdr:from>
    <xdr:ext cx="790575" cy="866775"/>
    <xdr:pic>
      <xdr:nvPicPr>
        <xdr:cNvPr id="3" name="Picture 2">
          <a:extLst>
            <a:ext uri="{FF2B5EF4-FFF2-40B4-BE49-F238E27FC236}">
              <a16:creationId xmlns:a16="http://schemas.microsoft.com/office/drawing/2014/main" id="{C02E5058-5836-480E-9A02-4052B3D5F3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84635425" y="19050"/>
          <a:ext cx="790575" cy="866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64</xdr:row>
      <xdr:rowOff>19050</xdr:rowOff>
    </xdr:from>
    <xdr:ext cx="790575" cy="866775"/>
    <xdr:pic>
      <xdr:nvPicPr>
        <xdr:cNvPr id="4" name="Picture 3">
          <a:extLst>
            <a:ext uri="{FF2B5EF4-FFF2-40B4-BE49-F238E27FC236}">
              <a16:creationId xmlns:a16="http://schemas.microsoft.com/office/drawing/2014/main" id="{893143F9-6214-4905-B6F5-CE151C6B2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84635425" y="8845550"/>
          <a:ext cx="790575" cy="866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96</xdr:row>
      <xdr:rowOff>19050</xdr:rowOff>
    </xdr:from>
    <xdr:ext cx="790575" cy="866775"/>
    <xdr:pic>
      <xdr:nvPicPr>
        <xdr:cNvPr id="5" name="Picture 4">
          <a:extLst>
            <a:ext uri="{FF2B5EF4-FFF2-40B4-BE49-F238E27FC236}">
              <a16:creationId xmlns:a16="http://schemas.microsoft.com/office/drawing/2014/main" id="{DFAF0226-BDCE-41CB-9C5D-CEBFBDF3A9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84635425" y="17672050"/>
          <a:ext cx="790575" cy="866775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F779C0-3CBF-4CFA-945A-A8A7F0C8F7B4}">
  <sheetPr>
    <pageSetUpPr fitToPage="1"/>
  </sheetPr>
  <dimension ref="A18:J25"/>
  <sheetViews>
    <sheetView rightToLeft="1" tabSelected="1" view="pageBreakPreview" zoomScale="40" zoomScaleNormal="100" zoomScaleSheetLayoutView="40" workbookViewId="0">
      <selection activeCell="A20" sqref="A20:J20"/>
    </sheetView>
  </sheetViews>
  <sheetFormatPr defaultColWidth="8.85546875" defaultRowHeight="19.5" x14ac:dyDescent="0.55000000000000004"/>
  <cols>
    <col min="1" max="16384" width="8.85546875" style="1"/>
  </cols>
  <sheetData>
    <row r="18" spans="1:10" ht="40.15" customHeight="1" x14ac:dyDescent="0.55000000000000004">
      <c r="A18" s="29" t="s">
        <v>0</v>
      </c>
      <c r="B18" s="30"/>
      <c r="C18" s="30"/>
      <c r="D18" s="30"/>
      <c r="E18" s="30"/>
      <c r="F18" s="30"/>
      <c r="G18" s="30"/>
      <c r="H18" s="30"/>
      <c r="I18" s="30"/>
      <c r="J18" s="30"/>
    </row>
    <row r="19" spans="1:10" ht="40.15" customHeight="1" x14ac:dyDescent="0.55000000000000004">
      <c r="A19" s="29" t="s">
        <v>1</v>
      </c>
      <c r="B19" s="30"/>
      <c r="C19" s="30"/>
      <c r="D19" s="30"/>
      <c r="E19" s="30"/>
      <c r="F19" s="30"/>
      <c r="G19" s="30"/>
      <c r="H19" s="30"/>
      <c r="I19" s="30"/>
      <c r="J19" s="30"/>
    </row>
    <row r="20" spans="1:10" ht="40.15" customHeight="1" x14ac:dyDescent="0.55000000000000004">
      <c r="A20" s="29" t="s">
        <v>2</v>
      </c>
      <c r="B20" s="30"/>
      <c r="C20" s="30"/>
      <c r="D20" s="30"/>
      <c r="E20" s="30"/>
      <c r="F20" s="30"/>
      <c r="G20" s="30"/>
      <c r="H20" s="30"/>
      <c r="I20" s="30"/>
      <c r="J20" s="30"/>
    </row>
    <row r="24" spans="1:10" ht="43.5" customHeight="1" x14ac:dyDescent="0.55000000000000004">
      <c r="B24" s="31" t="s">
        <v>224</v>
      </c>
      <c r="C24" s="31"/>
      <c r="D24" s="31" t="s">
        <v>225</v>
      </c>
      <c r="E24" s="31"/>
      <c r="F24" s="31" t="s">
        <v>226</v>
      </c>
      <c r="G24" s="31"/>
      <c r="H24" s="31" t="s">
        <v>227</v>
      </c>
      <c r="I24" s="31"/>
    </row>
    <row r="25" spans="1:10" ht="39.75" customHeight="1" x14ac:dyDescent="0.55000000000000004">
      <c r="B25" s="28" t="s">
        <v>228</v>
      </c>
      <c r="C25" s="28"/>
      <c r="D25" s="28" t="s">
        <v>229</v>
      </c>
      <c r="E25" s="28"/>
      <c r="F25" s="28" t="s">
        <v>230</v>
      </c>
      <c r="G25" s="28"/>
      <c r="H25" s="28"/>
      <c r="I25" s="28"/>
    </row>
  </sheetData>
  <mergeCells count="11">
    <mergeCell ref="B25:C25"/>
    <mergeCell ref="D25:E25"/>
    <mergeCell ref="F25:G25"/>
    <mergeCell ref="H25:I25"/>
    <mergeCell ref="A18:J18"/>
    <mergeCell ref="A19:J19"/>
    <mergeCell ref="A20:J20"/>
    <mergeCell ref="B24:C24"/>
    <mergeCell ref="D24:E24"/>
    <mergeCell ref="F24:G24"/>
    <mergeCell ref="H24:I24"/>
  </mergeCells>
  <pageMargins left="0.7" right="0.7" top="0.75" bottom="0.75" header="0.3" footer="0.3"/>
  <pageSetup paperSize="9" scale="98" fitToHeight="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W79"/>
  <sheetViews>
    <sheetView rightToLeft="1" view="pageBreakPreview" zoomScale="60" zoomScaleNormal="85" workbookViewId="0">
      <selection activeCell="A46" sqref="A46:W46"/>
    </sheetView>
  </sheetViews>
  <sheetFormatPr defaultColWidth="8.85546875" defaultRowHeight="19.5" x14ac:dyDescent="0.55000000000000004"/>
  <cols>
    <col min="1" max="1" width="26" style="2" bestFit="1" customWidth="1"/>
    <col min="2" max="2" width="1.42578125" style="2" customWidth="1"/>
    <col min="3" max="3" width="12.85546875" style="2" customWidth="1"/>
    <col min="4" max="4" width="1.42578125" style="2" customWidth="1"/>
    <col min="5" max="5" width="17" style="2" customWidth="1"/>
    <col min="6" max="6" width="1.42578125" style="2" customWidth="1"/>
    <col min="7" max="7" width="18" style="2" bestFit="1" customWidth="1"/>
    <col min="8" max="8" width="1.42578125" style="2" customWidth="1"/>
    <col min="9" max="9" width="11.42578125" style="2" customWidth="1"/>
    <col min="10" max="10" width="17" style="2" customWidth="1"/>
    <col min="11" max="11" width="1.42578125" style="2" customWidth="1"/>
    <col min="12" max="12" width="11.42578125" style="2" customWidth="1"/>
    <col min="13" max="13" width="17" style="2" customWidth="1"/>
    <col min="14" max="14" width="1.42578125" style="2" customWidth="1"/>
    <col min="15" max="15" width="12.85546875" style="2" customWidth="1"/>
    <col min="16" max="16" width="1.42578125" style="2" customWidth="1"/>
    <col min="17" max="17" width="11.42578125" style="2" customWidth="1"/>
    <col min="18" max="18" width="1.42578125" style="2" customWidth="1"/>
    <col min="19" max="19" width="17" style="2" customWidth="1"/>
    <col min="20" max="20" width="1.42578125" style="2" customWidth="1"/>
    <col min="21" max="21" width="18" style="2" bestFit="1" customWidth="1"/>
    <col min="22" max="22" width="1.42578125" style="2" customWidth="1"/>
    <col min="23" max="23" width="17.5703125" style="2" bestFit="1" customWidth="1"/>
    <col min="24" max="16384" width="8.85546875" style="2"/>
  </cols>
  <sheetData>
    <row r="1" spans="1:23" ht="19.899999999999999" customHeight="1" x14ac:dyDescent="0.55000000000000004">
      <c r="A1" s="40" t="s">
        <v>0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</row>
    <row r="2" spans="1:23" ht="19.899999999999999" customHeight="1" x14ac:dyDescent="0.55000000000000004">
      <c r="A2" s="40" t="s">
        <v>1</v>
      </c>
      <c r="B2" s="36"/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  <c r="N2" s="36"/>
      <c r="O2" s="36"/>
      <c r="P2" s="36"/>
      <c r="Q2" s="36"/>
      <c r="R2" s="36"/>
      <c r="S2" s="36"/>
      <c r="T2" s="36"/>
      <c r="U2" s="36"/>
      <c r="V2" s="36"/>
      <c r="W2" s="36"/>
    </row>
    <row r="3" spans="1:23" ht="19.899999999999999" customHeight="1" x14ac:dyDescent="0.55000000000000004">
      <c r="A3" s="40" t="s">
        <v>2</v>
      </c>
      <c r="B3" s="36"/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  <c r="S3" s="36"/>
      <c r="T3" s="36"/>
      <c r="U3" s="36"/>
      <c r="V3" s="36"/>
      <c r="W3" s="36"/>
    </row>
    <row r="5" spans="1:23" ht="21" x14ac:dyDescent="0.55000000000000004">
      <c r="A5" s="41" t="s">
        <v>3</v>
      </c>
      <c r="B5" s="36"/>
      <c r="C5" s="36"/>
      <c r="D5" s="36"/>
      <c r="E5" s="36"/>
      <c r="F5" s="36"/>
      <c r="G5" s="36"/>
      <c r="H5" s="36"/>
      <c r="I5" s="36"/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</row>
    <row r="6" spans="1:23" ht="21" x14ac:dyDescent="0.55000000000000004">
      <c r="A6" s="41" t="s">
        <v>4</v>
      </c>
      <c r="B6" s="36"/>
      <c r="C6" s="36"/>
      <c r="D6" s="36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</row>
    <row r="8" spans="1:23" ht="21" x14ac:dyDescent="0.55000000000000004">
      <c r="C8" s="32" t="s">
        <v>5</v>
      </c>
      <c r="D8" s="33"/>
      <c r="E8" s="33"/>
      <c r="F8" s="33"/>
      <c r="G8" s="33"/>
      <c r="I8" s="32" t="s">
        <v>6</v>
      </c>
      <c r="J8" s="33"/>
      <c r="K8" s="33"/>
      <c r="L8" s="33"/>
      <c r="M8" s="33"/>
      <c r="O8" s="32" t="s">
        <v>7</v>
      </c>
      <c r="P8" s="33"/>
      <c r="Q8" s="33"/>
      <c r="R8" s="33"/>
      <c r="S8" s="33"/>
      <c r="T8" s="33"/>
      <c r="U8" s="33"/>
      <c r="V8" s="33"/>
      <c r="W8" s="33"/>
    </row>
    <row r="9" spans="1:23" ht="21" x14ac:dyDescent="0.55000000000000004">
      <c r="A9" s="34" t="s">
        <v>8</v>
      </c>
      <c r="C9" s="34" t="s">
        <v>9</v>
      </c>
      <c r="E9" s="34" t="s">
        <v>10</v>
      </c>
      <c r="G9" s="34" t="s">
        <v>11</v>
      </c>
      <c r="I9" s="34" t="s">
        <v>12</v>
      </c>
      <c r="J9" s="36"/>
      <c r="L9" s="34" t="s">
        <v>13</v>
      </c>
      <c r="M9" s="36"/>
      <c r="O9" s="34" t="s">
        <v>9</v>
      </c>
      <c r="Q9" s="37" t="s">
        <v>14</v>
      </c>
      <c r="S9" s="34" t="s">
        <v>10</v>
      </c>
      <c r="U9" s="34" t="s">
        <v>11</v>
      </c>
      <c r="W9" s="38" t="s">
        <v>15</v>
      </c>
    </row>
    <row r="10" spans="1:23" ht="21" x14ac:dyDescent="0.55000000000000004">
      <c r="A10" s="35"/>
      <c r="C10" s="35"/>
      <c r="E10" s="35"/>
      <c r="G10" s="35"/>
      <c r="I10" s="6" t="s">
        <v>9</v>
      </c>
      <c r="J10" s="6" t="s">
        <v>10</v>
      </c>
      <c r="L10" s="6" t="s">
        <v>9</v>
      </c>
      <c r="M10" s="6" t="s">
        <v>16</v>
      </c>
      <c r="O10" s="35"/>
      <c r="Q10" s="35"/>
      <c r="S10" s="35"/>
      <c r="U10" s="35"/>
      <c r="W10" s="39"/>
    </row>
    <row r="11" spans="1:23" ht="21" x14ac:dyDescent="0.55000000000000004">
      <c r="A11" s="7" t="s">
        <v>17</v>
      </c>
      <c r="C11" s="8">
        <v>467651</v>
      </c>
      <c r="E11" s="8">
        <v>2921674505</v>
      </c>
      <c r="G11" s="8">
        <v>2858941131</v>
      </c>
      <c r="I11" s="8">
        <v>0</v>
      </c>
      <c r="J11" s="8">
        <v>0</v>
      </c>
      <c r="K11" s="8"/>
      <c r="L11" s="8">
        <v>0</v>
      </c>
      <c r="M11" s="8">
        <v>0</v>
      </c>
      <c r="N11" s="4"/>
      <c r="O11" s="8">
        <v>467651</v>
      </c>
      <c r="Q11" s="8">
        <v>7000</v>
      </c>
      <c r="S11" s="8">
        <v>2921674505</v>
      </c>
      <c r="U11" s="8">
        <v>3207592488</v>
      </c>
      <c r="W11" s="9">
        <v>2.6727360320366457E-3</v>
      </c>
    </row>
    <row r="12" spans="1:23" ht="21" x14ac:dyDescent="0.55000000000000004">
      <c r="A12" s="7" t="s">
        <v>36</v>
      </c>
      <c r="C12" s="8">
        <v>2000000</v>
      </c>
      <c r="E12" s="8">
        <v>8799272430</v>
      </c>
      <c r="G12" s="8">
        <v>9081640800</v>
      </c>
      <c r="I12" s="8">
        <v>0</v>
      </c>
      <c r="J12" s="8">
        <v>0</v>
      </c>
      <c r="K12" s="8"/>
      <c r="L12" s="8">
        <v>0</v>
      </c>
      <c r="M12" s="8">
        <v>0</v>
      </c>
      <c r="N12" s="4"/>
      <c r="O12" s="8">
        <v>2000000</v>
      </c>
      <c r="Q12" s="8">
        <v>5040</v>
      </c>
      <c r="S12" s="8">
        <v>8799272430</v>
      </c>
      <c r="U12" s="8">
        <v>10039905000</v>
      </c>
      <c r="W12" s="9">
        <v>8.3657808627854852E-3</v>
      </c>
    </row>
    <row r="13" spans="1:23" ht="21" x14ac:dyDescent="0.55000000000000004">
      <c r="A13" s="7" t="s">
        <v>37</v>
      </c>
      <c r="C13" s="8">
        <v>7726948</v>
      </c>
      <c r="E13" s="8">
        <v>17704787532</v>
      </c>
      <c r="G13" s="8">
        <v>26499355675</v>
      </c>
      <c r="I13" s="8">
        <v>0</v>
      </c>
      <c r="J13" s="8">
        <v>0</v>
      </c>
      <c r="K13" s="8"/>
      <c r="L13" s="8">
        <v>0</v>
      </c>
      <c r="M13" s="8">
        <v>0</v>
      </c>
      <c r="N13" s="4"/>
      <c r="O13" s="8">
        <v>7726948</v>
      </c>
      <c r="Q13" s="8">
        <v>3469</v>
      </c>
      <c r="S13" s="8">
        <v>17704787532</v>
      </c>
      <c r="U13" s="8">
        <v>27113833488</v>
      </c>
      <c r="W13" s="9">
        <v>2.2592682830232219E-2</v>
      </c>
    </row>
    <row r="14" spans="1:23" ht="21" x14ac:dyDescent="0.55000000000000004">
      <c r="A14" s="7" t="s">
        <v>38</v>
      </c>
      <c r="C14" s="8">
        <v>10000000</v>
      </c>
      <c r="E14" s="8">
        <v>14560081342</v>
      </c>
      <c r="G14" s="8">
        <v>19185165000</v>
      </c>
      <c r="I14" s="8">
        <v>0</v>
      </c>
      <c r="J14" s="8">
        <v>0</v>
      </c>
      <c r="K14" s="8"/>
      <c r="L14" s="8">
        <v>0</v>
      </c>
      <c r="M14" s="8">
        <v>0</v>
      </c>
      <c r="N14" s="4"/>
      <c r="O14" s="8">
        <v>10000000</v>
      </c>
      <c r="Q14" s="8">
        <v>1818</v>
      </c>
      <c r="S14" s="8">
        <v>14560081342</v>
      </c>
      <c r="U14" s="8">
        <v>18091710000</v>
      </c>
      <c r="W14" s="9">
        <v>1.5074971455712457E-2</v>
      </c>
    </row>
    <row r="15" spans="1:23" ht="21" x14ac:dyDescent="0.55000000000000004">
      <c r="A15" s="7" t="s">
        <v>39</v>
      </c>
      <c r="C15" s="8">
        <v>1339175</v>
      </c>
      <c r="E15" s="8">
        <v>2842458949</v>
      </c>
      <c r="G15" s="8">
        <v>2949954510</v>
      </c>
      <c r="I15" s="8">
        <v>9000000</v>
      </c>
      <c r="J15" s="8">
        <v>20719968360</v>
      </c>
      <c r="L15" s="8">
        <v>0</v>
      </c>
      <c r="M15" s="8">
        <v>0</v>
      </c>
      <c r="O15" s="8">
        <v>37560926</v>
      </c>
      <c r="Q15" s="8">
        <v>611</v>
      </c>
      <c r="S15" s="8">
        <v>23562427309</v>
      </c>
      <c r="U15" s="8">
        <v>22813174918</v>
      </c>
      <c r="W15" s="9">
        <v>1.9009146216859844E-2</v>
      </c>
    </row>
    <row r="16" spans="1:23" ht="21" x14ac:dyDescent="0.55000000000000004">
      <c r="A16" s="7" t="s">
        <v>40</v>
      </c>
      <c r="C16" s="8">
        <v>14900000</v>
      </c>
      <c r="E16" s="8">
        <v>22714344403</v>
      </c>
      <c r="G16" s="8">
        <v>48018380490</v>
      </c>
      <c r="I16" s="8">
        <v>0</v>
      </c>
      <c r="J16" s="8">
        <v>0</v>
      </c>
      <c r="K16" s="8"/>
      <c r="L16" s="8">
        <v>0</v>
      </c>
      <c r="M16" s="8">
        <v>0</v>
      </c>
      <c r="N16" s="4"/>
      <c r="O16" s="8">
        <v>14900000</v>
      </c>
      <c r="Q16" s="8">
        <v>3158</v>
      </c>
      <c r="S16" s="8">
        <v>22714344403</v>
      </c>
      <c r="U16" s="8">
        <v>46626114060</v>
      </c>
      <c r="W16" s="9">
        <v>3.8851348962883732E-2</v>
      </c>
    </row>
    <row r="17" spans="1:23" ht="21" x14ac:dyDescent="0.55000000000000004">
      <c r="A17" s="7" t="s">
        <v>41</v>
      </c>
      <c r="C17" s="8">
        <v>1700000</v>
      </c>
      <c r="E17" s="8">
        <v>8016464339</v>
      </c>
      <c r="G17" s="8">
        <v>9023985900</v>
      </c>
      <c r="I17" s="8">
        <v>0</v>
      </c>
      <c r="J17" s="8">
        <v>0</v>
      </c>
      <c r="K17" s="8"/>
      <c r="L17" s="8">
        <v>0</v>
      </c>
      <c r="M17" s="8">
        <v>0</v>
      </c>
      <c r="N17" s="4"/>
      <c r="O17" s="8">
        <v>1700000</v>
      </c>
      <c r="Q17" s="8">
        <v>4442</v>
      </c>
      <c r="S17" s="8">
        <v>8016464339</v>
      </c>
      <c r="U17" s="8">
        <v>7401696300</v>
      </c>
      <c r="W17" s="9">
        <v>6.1674855746832397E-3</v>
      </c>
    </row>
    <row r="18" spans="1:23" ht="21" x14ac:dyDescent="0.55000000000000004">
      <c r="A18" s="7" t="s">
        <v>42</v>
      </c>
      <c r="C18" s="8">
        <v>491813</v>
      </c>
      <c r="E18" s="8">
        <v>2151185976</v>
      </c>
      <c r="G18" s="8">
        <v>2835542933</v>
      </c>
      <c r="I18" s="8">
        <v>0</v>
      </c>
      <c r="J18" s="8">
        <v>0</v>
      </c>
      <c r="K18" s="8"/>
      <c r="L18" s="8">
        <v>0</v>
      </c>
      <c r="M18" s="8">
        <v>0</v>
      </c>
      <c r="N18" s="4"/>
      <c r="O18" s="8">
        <v>491813</v>
      </c>
      <c r="Q18" s="8">
        <v>5880</v>
      </c>
      <c r="S18" s="8">
        <v>2151185976</v>
      </c>
      <c r="U18" s="8">
        <v>2864876136</v>
      </c>
      <c r="W18" s="9">
        <v>2.3871666069349884E-3</v>
      </c>
    </row>
    <row r="19" spans="1:23" ht="21" x14ac:dyDescent="0.55000000000000004">
      <c r="A19" s="7" t="s">
        <v>43</v>
      </c>
      <c r="C19" s="8">
        <v>0</v>
      </c>
      <c r="D19" s="8"/>
      <c r="E19" s="8">
        <v>0</v>
      </c>
      <c r="F19" s="8"/>
      <c r="G19" s="8">
        <v>0</v>
      </c>
      <c r="H19" s="4"/>
      <c r="I19" s="8">
        <v>571500</v>
      </c>
      <c r="J19" s="8">
        <v>26026860948</v>
      </c>
      <c r="L19" s="8">
        <v>0</v>
      </c>
      <c r="M19" s="8">
        <v>0</v>
      </c>
      <c r="O19" s="8">
        <v>571500</v>
      </c>
      <c r="Q19" s="8">
        <v>47450</v>
      </c>
      <c r="S19" s="8">
        <v>26026860948</v>
      </c>
      <c r="U19" s="8">
        <v>26956324834</v>
      </c>
      <c r="W19" s="9">
        <v>2.2461438273301021E-2</v>
      </c>
    </row>
    <row r="20" spans="1:23" ht="21" x14ac:dyDescent="0.55000000000000004">
      <c r="A20" s="7" t="s">
        <v>44</v>
      </c>
      <c r="C20" s="8">
        <v>5800000</v>
      </c>
      <c r="E20" s="8">
        <v>16350923338</v>
      </c>
      <c r="G20" s="8">
        <v>22652610210</v>
      </c>
      <c r="I20" s="8">
        <v>0</v>
      </c>
      <c r="J20" s="8">
        <v>0</v>
      </c>
      <c r="K20" s="8"/>
      <c r="L20" s="8">
        <v>0</v>
      </c>
      <c r="M20" s="8">
        <v>0</v>
      </c>
      <c r="N20" s="4"/>
      <c r="O20" s="8">
        <v>5800000</v>
      </c>
      <c r="Q20" s="8">
        <v>3610</v>
      </c>
      <c r="S20" s="8">
        <v>16350923338</v>
      </c>
      <c r="U20" s="8">
        <v>20542440870</v>
      </c>
      <c r="W20" s="9">
        <v>1.7117050281367046E-2</v>
      </c>
    </row>
    <row r="21" spans="1:23" ht="21" x14ac:dyDescent="0.55000000000000004">
      <c r="A21" s="7" t="s">
        <v>45</v>
      </c>
      <c r="C21" s="8">
        <v>1600000</v>
      </c>
      <c r="E21" s="8">
        <v>9228371760</v>
      </c>
      <c r="G21" s="8">
        <v>10465358400</v>
      </c>
      <c r="I21" s="8">
        <v>0</v>
      </c>
      <c r="J21" s="8">
        <v>0</v>
      </c>
      <c r="L21" s="8">
        <v>800000</v>
      </c>
      <c r="M21" s="8">
        <v>6202872074</v>
      </c>
      <c r="O21" s="8">
        <v>800000</v>
      </c>
      <c r="Q21" s="8">
        <v>7170</v>
      </c>
      <c r="S21" s="8">
        <v>4614185880</v>
      </c>
      <c r="U21" s="8">
        <v>5685966000</v>
      </c>
      <c r="W21" s="9">
        <v>4.7378481717953438E-3</v>
      </c>
    </row>
    <row r="22" spans="1:23" ht="21" x14ac:dyDescent="0.55000000000000004">
      <c r="A22" s="7" t="s">
        <v>46</v>
      </c>
      <c r="C22" s="8">
        <v>510000</v>
      </c>
      <c r="E22" s="8">
        <v>12009588844</v>
      </c>
      <c r="G22" s="8">
        <v>13236869205</v>
      </c>
      <c r="I22" s="8">
        <v>0</v>
      </c>
      <c r="J22" s="8">
        <v>0</v>
      </c>
      <c r="L22" s="8">
        <v>200000</v>
      </c>
      <c r="M22" s="8">
        <v>6057123374</v>
      </c>
      <c r="O22" s="8">
        <v>310000</v>
      </c>
      <c r="Q22" s="8">
        <v>27950</v>
      </c>
      <c r="S22" s="8">
        <v>7299946160</v>
      </c>
      <c r="U22" s="8">
        <v>8609864670</v>
      </c>
      <c r="W22" s="9">
        <v>7.1741954816762566E-3</v>
      </c>
    </row>
    <row r="23" spans="1:23" ht="21" x14ac:dyDescent="0.55000000000000004">
      <c r="A23" s="7" t="s">
        <v>47</v>
      </c>
      <c r="C23" s="8">
        <v>0</v>
      </c>
      <c r="D23" s="8"/>
      <c r="E23" s="8">
        <v>0</v>
      </c>
      <c r="F23" s="8"/>
      <c r="G23" s="8">
        <v>0</v>
      </c>
      <c r="H23" s="4"/>
      <c r="I23" s="8">
        <v>595000</v>
      </c>
      <c r="J23" s="8">
        <v>11255210460</v>
      </c>
      <c r="L23" s="8">
        <v>297500</v>
      </c>
      <c r="M23" s="8">
        <v>8457874509</v>
      </c>
      <c r="O23" s="8">
        <v>297500</v>
      </c>
      <c r="Q23" s="8">
        <v>29600</v>
      </c>
      <c r="S23" s="8">
        <v>5627605230</v>
      </c>
      <c r="U23" s="8">
        <v>8753604300</v>
      </c>
      <c r="W23" s="9">
        <v>7.2939669581870269E-3</v>
      </c>
    </row>
    <row r="24" spans="1:23" ht="21" x14ac:dyDescent="0.55000000000000004">
      <c r="A24" s="7" t="s">
        <v>48</v>
      </c>
      <c r="C24" s="8">
        <v>24500000</v>
      </c>
      <c r="E24" s="8">
        <v>11694161736</v>
      </c>
      <c r="G24" s="8">
        <v>12956447700</v>
      </c>
      <c r="I24" s="8">
        <v>0</v>
      </c>
      <c r="J24" s="8">
        <v>0</v>
      </c>
      <c r="K24" s="8"/>
      <c r="L24" s="8">
        <v>0</v>
      </c>
      <c r="M24" s="8">
        <v>0</v>
      </c>
      <c r="N24" s="4"/>
      <c r="O24" s="8">
        <v>24500000</v>
      </c>
      <c r="Q24" s="8">
        <v>507</v>
      </c>
      <c r="S24" s="8">
        <v>11694161736</v>
      </c>
      <c r="U24" s="8">
        <v>12347592075</v>
      </c>
      <c r="W24" s="9">
        <v>1.0288668018523753E-2</v>
      </c>
    </row>
    <row r="25" spans="1:23" ht="21" x14ac:dyDescent="0.55000000000000004">
      <c r="A25" s="7" t="s">
        <v>49</v>
      </c>
      <c r="C25" s="8">
        <v>1800000</v>
      </c>
      <c r="E25" s="8">
        <v>4942036712</v>
      </c>
      <c r="G25" s="8">
        <v>5065479990</v>
      </c>
      <c r="I25" s="8">
        <v>1600000</v>
      </c>
      <c r="J25" s="8">
        <v>4644305892</v>
      </c>
      <c r="L25" s="8">
        <v>0</v>
      </c>
      <c r="M25" s="8">
        <v>0</v>
      </c>
      <c r="O25" s="8">
        <v>3400000</v>
      </c>
      <c r="Q25" s="8">
        <v>2896</v>
      </c>
      <c r="S25" s="8">
        <v>9586342604</v>
      </c>
      <c r="U25" s="8">
        <v>9733737600</v>
      </c>
      <c r="W25" s="9">
        <v>8.1106659612272744E-3</v>
      </c>
    </row>
    <row r="26" spans="1:23" ht="21" x14ac:dyDescent="0.55000000000000004">
      <c r="A26" s="7" t="s">
        <v>50</v>
      </c>
      <c r="C26" s="8">
        <v>32600000</v>
      </c>
      <c r="E26" s="8">
        <v>39464253596</v>
      </c>
      <c r="G26" s="8">
        <v>46016562600</v>
      </c>
      <c r="I26" s="8">
        <v>0</v>
      </c>
      <c r="J26" s="8">
        <v>0</v>
      </c>
      <c r="K26" s="8"/>
      <c r="L26" s="8">
        <v>0</v>
      </c>
      <c r="M26" s="8">
        <v>0</v>
      </c>
      <c r="N26" s="4"/>
      <c r="O26" s="8">
        <v>32600000</v>
      </c>
      <c r="Q26" s="8">
        <v>1372</v>
      </c>
      <c r="S26" s="8">
        <v>39464253596</v>
      </c>
      <c r="U26" s="8">
        <v>43942576680</v>
      </c>
      <c r="W26" s="9">
        <v>3.6615283416628716E-2</v>
      </c>
    </row>
    <row r="27" spans="1:23" ht="21" x14ac:dyDescent="0.55000000000000004">
      <c r="A27" s="7" t="s">
        <v>51</v>
      </c>
      <c r="C27" s="8">
        <v>24869520</v>
      </c>
      <c r="E27" s="8">
        <v>31274478451</v>
      </c>
      <c r="G27" s="8">
        <v>29888349544</v>
      </c>
      <c r="I27" s="8">
        <v>0</v>
      </c>
      <c r="J27" s="8">
        <v>0</v>
      </c>
      <c r="L27" s="8">
        <v>24869520</v>
      </c>
      <c r="M27" s="8">
        <v>29276157072</v>
      </c>
      <c r="O27" s="8">
        <v>0</v>
      </c>
      <c r="P27" s="8"/>
      <c r="Q27" s="8">
        <v>0</v>
      </c>
      <c r="R27" s="8"/>
      <c r="S27" s="8">
        <v>0</v>
      </c>
      <c r="T27" s="8"/>
      <c r="U27" s="8">
        <v>0</v>
      </c>
      <c r="W27" s="9">
        <v>0</v>
      </c>
    </row>
    <row r="28" spans="1:23" ht="21" x14ac:dyDescent="0.55000000000000004">
      <c r="A28" s="7" t="s">
        <v>52</v>
      </c>
      <c r="C28" s="8">
        <v>888004</v>
      </c>
      <c r="E28" s="8">
        <v>8268927676</v>
      </c>
      <c r="G28" s="8">
        <v>10054185085</v>
      </c>
      <c r="I28" s="8">
        <v>0</v>
      </c>
      <c r="J28" s="8">
        <v>0</v>
      </c>
      <c r="K28" s="8"/>
      <c r="L28" s="8">
        <v>0</v>
      </c>
      <c r="M28" s="8">
        <v>0</v>
      </c>
      <c r="N28" s="4"/>
      <c r="O28" s="8">
        <v>888004</v>
      </c>
      <c r="Q28" s="8">
        <v>11940</v>
      </c>
      <c r="S28" s="8">
        <v>8268927676</v>
      </c>
      <c r="U28" s="8">
        <v>10522026884</v>
      </c>
      <c r="W28" s="9">
        <v>8.7675103642795016E-3</v>
      </c>
    </row>
    <row r="29" spans="1:23" ht="21" x14ac:dyDescent="0.55000000000000004">
      <c r="A29" s="7" t="s">
        <v>53</v>
      </c>
      <c r="C29" s="8">
        <v>4279048</v>
      </c>
      <c r="E29" s="8">
        <v>29900688297</v>
      </c>
      <c r="G29" s="8">
        <v>45088029243</v>
      </c>
      <c r="I29" s="8">
        <v>0</v>
      </c>
      <c r="J29" s="8">
        <v>0</v>
      </c>
      <c r="K29" s="8"/>
      <c r="L29" s="8">
        <v>0</v>
      </c>
      <c r="M29" s="8">
        <v>0</v>
      </c>
      <c r="N29" s="4"/>
      <c r="O29" s="8">
        <v>4279048</v>
      </c>
      <c r="Q29" s="8">
        <v>10730</v>
      </c>
      <c r="S29" s="8">
        <v>29900688297</v>
      </c>
      <c r="U29" s="8">
        <v>45385780379</v>
      </c>
      <c r="W29" s="9">
        <v>3.7817837214318577E-2</v>
      </c>
    </row>
    <row r="30" spans="1:23" ht="21" x14ac:dyDescent="0.55000000000000004">
      <c r="A30" s="7" t="s">
        <v>54</v>
      </c>
      <c r="C30" s="8">
        <v>1500000</v>
      </c>
      <c r="E30" s="8">
        <v>10855064124</v>
      </c>
      <c r="G30" s="8">
        <v>13688068500</v>
      </c>
      <c r="I30" s="8">
        <v>0</v>
      </c>
      <c r="J30" s="8">
        <v>0</v>
      </c>
      <c r="K30" s="8"/>
      <c r="L30" s="8">
        <v>0</v>
      </c>
      <c r="M30" s="8">
        <v>0</v>
      </c>
      <c r="N30" s="4"/>
      <c r="O30" s="8">
        <v>2785714</v>
      </c>
      <c r="Q30" s="8">
        <v>5923</v>
      </c>
      <c r="S30" s="8">
        <v>10855064124</v>
      </c>
      <c r="U30" s="8">
        <v>16401610307</v>
      </c>
      <c r="W30" s="9">
        <v>1.3666690832748492E-2</v>
      </c>
    </row>
    <row r="31" spans="1:23" ht="21" x14ac:dyDescent="0.55000000000000004">
      <c r="A31" s="7" t="s">
        <v>55</v>
      </c>
      <c r="C31" s="8">
        <v>0</v>
      </c>
      <c r="D31" s="8"/>
      <c r="E31" s="8">
        <v>0</v>
      </c>
      <c r="F31" s="8"/>
      <c r="G31" s="8">
        <v>0</v>
      </c>
      <c r="H31" s="4"/>
      <c r="I31" s="8">
        <v>800000</v>
      </c>
      <c r="J31" s="8">
        <v>7074058598</v>
      </c>
      <c r="L31" s="8">
        <v>0</v>
      </c>
      <c r="M31" s="8">
        <v>0</v>
      </c>
      <c r="O31" s="8">
        <v>800000</v>
      </c>
      <c r="Q31" s="8">
        <v>8770</v>
      </c>
      <c r="S31" s="8">
        <v>7074058598</v>
      </c>
      <c r="U31" s="8">
        <v>6870873600</v>
      </c>
      <c r="W31" s="9">
        <v>5.7251759726310164E-3</v>
      </c>
    </row>
    <row r="32" spans="1:23" ht="21" x14ac:dyDescent="0.55000000000000004">
      <c r="A32" s="7" t="s">
        <v>56</v>
      </c>
      <c r="C32" s="8">
        <v>1183146</v>
      </c>
      <c r="E32" s="8">
        <v>11365470572</v>
      </c>
      <c r="G32" s="8">
        <v>10326213150</v>
      </c>
      <c r="I32" s="8">
        <v>0</v>
      </c>
      <c r="J32" s="8">
        <v>0</v>
      </c>
      <c r="L32" s="8">
        <v>1183146</v>
      </c>
      <c r="M32" s="8">
        <v>12796435204</v>
      </c>
      <c r="O32" s="8">
        <v>0</v>
      </c>
      <c r="P32" s="8"/>
      <c r="Q32" s="8">
        <v>0</v>
      </c>
      <c r="R32" s="8"/>
      <c r="S32" s="8">
        <v>0</v>
      </c>
      <c r="T32" s="8"/>
      <c r="U32" s="8">
        <v>0</v>
      </c>
      <c r="W32" s="9">
        <v>0</v>
      </c>
    </row>
    <row r="33" spans="1:23" ht="21" x14ac:dyDescent="0.55000000000000004">
      <c r="A33" s="7" t="s">
        <v>57</v>
      </c>
      <c r="C33" s="8">
        <v>2400000</v>
      </c>
      <c r="E33" s="8">
        <v>11429569715</v>
      </c>
      <c r="G33" s="8">
        <v>11806928280</v>
      </c>
      <c r="I33" s="8">
        <v>0</v>
      </c>
      <c r="J33" s="8">
        <v>0</v>
      </c>
      <c r="K33" s="8"/>
      <c r="L33" s="8">
        <v>0</v>
      </c>
      <c r="M33" s="8">
        <v>0</v>
      </c>
      <c r="N33" s="4"/>
      <c r="O33" s="8">
        <v>2400000</v>
      </c>
      <c r="Q33" s="8">
        <v>4800</v>
      </c>
      <c r="S33" s="8">
        <v>11429569715</v>
      </c>
      <c r="U33" s="8">
        <v>11427598800</v>
      </c>
      <c r="W33" s="9">
        <v>9.5220808711467264E-3</v>
      </c>
    </row>
    <row r="34" spans="1:23" ht="21" x14ac:dyDescent="0.55000000000000004">
      <c r="A34" s="7" t="s">
        <v>58</v>
      </c>
      <c r="C34" s="8">
        <v>0</v>
      </c>
      <c r="D34" s="8"/>
      <c r="E34" s="8">
        <v>0</v>
      </c>
      <c r="F34" s="8"/>
      <c r="G34" s="8">
        <v>0</v>
      </c>
      <c r="H34" s="4"/>
      <c r="I34" s="8">
        <v>500000</v>
      </c>
      <c r="J34" s="8">
        <v>3418169102</v>
      </c>
      <c r="L34" s="8">
        <v>250001</v>
      </c>
      <c r="M34" s="8">
        <v>2268928246</v>
      </c>
      <c r="O34" s="8">
        <v>249999</v>
      </c>
      <c r="Q34" s="8">
        <v>10050</v>
      </c>
      <c r="S34" s="8">
        <v>1709077715</v>
      </c>
      <c r="U34" s="8">
        <v>2500025750</v>
      </c>
      <c r="W34" s="9">
        <v>2.0831539318171763E-3</v>
      </c>
    </row>
    <row r="35" spans="1:23" ht="21" x14ac:dyDescent="0.55000000000000004">
      <c r="A35" s="7" t="s">
        <v>59</v>
      </c>
      <c r="C35" s="8">
        <v>9506493</v>
      </c>
      <c r="E35" s="8">
        <v>19880958331</v>
      </c>
      <c r="G35" s="8">
        <v>24305218331</v>
      </c>
      <c r="I35" s="8">
        <v>0</v>
      </c>
      <c r="J35" s="8">
        <v>0</v>
      </c>
      <c r="L35" s="8">
        <v>6000000</v>
      </c>
      <c r="M35" s="8">
        <v>17730347176</v>
      </c>
      <c r="O35" s="8">
        <v>3506493</v>
      </c>
      <c r="Q35" s="8">
        <v>2791</v>
      </c>
      <c r="S35" s="8">
        <v>7333139699</v>
      </c>
      <c r="U35" s="8">
        <v>9644736458</v>
      </c>
      <c r="W35" s="9">
        <v>8.0365054935226839E-3</v>
      </c>
    </row>
    <row r="36" spans="1:23" ht="21" x14ac:dyDescent="0.55000000000000004">
      <c r="A36" s="7" t="s">
        <v>60</v>
      </c>
      <c r="C36" s="8">
        <v>11399204</v>
      </c>
      <c r="E36" s="8">
        <v>71901725476</v>
      </c>
      <c r="G36" s="8">
        <v>103682115436</v>
      </c>
      <c r="I36" s="8">
        <v>0</v>
      </c>
      <c r="J36" s="8">
        <v>0</v>
      </c>
      <c r="L36" s="8">
        <v>1399204</v>
      </c>
      <c r="M36" s="8">
        <v>15439906715</v>
      </c>
      <c r="O36" s="8">
        <v>10000000</v>
      </c>
      <c r="Q36" s="8">
        <v>10700</v>
      </c>
      <c r="S36" s="8">
        <v>63076093275</v>
      </c>
      <c r="U36" s="8">
        <v>105468705000</v>
      </c>
      <c r="W36" s="9">
        <v>8.7882113815994048E-2</v>
      </c>
    </row>
    <row r="37" spans="1:23" ht="21" x14ac:dyDescent="0.55000000000000004">
      <c r="A37" s="7" t="s">
        <v>61</v>
      </c>
      <c r="C37" s="8">
        <v>1092665</v>
      </c>
      <c r="E37" s="8">
        <v>20222828436</v>
      </c>
      <c r="G37" s="8">
        <v>24916593976</v>
      </c>
      <c r="I37" s="8">
        <v>0</v>
      </c>
      <c r="J37" s="8">
        <v>0</v>
      </c>
      <c r="K37" s="8"/>
      <c r="L37" s="8">
        <v>0</v>
      </c>
      <c r="M37" s="8">
        <v>0</v>
      </c>
      <c r="N37" s="4"/>
      <c r="O37" s="8">
        <v>1092665</v>
      </c>
      <c r="Q37" s="8">
        <v>23370</v>
      </c>
      <c r="S37" s="8">
        <v>20222828436</v>
      </c>
      <c r="U37" s="8">
        <v>25329336161</v>
      </c>
      <c r="W37" s="9">
        <v>2.1105745096467961E-2</v>
      </c>
    </row>
    <row r="38" spans="1:23" ht="21" x14ac:dyDescent="0.55000000000000004">
      <c r="A38" s="7" t="s">
        <v>62</v>
      </c>
      <c r="C38" s="8">
        <v>3800000</v>
      </c>
      <c r="E38" s="8">
        <v>22878313850</v>
      </c>
      <c r="G38" s="8">
        <v>26139538800</v>
      </c>
      <c r="I38" s="8">
        <v>0</v>
      </c>
      <c r="J38" s="8">
        <v>0</v>
      </c>
      <c r="K38" s="8"/>
      <c r="L38" s="8">
        <v>0</v>
      </c>
      <c r="M38" s="8">
        <v>0</v>
      </c>
      <c r="N38" s="4"/>
      <c r="O38" s="8">
        <v>3800000</v>
      </c>
      <c r="Q38" s="8">
        <v>6670</v>
      </c>
      <c r="S38" s="8">
        <v>22878313850</v>
      </c>
      <c r="U38" s="8">
        <v>25081869600</v>
      </c>
      <c r="W38" s="9">
        <v>2.0899542844534984E-2</v>
      </c>
    </row>
    <row r="39" spans="1:23" ht="21" x14ac:dyDescent="0.55000000000000004">
      <c r="A39" s="7" t="s">
        <v>63</v>
      </c>
      <c r="C39" s="8">
        <v>800000</v>
      </c>
      <c r="E39" s="8">
        <v>3238202253</v>
      </c>
      <c r="G39" s="8">
        <v>3308198400</v>
      </c>
      <c r="I39" s="8">
        <v>0</v>
      </c>
      <c r="J39" s="8">
        <v>0</v>
      </c>
      <c r="K39" s="8"/>
      <c r="L39" s="8">
        <v>0</v>
      </c>
      <c r="M39" s="8">
        <v>0</v>
      </c>
      <c r="N39" s="4"/>
      <c r="O39" s="8">
        <v>800000</v>
      </c>
      <c r="Q39" s="8">
        <v>4056</v>
      </c>
      <c r="S39" s="8">
        <v>3238202253</v>
      </c>
      <c r="U39" s="8">
        <v>3225493440</v>
      </c>
      <c r="W39" s="9">
        <v>2.6876520538184497E-3</v>
      </c>
    </row>
    <row r="40" spans="1:23" ht="21" x14ac:dyDescent="0.55000000000000004">
      <c r="A40" s="7" t="s">
        <v>232</v>
      </c>
      <c r="C40" s="8"/>
      <c r="E40" s="24">
        <f>SUM(E11:E39)</f>
        <v>414615832643</v>
      </c>
      <c r="G40" s="24">
        <f>SUM(G11:G39)</f>
        <v>534049733289</v>
      </c>
      <c r="I40" s="8"/>
      <c r="J40" s="24">
        <f>SUM(J11:J39)</f>
        <v>73138573360</v>
      </c>
      <c r="K40" s="8"/>
      <c r="L40" s="8"/>
      <c r="M40" s="24">
        <f>SUM(M11:M39)</f>
        <v>98229644370</v>
      </c>
      <c r="N40" s="4"/>
      <c r="O40" s="8"/>
      <c r="Q40" s="8"/>
      <c r="S40" s="24">
        <f>SUM(S11:S39)</f>
        <v>407080480966</v>
      </c>
      <c r="U40" s="24">
        <f>SUM(U11:U39)</f>
        <v>536589065798</v>
      </c>
      <c r="W40" s="23">
        <f>SUM(W11:W39)</f>
        <v>0.44711444359611469</v>
      </c>
    </row>
    <row r="41" spans="1:23" ht="19.899999999999999" customHeight="1" x14ac:dyDescent="0.55000000000000004">
      <c r="A41" s="40" t="s">
        <v>0</v>
      </c>
      <c r="B41" s="36"/>
      <c r="C41" s="36"/>
      <c r="D41" s="36"/>
      <c r="E41" s="36"/>
      <c r="F41" s="36"/>
      <c r="G41" s="36"/>
      <c r="H41" s="36"/>
      <c r="I41" s="36"/>
      <c r="J41" s="36"/>
      <c r="K41" s="36"/>
      <c r="L41" s="36"/>
      <c r="M41" s="36"/>
      <c r="N41" s="36"/>
      <c r="O41" s="36"/>
      <c r="P41" s="36"/>
      <c r="Q41" s="36"/>
      <c r="R41" s="36"/>
      <c r="S41" s="36"/>
      <c r="T41" s="36"/>
      <c r="U41" s="36"/>
      <c r="V41" s="36"/>
      <c r="W41" s="36"/>
    </row>
    <row r="42" spans="1:23" ht="19.899999999999999" customHeight="1" x14ac:dyDescent="0.55000000000000004">
      <c r="A42" s="40" t="s">
        <v>1</v>
      </c>
      <c r="B42" s="36"/>
      <c r="C42" s="36"/>
      <c r="D42" s="36"/>
      <c r="E42" s="36"/>
      <c r="F42" s="36"/>
      <c r="G42" s="36"/>
      <c r="H42" s="36"/>
      <c r="I42" s="36"/>
      <c r="J42" s="36"/>
      <c r="K42" s="36"/>
      <c r="L42" s="36"/>
      <c r="M42" s="36"/>
      <c r="N42" s="36"/>
      <c r="O42" s="36"/>
      <c r="P42" s="36"/>
      <c r="Q42" s="36"/>
      <c r="R42" s="36"/>
      <c r="S42" s="36"/>
      <c r="T42" s="36"/>
      <c r="U42" s="36"/>
      <c r="V42" s="36"/>
      <c r="W42" s="36"/>
    </row>
    <row r="43" spans="1:23" ht="19.899999999999999" customHeight="1" x14ac:dyDescent="0.55000000000000004">
      <c r="A43" s="40" t="s">
        <v>2</v>
      </c>
      <c r="B43" s="36"/>
      <c r="C43" s="36"/>
      <c r="D43" s="36"/>
      <c r="E43" s="36"/>
      <c r="F43" s="36"/>
      <c r="G43" s="36"/>
      <c r="H43" s="36"/>
      <c r="I43" s="36"/>
      <c r="J43" s="36"/>
      <c r="K43" s="36"/>
      <c r="L43" s="36"/>
      <c r="M43" s="36"/>
      <c r="N43" s="36"/>
      <c r="O43" s="36"/>
      <c r="P43" s="36"/>
      <c r="Q43" s="36"/>
      <c r="R43" s="36"/>
      <c r="S43" s="36"/>
      <c r="T43" s="36"/>
      <c r="U43" s="36"/>
      <c r="V43" s="36"/>
      <c r="W43" s="36"/>
    </row>
    <row r="45" spans="1:23" ht="21" x14ac:dyDescent="0.55000000000000004">
      <c r="A45" s="41" t="s">
        <v>3</v>
      </c>
      <c r="B45" s="36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  <c r="V45" s="36"/>
      <c r="W45" s="36"/>
    </row>
    <row r="46" spans="1:23" ht="21" x14ac:dyDescent="0.55000000000000004">
      <c r="A46" s="41" t="s">
        <v>4</v>
      </c>
      <c r="B46" s="36"/>
      <c r="C46" s="36"/>
      <c r="D46" s="36"/>
      <c r="E46" s="36"/>
      <c r="F46" s="36"/>
      <c r="G46" s="36"/>
      <c r="H46" s="36"/>
      <c r="I46" s="36"/>
      <c r="J46" s="36"/>
      <c r="K46" s="36"/>
      <c r="L46" s="36"/>
      <c r="M46" s="36"/>
      <c r="N46" s="36"/>
      <c r="O46" s="36"/>
      <c r="P46" s="36"/>
      <c r="Q46" s="36"/>
      <c r="R46" s="36"/>
      <c r="S46" s="36"/>
      <c r="T46" s="36"/>
      <c r="U46" s="36"/>
      <c r="V46" s="36"/>
      <c r="W46" s="36"/>
    </row>
    <row r="48" spans="1:23" ht="21" x14ac:dyDescent="0.55000000000000004">
      <c r="C48" s="32" t="s">
        <v>5</v>
      </c>
      <c r="D48" s="33"/>
      <c r="E48" s="33"/>
      <c r="F48" s="33"/>
      <c r="G48" s="33"/>
      <c r="I48" s="32" t="s">
        <v>6</v>
      </c>
      <c r="J48" s="33"/>
      <c r="K48" s="33"/>
      <c r="L48" s="33"/>
      <c r="M48" s="33"/>
      <c r="O48" s="32" t="s">
        <v>7</v>
      </c>
      <c r="P48" s="33"/>
      <c r="Q48" s="33"/>
      <c r="R48" s="33"/>
      <c r="S48" s="33"/>
      <c r="T48" s="33"/>
      <c r="U48" s="33"/>
      <c r="V48" s="33"/>
      <c r="W48" s="33"/>
    </row>
    <row r="49" spans="1:23" ht="21" x14ac:dyDescent="0.55000000000000004">
      <c r="A49" s="34" t="s">
        <v>8</v>
      </c>
      <c r="C49" s="34" t="s">
        <v>9</v>
      </c>
      <c r="E49" s="34" t="s">
        <v>10</v>
      </c>
      <c r="G49" s="34" t="s">
        <v>11</v>
      </c>
      <c r="I49" s="34" t="s">
        <v>12</v>
      </c>
      <c r="J49" s="36"/>
      <c r="L49" s="34" t="s">
        <v>13</v>
      </c>
      <c r="M49" s="36"/>
      <c r="O49" s="34" t="s">
        <v>9</v>
      </c>
      <c r="Q49" s="37" t="s">
        <v>14</v>
      </c>
      <c r="S49" s="34" t="s">
        <v>10</v>
      </c>
      <c r="U49" s="34" t="s">
        <v>11</v>
      </c>
      <c r="W49" s="38" t="s">
        <v>15</v>
      </c>
    </row>
    <row r="50" spans="1:23" ht="21" x14ac:dyDescent="0.55000000000000004">
      <c r="A50" s="35"/>
      <c r="C50" s="35"/>
      <c r="E50" s="35"/>
      <c r="G50" s="35"/>
      <c r="I50" s="6" t="s">
        <v>9</v>
      </c>
      <c r="J50" s="6" t="s">
        <v>10</v>
      </c>
      <c r="L50" s="6" t="s">
        <v>9</v>
      </c>
      <c r="M50" s="6" t="s">
        <v>16</v>
      </c>
      <c r="O50" s="35"/>
      <c r="Q50" s="35"/>
      <c r="S50" s="35"/>
      <c r="U50" s="35"/>
      <c r="W50" s="39"/>
    </row>
    <row r="51" spans="1:23" ht="21" x14ac:dyDescent="0.55000000000000004">
      <c r="A51" s="7" t="s">
        <v>233</v>
      </c>
      <c r="C51" s="21"/>
      <c r="E51" s="21">
        <f>E40</f>
        <v>414615832643</v>
      </c>
      <c r="G51" s="21">
        <f>G40</f>
        <v>534049733289</v>
      </c>
      <c r="I51" s="21"/>
      <c r="J51" s="21">
        <f>J40</f>
        <v>73138573360</v>
      </c>
      <c r="L51" s="21"/>
      <c r="M51" s="21">
        <f>M40</f>
        <v>98229644370</v>
      </c>
      <c r="O51" s="21"/>
      <c r="Q51" s="21"/>
      <c r="S51" s="21">
        <f>S40</f>
        <v>407080480966</v>
      </c>
      <c r="U51" s="21">
        <f>U40</f>
        <v>536589065798</v>
      </c>
      <c r="W51" s="9">
        <f>W40</f>
        <v>0.44711444359611469</v>
      </c>
    </row>
    <row r="52" spans="1:23" ht="21" x14ac:dyDescent="0.55000000000000004">
      <c r="A52" s="7" t="s">
        <v>64</v>
      </c>
      <c r="C52" s="8">
        <v>4500000</v>
      </c>
      <c r="E52" s="8">
        <v>16025515173</v>
      </c>
      <c r="G52" s="8">
        <v>14681124450</v>
      </c>
      <c r="I52" s="8">
        <v>4000000</v>
      </c>
      <c r="J52" s="8">
        <v>11891424924</v>
      </c>
      <c r="L52" s="8">
        <v>0</v>
      </c>
      <c r="M52" s="8">
        <v>0</v>
      </c>
      <c r="O52" s="8">
        <v>8500000</v>
      </c>
      <c r="Q52" s="8">
        <v>2842</v>
      </c>
      <c r="S52" s="8">
        <v>27916940097</v>
      </c>
      <c r="U52" s="8">
        <v>23962569300</v>
      </c>
      <c r="W52" s="9">
        <v>1.9966882522604642E-2</v>
      </c>
    </row>
    <row r="53" spans="1:23" ht="21" x14ac:dyDescent="0.55000000000000004">
      <c r="A53" s="7" t="s">
        <v>65</v>
      </c>
      <c r="C53" s="8">
        <v>11649752</v>
      </c>
      <c r="E53" s="8">
        <v>49365998906</v>
      </c>
      <c r="G53" s="8">
        <v>67050724299</v>
      </c>
      <c r="I53" s="8">
        <v>2701920</v>
      </c>
      <c r="J53" s="8">
        <v>16280652697</v>
      </c>
      <c r="L53" s="8">
        <v>0</v>
      </c>
      <c r="M53" s="8">
        <v>0</v>
      </c>
      <c r="O53" s="8">
        <v>14351672</v>
      </c>
      <c r="Q53" s="8">
        <v>5670</v>
      </c>
      <c r="S53" s="8">
        <v>65646651603</v>
      </c>
      <c r="U53" s="8">
        <v>81175130649</v>
      </c>
      <c r="W53" s="9">
        <v>6.7639420344865378E-2</v>
      </c>
    </row>
    <row r="54" spans="1:23" ht="21" x14ac:dyDescent="0.55000000000000004">
      <c r="A54" s="7" t="s">
        <v>66</v>
      </c>
      <c r="C54" s="8">
        <v>100000</v>
      </c>
      <c r="E54" s="8">
        <v>564512104</v>
      </c>
      <c r="G54" s="8">
        <v>539769150</v>
      </c>
      <c r="I54" s="8">
        <v>0</v>
      </c>
      <c r="J54" s="8">
        <v>0</v>
      </c>
      <c r="L54" s="8">
        <v>100000</v>
      </c>
      <c r="M54" s="8">
        <v>596430000</v>
      </c>
      <c r="O54" s="8">
        <v>0</v>
      </c>
      <c r="P54" s="8"/>
      <c r="Q54" s="8">
        <v>0</v>
      </c>
      <c r="R54" s="8"/>
      <c r="S54" s="8">
        <v>0</v>
      </c>
      <c r="T54" s="8"/>
      <c r="U54" s="8">
        <v>0</v>
      </c>
      <c r="W54" s="9">
        <v>0</v>
      </c>
    </row>
    <row r="55" spans="1:23" ht="21" x14ac:dyDescent="0.55000000000000004">
      <c r="A55" s="7" t="s">
        <v>67</v>
      </c>
      <c r="C55" s="8">
        <v>200000</v>
      </c>
      <c r="E55" s="8">
        <v>2542357120</v>
      </c>
      <c r="G55" s="8">
        <v>3632258700</v>
      </c>
      <c r="I55" s="8">
        <v>0</v>
      </c>
      <c r="J55" s="8">
        <v>0</v>
      </c>
      <c r="K55" s="8"/>
      <c r="L55" s="8">
        <v>0</v>
      </c>
      <c r="M55" s="8">
        <v>0</v>
      </c>
      <c r="N55" s="4"/>
      <c r="O55" s="8">
        <v>200000</v>
      </c>
      <c r="Q55" s="8">
        <v>17430</v>
      </c>
      <c r="S55" s="8">
        <v>2542357120</v>
      </c>
      <c r="U55" s="8">
        <v>3435436800</v>
      </c>
      <c r="W55" s="9">
        <v>2.8625879863155082E-3</v>
      </c>
    </row>
    <row r="56" spans="1:23" ht="21" x14ac:dyDescent="0.55000000000000004">
      <c r="A56" s="7" t="s">
        <v>68</v>
      </c>
      <c r="C56" s="8">
        <v>1341844</v>
      </c>
      <c r="E56" s="8">
        <v>11432747846</v>
      </c>
      <c r="G56" s="8">
        <v>14859200714</v>
      </c>
      <c r="I56" s="8">
        <v>0</v>
      </c>
      <c r="J56" s="8">
        <v>0</v>
      </c>
      <c r="K56" s="8"/>
      <c r="L56" s="8">
        <v>0</v>
      </c>
      <c r="M56" s="8">
        <v>0</v>
      </c>
      <c r="N56" s="4"/>
      <c r="O56" s="8">
        <v>1341844</v>
      </c>
      <c r="Q56" s="8">
        <v>11950</v>
      </c>
      <c r="S56" s="8">
        <v>11432747846</v>
      </c>
      <c r="U56" s="8">
        <v>15766225533</v>
      </c>
      <c r="W56" s="9">
        <v>1.3137254569872053E-2</v>
      </c>
    </row>
    <row r="57" spans="1:23" ht="21" x14ac:dyDescent="0.55000000000000004">
      <c r="A57" s="7" t="s">
        <v>69</v>
      </c>
      <c r="C57" s="8">
        <v>1250000</v>
      </c>
      <c r="E57" s="8">
        <v>8819935931</v>
      </c>
      <c r="G57" s="8">
        <v>11667661875</v>
      </c>
      <c r="I57" s="8">
        <v>0</v>
      </c>
      <c r="J57" s="8">
        <v>0</v>
      </c>
      <c r="K57" s="8"/>
      <c r="L57" s="8">
        <v>0</v>
      </c>
      <c r="M57" s="8">
        <v>0</v>
      </c>
      <c r="N57" s="4"/>
      <c r="O57" s="8">
        <v>1250000</v>
      </c>
      <c r="Q57" s="8">
        <v>9450</v>
      </c>
      <c r="S57" s="8">
        <v>8819935931</v>
      </c>
      <c r="U57" s="8">
        <v>11717364375</v>
      </c>
      <c r="W57" s="9">
        <v>9.7635289029786038E-3</v>
      </c>
    </row>
    <row r="58" spans="1:23" ht="21" x14ac:dyDescent="0.55000000000000004">
      <c r="A58" s="7" t="s">
        <v>70</v>
      </c>
      <c r="C58" s="8">
        <v>0</v>
      </c>
      <c r="D58" s="8"/>
      <c r="E58" s="8">
        <v>0</v>
      </c>
      <c r="F58" s="8"/>
      <c r="G58" s="8">
        <v>0</v>
      </c>
      <c r="H58" s="4"/>
      <c r="I58" s="8">
        <v>1600000</v>
      </c>
      <c r="J58" s="8">
        <v>25743868160</v>
      </c>
      <c r="L58" s="8">
        <v>0</v>
      </c>
      <c r="M58" s="8">
        <v>0</v>
      </c>
      <c r="O58" s="8">
        <v>1600000</v>
      </c>
      <c r="Q58" s="8">
        <v>17340</v>
      </c>
      <c r="S58" s="8">
        <v>25743868160</v>
      </c>
      <c r="U58" s="8">
        <v>27578923200</v>
      </c>
      <c r="W58" s="9">
        <v>2.2980220223477274E-2</v>
      </c>
    </row>
    <row r="59" spans="1:23" ht="21" x14ac:dyDescent="0.55000000000000004">
      <c r="A59" s="7" t="s">
        <v>71</v>
      </c>
      <c r="C59" s="8">
        <v>0</v>
      </c>
      <c r="D59" s="8"/>
      <c r="E59" s="8">
        <v>0</v>
      </c>
      <c r="F59" s="8"/>
      <c r="G59" s="8">
        <v>0</v>
      </c>
      <c r="H59" s="4"/>
      <c r="I59" s="8">
        <v>1000000</v>
      </c>
      <c r="J59" s="8">
        <v>6135688610</v>
      </c>
      <c r="L59" s="8">
        <v>0</v>
      </c>
      <c r="M59" s="8">
        <v>0</v>
      </c>
      <c r="O59" s="8">
        <v>1000000</v>
      </c>
      <c r="Q59" s="8">
        <v>6120</v>
      </c>
      <c r="S59" s="8">
        <v>6135688610</v>
      </c>
      <c r="U59" s="8">
        <v>6014002500</v>
      </c>
      <c r="W59" s="9">
        <v>5.0111855663219984E-3</v>
      </c>
    </row>
    <row r="60" spans="1:23" ht="21" x14ac:dyDescent="0.55000000000000004">
      <c r="A60" s="7" t="s">
        <v>72</v>
      </c>
      <c r="C60" s="8">
        <v>12320000</v>
      </c>
      <c r="E60" s="8">
        <v>67389428873</v>
      </c>
      <c r="G60" s="8">
        <v>96626431440</v>
      </c>
      <c r="I60" s="8">
        <v>0</v>
      </c>
      <c r="J60" s="8">
        <v>0</v>
      </c>
      <c r="K60" s="8"/>
      <c r="L60" s="8">
        <v>0</v>
      </c>
      <c r="M60" s="8">
        <v>0</v>
      </c>
      <c r="N60" s="4"/>
      <c r="O60" s="8">
        <v>12320000</v>
      </c>
      <c r="Q60" s="8">
        <v>8270</v>
      </c>
      <c r="S60" s="8">
        <v>67389428873</v>
      </c>
      <c r="U60" s="8">
        <v>100912775040</v>
      </c>
      <c r="W60" s="9">
        <v>8.4085871553586281E-2</v>
      </c>
    </row>
    <row r="61" spans="1:23" ht="21" x14ac:dyDescent="0.55000000000000004">
      <c r="A61" s="7" t="s">
        <v>73</v>
      </c>
      <c r="C61" s="8">
        <v>0</v>
      </c>
      <c r="D61" s="8"/>
      <c r="E61" s="8">
        <v>0</v>
      </c>
      <c r="F61" s="8"/>
      <c r="G61" s="8">
        <v>0</v>
      </c>
      <c r="H61" s="4"/>
      <c r="I61" s="8">
        <v>450000</v>
      </c>
      <c r="J61" s="8">
        <v>2492260920</v>
      </c>
      <c r="L61" s="8">
        <v>0</v>
      </c>
      <c r="M61" s="8">
        <v>0</v>
      </c>
      <c r="O61" s="8">
        <v>450000</v>
      </c>
      <c r="Q61" s="8">
        <v>9020</v>
      </c>
      <c r="S61" s="8">
        <v>2492260920</v>
      </c>
      <c r="U61" s="8">
        <v>4034848950</v>
      </c>
      <c r="W61" s="9">
        <v>3.3620499526778496E-3</v>
      </c>
    </row>
    <row r="62" spans="1:23" ht="21" x14ac:dyDescent="0.55000000000000004">
      <c r="A62" s="7" t="s">
        <v>74</v>
      </c>
      <c r="C62" s="8">
        <v>10000000</v>
      </c>
      <c r="E62" s="8">
        <v>37019592698</v>
      </c>
      <c r="G62" s="8">
        <v>47843626500</v>
      </c>
      <c r="I62" s="8">
        <v>0</v>
      </c>
      <c r="J62" s="8">
        <v>0</v>
      </c>
      <c r="K62" s="8"/>
      <c r="L62" s="8">
        <v>0</v>
      </c>
      <c r="M62" s="8">
        <v>0</v>
      </c>
      <c r="N62" s="4"/>
      <c r="O62" s="8">
        <v>10000000</v>
      </c>
      <c r="Q62" s="8">
        <v>4750</v>
      </c>
      <c r="S62" s="8">
        <v>37019592698</v>
      </c>
      <c r="U62" s="8">
        <v>47495709000</v>
      </c>
      <c r="W62" s="9">
        <v>3.9575941546919846E-2</v>
      </c>
    </row>
    <row r="63" spans="1:23" ht="21" x14ac:dyDescent="0.55000000000000004">
      <c r="A63" s="7" t="s">
        <v>75</v>
      </c>
      <c r="C63" s="8">
        <v>500000</v>
      </c>
      <c r="E63" s="8">
        <v>8492517918</v>
      </c>
      <c r="G63" s="8">
        <v>8091567000</v>
      </c>
      <c r="I63" s="8">
        <v>0</v>
      </c>
      <c r="J63" s="8">
        <v>0</v>
      </c>
      <c r="K63" s="8"/>
      <c r="L63" s="8">
        <v>0</v>
      </c>
      <c r="M63" s="8">
        <v>0</v>
      </c>
      <c r="N63" s="4"/>
      <c r="O63" s="8">
        <v>500000</v>
      </c>
      <c r="Q63" s="8">
        <v>16700</v>
      </c>
      <c r="S63" s="8">
        <v>8492517918</v>
      </c>
      <c r="U63" s="8">
        <v>8379841500</v>
      </c>
      <c r="W63" s="9">
        <v>6.9825279874536272E-3</v>
      </c>
    </row>
    <row r="64" spans="1:23" ht="21" x14ac:dyDescent="0.55000000000000004">
      <c r="A64" s="7" t="s">
        <v>76</v>
      </c>
      <c r="C64" s="8">
        <v>450000</v>
      </c>
      <c r="E64" s="8">
        <v>6965285537</v>
      </c>
      <c r="G64" s="8">
        <v>7447919625</v>
      </c>
      <c r="I64" s="8">
        <v>200000</v>
      </c>
      <c r="J64" s="8">
        <v>3361116212</v>
      </c>
      <c r="L64" s="8">
        <v>0</v>
      </c>
      <c r="M64" s="8">
        <v>0</v>
      </c>
      <c r="O64" s="8">
        <v>650000</v>
      </c>
      <c r="Q64" s="8">
        <v>18710</v>
      </c>
      <c r="S64" s="8">
        <v>10326401749</v>
      </c>
      <c r="U64" s="8">
        <v>12102061725</v>
      </c>
      <c r="W64" s="9">
        <v>1.0084079120196226E-2</v>
      </c>
    </row>
    <row r="65" spans="1:23" ht="21" x14ac:dyDescent="0.55000000000000004">
      <c r="A65" s="7" t="s">
        <v>77</v>
      </c>
      <c r="C65" s="8">
        <v>4688661</v>
      </c>
      <c r="E65" s="8">
        <v>12347277052</v>
      </c>
      <c r="G65" s="8">
        <v>13744591464</v>
      </c>
      <c r="I65" s="8">
        <v>0</v>
      </c>
      <c r="J65" s="8">
        <v>0</v>
      </c>
      <c r="K65" s="8"/>
      <c r="L65" s="8">
        <v>0</v>
      </c>
      <c r="M65" s="8">
        <v>0</v>
      </c>
      <c r="N65" s="4"/>
      <c r="O65" s="8">
        <v>4688661</v>
      </c>
      <c r="Q65" s="8">
        <v>3007</v>
      </c>
      <c r="S65" s="8">
        <v>12347277052</v>
      </c>
      <c r="U65" s="8">
        <v>14136095596</v>
      </c>
      <c r="W65" s="9">
        <v>1.1778943925417916E-2</v>
      </c>
    </row>
    <row r="66" spans="1:23" ht="21" x14ac:dyDescent="0.55000000000000004">
      <c r="A66" s="7" t="s">
        <v>78</v>
      </c>
      <c r="C66" s="8">
        <v>607000</v>
      </c>
      <c r="E66" s="8">
        <v>21314456002</v>
      </c>
      <c r="G66" s="8">
        <v>36426554689</v>
      </c>
      <c r="I66" s="8">
        <v>0</v>
      </c>
      <c r="J66" s="8">
        <v>0</v>
      </c>
      <c r="K66" s="8"/>
      <c r="L66" s="8">
        <v>0</v>
      </c>
      <c r="M66" s="8">
        <v>0</v>
      </c>
      <c r="N66" s="4"/>
      <c r="O66" s="8">
        <v>607000</v>
      </c>
      <c r="Q66" s="8">
        <v>62080</v>
      </c>
      <c r="S66" s="8">
        <v>21314456002</v>
      </c>
      <c r="U66" s="8">
        <v>37126485175</v>
      </c>
      <c r="W66" s="9">
        <v>3.0935754788467024E-2</v>
      </c>
    </row>
    <row r="67" spans="1:23" ht="21" x14ac:dyDescent="0.55000000000000004">
      <c r="A67" s="7" t="s">
        <v>79</v>
      </c>
      <c r="C67" s="8">
        <v>200000</v>
      </c>
      <c r="E67" s="8">
        <v>11554712809</v>
      </c>
      <c r="G67" s="8">
        <v>12362005800</v>
      </c>
      <c r="I67" s="8">
        <v>0</v>
      </c>
      <c r="J67" s="8">
        <v>0</v>
      </c>
      <c r="K67" s="8"/>
      <c r="L67" s="8">
        <v>0</v>
      </c>
      <c r="M67" s="8">
        <v>0</v>
      </c>
      <c r="N67" s="4"/>
      <c r="O67" s="8">
        <v>200000</v>
      </c>
      <c r="Q67" s="8">
        <v>61970</v>
      </c>
      <c r="S67" s="8">
        <v>11554712809</v>
      </c>
      <c r="U67" s="8">
        <v>12362005800</v>
      </c>
      <c r="W67" s="9">
        <v>1.0300678297980226E-2</v>
      </c>
    </row>
    <row r="68" spans="1:23" ht="21" x14ac:dyDescent="0.55000000000000004">
      <c r="A68" s="7" t="s">
        <v>80</v>
      </c>
      <c r="C68" s="8">
        <v>285000</v>
      </c>
      <c r="E68" s="8">
        <v>12204019862</v>
      </c>
      <c r="G68" s="8">
        <v>14533508025</v>
      </c>
      <c r="I68" s="8">
        <v>0</v>
      </c>
      <c r="J68" s="8">
        <v>0</v>
      </c>
      <c r="K68" s="8"/>
      <c r="L68" s="8">
        <v>0</v>
      </c>
      <c r="M68" s="8">
        <v>0</v>
      </c>
      <c r="N68" s="4"/>
      <c r="O68" s="8">
        <v>285000</v>
      </c>
      <c r="Q68" s="8">
        <v>52020</v>
      </c>
      <c r="S68" s="8">
        <v>12204019862</v>
      </c>
      <c r="U68" s="8">
        <v>14533508025</v>
      </c>
      <c r="W68" s="9">
        <v>1.2110089020233186E-2</v>
      </c>
    </row>
    <row r="69" spans="1:23" ht="21" x14ac:dyDescent="0.55000000000000004">
      <c r="A69" s="7" t="s">
        <v>81</v>
      </c>
      <c r="C69" s="8">
        <v>100000</v>
      </c>
      <c r="E69" s="8">
        <v>3261023424</v>
      </c>
      <c r="G69" s="8">
        <v>3332055600</v>
      </c>
      <c r="I69" s="8">
        <v>0</v>
      </c>
      <c r="J69" s="8">
        <v>0</v>
      </c>
      <c r="K69" s="8"/>
      <c r="L69" s="8">
        <v>0</v>
      </c>
      <c r="M69" s="8">
        <v>0</v>
      </c>
      <c r="N69" s="4"/>
      <c r="O69" s="8">
        <v>100000</v>
      </c>
      <c r="Q69" s="8">
        <v>38890</v>
      </c>
      <c r="S69" s="8">
        <v>3261023424</v>
      </c>
      <c r="U69" s="8">
        <v>3851943750</v>
      </c>
      <c r="W69" s="9">
        <v>3.2096436478508666E-3</v>
      </c>
    </row>
    <row r="70" spans="1:23" ht="21" x14ac:dyDescent="0.55000000000000004">
      <c r="A70" s="7" t="s">
        <v>82</v>
      </c>
      <c r="C70" s="8">
        <v>113500</v>
      </c>
      <c r="E70" s="8">
        <v>17986494619</v>
      </c>
      <c r="G70" s="8">
        <v>24609318111</v>
      </c>
      <c r="I70" s="8">
        <v>0</v>
      </c>
      <c r="J70" s="8">
        <v>0</v>
      </c>
      <c r="K70" s="8"/>
      <c r="L70" s="8">
        <v>0</v>
      </c>
      <c r="M70" s="8">
        <v>0</v>
      </c>
      <c r="N70" s="4"/>
      <c r="O70" s="8">
        <v>113500</v>
      </c>
      <c r="Q70" s="8">
        <v>218360</v>
      </c>
      <c r="S70" s="8">
        <v>17986494619</v>
      </c>
      <c r="U70" s="8">
        <v>24609318111</v>
      </c>
      <c r="W70" s="9">
        <v>2.0505787903292313E-2</v>
      </c>
    </row>
    <row r="71" spans="1:23" ht="21" x14ac:dyDescent="0.55000000000000004">
      <c r="A71" s="7" t="s">
        <v>83</v>
      </c>
      <c r="C71" s="8">
        <v>3000000</v>
      </c>
      <c r="E71" s="8">
        <v>6520206627</v>
      </c>
      <c r="G71" s="8">
        <v>8499127500</v>
      </c>
      <c r="I71" s="8">
        <v>0</v>
      </c>
      <c r="J71" s="8">
        <v>0</v>
      </c>
      <c r="K71" s="8"/>
      <c r="L71" s="8">
        <v>0</v>
      </c>
      <c r="M71" s="8">
        <v>0</v>
      </c>
      <c r="N71" s="4"/>
      <c r="O71" s="8">
        <v>3000000</v>
      </c>
      <c r="Q71" s="8">
        <v>2866</v>
      </c>
      <c r="S71" s="8">
        <v>6520206627</v>
      </c>
      <c r="U71" s="8">
        <v>8499127500</v>
      </c>
      <c r="W71" s="9">
        <v>7.0819234036451377E-3</v>
      </c>
    </row>
    <row r="72" spans="1:23" ht="21" x14ac:dyDescent="0.55000000000000004">
      <c r="A72" s="7" t="s">
        <v>84</v>
      </c>
      <c r="C72" s="8">
        <v>128000</v>
      </c>
      <c r="E72" s="8">
        <v>17760573980</v>
      </c>
      <c r="G72" s="8">
        <v>26592825600</v>
      </c>
      <c r="I72" s="8">
        <v>0</v>
      </c>
      <c r="J72" s="8">
        <v>0</v>
      </c>
      <c r="K72" s="8"/>
      <c r="L72" s="8">
        <v>0</v>
      </c>
      <c r="M72" s="8">
        <v>0</v>
      </c>
      <c r="N72" s="4"/>
      <c r="O72" s="8">
        <v>128000</v>
      </c>
      <c r="Q72" s="8">
        <v>206590</v>
      </c>
      <c r="S72" s="8">
        <v>17760573980</v>
      </c>
      <c r="U72" s="8">
        <v>26592825600</v>
      </c>
      <c r="W72" s="9">
        <v>2.2158551449627452E-2</v>
      </c>
    </row>
    <row r="73" spans="1:23" ht="21" x14ac:dyDescent="0.55000000000000004">
      <c r="A73" s="7" t="s">
        <v>85</v>
      </c>
      <c r="C73" s="8">
        <v>1218099</v>
      </c>
      <c r="E73" s="8">
        <v>13852230236</v>
      </c>
      <c r="G73" s="8">
        <v>23817445286</v>
      </c>
      <c r="I73" s="8">
        <v>0</v>
      </c>
      <c r="J73" s="8">
        <v>0</v>
      </c>
      <c r="K73" s="8"/>
      <c r="L73" s="8">
        <v>0</v>
      </c>
      <c r="M73" s="8">
        <v>0</v>
      </c>
      <c r="N73" s="4"/>
      <c r="O73" s="8">
        <v>1218099</v>
      </c>
      <c r="Q73" s="8">
        <v>19350</v>
      </c>
      <c r="S73" s="8">
        <v>13852230236</v>
      </c>
      <c r="U73" s="8">
        <v>23417864354</v>
      </c>
      <c r="W73" s="9">
        <v>1.9513005497561936E-2</v>
      </c>
    </row>
    <row r="74" spans="1:23" ht="21" x14ac:dyDescent="0.55000000000000004">
      <c r="A74" s="7" t="s">
        <v>86</v>
      </c>
      <c r="C74" s="8">
        <v>0</v>
      </c>
      <c r="D74" s="8"/>
      <c r="E74" s="8">
        <v>0</v>
      </c>
      <c r="F74" s="8"/>
      <c r="G74" s="8">
        <v>0</v>
      </c>
      <c r="H74" s="4"/>
      <c r="I74" s="8">
        <v>660000</v>
      </c>
      <c r="J74" s="8">
        <v>20643453917</v>
      </c>
      <c r="L74" s="8">
        <v>100000</v>
      </c>
      <c r="M74" s="8">
        <v>3852583133</v>
      </c>
      <c r="O74" s="8">
        <v>560000</v>
      </c>
      <c r="Q74" s="8">
        <v>38750</v>
      </c>
      <c r="S74" s="8">
        <v>17515657869</v>
      </c>
      <c r="U74" s="8">
        <v>21515218200</v>
      </c>
      <c r="W74" s="9">
        <v>1.7927619900408816E-2</v>
      </c>
    </row>
    <row r="75" spans="1:23" ht="21" x14ac:dyDescent="0.55000000000000004">
      <c r="A75" s="7" t="s">
        <v>87</v>
      </c>
      <c r="C75" s="8">
        <v>3600000</v>
      </c>
      <c r="E75" s="8">
        <v>18948298801</v>
      </c>
      <c r="G75" s="8">
        <v>18787545000</v>
      </c>
      <c r="I75" s="8">
        <v>0</v>
      </c>
      <c r="J75" s="8">
        <v>0</v>
      </c>
      <c r="K75" s="8"/>
      <c r="L75" s="8">
        <v>0</v>
      </c>
      <c r="M75" s="8">
        <v>0</v>
      </c>
      <c r="N75" s="4"/>
      <c r="O75" s="8">
        <v>3600000</v>
      </c>
      <c r="Q75" s="8">
        <v>6130</v>
      </c>
      <c r="S75" s="8">
        <v>18948298801</v>
      </c>
      <c r="U75" s="8">
        <v>21936695400</v>
      </c>
      <c r="W75" s="9">
        <v>1.8278817037618821E-2</v>
      </c>
    </row>
    <row r="76" spans="1:23" ht="21" x14ac:dyDescent="0.55000000000000004">
      <c r="A76" s="7" t="s">
        <v>88</v>
      </c>
      <c r="C76" s="8">
        <v>5200000</v>
      </c>
      <c r="E76" s="8">
        <v>19037612373</v>
      </c>
      <c r="G76" s="8">
        <v>20671070940</v>
      </c>
      <c r="I76" s="8">
        <v>0</v>
      </c>
      <c r="J76" s="8">
        <v>0</v>
      </c>
      <c r="K76" s="8"/>
      <c r="L76" s="8">
        <v>0</v>
      </c>
      <c r="M76" s="8">
        <v>0</v>
      </c>
      <c r="N76" s="4"/>
      <c r="O76" s="8">
        <v>5200000</v>
      </c>
      <c r="Q76" s="8">
        <v>3735</v>
      </c>
      <c r="S76" s="8">
        <v>19037612373</v>
      </c>
      <c r="U76" s="8">
        <v>19275424740</v>
      </c>
      <c r="W76" s="9">
        <v>1.6061305302386215E-2</v>
      </c>
    </row>
    <row r="77" spans="1:23" ht="21" x14ac:dyDescent="0.55000000000000004">
      <c r="A77" s="7" t="s">
        <v>89</v>
      </c>
      <c r="C77" s="8">
        <v>6286264</v>
      </c>
      <c r="E77" s="8">
        <v>16102955538</v>
      </c>
      <c r="G77" s="8">
        <v>23545707228</v>
      </c>
      <c r="I77" s="8">
        <v>0</v>
      </c>
      <c r="J77" s="8">
        <v>0</v>
      </c>
      <c r="K77" s="8"/>
      <c r="L77" s="8">
        <v>0</v>
      </c>
      <c r="M77" s="8">
        <v>0</v>
      </c>
      <c r="N77" s="4"/>
      <c r="O77" s="8">
        <v>6286264</v>
      </c>
      <c r="Q77" s="8">
        <v>3482</v>
      </c>
      <c r="S77" s="8">
        <v>16102955538</v>
      </c>
      <c r="U77" s="8">
        <v>21752284198</v>
      </c>
      <c r="W77" s="9">
        <v>1.8125155852122057E-2</v>
      </c>
    </row>
    <row r="78" spans="1:23" ht="21.75" thickBot="1" x14ac:dyDescent="0.6">
      <c r="A78" s="10" t="s">
        <v>90</v>
      </c>
      <c r="C78" s="21"/>
      <c r="E78" s="10">
        <f>SUM(E51:E77)</f>
        <v>794123586072</v>
      </c>
      <c r="G78" s="10">
        <f>SUM(G51:G77)</f>
        <v>1033411772285</v>
      </c>
      <c r="I78" s="21"/>
      <c r="J78" s="10">
        <f>SUM(J51:J77)</f>
        <v>159687038800</v>
      </c>
      <c r="L78" s="21"/>
      <c r="M78" s="10">
        <f>SUM(M51:M77)</f>
        <v>102678657503</v>
      </c>
      <c r="O78" s="21"/>
      <c r="P78" s="22"/>
      <c r="Q78" s="21"/>
      <c r="S78" s="10">
        <f>SUM(S51:S77)</f>
        <v>869444391683</v>
      </c>
      <c r="U78" s="10">
        <f>SUM(U51:U77)</f>
        <v>1128772750819</v>
      </c>
      <c r="W78" s="25">
        <f>SUM(W51:W77)</f>
        <v>0.94055326989999555</v>
      </c>
    </row>
    <row r="79" spans="1:23" ht="21.75" thickTop="1" x14ac:dyDescent="0.55000000000000004">
      <c r="C79" s="21"/>
      <c r="E79" s="12"/>
      <c r="G79" s="12"/>
      <c r="I79" s="21"/>
      <c r="J79" s="12"/>
      <c r="L79" s="21"/>
      <c r="M79" s="12"/>
      <c r="O79" s="21"/>
      <c r="P79" s="22"/>
      <c r="Q79" s="21"/>
      <c r="S79" s="12"/>
      <c r="U79" s="12"/>
      <c r="W79" s="12"/>
    </row>
  </sheetData>
  <mergeCells count="38">
    <mergeCell ref="C8:G8"/>
    <mergeCell ref="I8:M8"/>
    <mergeCell ref="O8:W8"/>
    <mergeCell ref="A9:A10"/>
    <mergeCell ref="C9:C10"/>
    <mergeCell ref="E9:E10"/>
    <mergeCell ref="G9:G10"/>
    <mergeCell ref="I9:J9"/>
    <mergeCell ref="L9:M9"/>
    <mergeCell ref="O9:O10"/>
    <mergeCell ref="Q9:Q10"/>
    <mergeCell ref="S9:S10"/>
    <mergeCell ref="U9:U10"/>
    <mergeCell ref="W9:W10"/>
    <mergeCell ref="A1:W1"/>
    <mergeCell ref="A2:W2"/>
    <mergeCell ref="A3:W3"/>
    <mergeCell ref="A5:W5"/>
    <mergeCell ref="A6:W6"/>
    <mergeCell ref="A41:W41"/>
    <mergeCell ref="A42:W42"/>
    <mergeCell ref="A43:W43"/>
    <mergeCell ref="A45:W45"/>
    <mergeCell ref="A46:W46"/>
    <mergeCell ref="C48:G48"/>
    <mergeCell ref="I48:M48"/>
    <mergeCell ref="O48:W48"/>
    <mergeCell ref="A49:A50"/>
    <mergeCell ref="C49:C50"/>
    <mergeCell ref="E49:E50"/>
    <mergeCell ref="G49:G50"/>
    <mergeCell ref="I49:J49"/>
    <mergeCell ref="L49:M49"/>
    <mergeCell ref="O49:O50"/>
    <mergeCell ref="Q49:Q50"/>
    <mergeCell ref="S49:S50"/>
    <mergeCell ref="U49:U50"/>
    <mergeCell ref="W49:W50"/>
  </mergeCells>
  <pageMargins left="0.7" right="0.7" top="0.75" bottom="0.75" header="0.3" footer="0.3"/>
  <pageSetup paperSize="9" scale="59" fitToHeight="0" orientation="landscape" r:id="rId1"/>
  <rowBreaks count="1" manualBreakCount="1">
    <brk id="40" max="22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X35"/>
  <sheetViews>
    <sheetView rightToLeft="1" view="pageBreakPreview" zoomScale="60" zoomScaleNormal="85" workbookViewId="0">
      <selection activeCell="A2" sqref="A2:W2"/>
    </sheetView>
  </sheetViews>
  <sheetFormatPr defaultColWidth="8.85546875" defaultRowHeight="19.5" x14ac:dyDescent="0.55000000000000004"/>
  <cols>
    <col min="1" max="1" width="17" style="2" customWidth="1"/>
    <col min="2" max="2" width="1.42578125" style="2" customWidth="1"/>
    <col min="3" max="3" width="12.85546875" style="2" customWidth="1"/>
    <col min="4" max="4" width="1.42578125" style="2" customWidth="1"/>
    <col min="5" max="5" width="17" style="2" customWidth="1"/>
    <col min="6" max="6" width="1.42578125" style="2" customWidth="1"/>
    <col min="7" max="7" width="17" style="2" customWidth="1"/>
    <col min="8" max="8" width="1.42578125" style="2" customWidth="1"/>
    <col min="9" max="9" width="17.5703125" style="2" customWidth="1"/>
    <col min="10" max="10" width="17" style="2" customWidth="1"/>
    <col min="11" max="11" width="1.42578125" style="2" customWidth="1"/>
    <col min="12" max="12" width="11.42578125" style="2" customWidth="1"/>
    <col min="13" max="13" width="17" style="2" customWidth="1"/>
    <col min="14" max="14" width="1.42578125" style="2" customWidth="1"/>
    <col min="15" max="15" width="12.85546875" style="2" customWidth="1"/>
    <col min="16" max="16" width="1.42578125" style="2" customWidth="1"/>
    <col min="17" max="17" width="18.28515625" style="2" customWidth="1"/>
    <col min="18" max="18" width="1.42578125" style="2" customWidth="1"/>
    <col min="19" max="19" width="17" style="2" customWidth="1"/>
    <col min="20" max="20" width="1.42578125" style="2" customWidth="1"/>
    <col min="21" max="21" width="17" style="2" customWidth="1"/>
    <col min="22" max="22" width="1.42578125" style="2" customWidth="1"/>
    <col min="23" max="23" width="12.7109375" style="2" customWidth="1"/>
    <col min="24" max="24" width="16.42578125" style="2" customWidth="1"/>
    <col min="25" max="16384" width="8.85546875" style="2"/>
  </cols>
  <sheetData>
    <row r="1" spans="1:24" ht="19.899999999999999" customHeight="1" x14ac:dyDescent="0.55000000000000004">
      <c r="A1" s="40" t="s">
        <v>0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</row>
    <row r="2" spans="1:24" ht="19.899999999999999" customHeight="1" x14ac:dyDescent="0.55000000000000004">
      <c r="A2" s="40" t="s">
        <v>1</v>
      </c>
      <c r="B2" s="36"/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  <c r="N2" s="36"/>
      <c r="O2" s="36"/>
      <c r="P2" s="36"/>
      <c r="Q2" s="36"/>
      <c r="R2" s="36"/>
      <c r="S2" s="36"/>
      <c r="T2" s="36"/>
      <c r="U2" s="36"/>
      <c r="V2" s="36"/>
      <c r="W2" s="36"/>
    </row>
    <row r="3" spans="1:24" ht="19.899999999999999" customHeight="1" x14ac:dyDescent="0.55000000000000004">
      <c r="A3" s="40" t="s">
        <v>2</v>
      </c>
      <c r="B3" s="36"/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  <c r="S3" s="36"/>
      <c r="T3" s="36"/>
      <c r="U3" s="36"/>
      <c r="V3" s="36"/>
      <c r="W3" s="36"/>
    </row>
    <row r="5" spans="1:24" ht="21" x14ac:dyDescent="0.55000000000000004">
      <c r="A5" s="41" t="s">
        <v>94</v>
      </c>
      <c r="B5" s="36"/>
      <c r="C5" s="36"/>
      <c r="D5" s="36"/>
      <c r="E5" s="36"/>
      <c r="F5" s="36"/>
      <c r="G5" s="36"/>
      <c r="H5" s="36"/>
      <c r="I5" s="36"/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</row>
    <row r="7" spans="1:24" ht="21" x14ac:dyDescent="0.55000000000000004">
      <c r="A7" s="32" t="s">
        <v>91</v>
      </c>
      <c r="B7" s="33"/>
      <c r="C7" s="33"/>
      <c r="D7" s="33"/>
      <c r="E7" s="33"/>
      <c r="F7" s="33"/>
      <c r="G7" s="33"/>
      <c r="I7" s="32" t="s">
        <v>5</v>
      </c>
      <c r="J7" s="33"/>
      <c r="K7" s="33"/>
      <c r="L7" s="33"/>
      <c r="M7" s="33"/>
      <c r="N7" s="33"/>
      <c r="O7" s="33"/>
      <c r="Q7" s="32" t="s">
        <v>7</v>
      </c>
      <c r="R7" s="33"/>
      <c r="S7" s="33"/>
      <c r="T7" s="33"/>
      <c r="U7" s="33"/>
      <c r="V7" s="33"/>
      <c r="W7" s="33"/>
      <c r="X7" s="33"/>
    </row>
    <row r="8" spans="1:24" x14ac:dyDescent="0.55000000000000004">
      <c r="A8" s="34"/>
      <c r="B8" s="36"/>
      <c r="C8" s="36"/>
      <c r="D8" s="36"/>
      <c r="E8" s="36"/>
      <c r="F8" s="36"/>
      <c r="G8" s="36"/>
      <c r="I8" s="42" t="s">
        <v>95</v>
      </c>
      <c r="J8" s="42" t="s">
        <v>96</v>
      </c>
      <c r="L8" s="42" t="s">
        <v>97</v>
      </c>
      <c r="M8" s="42" t="s">
        <v>92</v>
      </c>
      <c r="O8" s="42" t="s">
        <v>93</v>
      </c>
      <c r="Q8" s="42" t="s">
        <v>95</v>
      </c>
      <c r="S8" s="42" t="s">
        <v>96</v>
      </c>
      <c r="U8" s="42" t="s">
        <v>97</v>
      </c>
      <c r="W8" s="42" t="s">
        <v>92</v>
      </c>
      <c r="X8" s="42" t="s">
        <v>93</v>
      </c>
    </row>
    <row r="9" spans="1:24" x14ac:dyDescent="0.55000000000000004">
      <c r="A9" s="36"/>
      <c r="B9" s="36"/>
      <c r="C9" s="36"/>
      <c r="D9" s="36"/>
      <c r="E9" s="36"/>
      <c r="F9" s="36"/>
      <c r="G9" s="36"/>
      <c r="I9" s="43"/>
      <c r="J9" s="43"/>
      <c r="L9" s="43"/>
      <c r="M9" s="43"/>
      <c r="O9" s="43"/>
      <c r="Q9" s="43"/>
      <c r="S9" s="43"/>
      <c r="U9" s="43"/>
      <c r="W9" s="43"/>
      <c r="X9" s="43"/>
    </row>
    <row r="10" spans="1:24" x14ac:dyDescent="0.55000000000000004">
      <c r="A10" s="34" t="s">
        <v>19</v>
      </c>
      <c r="B10" s="36"/>
      <c r="C10" s="36"/>
      <c r="D10" s="36"/>
      <c r="E10" s="36"/>
      <c r="F10" s="36"/>
      <c r="G10" s="36"/>
      <c r="I10" s="34" t="s">
        <v>98</v>
      </c>
      <c r="J10" s="34" t="s">
        <v>99</v>
      </c>
      <c r="L10" s="34" t="s">
        <v>100</v>
      </c>
      <c r="M10" s="34" t="s">
        <v>101</v>
      </c>
      <c r="O10" s="34" t="s">
        <v>102</v>
      </c>
      <c r="Q10" s="34"/>
      <c r="S10" s="34"/>
      <c r="U10" s="34"/>
      <c r="W10" s="34"/>
      <c r="X10" s="34"/>
    </row>
    <row r="11" spans="1:24" x14ac:dyDescent="0.55000000000000004">
      <c r="A11" s="36"/>
      <c r="B11" s="36"/>
      <c r="C11" s="36"/>
      <c r="D11" s="36"/>
      <c r="E11" s="36"/>
      <c r="F11" s="36"/>
      <c r="G11" s="36"/>
      <c r="I11" s="36"/>
      <c r="J11" s="36"/>
      <c r="L11" s="36"/>
      <c r="M11" s="36"/>
      <c r="O11" s="36"/>
      <c r="Q11" s="36"/>
      <c r="S11" s="36"/>
      <c r="U11" s="36"/>
      <c r="W11" s="36"/>
      <c r="X11" s="36"/>
    </row>
    <row r="12" spans="1:24" x14ac:dyDescent="0.55000000000000004">
      <c r="A12" s="34" t="s">
        <v>21</v>
      </c>
      <c r="B12" s="36"/>
      <c r="C12" s="36"/>
      <c r="D12" s="36"/>
      <c r="E12" s="36"/>
      <c r="F12" s="36"/>
      <c r="G12" s="36"/>
      <c r="I12" s="34"/>
      <c r="J12" s="34"/>
      <c r="L12" s="34"/>
      <c r="M12" s="34"/>
      <c r="O12" s="34"/>
      <c r="Q12" s="34" t="s">
        <v>98</v>
      </c>
      <c r="S12" s="34" t="s">
        <v>99</v>
      </c>
      <c r="U12" s="34" t="s">
        <v>103</v>
      </c>
      <c r="W12" s="34" t="s">
        <v>104</v>
      </c>
      <c r="X12" s="34" t="s">
        <v>105</v>
      </c>
    </row>
    <row r="13" spans="1:24" x14ac:dyDescent="0.55000000000000004">
      <c r="A13" s="36"/>
      <c r="B13" s="36"/>
      <c r="C13" s="36"/>
      <c r="D13" s="36"/>
      <c r="E13" s="36"/>
      <c r="F13" s="36"/>
      <c r="G13" s="36"/>
      <c r="I13" s="36"/>
      <c r="J13" s="36"/>
      <c r="L13" s="36"/>
      <c r="M13" s="36"/>
      <c r="O13" s="36"/>
      <c r="Q13" s="36"/>
      <c r="S13" s="36"/>
      <c r="U13" s="36"/>
      <c r="W13" s="36"/>
      <c r="X13" s="36"/>
    </row>
    <row r="14" spans="1:24" x14ac:dyDescent="0.55000000000000004">
      <c r="A14" s="34" t="s">
        <v>22</v>
      </c>
      <c r="B14" s="36"/>
      <c r="C14" s="36"/>
      <c r="D14" s="36"/>
      <c r="E14" s="36"/>
      <c r="F14" s="36"/>
      <c r="G14" s="36"/>
      <c r="I14" s="34" t="s">
        <v>98</v>
      </c>
      <c r="J14" s="34" t="s">
        <v>99</v>
      </c>
      <c r="L14" s="34" t="s">
        <v>106</v>
      </c>
      <c r="M14" s="34" t="s">
        <v>107</v>
      </c>
      <c r="O14" s="34" t="s">
        <v>108</v>
      </c>
      <c r="Q14" s="34"/>
      <c r="S14" s="34"/>
      <c r="U14" s="34"/>
      <c r="W14" s="34"/>
      <c r="X14" s="34"/>
    </row>
    <row r="15" spans="1:24" x14ac:dyDescent="0.55000000000000004">
      <c r="A15" s="36"/>
      <c r="B15" s="36"/>
      <c r="C15" s="36"/>
      <c r="D15" s="36"/>
      <c r="E15" s="36"/>
      <c r="F15" s="36"/>
      <c r="G15" s="36"/>
      <c r="I15" s="36"/>
      <c r="J15" s="36"/>
      <c r="L15" s="36"/>
      <c r="M15" s="36"/>
      <c r="O15" s="36"/>
      <c r="Q15" s="36"/>
      <c r="S15" s="36"/>
      <c r="U15" s="36"/>
      <c r="W15" s="36"/>
      <c r="X15" s="36"/>
    </row>
    <row r="16" spans="1:24" x14ac:dyDescent="0.55000000000000004">
      <c r="A16" s="34" t="s">
        <v>23</v>
      </c>
      <c r="B16" s="36"/>
      <c r="C16" s="36"/>
      <c r="D16" s="36"/>
      <c r="E16" s="36"/>
      <c r="F16" s="36"/>
      <c r="G16" s="36"/>
      <c r="I16" s="34" t="s">
        <v>98</v>
      </c>
      <c r="J16" s="34" t="s">
        <v>99</v>
      </c>
      <c r="L16" s="34" t="s">
        <v>109</v>
      </c>
      <c r="M16" s="34" t="s">
        <v>110</v>
      </c>
      <c r="O16" s="34" t="s">
        <v>108</v>
      </c>
      <c r="Q16" s="34"/>
      <c r="S16" s="34"/>
      <c r="U16" s="34"/>
      <c r="W16" s="34"/>
      <c r="X16" s="34"/>
    </row>
    <row r="17" spans="1:24" x14ac:dyDescent="0.55000000000000004">
      <c r="A17" s="36"/>
      <c r="B17" s="36"/>
      <c r="C17" s="36"/>
      <c r="D17" s="36"/>
      <c r="E17" s="36"/>
      <c r="F17" s="36"/>
      <c r="G17" s="36"/>
      <c r="I17" s="36"/>
      <c r="J17" s="36"/>
      <c r="L17" s="36"/>
      <c r="M17" s="36"/>
      <c r="O17" s="36"/>
      <c r="Q17" s="36"/>
      <c r="S17" s="36"/>
      <c r="U17" s="36"/>
      <c r="W17" s="36"/>
      <c r="X17" s="36"/>
    </row>
    <row r="18" spans="1:24" x14ac:dyDescent="0.55000000000000004">
      <c r="A18" s="34" t="s">
        <v>24</v>
      </c>
      <c r="B18" s="36"/>
      <c r="C18" s="36"/>
      <c r="D18" s="36"/>
      <c r="E18" s="36"/>
      <c r="F18" s="36"/>
      <c r="G18" s="36"/>
      <c r="I18" s="34" t="s">
        <v>98</v>
      </c>
      <c r="J18" s="34" t="s">
        <v>99</v>
      </c>
      <c r="L18" s="34" t="s">
        <v>111</v>
      </c>
      <c r="M18" s="34" t="s">
        <v>112</v>
      </c>
      <c r="O18" s="34" t="s">
        <v>113</v>
      </c>
      <c r="Q18" s="34"/>
      <c r="S18" s="34"/>
      <c r="U18" s="34"/>
      <c r="W18" s="34"/>
      <c r="X18" s="34"/>
    </row>
    <row r="19" spans="1:24" x14ac:dyDescent="0.55000000000000004">
      <c r="A19" s="36"/>
      <c r="B19" s="36"/>
      <c r="C19" s="36"/>
      <c r="D19" s="36"/>
      <c r="E19" s="36"/>
      <c r="F19" s="36"/>
      <c r="G19" s="36"/>
      <c r="I19" s="36"/>
      <c r="J19" s="36"/>
      <c r="L19" s="36"/>
      <c r="M19" s="36"/>
      <c r="O19" s="36"/>
      <c r="Q19" s="36"/>
      <c r="S19" s="36"/>
      <c r="U19" s="36"/>
      <c r="W19" s="36"/>
      <c r="X19" s="36"/>
    </row>
    <row r="20" spans="1:24" x14ac:dyDescent="0.55000000000000004">
      <c r="A20" s="34" t="s">
        <v>25</v>
      </c>
      <c r="B20" s="36"/>
      <c r="C20" s="36"/>
      <c r="D20" s="36"/>
      <c r="E20" s="36"/>
      <c r="F20" s="36"/>
      <c r="G20" s="36"/>
      <c r="I20" s="34" t="s">
        <v>98</v>
      </c>
      <c r="J20" s="34" t="s">
        <v>99</v>
      </c>
      <c r="L20" s="34" t="s">
        <v>114</v>
      </c>
      <c r="M20" s="34" t="s">
        <v>115</v>
      </c>
      <c r="O20" s="34" t="s">
        <v>113</v>
      </c>
      <c r="Q20" s="34"/>
      <c r="S20" s="34"/>
      <c r="U20" s="34"/>
      <c r="W20" s="34"/>
      <c r="X20" s="34"/>
    </row>
    <row r="21" spans="1:24" x14ac:dyDescent="0.55000000000000004">
      <c r="A21" s="36"/>
      <c r="B21" s="36"/>
      <c r="C21" s="36"/>
      <c r="D21" s="36"/>
      <c r="E21" s="36"/>
      <c r="F21" s="36"/>
      <c r="G21" s="36"/>
      <c r="I21" s="36"/>
      <c r="J21" s="36"/>
      <c r="L21" s="36"/>
      <c r="M21" s="36"/>
      <c r="O21" s="36"/>
      <c r="Q21" s="36"/>
      <c r="S21" s="36"/>
      <c r="U21" s="36"/>
      <c r="W21" s="36"/>
      <c r="X21" s="36"/>
    </row>
    <row r="22" spans="1:24" x14ac:dyDescent="0.55000000000000004">
      <c r="A22" s="34" t="s">
        <v>26</v>
      </c>
      <c r="B22" s="36"/>
      <c r="C22" s="36"/>
      <c r="D22" s="36"/>
      <c r="E22" s="36"/>
      <c r="F22" s="36"/>
      <c r="G22" s="36"/>
      <c r="I22" s="34" t="s">
        <v>98</v>
      </c>
      <c r="J22" s="34" t="s">
        <v>99</v>
      </c>
      <c r="L22" s="34" t="s">
        <v>116</v>
      </c>
      <c r="M22" s="34" t="s">
        <v>117</v>
      </c>
      <c r="O22" s="34" t="s">
        <v>118</v>
      </c>
      <c r="Q22" s="34"/>
      <c r="S22" s="34"/>
      <c r="U22" s="34"/>
      <c r="W22" s="34"/>
      <c r="X22" s="34"/>
    </row>
    <row r="23" spans="1:24" x14ac:dyDescent="0.55000000000000004">
      <c r="A23" s="36"/>
      <c r="B23" s="36"/>
      <c r="C23" s="36"/>
      <c r="D23" s="36"/>
      <c r="E23" s="36"/>
      <c r="F23" s="36"/>
      <c r="G23" s="36"/>
      <c r="I23" s="36"/>
      <c r="J23" s="36"/>
      <c r="L23" s="36"/>
      <c r="M23" s="36"/>
      <c r="O23" s="36"/>
      <c r="Q23" s="36"/>
      <c r="S23" s="36"/>
      <c r="U23" s="36"/>
      <c r="W23" s="36"/>
      <c r="X23" s="36"/>
    </row>
    <row r="24" spans="1:24" x14ac:dyDescent="0.55000000000000004">
      <c r="A24" s="34" t="s">
        <v>27</v>
      </c>
      <c r="B24" s="36"/>
      <c r="C24" s="36"/>
      <c r="D24" s="36"/>
      <c r="E24" s="36"/>
      <c r="F24" s="36"/>
      <c r="G24" s="36"/>
      <c r="I24" s="34" t="s">
        <v>98</v>
      </c>
      <c r="J24" s="34" t="s">
        <v>99</v>
      </c>
      <c r="L24" s="34" t="s">
        <v>116</v>
      </c>
      <c r="M24" s="34" t="s">
        <v>119</v>
      </c>
      <c r="O24" s="34" t="s">
        <v>118</v>
      </c>
      <c r="Q24" s="34"/>
      <c r="S24" s="34"/>
      <c r="U24" s="34"/>
      <c r="W24" s="34"/>
      <c r="X24" s="34"/>
    </row>
    <row r="25" spans="1:24" x14ac:dyDescent="0.55000000000000004">
      <c r="A25" s="36"/>
      <c r="B25" s="36"/>
      <c r="C25" s="36"/>
      <c r="D25" s="36"/>
      <c r="E25" s="36"/>
      <c r="F25" s="36"/>
      <c r="G25" s="36"/>
      <c r="I25" s="36"/>
      <c r="J25" s="36"/>
      <c r="L25" s="36"/>
      <c r="M25" s="36"/>
      <c r="O25" s="36"/>
      <c r="Q25" s="36"/>
      <c r="S25" s="36"/>
      <c r="U25" s="36"/>
      <c r="W25" s="36"/>
      <c r="X25" s="36"/>
    </row>
    <row r="26" spans="1:24" x14ac:dyDescent="0.55000000000000004">
      <c r="A26" s="34" t="s">
        <v>30</v>
      </c>
      <c r="B26" s="36"/>
      <c r="C26" s="36"/>
      <c r="D26" s="36"/>
      <c r="E26" s="36"/>
      <c r="F26" s="36"/>
      <c r="G26" s="36"/>
      <c r="I26" s="34"/>
      <c r="J26" s="34"/>
      <c r="L26" s="34"/>
      <c r="M26" s="34"/>
      <c r="O26" s="34"/>
      <c r="Q26" s="34" t="s">
        <v>98</v>
      </c>
      <c r="S26" s="34" t="s">
        <v>99</v>
      </c>
      <c r="U26" s="34" t="s">
        <v>120</v>
      </c>
      <c r="W26" s="34" t="s">
        <v>121</v>
      </c>
      <c r="X26" s="34" t="s">
        <v>108</v>
      </c>
    </row>
    <row r="27" spans="1:24" x14ac:dyDescent="0.55000000000000004">
      <c r="A27" s="36"/>
      <c r="B27" s="36"/>
      <c r="C27" s="36"/>
      <c r="D27" s="36"/>
      <c r="E27" s="36"/>
      <c r="F27" s="36"/>
      <c r="G27" s="36"/>
      <c r="I27" s="36"/>
      <c r="J27" s="36"/>
      <c r="L27" s="36"/>
      <c r="M27" s="36"/>
      <c r="O27" s="36"/>
      <c r="Q27" s="36"/>
      <c r="S27" s="36"/>
      <c r="U27" s="36"/>
      <c r="W27" s="36"/>
      <c r="X27" s="36"/>
    </row>
    <row r="28" spans="1:24" x14ac:dyDescent="0.55000000000000004">
      <c r="A28" s="34" t="s">
        <v>32</v>
      </c>
      <c r="B28" s="36"/>
      <c r="C28" s="36"/>
      <c r="D28" s="36"/>
      <c r="E28" s="36"/>
      <c r="F28" s="36"/>
      <c r="G28" s="36"/>
      <c r="I28" s="34"/>
      <c r="J28" s="34"/>
      <c r="L28" s="34"/>
      <c r="M28" s="34"/>
      <c r="O28" s="34"/>
      <c r="Q28" s="34" t="s">
        <v>98</v>
      </c>
      <c r="S28" s="34" t="s">
        <v>99</v>
      </c>
      <c r="U28" s="34" t="s">
        <v>122</v>
      </c>
      <c r="W28" s="34" t="s">
        <v>123</v>
      </c>
      <c r="X28" s="34" t="s">
        <v>124</v>
      </c>
    </row>
    <row r="29" spans="1:24" x14ac:dyDescent="0.55000000000000004">
      <c r="A29" s="36"/>
      <c r="B29" s="36"/>
      <c r="C29" s="36"/>
      <c r="D29" s="36"/>
      <c r="E29" s="36"/>
      <c r="F29" s="36"/>
      <c r="G29" s="36"/>
      <c r="I29" s="36"/>
      <c r="J29" s="36"/>
      <c r="L29" s="36"/>
      <c r="M29" s="36"/>
      <c r="O29" s="36"/>
      <c r="Q29" s="36"/>
      <c r="S29" s="36"/>
      <c r="U29" s="36"/>
      <c r="W29" s="36"/>
      <c r="X29" s="36"/>
    </row>
    <row r="30" spans="1:24" x14ac:dyDescent="0.55000000000000004">
      <c r="A30" s="34" t="s">
        <v>33</v>
      </c>
      <c r="B30" s="36"/>
      <c r="C30" s="36"/>
      <c r="D30" s="36"/>
      <c r="E30" s="36"/>
      <c r="F30" s="36"/>
      <c r="G30" s="36"/>
      <c r="I30" s="34"/>
      <c r="J30" s="34"/>
      <c r="L30" s="34"/>
      <c r="M30" s="34"/>
      <c r="O30" s="34"/>
      <c r="Q30" s="34" t="s">
        <v>98</v>
      </c>
      <c r="S30" s="34" t="s">
        <v>99</v>
      </c>
      <c r="U30" s="34" t="s">
        <v>125</v>
      </c>
      <c r="W30" s="34" t="s">
        <v>126</v>
      </c>
      <c r="X30" s="34" t="s">
        <v>124</v>
      </c>
    </row>
    <row r="31" spans="1:24" x14ac:dyDescent="0.55000000000000004">
      <c r="A31" s="36"/>
      <c r="B31" s="36"/>
      <c r="C31" s="36"/>
      <c r="D31" s="36"/>
      <c r="E31" s="36"/>
      <c r="F31" s="36"/>
      <c r="G31" s="36"/>
      <c r="I31" s="36"/>
      <c r="J31" s="36"/>
      <c r="L31" s="36"/>
      <c r="M31" s="36"/>
      <c r="O31" s="36"/>
      <c r="Q31" s="36"/>
      <c r="S31" s="36"/>
      <c r="U31" s="36"/>
      <c r="W31" s="36"/>
      <c r="X31" s="36"/>
    </row>
    <row r="32" spans="1:24" x14ac:dyDescent="0.55000000000000004">
      <c r="A32" s="34" t="s">
        <v>34</v>
      </c>
      <c r="B32" s="36"/>
      <c r="C32" s="36"/>
      <c r="D32" s="36"/>
      <c r="E32" s="36"/>
      <c r="F32" s="36"/>
      <c r="G32" s="36"/>
      <c r="I32" s="34" t="s">
        <v>127</v>
      </c>
      <c r="J32" s="34" t="s">
        <v>99</v>
      </c>
      <c r="L32" s="34" t="s">
        <v>128</v>
      </c>
      <c r="M32" s="34" t="s">
        <v>129</v>
      </c>
      <c r="O32" s="34" t="s">
        <v>102</v>
      </c>
      <c r="Q32" s="34"/>
      <c r="S32" s="34"/>
      <c r="U32" s="34"/>
      <c r="W32" s="34"/>
      <c r="X32" s="34"/>
    </row>
    <row r="33" spans="1:24" x14ac:dyDescent="0.55000000000000004">
      <c r="A33" s="36"/>
      <c r="B33" s="36"/>
      <c r="C33" s="36"/>
      <c r="D33" s="36"/>
      <c r="E33" s="36"/>
      <c r="F33" s="36"/>
      <c r="G33" s="36"/>
      <c r="I33" s="36"/>
      <c r="J33" s="36"/>
      <c r="L33" s="36"/>
      <c r="M33" s="36"/>
      <c r="O33" s="36"/>
      <c r="Q33" s="36"/>
      <c r="S33" s="36"/>
      <c r="U33" s="36"/>
      <c r="W33" s="36"/>
      <c r="X33" s="36"/>
    </row>
    <row r="34" spans="1:24" x14ac:dyDescent="0.55000000000000004">
      <c r="A34" s="34" t="s">
        <v>35</v>
      </c>
      <c r="B34" s="36"/>
      <c r="C34" s="36"/>
      <c r="D34" s="36"/>
      <c r="E34" s="36"/>
      <c r="F34" s="36"/>
      <c r="G34" s="36"/>
      <c r="I34" s="34"/>
      <c r="J34" s="34"/>
      <c r="L34" s="34"/>
      <c r="M34" s="34"/>
      <c r="O34" s="34"/>
      <c r="Q34" s="34" t="s">
        <v>127</v>
      </c>
      <c r="S34" s="34" t="s">
        <v>99</v>
      </c>
      <c r="U34" s="34" t="s">
        <v>130</v>
      </c>
      <c r="W34" s="34" t="s">
        <v>129</v>
      </c>
      <c r="X34" s="34" t="s">
        <v>131</v>
      </c>
    </row>
    <row r="35" spans="1:24" x14ac:dyDescent="0.55000000000000004">
      <c r="A35" s="36"/>
      <c r="B35" s="36"/>
      <c r="C35" s="36"/>
      <c r="D35" s="36"/>
      <c r="E35" s="36"/>
      <c r="F35" s="36"/>
      <c r="G35" s="36"/>
      <c r="I35" s="36"/>
      <c r="J35" s="36"/>
      <c r="L35" s="36"/>
      <c r="M35" s="36"/>
      <c r="O35" s="36"/>
      <c r="Q35" s="36"/>
      <c r="S35" s="36"/>
      <c r="U35" s="36"/>
      <c r="W35" s="36"/>
      <c r="X35" s="36"/>
    </row>
  </sheetData>
  <mergeCells count="161">
    <mergeCell ref="X34:X35"/>
    <mergeCell ref="O34:O35"/>
    <mergeCell ref="Q34:Q35"/>
    <mergeCell ref="S34:S35"/>
    <mergeCell ref="U34:U35"/>
    <mergeCell ref="W34:W35"/>
    <mergeCell ref="A34:G35"/>
    <mergeCell ref="I34:I35"/>
    <mergeCell ref="J34:J35"/>
    <mergeCell ref="L34:L35"/>
    <mergeCell ref="M34:M35"/>
    <mergeCell ref="X30:X31"/>
    <mergeCell ref="A32:G33"/>
    <mergeCell ref="I32:I33"/>
    <mergeCell ref="J32:J33"/>
    <mergeCell ref="L32:L33"/>
    <mergeCell ref="M32:M33"/>
    <mergeCell ref="O32:O33"/>
    <mergeCell ref="Q32:Q33"/>
    <mergeCell ref="S32:S33"/>
    <mergeCell ref="U32:U33"/>
    <mergeCell ref="W32:W33"/>
    <mergeCell ref="X32:X33"/>
    <mergeCell ref="O30:O31"/>
    <mergeCell ref="Q30:Q31"/>
    <mergeCell ref="S30:S31"/>
    <mergeCell ref="U30:U31"/>
    <mergeCell ref="W30:W31"/>
    <mergeCell ref="A30:G31"/>
    <mergeCell ref="I30:I31"/>
    <mergeCell ref="J30:J31"/>
    <mergeCell ref="L30:L31"/>
    <mergeCell ref="M30:M31"/>
    <mergeCell ref="X26:X27"/>
    <mergeCell ref="A28:G29"/>
    <mergeCell ref="I28:I29"/>
    <mergeCell ref="J28:J29"/>
    <mergeCell ref="L28:L29"/>
    <mergeCell ref="M28:M29"/>
    <mergeCell ref="O28:O29"/>
    <mergeCell ref="Q28:Q29"/>
    <mergeCell ref="S28:S29"/>
    <mergeCell ref="U28:U29"/>
    <mergeCell ref="W28:W29"/>
    <mergeCell ref="X28:X29"/>
    <mergeCell ref="O26:O27"/>
    <mergeCell ref="Q26:Q27"/>
    <mergeCell ref="S26:S27"/>
    <mergeCell ref="U26:U27"/>
    <mergeCell ref="W26:W27"/>
    <mergeCell ref="A26:G27"/>
    <mergeCell ref="I26:I27"/>
    <mergeCell ref="J26:J27"/>
    <mergeCell ref="L26:L27"/>
    <mergeCell ref="M26:M27"/>
    <mergeCell ref="X22:X23"/>
    <mergeCell ref="A24:G25"/>
    <mergeCell ref="I24:I25"/>
    <mergeCell ref="J24:J25"/>
    <mergeCell ref="L24:L25"/>
    <mergeCell ref="M24:M25"/>
    <mergeCell ref="O24:O25"/>
    <mergeCell ref="Q24:Q25"/>
    <mergeCell ref="S24:S25"/>
    <mergeCell ref="U24:U25"/>
    <mergeCell ref="W24:W25"/>
    <mergeCell ref="X24:X25"/>
    <mergeCell ref="O22:O23"/>
    <mergeCell ref="Q22:Q23"/>
    <mergeCell ref="S22:S23"/>
    <mergeCell ref="U22:U23"/>
    <mergeCell ref="W22:W23"/>
    <mergeCell ref="A22:G23"/>
    <mergeCell ref="I22:I23"/>
    <mergeCell ref="J22:J23"/>
    <mergeCell ref="L22:L23"/>
    <mergeCell ref="M22:M23"/>
    <mergeCell ref="X18:X19"/>
    <mergeCell ref="A20:G21"/>
    <mergeCell ref="I20:I21"/>
    <mergeCell ref="J20:J21"/>
    <mergeCell ref="L20:L21"/>
    <mergeCell ref="M20:M21"/>
    <mergeCell ref="O20:O21"/>
    <mergeCell ref="Q20:Q21"/>
    <mergeCell ref="S20:S21"/>
    <mergeCell ref="U20:U21"/>
    <mergeCell ref="W20:W21"/>
    <mergeCell ref="X20:X21"/>
    <mergeCell ref="O18:O19"/>
    <mergeCell ref="Q18:Q19"/>
    <mergeCell ref="S18:S19"/>
    <mergeCell ref="U18:U19"/>
    <mergeCell ref="W18:W19"/>
    <mergeCell ref="A18:G19"/>
    <mergeCell ref="I18:I19"/>
    <mergeCell ref="J18:J19"/>
    <mergeCell ref="L18:L19"/>
    <mergeCell ref="M18:M19"/>
    <mergeCell ref="X14:X15"/>
    <mergeCell ref="A16:G17"/>
    <mergeCell ref="I16:I17"/>
    <mergeCell ref="J16:J17"/>
    <mergeCell ref="L16:L17"/>
    <mergeCell ref="M16:M17"/>
    <mergeCell ref="O16:O17"/>
    <mergeCell ref="Q16:Q17"/>
    <mergeCell ref="S16:S17"/>
    <mergeCell ref="U16:U17"/>
    <mergeCell ref="W16:W17"/>
    <mergeCell ref="X16:X17"/>
    <mergeCell ref="O14:O15"/>
    <mergeCell ref="Q14:Q15"/>
    <mergeCell ref="S14:S15"/>
    <mergeCell ref="U14:U15"/>
    <mergeCell ref="W14:W15"/>
    <mergeCell ref="A14:G15"/>
    <mergeCell ref="I14:I15"/>
    <mergeCell ref="J14:J15"/>
    <mergeCell ref="L14:L15"/>
    <mergeCell ref="M14:M15"/>
    <mergeCell ref="X10:X11"/>
    <mergeCell ref="A12:G13"/>
    <mergeCell ref="I12:I13"/>
    <mergeCell ref="J12:J13"/>
    <mergeCell ref="L12:L13"/>
    <mergeCell ref="M12:M13"/>
    <mergeCell ref="O12:O13"/>
    <mergeCell ref="Q12:Q13"/>
    <mergeCell ref="S12:S13"/>
    <mergeCell ref="U12:U13"/>
    <mergeCell ref="W12:W13"/>
    <mergeCell ref="X12:X13"/>
    <mergeCell ref="O10:O11"/>
    <mergeCell ref="Q10:Q11"/>
    <mergeCell ref="S10:S11"/>
    <mergeCell ref="U10:U11"/>
    <mergeCell ref="W10:W11"/>
    <mergeCell ref="A10:G11"/>
    <mergeCell ref="I10:I11"/>
    <mergeCell ref="J10:J11"/>
    <mergeCell ref="L10:L11"/>
    <mergeCell ref="M10:M11"/>
    <mergeCell ref="A5:W5"/>
    <mergeCell ref="A1:W1"/>
    <mergeCell ref="A2:W2"/>
    <mergeCell ref="A3:W3"/>
    <mergeCell ref="A7:G7"/>
    <mergeCell ref="I7:O7"/>
    <mergeCell ref="Q7:X7"/>
    <mergeCell ref="A8:G9"/>
    <mergeCell ref="I8:I9"/>
    <mergeCell ref="J8:J9"/>
    <mergeCell ref="L8:L9"/>
    <mergeCell ref="M8:M9"/>
    <mergeCell ref="O8:O9"/>
    <mergeCell ref="Q8:Q9"/>
    <mergeCell ref="S8:S9"/>
    <mergeCell ref="U8:U9"/>
    <mergeCell ref="W8:W9"/>
    <mergeCell ref="X8:X9"/>
  </mergeCells>
  <pageMargins left="0.7" right="0.7" top="0.75" bottom="0.75" header="0.3" footer="0.3"/>
  <pageSetup paperSize="9" scale="55" fitToHeight="0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S17"/>
  <sheetViews>
    <sheetView rightToLeft="1" view="pageBreakPreview" zoomScale="60" zoomScaleNormal="100" workbookViewId="0">
      <selection activeCell="A2" sqref="A2:S2"/>
    </sheetView>
  </sheetViews>
  <sheetFormatPr defaultColWidth="8.85546875" defaultRowHeight="19.5" x14ac:dyDescent="0.55000000000000004"/>
  <cols>
    <col min="1" max="1" width="32" style="2" customWidth="1"/>
    <col min="2" max="2" width="1.42578125" style="2" customWidth="1"/>
    <col min="3" max="3" width="18.42578125" style="2" customWidth="1"/>
    <col min="4" max="4" width="1.42578125" style="2" customWidth="1"/>
    <col min="5" max="5" width="9.85546875" style="2" customWidth="1"/>
    <col min="6" max="6" width="1.42578125" style="2" customWidth="1"/>
    <col min="7" max="7" width="11.42578125" style="2" customWidth="1"/>
    <col min="8" max="8" width="1.42578125" style="2" customWidth="1"/>
    <col min="9" max="9" width="11.42578125" style="2" customWidth="1"/>
    <col min="10" max="10" width="1.42578125" style="2" customWidth="1"/>
    <col min="11" max="11" width="18.42578125" style="2" customWidth="1"/>
    <col min="12" max="12" width="1.42578125" style="2" customWidth="1"/>
    <col min="13" max="13" width="18.42578125" style="2" customWidth="1"/>
    <col min="14" max="14" width="1.42578125" style="2" customWidth="1"/>
    <col min="15" max="15" width="18.42578125" style="2" customWidth="1"/>
    <col min="16" max="16" width="1.42578125" style="2" customWidth="1"/>
    <col min="17" max="17" width="18.42578125" style="2" customWidth="1"/>
    <col min="18" max="18" width="1.42578125" style="2" customWidth="1"/>
    <col min="19" max="19" width="15.5703125" style="2" customWidth="1"/>
    <col min="20" max="16384" width="8.85546875" style="2"/>
  </cols>
  <sheetData>
    <row r="1" spans="1:19" ht="19.899999999999999" customHeight="1" x14ac:dyDescent="0.55000000000000004">
      <c r="A1" s="40" t="s">
        <v>0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</row>
    <row r="2" spans="1:19" ht="19.899999999999999" customHeight="1" x14ac:dyDescent="0.55000000000000004">
      <c r="A2" s="40" t="s">
        <v>1</v>
      </c>
      <c r="B2" s="36"/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  <c r="N2" s="36"/>
      <c r="O2" s="36"/>
      <c r="P2" s="36"/>
      <c r="Q2" s="36"/>
      <c r="R2" s="36"/>
      <c r="S2" s="36"/>
    </row>
    <row r="3" spans="1:19" ht="19.899999999999999" customHeight="1" x14ac:dyDescent="0.55000000000000004">
      <c r="A3" s="40" t="s">
        <v>2</v>
      </c>
      <c r="B3" s="36"/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  <c r="S3" s="36"/>
    </row>
    <row r="5" spans="1:19" ht="21" x14ac:dyDescent="0.55000000000000004">
      <c r="A5" s="41" t="s">
        <v>231</v>
      </c>
      <c r="B5" s="36"/>
      <c r="C5" s="36"/>
      <c r="D5" s="36"/>
      <c r="E5" s="36"/>
      <c r="F5" s="36"/>
      <c r="G5" s="36"/>
      <c r="H5" s="36"/>
      <c r="I5" s="36"/>
      <c r="J5" s="36"/>
      <c r="K5" s="36"/>
      <c r="L5" s="36"/>
      <c r="M5" s="36"/>
      <c r="N5" s="36"/>
      <c r="O5" s="36"/>
      <c r="P5" s="36"/>
      <c r="Q5" s="36"/>
      <c r="R5" s="36"/>
      <c r="S5" s="36"/>
    </row>
    <row r="7" spans="1:19" ht="21" x14ac:dyDescent="0.55000000000000004">
      <c r="C7" s="32" t="s">
        <v>133</v>
      </c>
      <c r="D7" s="33"/>
      <c r="E7" s="33"/>
      <c r="F7" s="33"/>
      <c r="G7" s="33"/>
      <c r="H7" s="33"/>
      <c r="I7" s="33"/>
      <c r="K7" s="3" t="s">
        <v>5</v>
      </c>
      <c r="M7" s="32" t="s">
        <v>6</v>
      </c>
      <c r="N7" s="33"/>
      <c r="O7" s="33"/>
      <c r="Q7" s="32" t="s">
        <v>7</v>
      </c>
      <c r="R7" s="33"/>
      <c r="S7" s="33"/>
    </row>
    <row r="8" spans="1:19" ht="42" x14ac:dyDescent="0.55000000000000004">
      <c r="A8" s="3" t="s">
        <v>134</v>
      </c>
      <c r="C8" s="3" t="s">
        <v>135</v>
      </c>
      <c r="E8" s="3" t="s">
        <v>136</v>
      </c>
      <c r="G8" s="13" t="s">
        <v>137</v>
      </c>
      <c r="I8" s="13" t="s">
        <v>138</v>
      </c>
      <c r="K8" s="3" t="s">
        <v>139</v>
      </c>
      <c r="M8" s="3" t="s">
        <v>140</v>
      </c>
      <c r="O8" s="3" t="s">
        <v>141</v>
      </c>
      <c r="Q8" s="3" t="s">
        <v>139</v>
      </c>
      <c r="S8" s="27" t="s">
        <v>15</v>
      </c>
    </row>
    <row r="9" spans="1:19" ht="21" x14ac:dyDescent="0.55000000000000004">
      <c r="A9" s="7" t="s">
        <v>142</v>
      </c>
      <c r="C9" s="4" t="s">
        <v>143</v>
      </c>
      <c r="E9" s="5" t="s">
        <v>144</v>
      </c>
      <c r="G9" s="4" t="s">
        <v>145</v>
      </c>
      <c r="I9" s="4">
        <v>10</v>
      </c>
      <c r="K9" s="8">
        <v>6119732316</v>
      </c>
      <c r="M9" s="8">
        <v>48963534180</v>
      </c>
      <c r="O9" s="8">
        <v>54112711128</v>
      </c>
      <c r="Q9" s="8">
        <v>970555368</v>
      </c>
      <c r="S9" s="9">
        <v>8.0871816256111219E-4</v>
      </c>
    </row>
    <row r="10" spans="1:19" ht="21" x14ac:dyDescent="0.55000000000000004">
      <c r="A10" s="7" t="s">
        <v>147</v>
      </c>
      <c r="C10" s="4" t="s">
        <v>148</v>
      </c>
      <c r="E10" s="5" t="s">
        <v>149</v>
      </c>
      <c r="G10" s="4" t="s">
        <v>150</v>
      </c>
      <c r="I10" s="4" t="s">
        <v>146</v>
      </c>
      <c r="K10" s="8">
        <v>156818</v>
      </c>
      <c r="M10" s="8">
        <v>0</v>
      </c>
      <c r="N10" s="8"/>
      <c r="O10" s="8">
        <v>0</v>
      </c>
      <c r="P10" s="4"/>
      <c r="Q10" s="8">
        <v>156818</v>
      </c>
      <c r="S10" s="9">
        <v>1.3066906742048796E-7</v>
      </c>
    </row>
    <row r="11" spans="1:19" ht="21" x14ac:dyDescent="0.55000000000000004">
      <c r="A11" s="7" t="s">
        <v>147</v>
      </c>
      <c r="C11" s="4" t="s">
        <v>151</v>
      </c>
      <c r="E11" s="5" t="s">
        <v>144</v>
      </c>
      <c r="G11" s="4" t="s">
        <v>152</v>
      </c>
      <c r="I11" s="4" t="s">
        <v>153</v>
      </c>
      <c r="K11" s="8">
        <v>48942807631</v>
      </c>
      <c r="M11" s="8">
        <v>46685516217</v>
      </c>
      <c r="O11" s="8">
        <v>46001104000</v>
      </c>
      <c r="Q11" s="8">
        <v>49627219848</v>
      </c>
      <c r="S11" s="9">
        <v>4.1352029334704499E-2</v>
      </c>
    </row>
    <row r="12" spans="1:19" ht="21.75" thickBot="1" x14ac:dyDescent="0.6">
      <c r="A12" s="10" t="s">
        <v>90</v>
      </c>
      <c r="K12" s="10">
        <f>SUM(K9:$K$11)</f>
        <v>55062696765</v>
      </c>
      <c r="M12" s="10">
        <f>SUM(M9:$M$11)</f>
        <v>95649050397</v>
      </c>
      <c r="O12" s="10">
        <f>SUM(O9:$O$11)</f>
        <v>100113815128</v>
      </c>
      <c r="Q12" s="10">
        <f>SUM(Q9:$Q$11)</f>
        <v>50597932034</v>
      </c>
      <c r="S12" s="11">
        <f>SUM(S9:$S$11)</f>
        <v>4.216087816633303E-2</v>
      </c>
    </row>
    <row r="13" spans="1:19" ht="21.75" thickTop="1" x14ac:dyDescent="0.55000000000000004">
      <c r="K13" s="12"/>
      <c r="M13" s="12"/>
      <c r="O13" s="12"/>
      <c r="Q13" s="12"/>
      <c r="S13" s="12"/>
    </row>
    <row r="15" spans="1:19" x14ac:dyDescent="0.55000000000000004">
      <c r="Q15" s="26"/>
    </row>
    <row r="16" spans="1:19" x14ac:dyDescent="0.55000000000000004">
      <c r="Q16" s="26"/>
    </row>
    <row r="17" spans="17:17" x14ac:dyDescent="0.55000000000000004">
      <c r="Q17" s="14"/>
    </row>
  </sheetData>
  <mergeCells count="7">
    <mergeCell ref="A1:S1"/>
    <mergeCell ref="A2:S2"/>
    <mergeCell ref="A3:S3"/>
    <mergeCell ref="A5:S5"/>
    <mergeCell ref="C7:I7"/>
    <mergeCell ref="M7:O7"/>
    <mergeCell ref="Q7:S7"/>
  </mergeCells>
  <pageMargins left="0.7" right="0.7" top="0.75" bottom="0.75" header="0.3" footer="0.3"/>
  <pageSetup paperSize="9" scale="70" fitToHeight="0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I12"/>
  <sheetViews>
    <sheetView rightToLeft="1" view="pageBreakPreview" zoomScale="60" zoomScaleNormal="100" workbookViewId="0">
      <selection activeCell="K1" sqref="K1:M1048576"/>
    </sheetView>
  </sheetViews>
  <sheetFormatPr defaultRowHeight="19.5" x14ac:dyDescent="0.55000000000000004"/>
  <cols>
    <col min="1" max="1" width="54.5703125" style="17" bestFit="1" customWidth="1"/>
    <col min="2" max="2" width="1.42578125" style="17" customWidth="1"/>
    <col min="3" max="3" width="11.42578125" style="17" customWidth="1"/>
    <col min="4" max="4" width="1.42578125" style="17" customWidth="1"/>
    <col min="5" max="5" width="21.28515625" style="17" customWidth="1"/>
    <col min="6" max="6" width="1.42578125" style="17" customWidth="1"/>
    <col min="7" max="7" width="11.42578125" style="17" customWidth="1"/>
    <col min="8" max="8" width="1.42578125" style="17" customWidth="1"/>
    <col min="9" max="9" width="11.42578125" style="17" customWidth="1"/>
    <col min="10" max="16384" width="9.140625" style="17"/>
  </cols>
  <sheetData>
    <row r="1" spans="1:9" ht="19.899999999999999" customHeight="1" x14ac:dyDescent="0.55000000000000004">
      <c r="A1" s="40" t="s">
        <v>0</v>
      </c>
      <c r="B1" s="36"/>
      <c r="C1" s="36"/>
      <c r="D1" s="36"/>
      <c r="E1" s="36"/>
      <c r="F1" s="36"/>
      <c r="G1" s="36"/>
      <c r="H1" s="36"/>
      <c r="I1" s="36"/>
    </row>
    <row r="2" spans="1:9" ht="19.899999999999999" customHeight="1" x14ac:dyDescent="0.55000000000000004">
      <c r="A2" s="40" t="s">
        <v>154</v>
      </c>
      <c r="B2" s="36"/>
      <c r="C2" s="36"/>
      <c r="D2" s="36"/>
      <c r="E2" s="36"/>
      <c r="F2" s="36"/>
      <c r="G2" s="36"/>
      <c r="H2" s="36"/>
      <c r="I2" s="36"/>
    </row>
    <row r="3" spans="1:9" ht="19.899999999999999" customHeight="1" x14ac:dyDescent="0.55000000000000004">
      <c r="A3" s="40" t="s">
        <v>2</v>
      </c>
      <c r="B3" s="36"/>
      <c r="C3" s="36"/>
      <c r="D3" s="36"/>
      <c r="E3" s="36"/>
      <c r="F3" s="36"/>
      <c r="G3" s="36"/>
      <c r="H3" s="36"/>
      <c r="I3" s="36"/>
    </row>
    <row r="5" spans="1:9" ht="21" x14ac:dyDescent="0.55000000000000004">
      <c r="A5" s="41" t="s">
        <v>155</v>
      </c>
      <c r="B5" s="36"/>
      <c r="C5" s="36"/>
      <c r="D5" s="36"/>
      <c r="E5" s="36"/>
      <c r="F5" s="36"/>
      <c r="G5" s="36"/>
      <c r="H5" s="36"/>
      <c r="I5" s="36"/>
    </row>
    <row r="7" spans="1:9" ht="63" x14ac:dyDescent="0.55000000000000004">
      <c r="A7" s="15" t="s">
        <v>156</v>
      </c>
      <c r="C7" s="15" t="s">
        <v>157</v>
      </c>
      <c r="E7" s="15" t="s">
        <v>139</v>
      </c>
      <c r="G7" s="13" t="s">
        <v>158</v>
      </c>
      <c r="I7" s="13" t="s">
        <v>159</v>
      </c>
    </row>
    <row r="8" spans="1:9" ht="21" x14ac:dyDescent="0.55000000000000004">
      <c r="A8" s="19" t="s">
        <v>160</v>
      </c>
      <c r="C8" s="16" t="s">
        <v>161</v>
      </c>
      <c r="E8" s="8">
        <f>'5'!$S$99</f>
        <v>59714689992</v>
      </c>
      <c r="G8" s="9">
        <f>E8/$E$11</f>
        <v>0.98168164853427009</v>
      </c>
      <c r="I8" s="9">
        <v>4.975744399595828E-2</v>
      </c>
    </row>
    <row r="9" spans="1:9" ht="21" x14ac:dyDescent="0.55000000000000004">
      <c r="A9" s="19" t="s">
        <v>162</v>
      </c>
      <c r="C9" s="16" t="s">
        <v>163</v>
      </c>
      <c r="E9" s="8">
        <f>'6'!$I$11</f>
        <v>1089123319</v>
      </c>
      <c r="G9" s="9">
        <f t="shared" ref="G9:G10" si="0">E9/$E$11</f>
        <v>1.7904679324237859E-2</v>
      </c>
      <c r="I9" s="9">
        <v>9.0751526227624772E-4</v>
      </c>
    </row>
    <row r="10" spans="1:9" ht="21" x14ac:dyDescent="0.55000000000000004">
      <c r="A10" s="19" t="s">
        <v>164</v>
      </c>
      <c r="C10" s="16" t="s">
        <v>165</v>
      </c>
      <c r="E10" s="8">
        <f>'7'!$E$10</f>
        <v>25163253</v>
      </c>
      <c r="G10" s="9">
        <f t="shared" si="0"/>
        <v>4.1367214149205653E-4</v>
      </c>
      <c r="I10" s="9">
        <v>2.0967355805939342E-5</v>
      </c>
    </row>
    <row r="11" spans="1:9" ht="21.75" thickBot="1" x14ac:dyDescent="0.6">
      <c r="A11" s="15" t="s">
        <v>90</v>
      </c>
      <c r="E11" s="10">
        <f>SUM(E8:$E$10)</f>
        <v>60828976564</v>
      </c>
      <c r="G11" s="44">
        <f>SUM(G8:$G$10)</f>
        <v>1</v>
      </c>
      <c r="I11" s="11">
        <f>SUM(I8:$I$10)</f>
        <v>5.0685926614040464E-2</v>
      </c>
    </row>
    <row r="12" spans="1:9" ht="21.75" thickTop="1" x14ac:dyDescent="0.55000000000000004">
      <c r="E12" s="12"/>
      <c r="G12" s="12"/>
      <c r="I12" s="12"/>
    </row>
  </sheetData>
  <mergeCells count="4">
    <mergeCell ref="A1:I1"/>
    <mergeCell ref="A2:I2"/>
    <mergeCell ref="A3:I3"/>
    <mergeCell ref="A5:I5"/>
  </mergeCells>
  <pageMargins left="0.7" right="0.7" top="0.75" bottom="0.75" header="0.3" footer="0.3"/>
  <pageSetup paperSize="9" scale="75" fitToHeight="0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U100"/>
  <sheetViews>
    <sheetView rightToLeft="1" view="pageBreakPreview" topLeftCell="A64" zoomScale="70" zoomScaleNormal="85" zoomScaleSheetLayoutView="70" workbookViewId="0">
      <selection activeCell="E88" sqref="E88:E98"/>
    </sheetView>
  </sheetViews>
  <sheetFormatPr defaultRowHeight="19.5" x14ac:dyDescent="0.55000000000000004"/>
  <cols>
    <col min="1" max="1" width="44.7109375" style="2" customWidth="1"/>
    <col min="2" max="2" width="1.42578125" style="2" customWidth="1"/>
    <col min="3" max="3" width="17" style="2" customWidth="1"/>
    <col min="4" max="4" width="1.42578125" style="2" customWidth="1"/>
    <col min="5" max="5" width="17" style="2" customWidth="1"/>
    <col min="6" max="6" width="1.42578125" style="2" customWidth="1"/>
    <col min="7" max="7" width="17" style="2" customWidth="1"/>
    <col min="8" max="8" width="1.42578125" style="2" customWidth="1"/>
    <col min="9" max="9" width="17" style="2" customWidth="1"/>
    <col min="10" max="10" width="1.42578125" style="2" customWidth="1"/>
    <col min="11" max="11" width="12.7109375" style="2" customWidth="1"/>
    <col min="12" max="12" width="1.42578125" style="2" customWidth="1"/>
    <col min="13" max="13" width="17" style="2" customWidth="1"/>
    <col min="14" max="14" width="1.42578125" style="2" customWidth="1"/>
    <col min="15" max="15" width="17" style="2" customWidth="1"/>
    <col min="16" max="16" width="1.42578125" style="2" customWidth="1"/>
    <col min="17" max="17" width="17" style="2" customWidth="1"/>
    <col min="18" max="18" width="1.42578125" style="2" customWidth="1"/>
    <col min="19" max="19" width="17" style="2" customWidth="1"/>
    <col min="20" max="20" width="1.42578125" style="2" customWidth="1"/>
    <col min="21" max="21" width="12.85546875" style="2" customWidth="1"/>
    <col min="22" max="16384" width="9.140625" style="2"/>
  </cols>
  <sheetData>
    <row r="1" spans="1:21" ht="19.899999999999999" customHeight="1" x14ac:dyDescent="0.55000000000000004">
      <c r="A1" s="40" t="s">
        <v>0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</row>
    <row r="2" spans="1:21" ht="19.899999999999999" customHeight="1" x14ac:dyDescent="0.55000000000000004">
      <c r="A2" s="40" t="s">
        <v>154</v>
      </c>
      <c r="B2" s="36"/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  <c r="N2" s="36"/>
      <c r="O2" s="36"/>
      <c r="P2" s="36"/>
      <c r="Q2" s="36"/>
      <c r="R2" s="36"/>
      <c r="S2" s="36"/>
      <c r="T2" s="36"/>
      <c r="U2" s="36"/>
    </row>
    <row r="3" spans="1:21" ht="19.899999999999999" customHeight="1" x14ac:dyDescent="0.55000000000000004">
      <c r="A3" s="40" t="s">
        <v>2</v>
      </c>
      <c r="B3" s="36"/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  <c r="S3" s="36"/>
      <c r="T3" s="36"/>
      <c r="U3" s="36"/>
    </row>
    <row r="5" spans="1:21" ht="21" x14ac:dyDescent="0.55000000000000004">
      <c r="A5" s="41" t="s">
        <v>245</v>
      </c>
      <c r="B5" s="36"/>
      <c r="C5" s="36"/>
      <c r="D5" s="36"/>
      <c r="E5" s="36"/>
      <c r="F5" s="36"/>
      <c r="G5" s="36"/>
      <c r="H5" s="36"/>
      <c r="I5" s="36"/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</row>
    <row r="7" spans="1:21" ht="21" x14ac:dyDescent="0.55000000000000004">
      <c r="C7" s="32" t="s">
        <v>168</v>
      </c>
      <c r="D7" s="33"/>
      <c r="E7" s="33"/>
      <c r="F7" s="33"/>
      <c r="G7" s="33"/>
      <c r="H7" s="33"/>
      <c r="I7" s="33"/>
      <c r="J7" s="33"/>
      <c r="K7" s="33"/>
      <c r="M7" s="32" t="s">
        <v>7</v>
      </c>
      <c r="N7" s="33"/>
      <c r="O7" s="33"/>
      <c r="P7" s="33"/>
      <c r="Q7" s="33"/>
      <c r="R7" s="33"/>
      <c r="S7" s="33"/>
      <c r="T7" s="33"/>
      <c r="U7" s="33"/>
    </row>
    <row r="8" spans="1:21" ht="42" x14ac:dyDescent="0.55000000000000004">
      <c r="A8" s="3" t="s">
        <v>191</v>
      </c>
      <c r="C8" s="13" t="s">
        <v>166</v>
      </c>
      <c r="E8" s="13" t="s">
        <v>192</v>
      </c>
      <c r="G8" s="13" t="s">
        <v>193</v>
      </c>
      <c r="I8" s="13" t="s">
        <v>194</v>
      </c>
      <c r="K8" s="13" t="s">
        <v>195</v>
      </c>
      <c r="M8" s="13" t="s">
        <v>166</v>
      </c>
      <c r="O8" s="13" t="s">
        <v>192</v>
      </c>
      <c r="Q8" s="13" t="s">
        <v>193</v>
      </c>
      <c r="S8" s="13" t="s">
        <v>194</v>
      </c>
      <c r="U8" s="13" t="s">
        <v>195</v>
      </c>
    </row>
    <row r="9" spans="1:21" ht="21" x14ac:dyDescent="0.55000000000000004">
      <c r="A9" s="5" t="s">
        <v>17</v>
      </c>
      <c r="C9" s="8">
        <v>0</v>
      </c>
      <c r="E9" s="8">
        <v>348651357</v>
      </c>
      <c r="G9" s="8">
        <v>0</v>
      </c>
      <c r="I9" s="8">
        <f>C9+E9+G9</f>
        <v>348651357</v>
      </c>
      <c r="K9" s="9">
        <v>5.7316656747162823E-3</v>
      </c>
      <c r="M9" s="8">
        <v>0</v>
      </c>
      <c r="O9" s="8">
        <v>348651357</v>
      </c>
      <c r="Q9" s="8">
        <v>0</v>
      </c>
      <c r="S9" s="8">
        <f>M9+O9+Q9</f>
        <v>348651357</v>
      </c>
      <c r="U9" s="9">
        <v>5.7316656747162823E-3</v>
      </c>
    </row>
    <row r="10" spans="1:21" ht="21" x14ac:dyDescent="0.55000000000000004">
      <c r="A10" s="5" t="s">
        <v>37</v>
      </c>
      <c r="C10" s="8">
        <v>0</v>
      </c>
      <c r="E10" s="8">
        <v>614477813</v>
      </c>
      <c r="G10" s="8">
        <v>0</v>
      </c>
      <c r="I10" s="8">
        <f t="shared" ref="I10:I93" si="0">C10+E10+G10</f>
        <v>614477813</v>
      </c>
      <c r="K10" s="9">
        <v>1.0101728612078314E-2</v>
      </c>
      <c r="M10" s="8">
        <v>0</v>
      </c>
      <c r="O10" s="8">
        <v>614477813</v>
      </c>
      <c r="Q10" s="8">
        <v>0</v>
      </c>
      <c r="S10" s="8">
        <f t="shared" ref="S10:S93" si="1">M10+O10+Q10</f>
        <v>614477813</v>
      </c>
      <c r="U10" s="9">
        <v>1.0101728612078314E-2</v>
      </c>
    </row>
    <row r="11" spans="1:21" ht="21" x14ac:dyDescent="0.55000000000000004">
      <c r="A11" s="5" t="s">
        <v>38</v>
      </c>
      <c r="C11" s="8">
        <v>0</v>
      </c>
      <c r="E11" s="8">
        <v>-1093455000</v>
      </c>
      <c r="G11" s="8">
        <v>0</v>
      </c>
      <c r="I11" s="8">
        <f t="shared" si="0"/>
        <v>-1093455000</v>
      </c>
      <c r="K11" s="9">
        <v>-1.7975890139291479E-2</v>
      </c>
      <c r="M11" s="8">
        <v>0</v>
      </c>
      <c r="O11" s="8">
        <v>-1093455000</v>
      </c>
      <c r="Q11" s="8">
        <v>0</v>
      </c>
      <c r="S11" s="8">
        <f t="shared" si="1"/>
        <v>-1093455000</v>
      </c>
      <c r="U11" s="9">
        <v>-1.7975890139291479E-2</v>
      </c>
    </row>
    <row r="12" spans="1:21" ht="21" x14ac:dyDescent="0.55000000000000004">
      <c r="A12" s="5" t="s">
        <v>196</v>
      </c>
      <c r="C12" s="8">
        <v>0</v>
      </c>
      <c r="E12" s="8">
        <v>-856747952</v>
      </c>
      <c r="G12" s="8">
        <v>0</v>
      </c>
      <c r="I12" s="8">
        <f t="shared" si="0"/>
        <v>-856747952</v>
      </c>
      <c r="K12" s="9">
        <v>-1.4084536686205622E-2</v>
      </c>
      <c r="M12" s="8">
        <v>0</v>
      </c>
      <c r="O12" s="8">
        <v>-856747952</v>
      </c>
      <c r="Q12" s="8">
        <v>0</v>
      </c>
      <c r="S12" s="8">
        <f t="shared" si="1"/>
        <v>-856747952</v>
      </c>
      <c r="U12" s="9">
        <v>-1.4084536686205622E-2</v>
      </c>
    </row>
    <row r="13" spans="1:21" ht="21" x14ac:dyDescent="0.55000000000000004">
      <c r="A13" s="5" t="s">
        <v>40</v>
      </c>
      <c r="C13" s="8">
        <v>0</v>
      </c>
      <c r="E13" s="8">
        <v>-1392266430</v>
      </c>
      <c r="G13" s="8">
        <v>0</v>
      </c>
      <c r="I13" s="8">
        <f t="shared" si="0"/>
        <v>-1392266430</v>
      </c>
      <c r="K13" s="9">
        <v>-2.2888210662810587E-2</v>
      </c>
      <c r="M13" s="8">
        <v>0</v>
      </c>
      <c r="O13" s="8">
        <v>-1392266430</v>
      </c>
      <c r="Q13" s="8">
        <v>0</v>
      </c>
      <c r="S13" s="8">
        <f t="shared" si="1"/>
        <v>-1392266430</v>
      </c>
      <c r="U13" s="9">
        <v>-2.2888210662810587E-2</v>
      </c>
    </row>
    <row r="14" spans="1:21" ht="21" x14ac:dyDescent="0.55000000000000004">
      <c r="A14" s="5" t="s">
        <v>41</v>
      </c>
      <c r="C14" s="8">
        <v>952000000</v>
      </c>
      <c r="E14" s="8">
        <v>-1622289600</v>
      </c>
      <c r="G14" s="8">
        <v>0</v>
      </c>
      <c r="I14" s="8">
        <f t="shared" si="0"/>
        <v>-670289600</v>
      </c>
      <c r="K14" s="9">
        <v>-1.1019248355999678E-2</v>
      </c>
      <c r="M14" s="8">
        <v>952000000</v>
      </c>
      <c r="O14" s="8">
        <v>-1622289600</v>
      </c>
      <c r="Q14" s="8">
        <v>0</v>
      </c>
      <c r="S14" s="8">
        <f t="shared" si="1"/>
        <v>-670289600</v>
      </c>
      <c r="U14" s="9">
        <v>-1.1019248355999678E-2</v>
      </c>
    </row>
    <row r="15" spans="1:21" ht="21" x14ac:dyDescent="0.55000000000000004">
      <c r="A15" s="5" t="s">
        <v>197</v>
      </c>
      <c r="C15" s="8">
        <v>0</v>
      </c>
      <c r="E15" s="8">
        <v>-121686110</v>
      </c>
      <c r="G15" s="8">
        <v>0</v>
      </c>
      <c r="I15" s="8">
        <f t="shared" si="0"/>
        <v>-121686110</v>
      </c>
      <c r="K15" s="9">
        <v>-2.0004628858414273E-3</v>
      </c>
      <c r="M15" s="8">
        <v>0</v>
      </c>
      <c r="O15" s="8">
        <v>-121686110</v>
      </c>
      <c r="Q15" s="8">
        <v>0</v>
      </c>
      <c r="S15" s="8">
        <f t="shared" si="1"/>
        <v>-121686110</v>
      </c>
      <c r="U15" s="9">
        <v>-2.0004628858414273E-3</v>
      </c>
    </row>
    <row r="16" spans="1:21" ht="21" x14ac:dyDescent="0.55000000000000004">
      <c r="A16" s="5" t="s">
        <v>42</v>
      </c>
      <c r="C16" s="8">
        <v>0</v>
      </c>
      <c r="E16" s="8">
        <v>29333203</v>
      </c>
      <c r="G16" s="8">
        <v>0</v>
      </c>
      <c r="I16" s="8">
        <f t="shared" si="0"/>
        <v>29333203</v>
      </c>
      <c r="K16" s="9">
        <v>4.8222417434785631E-4</v>
      </c>
      <c r="M16" s="8">
        <v>0</v>
      </c>
      <c r="O16" s="8">
        <v>29333203</v>
      </c>
      <c r="Q16" s="8">
        <v>0</v>
      </c>
      <c r="S16" s="8">
        <f t="shared" si="1"/>
        <v>29333203</v>
      </c>
      <c r="U16" s="9">
        <v>4.8222417434785631E-4</v>
      </c>
    </row>
    <row r="17" spans="1:21" ht="21" x14ac:dyDescent="0.55000000000000004">
      <c r="A17" s="5" t="s">
        <v>198</v>
      </c>
      <c r="C17" s="8">
        <v>0</v>
      </c>
      <c r="E17" s="8">
        <v>-1057669200</v>
      </c>
      <c r="G17" s="8">
        <v>0</v>
      </c>
      <c r="I17" s="8">
        <f t="shared" si="0"/>
        <v>-1057669200</v>
      </c>
      <c r="K17" s="9">
        <v>-1.7387588280187393E-2</v>
      </c>
      <c r="M17" s="8">
        <v>0</v>
      </c>
      <c r="O17" s="8">
        <v>-1057669200</v>
      </c>
      <c r="Q17" s="8">
        <v>0</v>
      </c>
      <c r="S17" s="8">
        <f t="shared" si="1"/>
        <v>-1057669200</v>
      </c>
      <c r="U17" s="9">
        <v>-1.7387588280187393E-2</v>
      </c>
    </row>
    <row r="18" spans="1:21" ht="21" x14ac:dyDescent="0.55000000000000004">
      <c r="A18" s="5" t="s">
        <v>43</v>
      </c>
      <c r="C18" s="8">
        <v>0</v>
      </c>
      <c r="E18" s="8">
        <v>929463886</v>
      </c>
      <c r="G18" s="8">
        <v>0</v>
      </c>
      <c r="I18" s="8">
        <f t="shared" si="0"/>
        <v>929463886</v>
      </c>
      <c r="K18" s="9">
        <v>1.5279952721579707E-2</v>
      </c>
      <c r="M18" s="8">
        <v>0</v>
      </c>
      <c r="O18" s="8">
        <v>929463886</v>
      </c>
      <c r="Q18" s="8">
        <v>0</v>
      </c>
      <c r="S18" s="8">
        <f t="shared" si="1"/>
        <v>929463886</v>
      </c>
      <c r="U18" s="9">
        <v>1.5279952721579707E-2</v>
      </c>
    </row>
    <row r="19" spans="1:21" ht="21" x14ac:dyDescent="0.55000000000000004">
      <c r="A19" s="5" t="s">
        <v>45</v>
      </c>
      <c r="C19" s="8">
        <v>0</v>
      </c>
      <c r="E19" s="8">
        <v>453286800</v>
      </c>
      <c r="G19" s="8">
        <v>1007320800</v>
      </c>
      <c r="I19" s="8">
        <f t="shared" si="0"/>
        <v>1460607600</v>
      </c>
      <c r="K19" s="9">
        <v>2.4011707618707849E-2</v>
      </c>
      <c r="M19" s="8">
        <v>0</v>
      </c>
      <c r="O19" s="8">
        <v>453286800</v>
      </c>
      <c r="Q19" s="8">
        <v>1007320800</v>
      </c>
      <c r="S19" s="8">
        <f t="shared" si="1"/>
        <v>1460607600</v>
      </c>
      <c r="U19" s="9">
        <v>2.4011707618707849E-2</v>
      </c>
    </row>
    <row r="20" spans="1:21" ht="21" x14ac:dyDescent="0.55000000000000004">
      <c r="A20" s="5" t="s">
        <v>47</v>
      </c>
      <c r="C20" s="8">
        <v>0</v>
      </c>
      <c r="E20" s="8">
        <v>3125999070</v>
      </c>
      <c r="G20" s="8">
        <v>2880894770</v>
      </c>
      <c r="I20" s="8">
        <f t="shared" si="0"/>
        <v>6006893840</v>
      </c>
      <c r="K20" s="9">
        <v>9.8750532711658665E-2</v>
      </c>
      <c r="M20" s="8">
        <v>0</v>
      </c>
      <c r="O20" s="8">
        <v>3125999070</v>
      </c>
      <c r="Q20" s="8">
        <v>2880894770</v>
      </c>
      <c r="S20" s="8">
        <f t="shared" si="1"/>
        <v>6006893840</v>
      </c>
      <c r="U20" s="9">
        <v>9.8750532711658665E-2</v>
      </c>
    </row>
    <row r="21" spans="1:21" ht="21" x14ac:dyDescent="0.55000000000000004">
      <c r="A21" s="5" t="s">
        <v>199</v>
      </c>
      <c r="C21" s="8">
        <v>0</v>
      </c>
      <c r="E21" s="8">
        <v>-608855625</v>
      </c>
      <c r="G21" s="8">
        <v>0</v>
      </c>
      <c r="I21" s="8">
        <f t="shared" si="0"/>
        <v>-608855625</v>
      </c>
      <c r="K21" s="9">
        <v>-1.0009302463923665E-2</v>
      </c>
      <c r="M21" s="8">
        <v>0</v>
      </c>
      <c r="O21" s="8">
        <v>-608855625</v>
      </c>
      <c r="Q21" s="8">
        <v>0</v>
      </c>
      <c r="S21" s="8">
        <f t="shared" si="1"/>
        <v>-608855625</v>
      </c>
      <c r="U21" s="9">
        <v>-1.0009302463923665E-2</v>
      </c>
    </row>
    <row r="22" spans="1:21" ht="21" x14ac:dyDescent="0.55000000000000004">
      <c r="A22" s="5" t="s">
        <v>200</v>
      </c>
      <c r="C22" s="8">
        <v>0</v>
      </c>
      <c r="E22" s="8">
        <v>-399580932</v>
      </c>
      <c r="G22" s="8">
        <v>0</v>
      </c>
      <c r="I22" s="8">
        <f t="shared" si="0"/>
        <v>-399580932</v>
      </c>
      <c r="K22" s="9">
        <v>-6.5689241307485893E-3</v>
      </c>
      <c r="M22" s="8">
        <v>0</v>
      </c>
      <c r="O22" s="8">
        <v>-399580932</v>
      </c>
      <c r="Q22" s="8">
        <v>0</v>
      </c>
      <c r="S22" s="8">
        <f t="shared" si="1"/>
        <v>-399580932</v>
      </c>
      <c r="U22" s="9">
        <v>-6.5689241307485893E-3</v>
      </c>
    </row>
    <row r="23" spans="1:21" ht="21" x14ac:dyDescent="0.55000000000000004">
      <c r="A23" s="5" t="s">
        <v>49</v>
      </c>
      <c r="C23" s="8">
        <v>0</v>
      </c>
      <c r="E23" s="8">
        <v>23951718</v>
      </c>
      <c r="G23" s="8">
        <v>0</v>
      </c>
      <c r="I23" s="8">
        <f t="shared" si="0"/>
        <v>23951718</v>
      </c>
      <c r="K23" s="9">
        <v>3.9375507123319222E-4</v>
      </c>
      <c r="M23" s="8">
        <v>0</v>
      </c>
      <c r="O23" s="8">
        <v>23951718</v>
      </c>
      <c r="Q23" s="8">
        <v>0</v>
      </c>
      <c r="S23" s="8">
        <f t="shared" si="1"/>
        <v>23951718</v>
      </c>
      <c r="U23" s="9">
        <v>3.9375507123319222E-4</v>
      </c>
    </row>
    <row r="24" spans="1:21" ht="21" x14ac:dyDescent="0.55000000000000004">
      <c r="A24" s="5" t="s">
        <v>50</v>
      </c>
      <c r="C24" s="8">
        <v>0</v>
      </c>
      <c r="E24" s="8">
        <v>-2073985920</v>
      </c>
      <c r="G24" s="8">
        <v>0</v>
      </c>
      <c r="I24" s="8">
        <f t="shared" si="0"/>
        <v>-2073985920</v>
      </c>
      <c r="K24" s="9">
        <v>-3.4095361078743398E-2</v>
      </c>
      <c r="M24" s="8">
        <v>0</v>
      </c>
      <c r="O24" s="8">
        <v>-2073985920</v>
      </c>
      <c r="Q24" s="8">
        <v>0</v>
      </c>
      <c r="S24" s="8">
        <f t="shared" si="1"/>
        <v>-2073985920</v>
      </c>
      <c r="U24" s="9">
        <v>-3.4095361078743398E-2</v>
      </c>
    </row>
    <row r="25" spans="1:21" ht="21" x14ac:dyDescent="0.55000000000000004">
      <c r="A25" s="5" t="s">
        <v>201</v>
      </c>
      <c r="C25" s="8">
        <v>0</v>
      </c>
      <c r="E25" s="8">
        <v>-2110169340</v>
      </c>
      <c r="G25" s="8">
        <v>0</v>
      </c>
      <c r="I25" s="8">
        <f t="shared" si="0"/>
        <v>-2110169340</v>
      </c>
      <c r="K25" s="9">
        <v>-3.4690199625170864E-2</v>
      </c>
      <c r="M25" s="8">
        <v>0</v>
      </c>
      <c r="O25" s="8">
        <v>-2110169340</v>
      </c>
      <c r="Q25" s="8">
        <v>0</v>
      </c>
      <c r="S25" s="8">
        <f t="shared" si="1"/>
        <v>-2110169340</v>
      </c>
      <c r="U25" s="9">
        <v>-3.4690199625170864E-2</v>
      </c>
    </row>
    <row r="26" spans="1:21" ht="21" x14ac:dyDescent="0.55000000000000004">
      <c r="A26" s="5" t="s">
        <v>51</v>
      </c>
      <c r="C26" s="8">
        <v>0</v>
      </c>
      <c r="E26" s="8">
        <v>0</v>
      </c>
      <c r="G26" s="8">
        <v>-436957507</v>
      </c>
      <c r="I26" s="8">
        <f t="shared" si="0"/>
        <v>-436957507</v>
      </c>
      <c r="K26" s="9">
        <v>-7.1833775888085812E-3</v>
      </c>
      <c r="M26" s="8">
        <v>0</v>
      </c>
      <c r="O26" s="8">
        <v>0</v>
      </c>
      <c r="Q26" s="8">
        <v>-436957507</v>
      </c>
      <c r="S26" s="8">
        <f t="shared" si="1"/>
        <v>-436957507</v>
      </c>
      <c r="U26" s="9">
        <v>-7.1833775888085812E-3</v>
      </c>
    </row>
    <row r="27" spans="1:21" ht="21" x14ac:dyDescent="0.55000000000000004">
      <c r="A27" s="5" t="s">
        <v>202</v>
      </c>
      <c r="C27" s="8">
        <v>0</v>
      </c>
      <c r="E27" s="8">
        <v>563924565</v>
      </c>
      <c r="G27" s="8">
        <v>902449800</v>
      </c>
      <c r="I27" s="8">
        <f t="shared" si="0"/>
        <v>1466374365</v>
      </c>
      <c r="K27" s="9">
        <v>2.4106510545302096E-2</v>
      </c>
      <c r="M27" s="8">
        <v>0</v>
      </c>
      <c r="O27" s="8">
        <v>563924565</v>
      </c>
      <c r="Q27" s="8">
        <v>902449800</v>
      </c>
      <c r="S27" s="8">
        <f t="shared" si="1"/>
        <v>1466374365</v>
      </c>
      <c r="U27" s="9">
        <v>2.4106510545302096E-2</v>
      </c>
    </row>
    <row r="28" spans="1:21" ht="21" x14ac:dyDescent="0.55000000000000004">
      <c r="A28" s="5" t="s">
        <v>52</v>
      </c>
      <c r="C28" s="8">
        <v>0</v>
      </c>
      <c r="E28" s="8">
        <v>467841799</v>
      </c>
      <c r="G28" s="8">
        <v>0</v>
      </c>
      <c r="I28" s="8">
        <f t="shared" si="0"/>
        <v>467841799</v>
      </c>
      <c r="K28" s="9">
        <v>7.6911009427845546E-3</v>
      </c>
      <c r="M28" s="8">
        <v>0</v>
      </c>
      <c r="O28" s="8">
        <v>467841799</v>
      </c>
      <c r="Q28" s="8">
        <v>0</v>
      </c>
      <c r="S28" s="8">
        <f t="shared" si="1"/>
        <v>467841799</v>
      </c>
      <c r="U28" s="9">
        <v>7.6911009427845546E-3</v>
      </c>
    </row>
    <row r="29" spans="1:21" ht="21" x14ac:dyDescent="0.55000000000000004">
      <c r="A29" s="5" t="s">
        <v>203</v>
      </c>
      <c r="C29" s="8">
        <v>0</v>
      </c>
      <c r="E29" s="8">
        <v>412742185</v>
      </c>
      <c r="G29" s="8">
        <v>0</v>
      </c>
      <c r="I29" s="8">
        <f t="shared" si="0"/>
        <v>412742185</v>
      </c>
      <c r="K29" s="9">
        <v>6.7852889907779644E-3</v>
      </c>
      <c r="M29" s="8">
        <v>0</v>
      </c>
      <c r="O29" s="8">
        <v>412742185</v>
      </c>
      <c r="Q29" s="8">
        <v>0</v>
      </c>
      <c r="S29" s="8">
        <f t="shared" si="1"/>
        <v>412742185</v>
      </c>
      <c r="U29" s="9">
        <v>6.7852889907779644E-3</v>
      </c>
    </row>
    <row r="30" spans="1:21" ht="21" x14ac:dyDescent="0.55000000000000004">
      <c r="A30" s="5" t="s">
        <v>204</v>
      </c>
      <c r="C30" s="8">
        <v>0</v>
      </c>
      <c r="E30" s="8">
        <v>297751136</v>
      </c>
      <c r="G30" s="8">
        <v>0</v>
      </c>
      <c r="I30" s="8">
        <f t="shared" si="0"/>
        <v>297751136</v>
      </c>
      <c r="K30" s="9">
        <v>4.8948897847513025E-3</v>
      </c>
      <c r="M30" s="8">
        <v>0</v>
      </c>
      <c r="O30" s="8">
        <v>297751136</v>
      </c>
      <c r="Q30" s="8">
        <v>0</v>
      </c>
      <c r="S30" s="8">
        <f t="shared" si="1"/>
        <v>297751136</v>
      </c>
      <c r="U30" s="9">
        <v>4.8948897847513025E-3</v>
      </c>
    </row>
    <row r="31" spans="1:21" ht="21" x14ac:dyDescent="0.55000000000000004">
      <c r="A31" s="5" t="s">
        <v>54</v>
      </c>
      <c r="C31" s="8">
        <v>0</v>
      </c>
      <c r="E31" s="8">
        <v>2713541807</v>
      </c>
      <c r="G31" s="8">
        <v>0</v>
      </c>
      <c r="I31" s="8">
        <f t="shared" si="0"/>
        <v>2713541807</v>
      </c>
      <c r="K31" s="9">
        <v>4.4609361529286962E-2</v>
      </c>
      <c r="M31" s="8">
        <v>0</v>
      </c>
      <c r="O31" s="8">
        <v>2713541807</v>
      </c>
      <c r="Q31" s="8">
        <v>0</v>
      </c>
      <c r="S31" s="8">
        <f t="shared" si="1"/>
        <v>2713541807</v>
      </c>
      <c r="U31" s="9">
        <v>4.4609361529286962E-2</v>
      </c>
    </row>
    <row r="32" spans="1:21" ht="21" x14ac:dyDescent="0.55000000000000004">
      <c r="A32" s="5" t="s">
        <v>55</v>
      </c>
      <c r="C32" s="8">
        <v>0</v>
      </c>
      <c r="E32" s="8">
        <v>-203184998</v>
      </c>
      <c r="G32" s="8">
        <v>0</v>
      </c>
      <c r="I32" s="8">
        <f t="shared" si="0"/>
        <v>-203184998</v>
      </c>
      <c r="K32" s="9">
        <v>-3.3402665880170272E-3</v>
      </c>
      <c r="M32" s="8">
        <v>0</v>
      </c>
      <c r="O32" s="8">
        <v>-203184998</v>
      </c>
      <c r="Q32" s="8">
        <v>0</v>
      </c>
      <c r="S32" s="8">
        <f t="shared" si="1"/>
        <v>-203184998</v>
      </c>
      <c r="U32" s="9">
        <v>-3.3402665880170272E-3</v>
      </c>
    </row>
    <row r="33" spans="1:21" ht="21" x14ac:dyDescent="0.55000000000000004">
      <c r="A33" s="5" t="s">
        <v>56</v>
      </c>
      <c r="C33" s="8">
        <v>0</v>
      </c>
      <c r="E33" s="8">
        <v>0</v>
      </c>
      <c r="G33" s="8">
        <v>2546816440</v>
      </c>
      <c r="I33" s="8">
        <f t="shared" si="0"/>
        <v>2546816440</v>
      </c>
      <c r="K33" s="9">
        <v>4.1868474267694078E-2</v>
      </c>
      <c r="M33" s="8">
        <v>0</v>
      </c>
      <c r="O33" s="8">
        <v>0</v>
      </c>
      <c r="Q33" s="8">
        <v>2546816440</v>
      </c>
      <c r="S33" s="8">
        <f t="shared" si="1"/>
        <v>2546816440</v>
      </c>
      <c r="U33" s="9">
        <v>4.1868474267694078E-2</v>
      </c>
    </row>
    <row r="34" spans="1:21" ht="21" x14ac:dyDescent="0.55000000000000004">
      <c r="A34" s="5" t="s">
        <v>205</v>
      </c>
      <c r="C34" s="8">
        <v>0</v>
      </c>
      <c r="E34" s="8">
        <v>958264200</v>
      </c>
      <c r="G34" s="8">
        <v>0</v>
      </c>
      <c r="I34" s="8">
        <f t="shared" si="0"/>
        <v>958264200</v>
      </c>
      <c r="K34" s="9">
        <v>1.5753416449342712E-2</v>
      </c>
      <c r="M34" s="8">
        <v>0</v>
      </c>
      <c r="O34" s="8">
        <v>958264200</v>
      </c>
      <c r="Q34" s="8">
        <v>0</v>
      </c>
      <c r="S34" s="8">
        <f t="shared" si="1"/>
        <v>958264200</v>
      </c>
      <c r="U34" s="9">
        <v>1.5753416449342712E-2</v>
      </c>
    </row>
    <row r="35" spans="1:21" ht="21" x14ac:dyDescent="0.55000000000000004">
      <c r="A35" s="5" t="s">
        <v>206</v>
      </c>
      <c r="C35" s="8">
        <v>0</v>
      </c>
      <c r="E35" s="8">
        <v>49702500</v>
      </c>
      <c r="G35" s="8">
        <v>0</v>
      </c>
      <c r="I35" s="8">
        <f t="shared" si="0"/>
        <v>49702500</v>
      </c>
      <c r="K35" s="9">
        <v>8.1708591542233987E-4</v>
      </c>
      <c r="M35" s="8">
        <v>0</v>
      </c>
      <c r="O35" s="8">
        <v>49702500</v>
      </c>
      <c r="Q35" s="8">
        <v>0</v>
      </c>
      <c r="S35" s="8">
        <f t="shared" si="1"/>
        <v>49702500</v>
      </c>
      <c r="U35" s="9">
        <v>8.1708591542233987E-4</v>
      </c>
    </row>
    <row r="36" spans="1:21" ht="21" x14ac:dyDescent="0.55000000000000004">
      <c r="A36" s="5" t="s">
        <v>207</v>
      </c>
      <c r="C36" s="8">
        <v>4394680000</v>
      </c>
      <c r="E36" s="8">
        <v>699930486</v>
      </c>
      <c r="G36" s="8">
        <v>0</v>
      </c>
      <c r="I36" s="8">
        <f t="shared" si="0"/>
        <v>5094610486</v>
      </c>
      <c r="K36" s="9">
        <v>8.3753019922007177E-2</v>
      </c>
      <c r="M36" s="8">
        <v>4394680000</v>
      </c>
      <c r="O36" s="8">
        <v>699930486</v>
      </c>
      <c r="Q36" s="8">
        <v>0</v>
      </c>
      <c r="S36" s="8">
        <f t="shared" si="1"/>
        <v>5094610486</v>
      </c>
      <c r="U36" s="9">
        <v>8.3753019922007177E-2</v>
      </c>
    </row>
    <row r="37" spans="1:21" ht="21" x14ac:dyDescent="0.55000000000000004">
      <c r="A37" s="5" t="s">
        <v>57</v>
      </c>
      <c r="C37" s="8">
        <v>0</v>
      </c>
      <c r="E37" s="8">
        <v>-379329480</v>
      </c>
      <c r="G37" s="8">
        <v>0</v>
      </c>
      <c r="I37" s="8">
        <f t="shared" si="0"/>
        <v>-379329480</v>
      </c>
      <c r="K37" s="9">
        <v>-6.2359997065032985E-3</v>
      </c>
      <c r="M37" s="8">
        <v>0</v>
      </c>
      <c r="O37" s="8">
        <v>-379329480</v>
      </c>
      <c r="Q37" s="8">
        <v>0</v>
      </c>
      <c r="S37" s="8">
        <f t="shared" si="1"/>
        <v>-379329480</v>
      </c>
      <c r="U37" s="9">
        <v>-6.2359997065032985E-3</v>
      </c>
    </row>
    <row r="38" spans="1:21" ht="21" x14ac:dyDescent="0.55000000000000004">
      <c r="A38" s="5" t="s">
        <v>58</v>
      </c>
      <c r="C38" s="8">
        <v>0</v>
      </c>
      <c r="E38" s="8">
        <v>790948035</v>
      </c>
      <c r="G38" s="8">
        <v>573417743</v>
      </c>
      <c r="I38" s="8">
        <f t="shared" si="0"/>
        <v>1364365778</v>
      </c>
      <c r="K38" s="9">
        <v>2.2429536958664915E-2</v>
      </c>
      <c r="M38" s="8">
        <v>0</v>
      </c>
      <c r="O38" s="8">
        <v>790948035</v>
      </c>
      <c r="Q38" s="8">
        <v>573417743</v>
      </c>
      <c r="S38" s="8">
        <f t="shared" si="1"/>
        <v>1364365778</v>
      </c>
      <c r="U38" s="9">
        <v>2.2429536958664915E-2</v>
      </c>
    </row>
    <row r="39" spans="1:21" s="17" customFormat="1" ht="21" x14ac:dyDescent="0.55000000000000004">
      <c r="A39" s="18" t="s">
        <v>232</v>
      </c>
      <c r="C39" s="24">
        <f>SUM(C9:C38)</f>
        <v>5346680000</v>
      </c>
      <c r="E39" s="24">
        <f>SUM(E9:E38)</f>
        <v>560589973</v>
      </c>
      <c r="G39" s="24">
        <f>SUM(G9:G38)</f>
        <v>7473942046</v>
      </c>
      <c r="I39" s="24">
        <f>SUM(I9:I38)</f>
        <v>13381212019</v>
      </c>
      <c r="K39" s="23">
        <f>SUM(K9:K38)</f>
        <v>0.2199808836981044</v>
      </c>
      <c r="M39" s="24">
        <f>SUM(M9:M38)</f>
        <v>5346680000</v>
      </c>
      <c r="O39" s="24">
        <f>SUM(O9:O38)</f>
        <v>560589973</v>
      </c>
      <c r="P39" s="8"/>
      <c r="Q39" s="24">
        <f>SUM(Q9:Q38)</f>
        <v>7473942046</v>
      </c>
      <c r="S39" s="24">
        <f>SUM(S9:S38)</f>
        <v>13381212019</v>
      </c>
      <c r="U39" s="23">
        <f>SUM(U9:U38)</f>
        <v>0.2199808836981044</v>
      </c>
    </row>
    <row r="40" spans="1:21" s="17" customFormat="1" ht="19.899999999999999" customHeight="1" x14ac:dyDescent="0.55000000000000004">
      <c r="A40" s="40" t="s">
        <v>0</v>
      </c>
      <c r="B40" s="36"/>
      <c r="C40" s="36"/>
      <c r="D40" s="36"/>
      <c r="E40" s="36"/>
      <c r="F40" s="36"/>
      <c r="G40" s="36"/>
      <c r="H40" s="36"/>
      <c r="I40" s="36"/>
      <c r="J40" s="36"/>
      <c r="K40" s="36"/>
      <c r="L40" s="36"/>
      <c r="M40" s="36"/>
      <c r="N40" s="36"/>
      <c r="O40" s="36"/>
      <c r="P40" s="36"/>
      <c r="Q40" s="36"/>
      <c r="R40" s="36"/>
      <c r="S40" s="36"/>
      <c r="T40" s="36"/>
      <c r="U40" s="36"/>
    </row>
    <row r="41" spans="1:21" s="17" customFormat="1" ht="19.899999999999999" customHeight="1" x14ac:dyDescent="0.55000000000000004">
      <c r="A41" s="40" t="s">
        <v>154</v>
      </c>
      <c r="B41" s="36"/>
      <c r="C41" s="36"/>
      <c r="D41" s="36"/>
      <c r="E41" s="36"/>
      <c r="F41" s="36"/>
      <c r="G41" s="36"/>
      <c r="H41" s="36"/>
      <c r="I41" s="36"/>
      <c r="J41" s="36"/>
      <c r="K41" s="36"/>
      <c r="L41" s="36"/>
      <c r="M41" s="36"/>
      <c r="N41" s="36"/>
      <c r="O41" s="36"/>
      <c r="P41" s="36"/>
      <c r="Q41" s="36"/>
      <c r="R41" s="36"/>
      <c r="S41" s="36"/>
      <c r="T41" s="36"/>
      <c r="U41" s="36"/>
    </row>
    <row r="42" spans="1:21" s="17" customFormat="1" ht="19.899999999999999" customHeight="1" x14ac:dyDescent="0.55000000000000004">
      <c r="A42" s="40" t="s">
        <v>2</v>
      </c>
      <c r="B42" s="36"/>
      <c r="C42" s="36"/>
      <c r="D42" s="36"/>
      <c r="E42" s="36"/>
      <c r="F42" s="36"/>
      <c r="G42" s="36"/>
      <c r="H42" s="36"/>
      <c r="I42" s="36"/>
      <c r="J42" s="36"/>
      <c r="K42" s="36"/>
      <c r="L42" s="36"/>
      <c r="M42" s="36"/>
      <c r="N42" s="36"/>
      <c r="O42" s="36"/>
      <c r="P42" s="36"/>
      <c r="Q42" s="36"/>
      <c r="R42" s="36"/>
      <c r="S42" s="36"/>
      <c r="T42" s="36"/>
      <c r="U42" s="36"/>
    </row>
    <row r="43" spans="1:21" s="17" customFormat="1" x14ac:dyDescent="0.55000000000000004"/>
    <row r="44" spans="1:21" s="17" customFormat="1" ht="21" x14ac:dyDescent="0.55000000000000004">
      <c r="A44" s="41" t="s">
        <v>245</v>
      </c>
      <c r="B44" s="36"/>
      <c r="C44" s="36"/>
      <c r="D44" s="36"/>
      <c r="E44" s="36"/>
      <c r="F44" s="36"/>
      <c r="G44" s="36"/>
      <c r="H44" s="36"/>
      <c r="I44" s="36"/>
      <c r="J44" s="36"/>
      <c r="K44" s="36"/>
      <c r="L44" s="36"/>
      <c r="M44" s="36"/>
      <c r="N44" s="36"/>
      <c r="O44" s="36"/>
      <c r="P44" s="36"/>
      <c r="Q44" s="36"/>
      <c r="R44" s="36"/>
      <c r="S44" s="36"/>
      <c r="T44" s="36"/>
      <c r="U44" s="36"/>
    </row>
    <row r="45" spans="1:21" s="17" customFormat="1" x14ac:dyDescent="0.55000000000000004"/>
    <row r="46" spans="1:21" s="17" customFormat="1" ht="21" x14ac:dyDescent="0.55000000000000004">
      <c r="C46" s="32" t="s">
        <v>168</v>
      </c>
      <c r="D46" s="33"/>
      <c r="E46" s="33"/>
      <c r="F46" s="33"/>
      <c r="G46" s="33"/>
      <c r="H46" s="33"/>
      <c r="I46" s="33"/>
      <c r="J46" s="33"/>
      <c r="K46" s="33"/>
      <c r="M46" s="32" t="s">
        <v>7</v>
      </c>
      <c r="N46" s="33"/>
      <c r="O46" s="33"/>
      <c r="P46" s="33"/>
      <c r="Q46" s="33"/>
      <c r="R46" s="33"/>
      <c r="S46" s="33"/>
      <c r="T46" s="33"/>
      <c r="U46" s="33"/>
    </row>
    <row r="47" spans="1:21" s="17" customFormat="1" ht="42" x14ac:dyDescent="0.55000000000000004">
      <c r="A47" s="15" t="s">
        <v>191</v>
      </c>
      <c r="C47" s="13" t="s">
        <v>166</v>
      </c>
      <c r="E47" s="13" t="s">
        <v>192</v>
      </c>
      <c r="G47" s="13" t="s">
        <v>193</v>
      </c>
      <c r="I47" s="13" t="s">
        <v>194</v>
      </c>
      <c r="K47" s="13" t="s">
        <v>195</v>
      </c>
      <c r="M47" s="13" t="s">
        <v>166</v>
      </c>
      <c r="O47" s="13" t="s">
        <v>192</v>
      </c>
      <c r="Q47" s="13" t="s">
        <v>193</v>
      </c>
      <c r="S47" s="13" t="s">
        <v>194</v>
      </c>
      <c r="U47" s="13" t="s">
        <v>195</v>
      </c>
    </row>
    <row r="48" spans="1:21" s="17" customFormat="1" ht="21" x14ac:dyDescent="0.55000000000000004">
      <c r="A48" s="18" t="s">
        <v>233</v>
      </c>
      <c r="C48" s="8">
        <f>C39</f>
        <v>5346680000</v>
      </c>
      <c r="D48" s="8"/>
      <c r="E48" s="8">
        <f>E39</f>
        <v>560589973</v>
      </c>
      <c r="F48" s="8"/>
      <c r="G48" s="8">
        <f>G39</f>
        <v>7473942046</v>
      </c>
      <c r="H48" s="8"/>
      <c r="I48" s="8">
        <f>I39</f>
        <v>13381212019</v>
      </c>
      <c r="K48" s="9">
        <f>K39</f>
        <v>0.2199808836981044</v>
      </c>
      <c r="M48" s="8">
        <f>M39</f>
        <v>5346680000</v>
      </c>
      <c r="N48" s="8"/>
      <c r="O48" s="8">
        <f>O39</f>
        <v>560589973</v>
      </c>
      <c r="P48" s="8"/>
      <c r="Q48" s="8">
        <f>Q39</f>
        <v>7473942046</v>
      </c>
      <c r="R48" s="8"/>
      <c r="S48" s="8">
        <f>S39</f>
        <v>13381212019</v>
      </c>
      <c r="U48" s="9">
        <f>U39</f>
        <v>0.2199808836981044</v>
      </c>
    </row>
    <row r="49" spans="1:21" ht="21" x14ac:dyDescent="0.55000000000000004">
      <c r="A49" s="5" t="s">
        <v>59</v>
      </c>
      <c r="C49" s="8">
        <v>0</v>
      </c>
      <c r="E49" s="8">
        <v>679697727</v>
      </c>
      <c r="G49" s="8">
        <v>2496294245</v>
      </c>
      <c r="I49" s="8">
        <f t="shared" si="0"/>
        <v>3175991972</v>
      </c>
      <c r="K49" s="9">
        <v>5.2211826524131033E-2</v>
      </c>
      <c r="M49" s="8">
        <v>0</v>
      </c>
      <c r="O49" s="8">
        <v>679697727</v>
      </c>
      <c r="Q49" s="8">
        <v>2496294245</v>
      </c>
      <c r="S49" s="8">
        <f t="shared" si="1"/>
        <v>3175991972</v>
      </c>
      <c r="U49" s="9">
        <v>5.2211826524131033E-2</v>
      </c>
    </row>
    <row r="50" spans="1:21" ht="21" x14ac:dyDescent="0.55000000000000004">
      <c r="A50" s="5" t="s">
        <v>60</v>
      </c>
      <c r="C50" s="8">
        <v>0</v>
      </c>
      <c r="E50" s="8">
        <v>14513130000</v>
      </c>
      <c r="G50" s="8">
        <v>2805783244</v>
      </c>
      <c r="I50" s="8">
        <f t="shared" si="0"/>
        <v>17318913244</v>
      </c>
      <c r="K50" s="9">
        <v>0.28471485502930088</v>
      </c>
      <c r="M50" s="8">
        <v>0</v>
      </c>
      <c r="O50" s="8">
        <v>14513130000</v>
      </c>
      <c r="Q50" s="8">
        <v>2805783244</v>
      </c>
      <c r="S50" s="8">
        <f t="shared" si="1"/>
        <v>17318913244</v>
      </c>
      <c r="U50" s="9">
        <v>0.28471485502930088</v>
      </c>
    </row>
    <row r="51" spans="1:21" ht="21" x14ac:dyDescent="0.55000000000000004">
      <c r="A51" s="5" t="s">
        <v>208</v>
      </c>
      <c r="C51" s="8">
        <v>0</v>
      </c>
      <c r="E51" s="8">
        <v>0</v>
      </c>
      <c r="G51" s="8">
        <v>60230850</v>
      </c>
      <c r="I51" s="8">
        <f t="shared" si="0"/>
        <v>60230850</v>
      </c>
      <c r="K51" s="9">
        <v>9.9016707829416317E-4</v>
      </c>
      <c r="M51" s="8">
        <v>0</v>
      </c>
      <c r="O51" s="8">
        <v>0</v>
      </c>
      <c r="Q51" s="8">
        <v>60230850</v>
      </c>
      <c r="S51" s="8">
        <f t="shared" si="1"/>
        <v>60230850</v>
      </c>
      <c r="U51" s="9">
        <v>9.9016707829416317E-4</v>
      </c>
    </row>
    <row r="52" spans="1:21" ht="21" x14ac:dyDescent="0.55000000000000004">
      <c r="A52" s="5" t="s">
        <v>209</v>
      </c>
      <c r="C52" s="8">
        <v>0</v>
      </c>
      <c r="E52" s="8">
        <v>-82704960</v>
      </c>
      <c r="G52" s="8">
        <v>0</v>
      </c>
      <c r="I52" s="8">
        <f t="shared" si="0"/>
        <v>-82704960</v>
      </c>
      <c r="K52" s="9">
        <v>-1.3596309632627735E-3</v>
      </c>
      <c r="M52" s="8">
        <v>0</v>
      </c>
      <c r="O52" s="8">
        <v>-82704960</v>
      </c>
      <c r="Q52" s="8">
        <v>0</v>
      </c>
      <c r="S52" s="8">
        <f t="shared" si="1"/>
        <v>-82704960</v>
      </c>
      <c r="U52" s="9">
        <v>-1.3596309632627735E-3</v>
      </c>
    </row>
    <row r="53" spans="1:21" ht="21" x14ac:dyDescent="0.55000000000000004">
      <c r="A53" s="5" t="s">
        <v>64</v>
      </c>
      <c r="C53" s="8">
        <v>0</v>
      </c>
      <c r="E53" s="8">
        <v>-2609980074</v>
      </c>
      <c r="G53" s="8">
        <v>0</v>
      </c>
      <c r="I53" s="8">
        <f t="shared" si="0"/>
        <v>-2609980074</v>
      </c>
      <c r="K53" s="9">
        <v>-4.2906854946901191E-2</v>
      </c>
      <c r="M53" s="8">
        <v>0</v>
      </c>
      <c r="O53" s="8">
        <v>-2609980074</v>
      </c>
      <c r="Q53" s="8">
        <v>0</v>
      </c>
      <c r="S53" s="8">
        <f t="shared" si="1"/>
        <v>-2609980074</v>
      </c>
      <c r="U53" s="9">
        <v>-4.2906854946901191E-2</v>
      </c>
    </row>
    <row r="54" spans="1:21" ht="21" x14ac:dyDescent="0.55000000000000004">
      <c r="A54" s="5" t="s">
        <v>210</v>
      </c>
      <c r="C54" s="8">
        <v>0</v>
      </c>
      <c r="E54" s="8">
        <v>-2156246347</v>
      </c>
      <c r="G54" s="8">
        <v>0</v>
      </c>
      <c r="I54" s="8">
        <f t="shared" si="0"/>
        <v>-2156246347</v>
      </c>
      <c r="K54" s="9">
        <v>-3.5447684126846159E-2</v>
      </c>
      <c r="M54" s="8">
        <v>0</v>
      </c>
      <c r="O54" s="8">
        <v>-2156246347</v>
      </c>
      <c r="Q54" s="8">
        <v>0</v>
      </c>
      <c r="S54" s="8">
        <f t="shared" si="1"/>
        <v>-2156246347</v>
      </c>
      <c r="U54" s="9">
        <v>-3.5447684126846159E-2</v>
      </c>
    </row>
    <row r="55" spans="1:21" ht="21" x14ac:dyDescent="0.25">
      <c r="A55" s="5" t="s">
        <v>67</v>
      </c>
      <c r="C55" s="8">
        <v>0</v>
      </c>
      <c r="E55" s="8">
        <v>-196821900</v>
      </c>
      <c r="G55" s="8">
        <v>0</v>
      </c>
      <c r="I55" s="8">
        <f t="shared" si="0"/>
        <v>-196821900</v>
      </c>
      <c r="K55" s="9">
        <v>-3.2356602250724659E-3</v>
      </c>
      <c r="M55" s="8">
        <v>0</v>
      </c>
      <c r="O55" s="8">
        <v>-196821900</v>
      </c>
      <c r="Q55" s="8">
        <v>0</v>
      </c>
      <c r="S55" s="8">
        <f t="shared" si="1"/>
        <v>-196821900</v>
      </c>
      <c r="U55" s="9">
        <v>-3.2356602250724659E-3</v>
      </c>
    </row>
    <row r="56" spans="1:21" ht="21" x14ac:dyDescent="0.25">
      <c r="A56" s="5" t="s">
        <v>211</v>
      </c>
      <c r="C56" s="8">
        <v>0</v>
      </c>
      <c r="E56" s="8">
        <v>907024819</v>
      </c>
      <c r="G56" s="8">
        <v>0</v>
      </c>
      <c r="I56" s="8">
        <f t="shared" si="0"/>
        <v>907024819</v>
      </c>
      <c r="K56" s="9">
        <v>1.4911064927184692E-2</v>
      </c>
      <c r="M56" s="8">
        <v>0</v>
      </c>
      <c r="O56" s="8">
        <v>907024819</v>
      </c>
      <c r="Q56" s="8">
        <v>0</v>
      </c>
      <c r="S56" s="8">
        <f t="shared" si="1"/>
        <v>907024819</v>
      </c>
      <c r="U56" s="9">
        <v>1.4911064927184692E-2</v>
      </c>
    </row>
    <row r="57" spans="1:21" ht="21" x14ac:dyDescent="0.25">
      <c r="A57" s="5" t="s">
        <v>70</v>
      </c>
      <c r="C57" s="8">
        <v>0</v>
      </c>
      <c r="E57" s="8">
        <v>1835055040</v>
      </c>
      <c r="G57" s="8">
        <v>0</v>
      </c>
      <c r="I57" s="8">
        <f t="shared" si="0"/>
        <v>1835055040</v>
      </c>
      <c r="K57" s="9">
        <v>3.0167448864921856E-2</v>
      </c>
      <c r="M57" s="8">
        <v>0</v>
      </c>
      <c r="O57" s="8">
        <v>1835055040</v>
      </c>
      <c r="Q57" s="8">
        <v>0</v>
      </c>
      <c r="S57" s="8">
        <f t="shared" si="1"/>
        <v>1835055040</v>
      </c>
      <c r="U57" s="9">
        <v>3.0167448864921856E-2</v>
      </c>
    </row>
    <row r="58" spans="1:21" ht="21" x14ac:dyDescent="0.25">
      <c r="A58" s="5" t="s">
        <v>212</v>
      </c>
      <c r="C58" s="8">
        <v>0</v>
      </c>
      <c r="E58" s="8">
        <v>-1395646200</v>
      </c>
      <c r="G58" s="8">
        <v>0</v>
      </c>
      <c r="I58" s="8">
        <f t="shared" si="0"/>
        <v>-1395646200</v>
      </c>
      <c r="K58" s="9">
        <v>-2.2943772505059305E-2</v>
      </c>
      <c r="M58" s="8">
        <v>0</v>
      </c>
      <c r="O58" s="8">
        <v>-1395646200</v>
      </c>
      <c r="Q58" s="8">
        <v>0</v>
      </c>
      <c r="S58" s="8">
        <f t="shared" si="1"/>
        <v>-1395646200</v>
      </c>
      <c r="U58" s="9">
        <v>-2.2943772505059305E-2</v>
      </c>
    </row>
    <row r="59" spans="1:21" ht="21" x14ac:dyDescent="0.25">
      <c r="A59" s="5" t="s">
        <v>213</v>
      </c>
      <c r="C59" s="8">
        <v>0</v>
      </c>
      <c r="E59" s="8">
        <v>-1793423030</v>
      </c>
      <c r="G59" s="8">
        <v>0</v>
      </c>
      <c r="I59" s="8">
        <f t="shared" si="0"/>
        <v>-1793423030</v>
      </c>
      <c r="K59" s="9">
        <v>-2.9483038040481999E-2</v>
      </c>
      <c r="M59" s="8">
        <v>0</v>
      </c>
      <c r="O59" s="8">
        <v>-1793423030</v>
      </c>
      <c r="Q59" s="8">
        <v>0</v>
      </c>
      <c r="S59" s="8">
        <f t="shared" si="1"/>
        <v>-1793423030</v>
      </c>
      <c r="U59" s="9">
        <v>-2.9483038040481999E-2</v>
      </c>
    </row>
    <row r="60" spans="1:21" ht="21" x14ac:dyDescent="0.25">
      <c r="A60" s="5" t="s">
        <v>214</v>
      </c>
      <c r="C60" s="8">
        <v>0</v>
      </c>
      <c r="E60" s="8">
        <v>4286343600</v>
      </c>
      <c r="G60" s="8">
        <v>0</v>
      </c>
      <c r="I60" s="8">
        <f t="shared" si="0"/>
        <v>4286343600</v>
      </c>
      <c r="K60" s="9">
        <v>7.0465489346022592E-2</v>
      </c>
      <c r="M60" s="8">
        <v>0</v>
      </c>
      <c r="O60" s="8">
        <v>4286343600</v>
      </c>
      <c r="Q60" s="8">
        <v>0</v>
      </c>
      <c r="S60" s="8">
        <f t="shared" si="1"/>
        <v>4286343600</v>
      </c>
      <c r="U60" s="9">
        <v>7.0465489346022592E-2</v>
      </c>
    </row>
    <row r="61" spans="1:21" ht="21" x14ac:dyDescent="0.25">
      <c r="A61" s="5" t="s">
        <v>73</v>
      </c>
      <c r="C61" s="8">
        <v>0</v>
      </c>
      <c r="E61" s="8">
        <v>1542588030</v>
      </c>
      <c r="G61" s="8">
        <v>0</v>
      </c>
      <c r="I61" s="8">
        <f t="shared" si="0"/>
        <v>1542588030</v>
      </c>
      <c r="K61" s="9">
        <v>2.5359427646739981E-2</v>
      </c>
      <c r="M61" s="8">
        <v>0</v>
      </c>
      <c r="O61" s="8">
        <v>1542588030</v>
      </c>
      <c r="Q61" s="8">
        <v>0</v>
      </c>
      <c r="S61" s="8">
        <f t="shared" si="1"/>
        <v>1542588030</v>
      </c>
      <c r="U61" s="9">
        <v>2.5359427646739981E-2</v>
      </c>
    </row>
    <row r="62" spans="1:21" ht="21" x14ac:dyDescent="0.25">
      <c r="A62" s="5" t="s">
        <v>75</v>
      </c>
      <c r="C62" s="8">
        <v>0</v>
      </c>
      <c r="E62" s="8">
        <v>288274500</v>
      </c>
      <c r="G62" s="8">
        <v>0</v>
      </c>
      <c r="I62" s="8">
        <f t="shared" si="0"/>
        <v>288274500</v>
      </c>
      <c r="K62" s="9">
        <v>4.7390983094495716E-3</v>
      </c>
      <c r="M62" s="8">
        <v>0</v>
      </c>
      <c r="O62" s="8">
        <v>288274500</v>
      </c>
      <c r="Q62" s="8">
        <v>0</v>
      </c>
      <c r="S62" s="8">
        <f t="shared" si="1"/>
        <v>288274500</v>
      </c>
      <c r="U62" s="9">
        <v>4.7390983094495716E-3</v>
      </c>
    </row>
    <row r="63" spans="1:21" ht="21" x14ac:dyDescent="0.25">
      <c r="A63" s="5" t="s">
        <v>215</v>
      </c>
      <c r="C63" s="8">
        <v>0</v>
      </c>
      <c r="E63" s="8">
        <v>-347917500</v>
      </c>
      <c r="G63" s="8">
        <v>0</v>
      </c>
      <c r="I63" s="8">
        <f t="shared" si="0"/>
        <v>-347917500</v>
      </c>
      <c r="K63" s="9">
        <v>-5.7196014079563791E-3</v>
      </c>
      <c r="M63" s="8">
        <v>0</v>
      </c>
      <c r="O63" s="8">
        <v>-347917500</v>
      </c>
      <c r="Q63" s="8">
        <v>0</v>
      </c>
      <c r="S63" s="8">
        <f t="shared" si="1"/>
        <v>-347917500</v>
      </c>
      <c r="U63" s="9">
        <v>-5.7196014079563791E-3</v>
      </c>
    </row>
    <row r="64" spans="1:21" ht="21" x14ac:dyDescent="0.25">
      <c r="A64" s="5" t="s">
        <v>216</v>
      </c>
      <c r="C64" s="8">
        <v>0</v>
      </c>
      <c r="E64" s="8">
        <v>1293025888</v>
      </c>
      <c r="G64" s="8">
        <v>0</v>
      </c>
      <c r="I64" s="8">
        <f t="shared" si="0"/>
        <v>1293025888</v>
      </c>
      <c r="K64" s="9">
        <v>2.1256742444771669E-2</v>
      </c>
      <c r="M64" s="8">
        <v>0</v>
      </c>
      <c r="O64" s="8">
        <v>1293025888</v>
      </c>
      <c r="Q64" s="8">
        <v>0</v>
      </c>
      <c r="S64" s="8">
        <f t="shared" si="1"/>
        <v>1293025888</v>
      </c>
      <c r="U64" s="9">
        <v>2.1256742444771669E-2</v>
      </c>
    </row>
    <row r="65" spans="1:21" ht="21" x14ac:dyDescent="0.25">
      <c r="A65" s="5" t="s">
        <v>217</v>
      </c>
      <c r="C65" s="8">
        <v>0</v>
      </c>
      <c r="E65" s="8">
        <v>391504132</v>
      </c>
      <c r="G65" s="8">
        <v>0</v>
      </c>
      <c r="I65" s="8">
        <f t="shared" si="0"/>
        <v>391504132</v>
      </c>
      <c r="K65" s="9">
        <v>6.4361453063095132E-3</v>
      </c>
      <c r="M65" s="8">
        <v>0</v>
      </c>
      <c r="O65" s="8">
        <v>391504132</v>
      </c>
      <c r="Q65" s="8">
        <v>0</v>
      </c>
      <c r="S65" s="8">
        <f t="shared" si="1"/>
        <v>391504132</v>
      </c>
      <c r="U65" s="9">
        <v>6.4361453063095132E-3</v>
      </c>
    </row>
    <row r="66" spans="1:21" ht="21" x14ac:dyDescent="0.25">
      <c r="A66" s="5" t="s">
        <v>81</v>
      </c>
      <c r="C66" s="8">
        <v>0</v>
      </c>
      <c r="E66" s="8">
        <v>519888150</v>
      </c>
      <c r="G66" s="8">
        <v>0</v>
      </c>
      <c r="I66" s="8">
        <f t="shared" si="0"/>
        <v>519888150</v>
      </c>
      <c r="K66" s="9">
        <v>8.5467186753176751E-3</v>
      </c>
      <c r="M66" s="8">
        <v>0</v>
      </c>
      <c r="O66" s="8">
        <v>519888150</v>
      </c>
      <c r="Q66" s="8">
        <v>0</v>
      </c>
      <c r="S66" s="8">
        <f t="shared" si="1"/>
        <v>519888150</v>
      </c>
      <c r="U66" s="9">
        <v>8.5467186753176751E-3</v>
      </c>
    </row>
    <row r="67" spans="1:21" ht="21" x14ac:dyDescent="0.25">
      <c r="A67" s="5" t="s">
        <v>86</v>
      </c>
      <c r="C67" s="8">
        <v>0</v>
      </c>
      <c r="E67" s="8">
        <v>3999560331</v>
      </c>
      <c r="G67" s="8">
        <v>747847102</v>
      </c>
      <c r="I67" s="8">
        <f t="shared" si="0"/>
        <v>4747407433</v>
      </c>
      <c r="K67" s="9">
        <v>7.8045163689464833E-2</v>
      </c>
      <c r="M67" s="8">
        <v>0</v>
      </c>
      <c r="O67" s="8">
        <v>3999560331</v>
      </c>
      <c r="Q67" s="8">
        <v>747847102</v>
      </c>
      <c r="S67" s="8">
        <f t="shared" si="1"/>
        <v>4747407433</v>
      </c>
      <c r="U67" s="9">
        <v>7.8045163689464833E-2</v>
      </c>
    </row>
    <row r="68" spans="1:21" ht="21" x14ac:dyDescent="0.25">
      <c r="A68" s="5" t="s">
        <v>87</v>
      </c>
      <c r="C68" s="8">
        <v>0</v>
      </c>
      <c r="E68" s="8">
        <v>3149150400</v>
      </c>
      <c r="G68" s="8">
        <v>0</v>
      </c>
      <c r="I68" s="8">
        <f t="shared" si="0"/>
        <v>3149150400</v>
      </c>
      <c r="K68" s="9">
        <v>5.1770563601159454E-2</v>
      </c>
      <c r="M68" s="8">
        <v>0</v>
      </c>
      <c r="O68" s="8">
        <v>3149150400</v>
      </c>
      <c r="Q68" s="8">
        <v>0</v>
      </c>
      <c r="S68" s="8">
        <f t="shared" si="1"/>
        <v>3149150400</v>
      </c>
      <c r="U68" s="9">
        <v>5.1770563601159454E-2</v>
      </c>
    </row>
    <row r="69" spans="1:21" ht="21" x14ac:dyDescent="0.25">
      <c r="A69" s="5" t="s">
        <v>234</v>
      </c>
      <c r="C69" s="8">
        <v>0</v>
      </c>
      <c r="E69" s="8">
        <v>322177018</v>
      </c>
      <c r="G69" s="8">
        <v>2539867414</v>
      </c>
      <c r="I69" s="8">
        <f t="shared" si="0"/>
        <v>2862044432</v>
      </c>
      <c r="K69" s="9">
        <v>4.7050675412708229E-2</v>
      </c>
      <c r="M69" s="8">
        <v>0</v>
      </c>
      <c r="O69" s="8">
        <v>322177018</v>
      </c>
      <c r="Q69" s="8">
        <v>2539867414</v>
      </c>
      <c r="S69" s="8">
        <f t="shared" si="1"/>
        <v>2862044432</v>
      </c>
      <c r="U69" s="9">
        <v>4.7050675412708229E-2</v>
      </c>
    </row>
    <row r="70" spans="1:21" ht="21" x14ac:dyDescent="0.25">
      <c r="A70" s="20" t="s">
        <v>235</v>
      </c>
      <c r="B70" s="49"/>
      <c r="C70" s="50">
        <v>0</v>
      </c>
      <c r="D70" s="49"/>
      <c r="E70" s="50">
        <v>136568824</v>
      </c>
      <c r="F70" s="49"/>
      <c r="G70" s="50">
        <v>288880900</v>
      </c>
      <c r="H70" s="49"/>
      <c r="I70" s="50">
        <f t="shared" si="0"/>
        <v>425449724</v>
      </c>
      <c r="J70" s="49"/>
      <c r="K70" s="51">
        <v>6.9941950042899624E-3</v>
      </c>
      <c r="L70" s="49"/>
      <c r="M70" s="50">
        <v>0</v>
      </c>
      <c r="N70" s="49"/>
      <c r="O70" s="50">
        <v>136568824</v>
      </c>
      <c r="P70" s="49"/>
      <c r="Q70" s="50">
        <v>288880900</v>
      </c>
      <c r="R70" s="49"/>
      <c r="S70" s="50">
        <f t="shared" si="1"/>
        <v>425449724</v>
      </c>
      <c r="T70" s="49"/>
      <c r="U70" s="51">
        <v>6.9941950042899624E-3</v>
      </c>
    </row>
    <row r="71" spans="1:21" ht="21" x14ac:dyDescent="0.25">
      <c r="A71" s="20" t="s">
        <v>237</v>
      </c>
      <c r="B71" s="49"/>
      <c r="C71" s="50">
        <v>0</v>
      </c>
      <c r="D71" s="49"/>
      <c r="E71" s="50">
        <v>-11996910</v>
      </c>
      <c r="F71" s="49"/>
      <c r="G71" s="50">
        <v>818500907</v>
      </c>
      <c r="H71" s="49"/>
      <c r="I71" s="50">
        <f t="shared" si="0"/>
        <v>806503997</v>
      </c>
      <c r="J71" s="49"/>
      <c r="K71" s="51">
        <v>1.3258549503154188E-2</v>
      </c>
      <c r="L71" s="49"/>
      <c r="M71" s="50">
        <v>0</v>
      </c>
      <c r="N71" s="49"/>
      <c r="O71" s="50">
        <v>-11996910</v>
      </c>
      <c r="P71" s="49"/>
      <c r="Q71" s="50">
        <v>818500907</v>
      </c>
      <c r="R71" s="49"/>
      <c r="S71" s="50">
        <f t="shared" si="1"/>
        <v>806503997</v>
      </c>
      <c r="T71" s="49"/>
      <c r="U71" s="51">
        <v>1.3258549503154188E-2</v>
      </c>
    </row>
    <row r="72" spans="1:21" ht="21" x14ac:dyDescent="0.25">
      <c r="A72" s="20" t="s">
        <v>236</v>
      </c>
      <c r="B72" s="49"/>
      <c r="C72" s="50">
        <v>0</v>
      </c>
      <c r="D72" s="49"/>
      <c r="E72" s="50">
        <v>-1999485</v>
      </c>
      <c r="F72" s="49"/>
      <c r="G72" s="50">
        <v>103932028</v>
      </c>
      <c r="H72" s="49"/>
      <c r="I72" s="50">
        <f t="shared" si="0"/>
        <v>101932543</v>
      </c>
      <c r="J72" s="49"/>
      <c r="K72" s="51">
        <v>1.6757234587491982E-3</v>
      </c>
      <c r="L72" s="49"/>
      <c r="M72" s="50">
        <v>0</v>
      </c>
      <c r="N72" s="49"/>
      <c r="O72" s="50">
        <v>-1999485</v>
      </c>
      <c r="P72" s="49"/>
      <c r="Q72" s="50">
        <v>103932028</v>
      </c>
      <c r="R72" s="49"/>
      <c r="S72" s="50">
        <f t="shared" si="1"/>
        <v>101932543</v>
      </c>
      <c r="T72" s="49"/>
      <c r="U72" s="51">
        <v>1.6757234587491982E-3</v>
      </c>
    </row>
    <row r="73" spans="1:21" ht="21" x14ac:dyDescent="0.25">
      <c r="A73" s="20" t="s">
        <v>244</v>
      </c>
      <c r="B73" s="49"/>
      <c r="C73" s="50">
        <v>0</v>
      </c>
      <c r="D73" s="49"/>
      <c r="E73" s="50">
        <v>-9760486</v>
      </c>
      <c r="F73" s="49"/>
      <c r="G73" s="50">
        <v>853398759</v>
      </c>
      <c r="H73" s="49"/>
      <c r="I73" s="50">
        <f t="shared" si="0"/>
        <v>843638273</v>
      </c>
      <c r="J73" s="49"/>
      <c r="K73" s="51">
        <v>1.3869019678678676E-2</v>
      </c>
      <c r="L73" s="49"/>
      <c r="M73" s="50">
        <v>0</v>
      </c>
      <c r="N73" s="49"/>
      <c r="O73" s="50">
        <v>-9760486</v>
      </c>
      <c r="P73" s="49"/>
      <c r="Q73" s="50">
        <v>853398759</v>
      </c>
      <c r="R73" s="49"/>
      <c r="S73" s="50">
        <f t="shared" si="1"/>
        <v>843638273</v>
      </c>
      <c r="T73" s="49"/>
      <c r="U73" s="51">
        <v>1.3869019678678676E-2</v>
      </c>
    </row>
    <row r="74" spans="1:21" ht="21" x14ac:dyDescent="0.25">
      <c r="A74" s="20" t="s">
        <v>238</v>
      </c>
      <c r="B74" s="49"/>
      <c r="C74" s="50">
        <v>0</v>
      </c>
      <c r="D74" s="49"/>
      <c r="E74" s="50">
        <v>552857603</v>
      </c>
      <c r="F74" s="49"/>
      <c r="G74" s="50">
        <v>652987649</v>
      </c>
      <c r="H74" s="49"/>
      <c r="I74" s="50">
        <f t="shared" si="0"/>
        <v>1205845252</v>
      </c>
      <c r="J74" s="49"/>
      <c r="K74" s="51">
        <v>1.9823533455824195E-2</v>
      </c>
      <c r="L74" s="49"/>
      <c r="M74" s="50">
        <v>0</v>
      </c>
      <c r="N74" s="49"/>
      <c r="O74" s="50">
        <v>552857603</v>
      </c>
      <c r="P74" s="49"/>
      <c r="Q74" s="50">
        <v>652987649</v>
      </c>
      <c r="R74" s="49"/>
      <c r="S74" s="50">
        <f t="shared" si="1"/>
        <v>1205845252</v>
      </c>
      <c r="T74" s="49"/>
      <c r="U74" s="51">
        <v>1.9823533455824195E-2</v>
      </c>
    </row>
    <row r="75" spans="1:21" ht="21" x14ac:dyDescent="0.25">
      <c r="A75" s="20" t="s">
        <v>241</v>
      </c>
      <c r="B75" s="49"/>
      <c r="C75" s="50">
        <v>0</v>
      </c>
      <c r="D75" s="49"/>
      <c r="E75" s="50">
        <v>18005293</v>
      </c>
      <c r="F75" s="49"/>
      <c r="G75" s="50">
        <v>17872710</v>
      </c>
      <c r="H75" s="49"/>
      <c r="I75" s="50">
        <f t="shared" si="0"/>
        <v>35878003</v>
      </c>
      <c r="J75" s="49"/>
      <c r="K75" s="51">
        <v>5.8981763341442494E-4</v>
      </c>
      <c r="L75" s="49"/>
      <c r="M75" s="50">
        <v>0</v>
      </c>
      <c r="N75" s="49"/>
      <c r="O75" s="50">
        <v>18005293</v>
      </c>
      <c r="P75" s="49"/>
      <c r="Q75" s="50">
        <v>17872710</v>
      </c>
      <c r="R75" s="49"/>
      <c r="S75" s="50">
        <f t="shared" si="1"/>
        <v>35878003</v>
      </c>
      <c r="T75" s="49"/>
      <c r="U75" s="51">
        <v>5.8981763341442494E-4</v>
      </c>
    </row>
    <row r="76" spans="1:21" ht="21" x14ac:dyDescent="0.25">
      <c r="A76" s="20" t="s">
        <v>242</v>
      </c>
      <c r="B76" s="49"/>
      <c r="C76" s="50">
        <v>0</v>
      </c>
      <c r="D76" s="49"/>
      <c r="E76" s="50">
        <v>-3898996</v>
      </c>
      <c r="F76" s="49"/>
      <c r="G76" s="50">
        <v>330679973</v>
      </c>
      <c r="H76" s="49"/>
      <c r="I76" s="50">
        <f t="shared" si="0"/>
        <v>326780977</v>
      </c>
      <c r="J76" s="49"/>
      <c r="K76" s="51">
        <v>5.3721268293275308E-3</v>
      </c>
      <c r="L76" s="49"/>
      <c r="M76" s="50">
        <v>0</v>
      </c>
      <c r="N76" s="49"/>
      <c r="O76" s="50">
        <v>-3898996</v>
      </c>
      <c r="P76" s="49"/>
      <c r="Q76" s="50">
        <v>330679973</v>
      </c>
      <c r="R76" s="49"/>
      <c r="S76" s="50">
        <f t="shared" si="1"/>
        <v>326780977</v>
      </c>
      <c r="T76" s="49"/>
      <c r="U76" s="51">
        <v>5.3721268293275308E-3</v>
      </c>
    </row>
    <row r="77" spans="1:21" ht="21" x14ac:dyDescent="0.55000000000000004">
      <c r="A77" s="20" t="s">
        <v>239</v>
      </c>
      <c r="B77" s="49"/>
      <c r="C77" s="50">
        <v>0</v>
      </c>
      <c r="D77" s="49"/>
      <c r="E77" s="50">
        <v>-3551085</v>
      </c>
      <c r="F77" s="49"/>
      <c r="G77" s="50">
        <v>1027103692</v>
      </c>
      <c r="H77" s="49"/>
      <c r="I77" s="50">
        <f t="shared" si="0"/>
        <v>1023552607</v>
      </c>
      <c r="J77" s="49"/>
      <c r="K77" s="51">
        <v>1.6826727405533273E-2</v>
      </c>
      <c r="L77" s="49"/>
      <c r="M77" s="50">
        <v>0</v>
      </c>
      <c r="N77" s="49"/>
      <c r="O77" s="50">
        <v>-3551085</v>
      </c>
      <c r="P77" s="49"/>
      <c r="Q77" s="50">
        <v>1027103692</v>
      </c>
      <c r="R77" s="49"/>
      <c r="S77" s="50">
        <f t="shared" si="1"/>
        <v>1023552607</v>
      </c>
      <c r="T77" s="49"/>
      <c r="U77" s="51">
        <v>1.6826727405533273E-2</v>
      </c>
    </row>
    <row r="78" spans="1:21" s="17" customFormat="1" ht="21" x14ac:dyDescent="0.55000000000000004">
      <c r="A78" s="20" t="s">
        <v>232</v>
      </c>
      <c r="B78" s="49"/>
      <c r="C78" s="52">
        <f>SUM(C48:C77)</f>
        <v>5346680000</v>
      </c>
      <c r="D78" s="49"/>
      <c r="E78" s="52">
        <f>SUM(E48:E77)</f>
        <v>26381494355</v>
      </c>
      <c r="F78" s="49"/>
      <c r="G78" s="52">
        <f>SUM(G48:G77)</f>
        <v>20217321519</v>
      </c>
      <c r="H78" s="49"/>
      <c r="I78" s="52">
        <f>SUM(I48:I77)</f>
        <v>51945495874</v>
      </c>
      <c r="J78" s="49"/>
      <c r="K78" s="53">
        <f>SUM(K48:K77)</f>
        <v>0.85395972130727182</v>
      </c>
      <c r="L78" s="49"/>
      <c r="M78" s="52">
        <f>SUM(M48:M77)</f>
        <v>5346680000</v>
      </c>
      <c r="N78" s="49"/>
      <c r="O78" s="52">
        <f>SUM(O48:O77)</f>
        <v>26381494355</v>
      </c>
      <c r="P78" s="50"/>
      <c r="Q78" s="52">
        <f>SUM(Q48:Q77)</f>
        <v>20217321519</v>
      </c>
      <c r="R78" s="49"/>
      <c r="S78" s="52">
        <f>SUM(S48:S77)</f>
        <v>51945495874</v>
      </c>
      <c r="T78" s="49"/>
      <c r="U78" s="53">
        <f>SUM(U48:U77)</f>
        <v>0.85395972130727182</v>
      </c>
    </row>
    <row r="79" spans="1:21" s="17" customFormat="1" ht="19.899999999999999" customHeight="1" x14ac:dyDescent="0.55000000000000004">
      <c r="A79" s="54" t="s">
        <v>0</v>
      </c>
      <c r="B79" s="55"/>
      <c r="C79" s="55"/>
      <c r="D79" s="55"/>
      <c r="E79" s="55"/>
      <c r="F79" s="55"/>
      <c r="G79" s="55"/>
      <c r="H79" s="55"/>
      <c r="I79" s="55"/>
      <c r="J79" s="55"/>
      <c r="K79" s="55"/>
      <c r="L79" s="55"/>
      <c r="M79" s="55"/>
      <c r="N79" s="55"/>
      <c r="O79" s="55"/>
      <c r="P79" s="55"/>
      <c r="Q79" s="55"/>
      <c r="R79" s="55"/>
      <c r="S79" s="55"/>
      <c r="T79" s="55"/>
      <c r="U79" s="55"/>
    </row>
    <row r="80" spans="1:21" s="17" customFormat="1" ht="19.899999999999999" customHeight="1" x14ac:dyDescent="0.55000000000000004">
      <c r="A80" s="54" t="s">
        <v>154</v>
      </c>
      <c r="B80" s="55"/>
      <c r="C80" s="55"/>
      <c r="D80" s="55"/>
      <c r="E80" s="55"/>
      <c r="F80" s="55"/>
      <c r="G80" s="55"/>
      <c r="H80" s="55"/>
      <c r="I80" s="55"/>
      <c r="J80" s="55"/>
      <c r="K80" s="55"/>
      <c r="L80" s="55"/>
      <c r="M80" s="55"/>
      <c r="N80" s="55"/>
      <c r="O80" s="55"/>
      <c r="P80" s="55"/>
      <c r="Q80" s="55"/>
      <c r="R80" s="55"/>
      <c r="S80" s="55"/>
      <c r="T80" s="55"/>
      <c r="U80" s="55"/>
    </row>
    <row r="81" spans="1:21" s="17" customFormat="1" ht="19.899999999999999" customHeight="1" x14ac:dyDescent="0.55000000000000004">
      <c r="A81" s="54" t="s">
        <v>2</v>
      </c>
      <c r="B81" s="55"/>
      <c r="C81" s="55"/>
      <c r="D81" s="55"/>
      <c r="E81" s="55"/>
      <c r="F81" s="55"/>
      <c r="G81" s="55"/>
      <c r="H81" s="55"/>
      <c r="I81" s="55"/>
      <c r="J81" s="55"/>
      <c r="K81" s="55"/>
      <c r="L81" s="55"/>
      <c r="M81" s="55"/>
      <c r="N81" s="55"/>
      <c r="O81" s="55"/>
      <c r="P81" s="55"/>
      <c r="Q81" s="55"/>
      <c r="R81" s="55"/>
      <c r="S81" s="55"/>
      <c r="T81" s="55"/>
      <c r="U81" s="55"/>
    </row>
    <row r="82" spans="1:21" s="17" customFormat="1" x14ac:dyDescent="0.55000000000000004">
      <c r="A82" s="49"/>
      <c r="B82" s="49"/>
      <c r="C82" s="49"/>
      <c r="D82" s="49"/>
      <c r="E82" s="49"/>
      <c r="F82" s="49"/>
      <c r="G82" s="49"/>
      <c r="H82" s="49"/>
      <c r="I82" s="49"/>
      <c r="J82" s="49"/>
      <c r="K82" s="49"/>
      <c r="L82" s="49"/>
      <c r="M82" s="49"/>
      <c r="N82" s="49"/>
      <c r="O82" s="49"/>
      <c r="P82" s="49"/>
      <c r="Q82" s="49"/>
      <c r="R82" s="49"/>
      <c r="S82" s="49"/>
      <c r="T82" s="49"/>
      <c r="U82" s="49"/>
    </row>
    <row r="83" spans="1:21" s="17" customFormat="1" ht="21" x14ac:dyDescent="0.55000000000000004">
      <c r="A83" s="56" t="s">
        <v>245</v>
      </c>
      <c r="B83" s="55"/>
      <c r="C83" s="55"/>
      <c r="D83" s="55"/>
      <c r="E83" s="55"/>
      <c r="F83" s="55"/>
      <c r="G83" s="55"/>
      <c r="H83" s="55"/>
      <c r="I83" s="55"/>
      <c r="J83" s="55"/>
      <c r="K83" s="55"/>
      <c r="L83" s="55"/>
      <c r="M83" s="55"/>
      <c r="N83" s="55"/>
      <c r="O83" s="55"/>
      <c r="P83" s="55"/>
      <c r="Q83" s="55"/>
      <c r="R83" s="55"/>
      <c r="S83" s="55"/>
      <c r="T83" s="55"/>
      <c r="U83" s="55"/>
    </row>
    <row r="84" spans="1:21" s="17" customFormat="1" x14ac:dyDescent="0.55000000000000004">
      <c r="A84" s="49"/>
      <c r="B84" s="49"/>
      <c r="C84" s="49"/>
      <c r="D84" s="49"/>
      <c r="E84" s="49"/>
      <c r="F84" s="49"/>
      <c r="G84" s="49"/>
      <c r="H84" s="49"/>
      <c r="I84" s="49"/>
      <c r="J84" s="49"/>
      <c r="K84" s="49"/>
      <c r="L84" s="49"/>
      <c r="M84" s="49"/>
      <c r="N84" s="49"/>
      <c r="O84" s="49"/>
      <c r="P84" s="49"/>
      <c r="Q84" s="49"/>
      <c r="R84" s="49"/>
      <c r="S84" s="49"/>
      <c r="T84" s="49"/>
      <c r="U84" s="49"/>
    </row>
    <row r="85" spans="1:21" s="17" customFormat="1" ht="21" x14ac:dyDescent="0.55000000000000004">
      <c r="A85" s="49"/>
      <c r="B85" s="49"/>
      <c r="C85" s="57" t="s">
        <v>168</v>
      </c>
      <c r="D85" s="58"/>
      <c r="E85" s="58"/>
      <c r="F85" s="58"/>
      <c r="G85" s="58"/>
      <c r="H85" s="58"/>
      <c r="I85" s="58"/>
      <c r="J85" s="58"/>
      <c r="K85" s="58"/>
      <c r="L85" s="49"/>
      <c r="M85" s="57" t="s">
        <v>7</v>
      </c>
      <c r="N85" s="58"/>
      <c r="O85" s="58"/>
      <c r="P85" s="58"/>
      <c r="Q85" s="58"/>
      <c r="R85" s="58"/>
      <c r="S85" s="58"/>
      <c r="T85" s="58"/>
      <c r="U85" s="58"/>
    </row>
    <row r="86" spans="1:21" s="17" customFormat="1" ht="42" x14ac:dyDescent="0.55000000000000004">
      <c r="A86" s="59" t="s">
        <v>191</v>
      </c>
      <c r="B86" s="49"/>
      <c r="C86" s="27" t="s">
        <v>166</v>
      </c>
      <c r="D86" s="49"/>
      <c r="E86" s="27" t="s">
        <v>192</v>
      </c>
      <c r="F86" s="49"/>
      <c r="G86" s="27" t="s">
        <v>193</v>
      </c>
      <c r="H86" s="49"/>
      <c r="I86" s="27" t="s">
        <v>194</v>
      </c>
      <c r="J86" s="49"/>
      <c r="K86" s="27" t="s">
        <v>195</v>
      </c>
      <c r="L86" s="49"/>
      <c r="M86" s="27" t="s">
        <v>166</v>
      </c>
      <c r="N86" s="49"/>
      <c r="O86" s="27" t="s">
        <v>192</v>
      </c>
      <c r="P86" s="49"/>
      <c r="Q86" s="27" t="s">
        <v>193</v>
      </c>
      <c r="R86" s="49"/>
      <c r="S86" s="27" t="s">
        <v>194</v>
      </c>
      <c r="T86" s="49"/>
      <c r="U86" s="27" t="s">
        <v>195</v>
      </c>
    </row>
    <row r="87" spans="1:21" s="17" customFormat="1" ht="21" x14ac:dyDescent="0.55000000000000004">
      <c r="A87" s="20" t="s">
        <v>233</v>
      </c>
      <c r="B87" s="49"/>
      <c r="C87" s="50">
        <f>C78</f>
        <v>5346680000</v>
      </c>
      <c r="D87" s="50"/>
      <c r="E87" s="50">
        <f>E78</f>
        <v>26381494355</v>
      </c>
      <c r="F87" s="50"/>
      <c r="G87" s="50">
        <f>G78</f>
        <v>20217321519</v>
      </c>
      <c r="H87" s="50"/>
      <c r="I87" s="50">
        <f>I78</f>
        <v>51945495874</v>
      </c>
      <c r="J87" s="49"/>
      <c r="K87" s="51">
        <f>K78</f>
        <v>0.85395972130727182</v>
      </c>
      <c r="L87" s="49"/>
      <c r="M87" s="50">
        <f>M78</f>
        <v>5346680000</v>
      </c>
      <c r="N87" s="50"/>
      <c r="O87" s="50">
        <f>O78</f>
        <v>26381494355</v>
      </c>
      <c r="P87" s="50"/>
      <c r="Q87" s="50">
        <f>Q78</f>
        <v>20217321519</v>
      </c>
      <c r="R87" s="50"/>
      <c r="S87" s="50">
        <f>S78</f>
        <v>51945495874</v>
      </c>
      <c r="T87" s="49"/>
      <c r="U87" s="51">
        <f>U78</f>
        <v>0.85395972130727182</v>
      </c>
    </row>
    <row r="88" spans="1:21" ht="21" x14ac:dyDescent="0.55000000000000004">
      <c r="A88" s="20" t="s">
        <v>240</v>
      </c>
      <c r="B88" s="49"/>
      <c r="C88" s="50">
        <v>0</v>
      </c>
      <c r="D88" s="49"/>
      <c r="E88" s="50">
        <v>-2469364</v>
      </c>
      <c r="F88" s="49"/>
      <c r="G88" s="50">
        <v>394213597</v>
      </c>
      <c r="H88" s="49"/>
      <c r="I88" s="50">
        <f t="shared" si="0"/>
        <v>391744233</v>
      </c>
      <c r="J88" s="49"/>
      <c r="K88" s="51">
        <v>6.4400924547503126E-3</v>
      </c>
      <c r="L88" s="49"/>
      <c r="M88" s="50">
        <v>0</v>
      </c>
      <c r="N88" s="49"/>
      <c r="O88" s="50">
        <v>-2469364</v>
      </c>
      <c r="P88" s="49"/>
      <c r="Q88" s="50">
        <v>394213597</v>
      </c>
      <c r="R88" s="49"/>
      <c r="S88" s="50">
        <f t="shared" si="1"/>
        <v>391744233</v>
      </c>
      <c r="T88" s="49"/>
      <c r="U88" s="51">
        <v>6.4400924547503126E-3</v>
      </c>
    </row>
    <row r="89" spans="1:21" ht="21" x14ac:dyDescent="0.25">
      <c r="A89" s="20" t="s">
        <v>243</v>
      </c>
      <c r="B89" s="49"/>
      <c r="C89" s="50">
        <v>0</v>
      </c>
      <c r="D89" s="49"/>
      <c r="E89" s="50">
        <v>-79979</v>
      </c>
      <c r="F89" s="49"/>
      <c r="G89" s="50">
        <v>2313123597</v>
      </c>
      <c r="H89" s="49"/>
      <c r="I89" s="50">
        <f t="shared" si="0"/>
        <v>2313043618</v>
      </c>
      <c r="J89" s="49"/>
      <c r="K89" s="51">
        <v>3.8025358121328526E-2</v>
      </c>
      <c r="L89" s="49"/>
      <c r="M89" s="50">
        <v>0</v>
      </c>
      <c r="N89" s="49"/>
      <c r="O89" s="50">
        <v>-79979</v>
      </c>
      <c r="P89" s="49"/>
      <c r="Q89" s="50">
        <v>2313123597</v>
      </c>
      <c r="R89" s="49"/>
      <c r="S89" s="50">
        <f t="shared" si="1"/>
        <v>2313043618</v>
      </c>
      <c r="T89" s="49"/>
      <c r="U89" s="51">
        <v>3.8025358121328526E-2</v>
      </c>
    </row>
    <row r="90" spans="1:21" ht="21" x14ac:dyDescent="0.25">
      <c r="A90" s="20" t="s">
        <v>33</v>
      </c>
      <c r="B90" s="49"/>
      <c r="C90" s="50">
        <v>0</v>
      </c>
      <c r="D90" s="49"/>
      <c r="E90" s="50">
        <v>181246500</v>
      </c>
      <c r="F90" s="49"/>
      <c r="G90" s="50">
        <v>0</v>
      </c>
      <c r="H90" s="49"/>
      <c r="I90" s="50">
        <f t="shared" si="0"/>
        <v>181246500</v>
      </c>
      <c r="J90" s="49"/>
      <c r="K90" s="51">
        <v>2.9796079144830769E-3</v>
      </c>
      <c r="L90" s="49"/>
      <c r="M90" s="50">
        <v>0</v>
      </c>
      <c r="N90" s="49"/>
      <c r="O90" s="50">
        <v>181246500</v>
      </c>
      <c r="P90" s="49"/>
      <c r="Q90" s="50">
        <v>0</v>
      </c>
      <c r="R90" s="49"/>
      <c r="S90" s="50">
        <f t="shared" si="1"/>
        <v>181246500</v>
      </c>
      <c r="T90" s="49"/>
      <c r="U90" s="51">
        <v>2.9796079144830769E-3</v>
      </c>
    </row>
    <row r="91" spans="1:21" ht="21" x14ac:dyDescent="0.25">
      <c r="A91" s="20" t="s">
        <v>32</v>
      </c>
      <c r="B91" s="49"/>
      <c r="C91" s="50">
        <v>0</v>
      </c>
      <c r="D91" s="49"/>
      <c r="E91" s="50">
        <v>114704843</v>
      </c>
      <c r="F91" s="49"/>
      <c r="G91" s="50">
        <v>186880019</v>
      </c>
      <c r="H91" s="49"/>
      <c r="I91" s="50">
        <f t="shared" si="0"/>
        <v>301584862</v>
      </c>
      <c r="J91" s="49"/>
      <c r="K91" s="51">
        <v>4.9579144518845141E-3</v>
      </c>
      <c r="L91" s="49"/>
      <c r="M91" s="50">
        <v>0</v>
      </c>
      <c r="N91" s="49"/>
      <c r="O91" s="50">
        <v>114704843</v>
      </c>
      <c r="P91" s="49"/>
      <c r="Q91" s="50">
        <v>186880019</v>
      </c>
      <c r="R91" s="49"/>
      <c r="S91" s="50">
        <f t="shared" si="1"/>
        <v>301584862</v>
      </c>
      <c r="T91" s="49"/>
      <c r="U91" s="51">
        <v>4.9579144518845141E-3</v>
      </c>
    </row>
    <row r="92" spans="1:21" ht="21" x14ac:dyDescent="0.25">
      <c r="A92" s="20" t="s">
        <v>22</v>
      </c>
      <c r="B92" s="49"/>
      <c r="C92" s="50">
        <v>0</v>
      </c>
      <c r="D92" s="49"/>
      <c r="E92" s="50">
        <v>26803097</v>
      </c>
      <c r="F92" s="49"/>
      <c r="G92" s="50">
        <v>798978106</v>
      </c>
      <c r="H92" s="49"/>
      <c r="I92" s="50">
        <f t="shared" si="0"/>
        <v>825781203</v>
      </c>
      <c r="J92" s="49"/>
      <c r="K92" s="51">
        <v>1.3575457777613121E-2</v>
      </c>
      <c r="L92" s="49"/>
      <c r="M92" s="50">
        <v>0</v>
      </c>
      <c r="N92" s="49"/>
      <c r="O92" s="50">
        <v>26803097</v>
      </c>
      <c r="P92" s="49"/>
      <c r="Q92" s="50">
        <v>798978106</v>
      </c>
      <c r="R92" s="49"/>
      <c r="S92" s="50">
        <f t="shared" si="1"/>
        <v>825781203</v>
      </c>
      <c r="T92" s="49"/>
      <c r="U92" s="51">
        <v>1.3575457777613121E-2</v>
      </c>
    </row>
    <row r="93" spans="1:21" ht="21" x14ac:dyDescent="0.25">
      <c r="A93" s="20" t="s">
        <v>23</v>
      </c>
      <c r="B93" s="49"/>
      <c r="C93" s="50">
        <v>0</v>
      </c>
      <c r="D93" s="49"/>
      <c r="E93" s="50">
        <v>25493434</v>
      </c>
      <c r="F93" s="49"/>
      <c r="G93" s="50">
        <v>416670792</v>
      </c>
      <c r="H93" s="49"/>
      <c r="I93" s="50">
        <f t="shared" si="0"/>
        <v>442164226</v>
      </c>
      <c r="J93" s="49"/>
      <c r="K93" s="51">
        <v>7.268973620405822E-3</v>
      </c>
      <c r="L93" s="49"/>
      <c r="M93" s="50">
        <v>0</v>
      </c>
      <c r="N93" s="49"/>
      <c r="O93" s="50">
        <v>25493434</v>
      </c>
      <c r="P93" s="49"/>
      <c r="Q93" s="50">
        <v>416670792</v>
      </c>
      <c r="R93" s="49"/>
      <c r="S93" s="50">
        <f t="shared" si="1"/>
        <v>442164226</v>
      </c>
      <c r="T93" s="49"/>
      <c r="U93" s="51">
        <v>7.268973620405822E-3</v>
      </c>
    </row>
    <row r="94" spans="1:21" ht="21" x14ac:dyDescent="0.25">
      <c r="A94" s="20" t="s">
        <v>21</v>
      </c>
      <c r="B94" s="49"/>
      <c r="C94" s="50">
        <v>0</v>
      </c>
      <c r="D94" s="49"/>
      <c r="E94" s="50">
        <v>86140542</v>
      </c>
      <c r="F94" s="49"/>
      <c r="G94" s="50">
        <v>0</v>
      </c>
      <c r="H94" s="49"/>
      <c r="I94" s="50">
        <f t="shared" ref="I94:I98" si="2">C94+E94+G94</f>
        <v>86140542</v>
      </c>
      <c r="J94" s="49"/>
      <c r="K94" s="51">
        <v>1.4161103287570348E-3</v>
      </c>
      <c r="L94" s="49"/>
      <c r="M94" s="50">
        <v>0</v>
      </c>
      <c r="N94" s="49"/>
      <c r="O94" s="50">
        <v>86140542</v>
      </c>
      <c r="P94" s="49"/>
      <c r="Q94" s="50">
        <v>0</v>
      </c>
      <c r="R94" s="49"/>
      <c r="S94" s="50">
        <f t="shared" ref="S94:S98" si="3">M94+O94+Q94</f>
        <v>86140542</v>
      </c>
      <c r="T94" s="49"/>
      <c r="U94" s="51">
        <v>1.4161103287570348E-3</v>
      </c>
    </row>
    <row r="95" spans="1:21" ht="21" x14ac:dyDescent="0.25">
      <c r="A95" s="20" t="s">
        <v>30</v>
      </c>
      <c r="B95" s="49"/>
      <c r="C95" s="50">
        <v>0</v>
      </c>
      <c r="D95" s="49"/>
      <c r="E95" s="50">
        <v>447883931</v>
      </c>
      <c r="F95" s="49"/>
      <c r="G95" s="50">
        <v>38370384</v>
      </c>
      <c r="H95" s="49"/>
      <c r="I95" s="50">
        <f t="shared" si="2"/>
        <v>486254315</v>
      </c>
      <c r="J95" s="49"/>
      <c r="K95" s="51">
        <v>7.9937941169928636E-3</v>
      </c>
      <c r="L95" s="49"/>
      <c r="M95" s="50">
        <v>0</v>
      </c>
      <c r="N95" s="49"/>
      <c r="O95" s="50">
        <v>447883931</v>
      </c>
      <c r="P95" s="49"/>
      <c r="Q95" s="50">
        <v>38370384</v>
      </c>
      <c r="R95" s="49"/>
      <c r="S95" s="50">
        <f t="shared" si="3"/>
        <v>486254315</v>
      </c>
      <c r="T95" s="49"/>
      <c r="U95" s="51">
        <v>7.9937941169928636E-3</v>
      </c>
    </row>
    <row r="96" spans="1:21" ht="21" x14ac:dyDescent="0.25">
      <c r="A96" s="20" t="s">
        <v>31</v>
      </c>
      <c r="B96" s="49"/>
      <c r="C96" s="50">
        <v>0</v>
      </c>
      <c r="D96" s="49"/>
      <c r="E96" s="50">
        <v>-13181605</v>
      </c>
      <c r="F96" s="49"/>
      <c r="G96" s="50">
        <v>122779799</v>
      </c>
      <c r="H96" s="49"/>
      <c r="I96" s="50">
        <f t="shared" si="2"/>
        <v>109598194</v>
      </c>
      <c r="J96" s="49"/>
      <c r="K96" s="51">
        <v>1.8017431854157277E-3</v>
      </c>
      <c r="L96" s="49"/>
      <c r="M96" s="50">
        <v>0</v>
      </c>
      <c r="N96" s="49"/>
      <c r="O96" s="50">
        <v>-13181605</v>
      </c>
      <c r="P96" s="49"/>
      <c r="Q96" s="50">
        <v>122779799</v>
      </c>
      <c r="R96" s="49"/>
      <c r="S96" s="50">
        <f t="shared" si="3"/>
        <v>109598194</v>
      </c>
      <c r="T96" s="49"/>
      <c r="U96" s="51">
        <v>1.8017431854157277E-3</v>
      </c>
    </row>
    <row r="97" spans="1:21" ht="21" x14ac:dyDescent="0.25">
      <c r="A97" s="20" t="s">
        <v>34</v>
      </c>
      <c r="B97" s="49"/>
      <c r="C97" s="50">
        <v>0</v>
      </c>
      <c r="D97" s="49"/>
      <c r="E97" s="50">
        <v>-24993562</v>
      </c>
      <c r="F97" s="49"/>
      <c r="G97" s="50">
        <v>2635614794</v>
      </c>
      <c r="H97" s="49"/>
      <c r="I97" s="50">
        <f t="shared" si="2"/>
        <v>2610621232</v>
      </c>
      <c r="J97" s="49"/>
      <c r="K97" s="51">
        <v>4.2917395285342122E-2</v>
      </c>
      <c r="L97" s="49"/>
      <c r="M97" s="50">
        <v>0</v>
      </c>
      <c r="N97" s="49"/>
      <c r="O97" s="50">
        <v>-24993562</v>
      </c>
      <c r="P97" s="49"/>
      <c r="Q97" s="50">
        <v>2635614794</v>
      </c>
      <c r="R97" s="49"/>
      <c r="S97" s="50">
        <f t="shared" si="3"/>
        <v>2610621232</v>
      </c>
      <c r="T97" s="49"/>
      <c r="U97" s="51">
        <v>4.2917395285342122E-2</v>
      </c>
    </row>
    <row r="98" spans="1:21" ht="21" x14ac:dyDescent="0.55000000000000004">
      <c r="A98" s="20" t="s">
        <v>35</v>
      </c>
      <c r="B98" s="49"/>
      <c r="C98" s="50">
        <v>0</v>
      </c>
      <c r="D98" s="49"/>
      <c r="E98" s="50">
        <v>21015193</v>
      </c>
      <c r="F98" s="49"/>
      <c r="G98" s="50">
        <v>0</v>
      </c>
      <c r="H98" s="49"/>
      <c r="I98" s="50">
        <f t="shared" si="2"/>
        <v>21015193</v>
      </c>
      <c r="J98" s="49"/>
      <c r="K98" s="51">
        <v>3.4547997002529348E-4</v>
      </c>
      <c r="L98" s="49"/>
      <c r="M98" s="50">
        <v>0</v>
      </c>
      <c r="N98" s="49"/>
      <c r="O98" s="50">
        <v>21015193</v>
      </c>
      <c r="P98" s="49"/>
      <c r="Q98" s="50">
        <v>0</v>
      </c>
      <c r="R98" s="49"/>
      <c r="S98" s="50">
        <f t="shared" si="3"/>
        <v>21015193</v>
      </c>
      <c r="T98" s="49"/>
      <c r="U98" s="51">
        <v>3.4547997002529348E-4</v>
      </c>
    </row>
    <row r="99" spans="1:21" ht="21.75" thickBot="1" x14ac:dyDescent="0.6">
      <c r="A99" s="10" t="s">
        <v>90</v>
      </c>
      <c r="C99" s="10">
        <f>SUM(C87:C98)</f>
        <v>5346680000</v>
      </c>
      <c r="E99" s="10">
        <f>SUM(E87:E98)</f>
        <v>27244057385</v>
      </c>
      <c r="G99" s="10">
        <f>SUM(G87:G98)</f>
        <v>27123952607</v>
      </c>
      <c r="I99" s="10">
        <f>SUM(I87:I98)</f>
        <v>59714689992</v>
      </c>
      <c r="K99" s="25">
        <f>SUM(K87:K98)</f>
        <v>0.9816816485342702</v>
      </c>
      <c r="M99" s="10">
        <f>SUM(M87:M98)</f>
        <v>5346680000</v>
      </c>
      <c r="O99" s="10">
        <f>SUM(O87:O98)</f>
        <v>27244057385</v>
      </c>
      <c r="Q99" s="10">
        <f>SUM(Q87:Q98)</f>
        <v>27123952607</v>
      </c>
      <c r="S99" s="10">
        <f>SUM(S87:S98)</f>
        <v>59714689992</v>
      </c>
      <c r="U99" s="25">
        <f>SUM(U87:U98)</f>
        <v>0.9816816485342702</v>
      </c>
    </row>
    <row r="100" spans="1:21" ht="21.75" thickTop="1" x14ac:dyDescent="0.55000000000000004">
      <c r="C100" s="12"/>
      <c r="E100" s="12"/>
      <c r="G100" s="12"/>
      <c r="I100" s="12"/>
      <c r="K100" s="12"/>
      <c r="M100" s="12"/>
      <c r="O100" s="12"/>
      <c r="Q100" s="12"/>
      <c r="S100" s="12"/>
      <c r="U100" s="12"/>
    </row>
  </sheetData>
  <mergeCells count="18">
    <mergeCell ref="A79:U79"/>
    <mergeCell ref="A80:U80"/>
    <mergeCell ref="A81:U81"/>
    <mergeCell ref="A83:U83"/>
    <mergeCell ref="C85:K85"/>
    <mergeCell ref="M85:U85"/>
    <mergeCell ref="A40:U40"/>
    <mergeCell ref="A41:U41"/>
    <mergeCell ref="A42:U42"/>
    <mergeCell ref="A44:U44"/>
    <mergeCell ref="C46:K46"/>
    <mergeCell ref="M46:U46"/>
    <mergeCell ref="A1:U1"/>
    <mergeCell ref="A2:U2"/>
    <mergeCell ref="A3:U3"/>
    <mergeCell ref="A5:U5"/>
    <mergeCell ref="C7:K7"/>
    <mergeCell ref="M7:U7"/>
  </mergeCells>
  <pageMargins left="0.7" right="0.7" top="0.75" bottom="0.75" header="0.3" footer="0.3"/>
  <pageSetup paperSize="9" scale="59" fitToHeight="0" orientation="landscape" r:id="rId1"/>
  <rowBreaks count="2" manualBreakCount="2">
    <brk id="39" max="20" man="1"/>
    <brk id="78" max="20" man="1"/>
  </rowBrea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1:K12"/>
  <sheetViews>
    <sheetView rightToLeft="1" view="pageBreakPreview" zoomScale="60" zoomScaleNormal="100" workbookViewId="0">
      <selection activeCell="K11" activeCellId="1" sqref="G11 K11"/>
    </sheetView>
  </sheetViews>
  <sheetFormatPr defaultRowHeight="19.5" x14ac:dyDescent="0.55000000000000004"/>
  <cols>
    <col min="1" max="1" width="35.140625" style="17" customWidth="1"/>
    <col min="2" max="2" width="1.42578125" style="17" customWidth="1"/>
    <col min="3" max="3" width="18.5703125" style="17" bestFit="1" customWidth="1"/>
    <col min="4" max="4" width="1.42578125" style="17" customWidth="1"/>
    <col min="5" max="5" width="17" style="17" customWidth="1"/>
    <col min="6" max="6" width="1.42578125" style="17" customWidth="1"/>
    <col min="7" max="7" width="14.140625" style="17" customWidth="1"/>
    <col min="8" max="8" width="1.42578125" style="17" customWidth="1"/>
    <col min="9" max="9" width="17" style="17" customWidth="1"/>
    <col min="10" max="10" width="1.42578125" style="17" customWidth="1"/>
    <col min="11" max="11" width="14.140625" style="17" customWidth="1"/>
    <col min="12" max="16384" width="9.140625" style="17"/>
  </cols>
  <sheetData>
    <row r="1" spans="1:11" ht="19.899999999999999" customHeight="1" x14ac:dyDescent="0.55000000000000004">
      <c r="A1" s="40" t="s">
        <v>0</v>
      </c>
      <c r="B1" s="36"/>
      <c r="C1" s="36"/>
      <c r="D1" s="36"/>
      <c r="E1" s="36"/>
      <c r="F1" s="36"/>
      <c r="G1" s="36"/>
      <c r="H1" s="36"/>
      <c r="I1" s="36"/>
      <c r="J1" s="36"/>
      <c r="K1" s="36"/>
    </row>
    <row r="2" spans="1:11" ht="19.899999999999999" customHeight="1" x14ac:dyDescent="0.55000000000000004">
      <c r="A2" s="40" t="s">
        <v>154</v>
      </c>
      <c r="B2" s="36"/>
      <c r="C2" s="36"/>
      <c r="D2" s="36"/>
      <c r="E2" s="36"/>
      <c r="F2" s="36"/>
      <c r="G2" s="36"/>
      <c r="H2" s="36"/>
      <c r="I2" s="36"/>
      <c r="J2" s="36"/>
      <c r="K2" s="36"/>
    </row>
    <row r="3" spans="1:11" ht="19.899999999999999" customHeight="1" x14ac:dyDescent="0.55000000000000004">
      <c r="A3" s="40" t="s">
        <v>2</v>
      </c>
      <c r="B3" s="36"/>
      <c r="C3" s="36"/>
      <c r="D3" s="36"/>
      <c r="E3" s="36"/>
      <c r="F3" s="36"/>
      <c r="G3" s="36"/>
      <c r="H3" s="36"/>
      <c r="I3" s="36"/>
      <c r="J3" s="36"/>
      <c r="K3" s="36"/>
    </row>
    <row r="5" spans="1:11" ht="21" x14ac:dyDescent="0.55000000000000004">
      <c r="A5" s="41" t="s">
        <v>246</v>
      </c>
      <c r="B5" s="36"/>
      <c r="C5" s="36"/>
      <c r="D5" s="36"/>
      <c r="E5" s="36"/>
      <c r="F5" s="36"/>
      <c r="G5" s="36"/>
      <c r="H5" s="36"/>
      <c r="I5" s="36"/>
      <c r="J5" s="36"/>
      <c r="K5" s="36"/>
    </row>
    <row r="7" spans="1:11" ht="21" x14ac:dyDescent="0.55000000000000004">
      <c r="A7" s="32" t="s">
        <v>218</v>
      </c>
      <c r="B7" s="33"/>
      <c r="C7" s="33"/>
      <c r="E7" s="32" t="s">
        <v>168</v>
      </c>
      <c r="F7" s="33"/>
      <c r="G7" s="33"/>
      <c r="I7" s="32" t="s">
        <v>7</v>
      </c>
      <c r="J7" s="33"/>
      <c r="K7" s="33"/>
    </row>
    <row r="8" spans="1:11" ht="42" x14ac:dyDescent="0.55000000000000004">
      <c r="A8" s="13" t="s">
        <v>219</v>
      </c>
      <c r="C8" s="13" t="s">
        <v>135</v>
      </c>
      <c r="E8" s="13" t="s">
        <v>220</v>
      </c>
      <c r="G8" s="13" t="s">
        <v>221</v>
      </c>
      <c r="I8" s="13" t="s">
        <v>220</v>
      </c>
      <c r="K8" s="13" t="s">
        <v>221</v>
      </c>
    </row>
    <row r="9" spans="1:11" ht="21" x14ac:dyDescent="0.55000000000000004">
      <c r="A9" s="18" t="s">
        <v>222</v>
      </c>
      <c r="C9" s="16" t="s">
        <v>143</v>
      </c>
      <c r="E9" s="8">
        <v>1479980</v>
      </c>
      <c r="G9" s="9">
        <f>E9/E11</f>
        <v>1.3588727503868641E-3</v>
      </c>
      <c r="I9" s="8">
        <v>1479980</v>
      </c>
      <c r="K9" s="9">
        <f>I9/I11</f>
        <v>1.3588727503868641E-3</v>
      </c>
    </row>
    <row r="10" spans="1:11" ht="21" x14ac:dyDescent="0.55000000000000004">
      <c r="A10" s="18" t="s">
        <v>223</v>
      </c>
      <c r="C10" s="16" t="s">
        <v>151</v>
      </c>
      <c r="E10" s="8">
        <v>1087643339</v>
      </c>
      <c r="G10" s="9">
        <f>E10/E11</f>
        <v>0.99864112724961318</v>
      </c>
      <c r="I10" s="8">
        <v>1087643339</v>
      </c>
      <c r="K10" s="9">
        <f>I10/I11</f>
        <v>0.99864112724961318</v>
      </c>
    </row>
    <row r="11" spans="1:11" ht="21" x14ac:dyDescent="0.55000000000000004">
      <c r="A11" s="10" t="s">
        <v>90</v>
      </c>
      <c r="E11" s="10">
        <f>SUM(E9:$E$10)</f>
        <v>1089123319</v>
      </c>
      <c r="G11" s="44">
        <f>SUM(G9:$G$10)</f>
        <v>1</v>
      </c>
      <c r="I11" s="10">
        <f>SUM(I9:$I$10)</f>
        <v>1089123319</v>
      </c>
      <c r="K11" s="44">
        <f>SUM(K9:$K$10)</f>
        <v>1</v>
      </c>
    </row>
    <row r="12" spans="1:11" ht="21" x14ac:dyDescent="0.55000000000000004">
      <c r="E12" s="12"/>
      <c r="G12" s="12"/>
      <c r="I12" s="12"/>
      <c r="K12" s="12"/>
    </row>
  </sheetData>
  <mergeCells count="7">
    <mergeCell ref="A1:K1"/>
    <mergeCell ref="A2:K2"/>
    <mergeCell ref="A3:K3"/>
    <mergeCell ref="A5:K5"/>
    <mergeCell ref="A7:C7"/>
    <mergeCell ref="E7:G7"/>
    <mergeCell ref="I7:K7"/>
  </mergeCells>
  <pageMargins left="0.7" right="0.7" top="0.75" bottom="0.75" header="0.3" footer="0.3"/>
  <pageSetup paperSize="9" scale="71" fitToHeight="0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1:E11"/>
  <sheetViews>
    <sheetView rightToLeft="1" view="pageBreakPreview" zoomScale="60" zoomScaleNormal="100" workbookViewId="0">
      <selection activeCell="A9" sqref="A9"/>
    </sheetView>
  </sheetViews>
  <sheetFormatPr defaultRowHeight="19.5" x14ac:dyDescent="0.55000000000000004"/>
  <cols>
    <col min="1" max="1" width="42.7109375" style="17" customWidth="1"/>
    <col min="2" max="2" width="1.42578125" style="17" customWidth="1"/>
    <col min="3" max="3" width="18.42578125" style="17" customWidth="1"/>
    <col min="4" max="4" width="1.42578125" style="17" customWidth="1"/>
    <col min="5" max="5" width="18.42578125" style="17" customWidth="1"/>
    <col min="6" max="16384" width="9.140625" style="17"/>
  </cols>
  <sheetData>
    <row r="1" spans="1:5" ht="19.899999999999999" customHeight="1" x14ac:dyDescent="0.55000000000000004">
      <c r="A1" s="40" t="s">
        <v>0</v>
      </c>
      <c r="B1" s="36"/>
      <c r="C1" s="36"/>
      <c r="D1" s="36"/>
      <c r="E1" s="36"/>
    </row>
    <row r="2" spans="1:5" ht="19.899999999999999" customHeight="1" x14ac:dyDescent="0.55000000000000004">
      <c r="A2" s="40" t="s">
        <v>154</v>
      </c>
      <c r="B2" s="36"/>
      <c r="C2" s="36"/>
      <c r="D2" s="36"/>
      <c r="E2" s="36"/>
    </row>
    <row r="3" spans="1:5" ht="19.899999999999999" customHeight="1" x14ac:dyDescent="0.55000000000000004">
      <c r="A3" s="40" t="s">
        <v>2</v>
      </c>
      <c r="B3" s="36"/>
      <c r="C3" s="36"/>
      <c r="D3" s="36"/>
      <c r="E3" s="36"/>
    </row>
    <row r="5" spans="1:5" ht="21" x14ac:dyDescent="0.55000000000000004">
      <c r="A5" s="41" t="s">
        <v>247</v>
      </c>
      <c r="B5" s="36"/>
      <c r="C5" s="36"/>
      <c r="D5" s="36"/>
      <c r="E5" s="36"/>
    </row>
    <row r="7" spans="1:5" ht="21" x14ac:dyDescent="0.55000000000000004">
      <c r="C7" s="15" t="s">
        <v>168</v>
      </c>
      <c r="E7" s="15" t="s">
        <v>7</v>
      </c>
    </row>
    <row r="8" spans="1:5" ht="21" x14ac:dyDescent="0.55000000000000004">
      <c r="A8" s="13" t="s">
        <v>164</v>
      </c>
      <c r="C8" s="13" t="s">
        <v>139</v>
      </c>
      <c r="E8" s="13" t="s">
        <v>139</v>
      </c>
    </row>
    <row r="9" spans="1:5" ht="21" x14ac:dyDescent="0.55000000000000004">
      <c r="A9" s="18" t="s">
        <v>248</v>
      </c>
      <c r="C9" s="8">
        <v>25163253</v>
      </c>
      <c r="E9" s="8">
        <v>25163253</v>
      </c>
    </row>
    <row r="10" spans="1:5" ht="21" x14ac:dyDescent="0.55000000000000004">
      <c r="A10" s="10" t="s">
        <v>90</v>
      </c>
      <c r="C10" s="10">
        <f>SUM(C9:$C$9)</f>
        <v>25163253</v>
      </c>
      <c r="E10" s="10">
        <f>SUM(E9:$E$9)</f>
        <v>25163253</v>
      </c>
    </row>
    <row r="11" spans="1:5" ht="21" x14ac:dyDescent="0.55000000000000004">
      <c r="C11" s="12"/>
      <c r="E11" s="12"/>
    </row>
  </sheetData>
  <mergeCells count="4">
    <mergeCell ref="A1:E1"/>
    <mergeCell ref="A2:E2"/>
    <mergeCell ref="A3:E3"/>
    <mergeCell ref="A5:E5"/>
  </mergeCells>
  <pageMargins left="0.7" right="0.7" top="0.75" bottom="0.75" header="0.3" footer="0.3"/>
  <pageSetup paperSize="9" fitToHeight="0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S12"/>
  <sheetViews>
    <sheetView rightToLeft="1" view="pageBreakPreview" zoomScale="60" zoomScaleNormal="100" workbookViewId="0">
      <selection activeCell="I13" sqref="I13"/>
    </sheetView>
  </sheetViews>
  <sheetFormatPr defaultRowHeight="19.5" x14ac:dyDescent="0.55000000000000004"/>
  <cols>
    <col min="1" max="1" width="27.28515625" style="17" customWidth="1"/>
    <col min="2" max="2" width="1.42578125" style="17" customWidth="1"/>
    <col min="3" max="3" width="11.42578125" style="17" customWidth="1"/>
    <col min="4" max="4" width="1.42578125" style="17" customWidth="1"/>
    <col min="5" max="5" width="12.85546875" style="17" customWidth="1"/>
    <col min="6" max="6" width="1.42578125" style="17" customWidth="1"/>
    <col min="7" max="7" width="11.42578125" style="17" customWidth="1"/>
    <col min="8" max="8" width="1.42578125" style="17" customWidth="1"/>
    <col min="9" max="9" width="18.42578125" style="17" customWidth="1"/>
    <col min="10" max="10" width="1.42578125" style="17" customWidth="1"/>
    <col min="11" max="11" width="14.140625" style="17" customWidth="1"/>
    <col min="12" max="12" width="1.42578125" style="17" customWidth="1"/>
    <col min="13" max="13" width="18.42578125" style="17" customWidth="1"/>
    <col min="14" max="14" width="1.42578125" style="17" customWidth="1"/>
    <col min="15" max="15" width="18.42578125" style="17" customWidth="1"/>
    <col min="16" max="16" width="1.42578125" style="17" customWidth="1"/>
    <col min="17" max="17" width="14.140625" style="17" customWidth="1"/>
    <col min="18" max="18" width="1.42578125" style="17" customWidth="1"/>
    <col min="19" max="19" width="18.42578125" style="17" customWidth="1"/>
    <col min="20" max="16384" width="9.140625" style="17"/>
  </cols>
  <sheetData>
    <row r="1" spans="1:19" ht="19.899999999999999" customHeight="1" x14ac:dyDescent="0.55000000000000004">
      <c r="A1" s="40" t="s">
        <v>0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</row>
    <row r="2" spans="1:19" ht="19.899999999999999" customHeight="1" x14ac:dyDescent="0.55000000000000004">
      <c r="A2" s="40" t="s">
        <v>154</v>
      </c>
      <c r="B2" s="36"/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  <c r="N2" s="36"/>
      <c r="O2" s="36"/>
      <c r="P2" s="36"/>
      <c r="Q2" s="36"/>
      <c r="R2" s="36"/>
      <c r="S2" s="36"/>
    </row>
    <row r="3" spans="1:19" ht="19.899999999999999" customHeight="1" x14ac:dyDescent="0.55000000000000004">
      <c r="A3" s="40" t="s">
        <v>2</v>
      </c>
      <c r="B3" s="36"/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  <c r="S3" s="36"/>
    </row>
    <row r="5" spans="1:19" ht="21" x14ac:dyDescent="0.55000000000000004">
      <c r="A5" s="41" t="s">
        <v>166</v>
      </c>
      <c r="B5" s="36"/>
      <c r="C5" s="36"/>
      <c r="D5" s="36"/>
      <c r="E5" s="36"/>
      <c r="F5" s="36"/>
      <c r="G5" s="36"/>
      <c r="H5" s="36"/>
      <c r="I5" s="36"/>
      <c r="J5" s="36"/>
      <c r="K5" s="36"/>
      <c r="L5" s="36"/>
      <c r="M5" s="36"/>
      <c r="N5" s="36"/>
      <c r="O5" s="36"/>
      <c r="P5" s="36"/>
      <c r="Q5" s="36"/>
      <c r="R5" s="36"/>
      <c r="S5" s="36"/>
    </row>
    <row r="7" spans="1:19" ht="21" x14ac:dyDescent="0.55000000000000004">
      <c r="C7" s="32" t="s">
        <v>167</v>
      </c>
      <c r="D7" s="33"/>
      <c r="E7" s="33"/>
      <c r="F7" s="33"/>
      <c r="G7" s="33"/>
      <c r="I7" s="32" t="s">
        <v>168</v>
      </c>
      <c r="J7" s="33"/>
      <c r="K7" s="33"/>
      <c r="L7" s="33"/>
      <c r="M7" s="33"/>
      <c r="O7" s="32" t="s">
        <v>7</v>
      </c>
      <c r="P7" s="33"/>
      <c r="Q7" s="33"/>
      <c r="R7" s="33"/>
      <c r="S7" s="33"/>
    </row>
    <row r="8" spans="1:19" ht="63" x14ac:dyDescent="0.55000000000000004">
      <c r="A8" s="15" t="s">
        <v>91</v>
      </c>
      <c r="C8" s="13" t="s">
        <v>169</v>
      </c>
      <c r="E8" s="13" t="s">
        <v>170</v>
      </c>
      <c r="G8" s="13" t="s">
        <v>171</v>
      </c>
      <c r="I8" s="13" t="s">
        <v>172</v>
      </c>
      <c r="K8" s="13" t="s">
        <v>173</v>
      </c>
      <c r="M8" s="13" t="s">
        <v>174</v>
      </c>
      <c r="O8" s="13" t="s">
        <v>172</v>
      </c>
      <c r="Q8" s="13" t="s">
        <v>173</v>
      </c>
      <c r="S8" s="13" t="s">
        <v>174</v>
      </c>
    </row>
    <row r="9" spans="1:19" ht="21" x14ac:dyDescent="0.55000000000000004">
      <c r="A9" s="18" t="s">
        <v>41</v>
      </c>
      <c r="C9" s="16" t="s">
        <v>175</v>
      </c>
      <c r="E9" s="8">
        <v>1700000</v>
      </c>
      <c r="G9" s="8">
        <v>560</v>
      </c>
      <c r="I9" s="8">
        <v>952000000</v>
      </c>
      <c r="K9" s="8">
        <v>-127121662</v>
      </c>
      <c r="M9" s="8">
        <v>824878338</v>
      </c>
      <c r="O9" s="8">
        <v>952000000</v>
      </c>
      <c r="Q9" s="8">
        <v>-127121662</v>
      </c>
      <c r="S9" s="8">
        <v>824878338</v>
      </c>
    </row>
    <row r="10" spans="1:19" ht="21" x14ac:dyDescent="0.55000000000000004">
      <c r="A10" s="18" t="s">
        <v>78</v>
      </c>
      <c r="C10" s="16" t="s">
        <v>176</v>
      </c>
      <c r="E10" s="8">
        <v>607000</v>
      </c>
      <c r="G10" s="8">
        <v>7240</v>
      </c>
      <c r="I10" s="8">
        <v>4394680000</v>
      </c>
      <c r="K10" s="8">
        <v>-595844713</v>
      </c>
      <c r="M10" s="8">
        <v>3798835287</v>
      </c>
      <c r="O10" s="8">
        <v>4394680000</v>
      </c>
      <c r="Q10" s="8">
        <v>-595844713</v>
      </c>
      <c r="S10" s="8">
        <v>3798835287</v>
      </c>
    </row>
    <row r="11" spans="1:19" ht="21" x14ac:dyDescent="0.55000000000000004">
      <c r="A11" s="10" t="s">
        <v>90</v>
      </c>
      <c r="I11" s="10">
        <f>SUM(I9:$I$10)</f>
        <v>5346680000</v>
      </c>
      <c r="K11" s="10">
        <f>SUM(K9:$K$10)</f>
        <v>-722966375</v>
      </c>
      <c r="M11" s="10">
        <f>SUM(M9:$M$10)</f>
        <v>4623713625</v>
      </c>
      <c r="O11" s="10">
        <f>SUM(O9:$O$10)</f>
        <v>5346680000</v>
      </c>
      <c r="Q11" s="10">
        <f>SUM(Q9:$Q$10)</f>
        <v>-722966375</v>
      </c>
      <c r="S11" s="10">
        <f>SUM(S9:$S$10)</f>
        <v>4623713625</v>
      </c>
    </row>
    <row r="12" spans="1:19" ht="21" x14ac:dyDescent="0.55000000000000004">
      <c r="I12" s="12"/>
      <c r="K12" s="12"/>
      <c r="M12" s="12"/>
      <c r="O12" s="12"/>
      <c r="Q12" s="12"/>
      <c r="S12" s="12"/>
    </row>
  </sheetData>
  <mergeCells count="7">
    <mergeCell ref="A1:S1"/>
    <mergeCell ref="A2:S2"/>
    <mergeCell ref="A3:S3"/>
    <mergeCell ref="A5:S5"/>
    <mergeCell ref="C7:G7"/>
    <mergeCell ref="I7:M7"/>
    <mergeCell ref="O7:S7"/>
  </mergeCells>
  <pageMargins left="0.7" right="0.7" top="0.75" bottom="0.75" header="0.3" footer="0.3"/>
  <pageSetup paperSize="9" scale="73" fitToHeight="0" orientation="landscape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S12"/>
  <sheetViews>
    <sheetView rightToLeft="1" view="pageBreakPreview" zoomScale="60" zoomScaleNormal="100" workbookViewId="0">
      <selection activeCell="G11" sqref="G11"/>
    </sheetView>
  </sheetViews>
  <sheetFormatPr defaultRowHeight="19.5" x14ac:dyDescent="0.55000000000000004"/>
  <cols>
    <col min="1" max="1" width="43.42578125" style="17" customWidth="1"/>
    <col min="2" max="2" width="1.42578125" style="17" customWidth="1"/>
    <col min="3" max="3" width="11.42578125" style="17" customWidth="1"/>
    <col min="4" max="4" width="1.42578125" style="17" customWidth="1"/>
    <col min="5" max="5" width="11.42578125" style="17" customWidth="1"/>
    <col min="6" max="6" width="1.42578125" style="17" customWidth="1"/>
    <col min="7" max="7" width="11.42578125" style="17" customWidth="1"/>
    <col min="8" max="8" width="1.42578125" style="17" customWidth="1"/>
    <col min="9" max="9" width="18.42578125" style="17" customWidth="1"/>
    <col min="10" max="10" width="1.42578125" style="17" customWidth="1"/>
    <col min="11" max="11" width="14.140625" style="17" customWidth="1"/>
    <col min="12" max="12" width="1.42578125" style="17" customWidth="1"/>
    <col min="13" max="13" width="18.42578125" style="17" customWidth="1"/>
    <col min="14" max="14" width="1.42578125" style="17" customWidth="1"/>
    <col min="15" max="15" width="18.42578125" style="17" customWidth="1"/>
    <col min="16" max="16" width="1.42578125" style="17" customWidth="1"/>
    <col min="17" max="17" width="14.140625" style="17" customWidth="1"/>
    <col min="18" max="18" width="1.42578125" style="17" customWidth="1"/>
    <col min="19" max="19" width="18.42578125" style="17" customWidth="1"/>
    <col min="20" max="16384" width="9.140625" style="17"/>
  </cols>
  <sheetData>
    <row r="1" spans="1:19" ht="19.899999999999999" customHeight="1" x14ac:dyDescent="0.55000000000000004">
      <c r="A1" s="40" t="s">
        <v>0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</row>
    <row r="2" spans="1:19" ht="19.899999999999999" customHeight="1" x14ac:dyDescent="0.55000000000000004">
      <c r="A2" s="40" t="s">
        <v>154</v>
      </c>
      <c r="B2" s="36"/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  <c r="N2" s="36"/>
      <c r="O2" s="36"/>
      <c r="P2" s="36"/>
      <c r="Q2" s="36"/>
      <c r="R2" s="36"/>
      <c r="S2" s="36"/>
    </row>
    <row r="3" spans="1:19" ht="19.899999999999999" customHeight="1" x14ac:dyDescent="0.55000000000000004">
      <c r="A3" s="40" t="s">
        <v>2</v>
      </c>
      <c r="B3" s="36"/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  <c r="S3" s="36"/>
    </row>
    <row r="5" spans="1:19" ht="21" x14ac:dyDescent="0.55000000000000004">
      <c r="A5" s="41" t="s">
        <v>249</v>
      </c>
      <c r="B5" s="36"/>
      <c r="C5" s="36"/>
      <c r="D5" s="36"/>
      <c r="E5" s="36"/>
      <c r="F5" s="36"/>
      <c r="G5" s="36"/>
      <c r="H5" s="36"/>
      <c r="I5" s="36"/>
      <c r="J5" s="36"/>
      <c r="K5" s="36"/>
      <c r="L5" s="36"/>
      <c r="M5" s="36"/>
      <c r="N5" s="36"/>
      <c r="O5" s="36"/>
      <c r="P5" s="36"/>
      <c r="Q5" s="36"/>
      <c r="R5" s="36"/>
      <c r="S5" s="36"/>
    </row>
    <row r="7" spans="1:19" ht="21" x14ac:dyDescent="0.55000000000000004">
      <c r="I7" s="32" t="s">
        <v>168</v>
      </c>
      <c r="J7" s="33"/>
      <c r="K7" s="33"/>
      <c r="L7" s="33"/>
      <c r="M7" s="33"/>
      <c r="O7" s="32" t="s">
        <v>7</v>
      </c>
      <c r="P7" s="33"/>
      <c r="Q7" s="33"/>
      <c r="R7" s="33"/>
      <c r="S7" s="33"/>
    </row>
    <row r="8" spans="1:19" ht="42" x14ac:dyDescent="0.55000000000000004">
      <c r="A8" s="45" t="s">
        <v>156</v>
      </c>
      <c r="C8" s="13" t="s">
        <v>177</v>
      </c>
      <c r="E8" s="13" t="s">
        <v>132</v>
      </c>
      <c r="G8" s="13" t="s">
        <v>138</v>
      </c>
      <c r="I8" s="13" t="s">
        <v>178</v>
      </c>
      <c r="K8" s="13" t="s">
        <v>173</v>
      </c>
      <c r="M8" s="13" t="s">
        <v>179</v>
      </c>
      <c r="O8" s="13" t="s">
        <v>178</v>
      </c>
      <c r="Q8" s="13" t="s">
        <v>173</v>
      </c>
      <c r="S8" s="13" t="s">
        <v>179</v>
      </c>
    </row>
    <row r="9" spans="1:19" ht="21" x14ac:dyDescent="0.55000000000000004">
      <c r="A9" s="18" t="s">
        <v>180</v>
      </c>
      <c r="C9" s="16" t="s">
        <v>181</v>
      </c>
      <c r="E9" s="16" t="s">
        <v>182</v>
      </c>
      <c r="G9" s="16" t="s">
        <v>153</v>
      </c>
      <c r="I9" s="8">
        <v>1087643339</v>
      </c>
      <c r="K9" s="8">
        <v>-6188379</v>
      </c>
      <c r="M9" s="8">
        <v>1081454960</v>
      </c>
      <c r="O9" s="8">
        <v>1087643339</v>
      </c>
      <c r="Q9" s="8">
        <v>0</v>
      </c>
      <c r="S9" s="8">
        <v>1087643339</v>
      </c>
    </row>
    <row r="10" spans="1:19" ht="21" x14ac:dyDescent="0.55000000000000004">
      <c r="A10" s="18" t="s">
        <v>183</v>
      </c>
      <c r="C10" s="16" t="s">
        <v>184</v>
      </c>
      <c r="E10" s="16" t="s">
        <v>182</v>
      </c>
      <c r="G10" s="16">
        <v>10</v>
      </c>
      <c r="I10" s="8">
        <v>1479980</v>
      </c>
      <c r="K10" s="8">
        <v>0</v>
      </c>
      <c r="M10" s="8">
        <v>1479980</v>
      </c>
      <c r="O10" s="8">
        <v>1479980</v>
      </c>
      <c r="Q10" s="8">
        <v>0</v>
      </c>
      <c r="S10" s="8">
        <v>1479980</v>
      </c>
    </row>
    <row r="11" spans="1:19" ht="21" x14ac:dyDescent="0.55000000000000004">
      <c r="A11" s="10" t="s">
        <v>90</v>
      </c>
      <c r="I11" s="10">
        <f>SUM(I9:$I$10)</f>
        <v>1089123319</v>
      </c>
      <c r="K11" s="10">
        <f>SUM(K9:$K$10)</f>
        <v>-6188379</v>
      </c>
      <c r="M11" s="10">
        <f>SUM(M9:$M$10)</f>
        <v>1082934940</v>
      </c>
      <c r="O11" s="10">
        <f>SUM(O9:$O$10)</f>
        <v>1089123319</v>
      </c>
      <c r="Q11" s="10">
        <f>SUM(Q9:$Q$10)</f>
        <v>0</v>
      </c>
      <c r="S11" s="10">
        <f>SUM(S9:$S$10)</f>
        <v>1089123319</v>
      </c>
    </row>
    <row r="12" spans="1:19" ht="21" x14ac:dyDescent="0.55000000000000004">
      <c r="I12" s="12"/>
      <c r="K12" s="12"/>
      <c r="M12" s="12"/>
      <c r="O12" s="12"/>
      <c r="Q12" s="12"/>
      <c r="S12" s="12"/>
    </row>
  </sheetData>
  <mergeCells count="6">
    <mergeCell ref="A1:S1"/>
    <mergeCell ref="A2:S2"/>
    <mergeCell ref="A3:S3"/>
    <mergeCell ref="A5:S5"/>
    <mergeCell ref="I7:M7"/>
    <mergeCell ref="O7:S7"/>
  </mergeCells>
  <pageMargins left="0.7" right="0.7" top="0.75" bottom="0.75" header="0.3" footer="0.3"/>
  <pageSetup paperSize="9" scale="68" fitToHeight="0" orientation="landscape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Q49"/>
  <sheetViews>
    <sheetView rightToLeft="1" view="pageBreakPreview" zoomScale="60" zoomScaleNormal="100" workbookViewId="0">
      <selection activeCell="Q46" sqref="Q46"/>
    </sheetView>
  </sheetViews>
  <sheetFormatPr defaultRowHeight="19.5" x14ac:dyDescent="0.55000000000000004"/>
  <cols>
    <col min="1" max="1" width="33.85546875" style="17" customWidth="1"/>
    <col min="2" max="2" width="1.42578125" style="17" customWidth="1"/>
    <col min="3" max="3" width="12.85546875" style="17" customWidth="1"/>
    <col min="4" max="4" width="1.42578125" style="17" customWidth="1"/>
    <col min="5" max="5" width="17" style="17" customWidth="1"/>
    <col min="6" max="6" width="1.42578125" style="17" customWidth="1"/>
    <col min="7" max="7" width="17" style="17" customWidth="1"/>
    <col min="8" max="8" width="1.42578125" style="17" customWidth="1"/>
    <col min="9" max="9" width="17" style="17" customWidth="1"/>
    <col min="10" max="10" width="1.42578125" style="17" customWidth="1"/>
    <col min="11" max="11" width="12.85546875" style="17" customWidth="1"/>
    <col min="12" max="12" width="1.42578125" style="17" customWidth="1"/>
    <col min="13" max="13" width="17" style="17" customWidth="1"/>
    <col min="14" max="14" width="1.42578125" style="17" customWidth="1"/>
    <col min="15" max="15" width="17" style="17" customWidth="1"/>
    <col min="16" max="16" width="1.42578125" style="17" customWidth="1"/>
    <col min="17" max="17" width="17" style="17" customWidth="1"/>
    <col min="18" max="16384" width="9.140625" style="17"/>
  </cols>
  <sheetData>
    <row r="1" spans="1:17" ht="19.899999999999999" customHeight="1" x14ac:dyDescent="0.55000000000000004">
      <c r="A1" s="40" t="s">
        <v>0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</row>
    <row r="2" spans="1:17" ht="19.899999999999999" customHeight="1" x14ac:dyDescent="0.55000000000000004">
      <c r="A2" s="40" t="s">
        <v>154</v>
      </c>
      <c r="B2" s="36"/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  <c r="N2" s="36"/>
      <c r="O2" s="36"/>
      <c r="P2" s="36"/>
      <c r="Q2" s="36"/>
    </row>
    <row r="3" spans="1:17" ht="19.899999999999999" customHeight="1" x14ac:dyDescent="0.55000000000000004">
      <c r="A3" s="40" t="s">
        <v>2</v>
      </c>
      <c r="B3" s="36"/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</row>
    <row r="5" spans="1:17" ht="21" x14ac:dyDescent="0.55000000000000004">
      <c r="A5" s="41" t="s">
        <v>185</v>
      </c>
      <c r="B5" s="36"/>
      <c r="C5" s="36"/>
      <c r="D5" s="36"/>
      <c r="E5" s="36"/>
      <c r="F5" s="36"/>
      <c r="G5" s="36"/>
      <c r="H5" s="36"/>
      <c r="I5" s="36"/>
      <c r="J5" s="36"/>
      <c r="K5" s="36"/>
      <c r="L5" s="36"/>
      <c r="M5" s="36"/>
      <c r="N5" s="36"/>
      <c r="O5" s="36"/>
      <c r="P5" s="36"/>
      <c r="Q5" s="36"/>
    </row>
    <row r="7" spans="1:17" ht="21" x14ac:dyDescent="0.55000000000000004">
      <c r="C7" s="32" t="s">
        <v>168</v>
      </c>
      <c r="D7" s="33"/>
      <c r="E7" s="33"/>
      <c r="F7" s="33"/>
      <c r="G7" s="33"/>
      <c r="H7" s="33"/>
      <c r="I7" s="33"/>
      <c r="K7" s="32" t="s">
        <v>7</v>
      </c>
      <c r="L7" s="33"/>
      <c r="M7" s="33"/>
      <c r="N7" s="33"/>
      <c r="O7" s="33"/>
      <c r="P7" s="33"/>
      <c r="Q7" s="33"/>
    </row>
    <row r="8" spans="1:17" ht="42" x14ac:dyDescent="0.55000000000000004">
      <c r="A8" s="45" t="s">
        <v>156</v>
      </c>
      <c r="C8" s="13" t="s">
        <v>9</v>
      </c>
      <c r="E8" s="13" t="s">
        <v>11</v>
      </c>
      <c r="G8" s="13" t="s">
        <v>186</v>
      </c>
      <c r="I8" s="13" t="s">
        <v>187</v>
      </c>
      <c r="K8" s="13" t="s">
        <v>9</v>
      </c>
      <c r="M8" s="13" t="s">
        <v>11</v>
      </c>
      <c r="O8" s="13" t="s">
        <v>186</v>
      </c>
      <c r="Q8" s="13" t="s">
        <v>187</v>
      </c>
    </row>
    <row r="9" spans="1:17" ht="21" x14ac:dyDescent="0.55000000000000004">
      <c r="A9" s="18" t="s">
        <v>18</v>
      </c>
      <c r="C9" s="8">
        <v>542000</v>
      </c>
      <c r="E9" s="8">
        <v>275318095</v>
      </c>
      <c r="G9" s="8">
        <v>257445385</v>
      </c>
      <c r="I9" s="8">
        <v>17872710</v>
      </c>
      <c r="K9" s="8">
        <v>542000</v>
      </c>
      <c r="M9" s="8">
        <v>275318095</v>
      </c>
      <c r="O9" s="8">
        <v>257445385</v>
      </c>
      <c r="Q9" s="8">
        <v>17872710</v>
      </c>
    </row>
    <row r="10" spans="1:17" ht="21" x14ac:dyDescent="0.55000000000000004">
      <c r="A10" s="18" t="s">
        <v>19</v>
      </c>
      <c r="C10" s="8">
        <v>3531000</v>
      </c>
      <c r="E10" s="8">
        <v>798637324</v>
      </c>
      <c r="G10" s="8">
        <v>145649675</v>
      </c>
      <c r="I10" s="8">
        <v>652987649</v>
      </c>
      <c r="K10" s="8">
        <v>3531000</v>
      </c>
      <c r="M10" s="8">
        <v>798637324</v>
      </c>
      <c r="O10" s="8">
        <v>145649675</v>
      </c>
      <c r="Q10" s="8">
        <v>652987649</v>
      </c>
    </row>
    <row r="11" spans="1:17" ht="21" x14ac:dyDescent="0.55000000000000004">
      <c r="A11" s="18" t="s">
        <v>20</v>
      </c>
      <c r="C11" s="8">
        <v>7700000</v>
      </c>
      <c r="E11" s="8">
        <v>587094792</v>
      </c>
      <c r="G11" s="8">
        <v>256414819</v>
      </c>
      <c r="I11" s="8">
        <v>330679973</v>
      </c>
      <c r="K11" s="8">
        <v>7700000</v>
      </c>
      <c r="M11" s="8">
        <v>587094792</v>
      </c>
      <c r="O11" s="8">
        <v>256414819</v>
      </c>
      <c r="Q11" s="8">
        <v>330679973</v>
      </c>
    </row>
    <row r="12" spans="1:17" ht="21" x14ac:dyDescent="0.55000000000000004">
      <c r="A12" s="18" t="s">
        <v>22</v>
      </c>
      <c r="C12" s="8"/>
      <c r="E12" s="8"/>
      <c r="G12" s="8"/>
      <c r="I12" s="8">
        <v>798978106</v>
      </c>
      <c r="K12" s="8"/>
      <c r="M12" s="8"/>
      <c r="O12" s="8"/>
      <c r="Q12" s="8">
        <v>798978106</v>
      </c>
    </row>
    <row r="13" spans="1:17" ht="21" x14ac:dyDescent="0.55000000000000004">
      <c r="A13" s="18" t="s">
        <v>23</v>
      </c>
      <c r="C13" s="8">
        <v>1500000</v>
      </c>
      <c r="E13" s="8">
        <v>64903292</v>
      </c>
      <c r="G13" s="8">
        <v>-351767500</v>
      </c>
      <c r="I13" s="8">
        <v>416670792</v>
      </c>
      <c r="K13" s="8">
        <v>1500000</v>
      </c>
      <c r="M13" s="8">
        <v>64903292</v>
      </c>
      <c r="O13" s="8">
        <v>-351767500</v>
      </c>
      <c r="Q13" s="8">
        <v>416670792</v>
      </c>
    </row>
    <row r="14" spans="1:17" ht="21" x14ac:dyDescent="0.55000000000000004">
      <c r="A14" s="18" t="s">
        <v>234</v>
      </c>
      <c r="C14" s="8"/>
      <c r="E14" s="8"/>
      <c r="G14" s="8"/>
      <c r="I14" s="8">
        <v>2539867414</v>
      </c>
      <c r="K14" s="8"/>
      <c r="M14" s="8"/>
      <c r="O14" s="8"/>
      <c r="Q14" s="8">
        <v>2539867414</v>
      </c>
    </row>
    <row r="15" spans="1:17" ht="21" x14ac:dyDescent="0.55000000000000004">
      <c r="A15" s="18" t="s">
        <v>235</v>
      </c>
      <c r="C15" s="8"/>
      <c r="E15" s="8"/>
      <c r="G15" s="8"/>
      <c r="I15" s="8">
        <v>288880900</v>
      </c>
      <c r="K15" s="8"/>
      <c r="M15" s="8"/>
      <c r="O15" s="8"/>
      <c r="Q15" s="8">
        <v>288880900</v>
      </c>
    </row>
    <row r="16" spans="1:17" ht="21" x14ac:dyDescent="0.55000000000000004">
      <c r="A16" s="18" t="s">
        <v>26</v>
      </c>
      <c r="C16" s="8">
        <v>28000000</v>
      </c>
      <c r="E16" s="8">
        <v>2321433191</v>
      </c>
      <c r="G16" s="8">
        <v>1502932284</v>
      </c>
      <c r="I16" s="8">
        <v>818500907</v>
      </c>
      <c r="K16" s="8">
        <v>28000000</v>
      </c>
      <c r="M16" s="8">
        <v>2321433191</v>
      </c>
      <c r="O16" s="8">
        <v>1502932284</v>
      </c>
      <c r="Q16" s="8">
        <v>818500907</v>
      </c>
    </row>
    <row r="17" spans="1:17" ht="21" x14ac:dyDescent="0.55000000000000004">
      <c r="A17" s="18" t="s">
        <v>27</v>
      </c>
      <c r="C17" s="8"/>
      <c r="E17" s="8"/>
      <c r="G17" s="8"/>
      <c r="I17" s="8">
        <v>103932028</v>
      </c>
      <c r="K17" s="8"/>
      <c r="M17" s="8"/>
      <c r="O17" s="8"/>
      <c r="Q17" s="8">
        <v>103932028</v>
      </c>
    </row>
    <row r="18" spans="1:17" ht="21" x14ac:dyDescent="0.55000000000000004">
      <c r="A18" s="18" t="s">
        <v>28</v>
      </c>
      <c r="C18" s="8">
        <v>21751000</v>
      </c>
      <c r="E18" s="8">
        <v>1603768001</v>
      </c>
      <c r="G18" s="8">
        <v>750369242</v>
      </c>
      <c r="I18" s="8">
        <v>853398759</v>
      </c>
      <c r="K18" s="8">
        <v>21751000</v>
      </c>
      <c r="M18" s="8">
        <v>1603768001</v>
      </c>
      <c r="O18" s="8">
        <v>750369242</v>
      </c>
      <c r="Q18" s="8">
        <v>853398759</v>
      </c>
    </row>
    <row r="19" spans="1:17" ht="21" x14ac:dyDescent="0.55000000000000004">
      <c r="A19" s="18" t="s">
        <v>29</v>
      </c>
      <c r="C19" s="8">
        <v>10000000</v>
      </c>
      <c r="E19" s="8">
        <v>5498633758</v>
      </c>
      <c r="G19" s="8">
        <v>3185510161</v>
      </c>
      <c r="I19" s="8">
        <v>2313123597</v>
      </c>
      <c r="K19" s="8">
        <v>10000000</v>
      </c>
      <c r="M19" s="8">
        <v>5498633758</v>
      </c>
      <c r="O19" s="8">
        <v>3185510161</v>
      </c>
      <c r="Q19" s="8">
        <v>2313123597</v>
      </c>
    </row>
    <row r="20" spans="1:17" ht="21" x14ac:dyDescent="0.55000000000000004">
      <c r="A20" s="18" t="s">
        <v>250</v>
      </c>
      <c r="C20" s="8">
        <v>6862000</v>
      </c>
      <c r="E20" s="8">
        <v>2072784133</v>
      </c>
      <c r="G20" s="8">
        <v>1045680441</v>
      </c>
      <c r="I20" s="8">
        <v>1027103692</v>
      </c>
      <c r="K20" s="8">
        <v>6862000</v>
      </c>
      <c r="M20" s="8">
        <v>2072784133</v>
      </c>
      <c r="O20" s="8">
        <v>1045680441</v>
      </c>
      <c r="Q20" s="8">
        <v>1027103692</v>
      </c>
    </row>
    <row r="21" spans="1:17" ht="21" x14ac:dyDescent="0.55000000000000004">
      <c r="A21" s="18" t="s">
        <v>251</v>
      </c>
      <c r="C21" s="8">
        <v>3250000</v>
      </c>
      <c r="E21" s="8">
        <v>659830052</v>
      </c>
      <c r="G21" s="8">
        <v>265616455</v>
      </c>
      <c r="I21" s="8">
        <v>394213597</v>
      </c>
      <c r="K21" s="8">
        <v>3250000</v>
      </c>
      <c r="M21" s="8">
        <v>659830052</v>
      </c>
      <c r="O21" s="8">
        <v>265616455</v>
      </c>
      <c r="Q21" s="8">
        <v>394213597</v>
      </c>
    </row>
    <row r="22" spans="1:17" ht="21" x14ac:dyDescent="0.55000000000000004">
      <c r="A22" s="18" t="s">
        <v>30</v>
      </c>
      <c r="C22" s="8">
        <v>8900000</v>
      </c>
      <c r="E22" s="8">
        <v>3424090157</v>
      </c>
      <c r="G22" s="8">
        <v>3385719773</v>
      </c>
      <c r="I22" s="8">
        <v>38370384</v>
      </c>
      <c r="K22" s="8">
        <v>8900000</v>
      </c>
      <c r="M22" s="8">
        <v>3424090157</v>
      </c>
      <c r="O22" s="8">
        <v>3385719773</v>
      </c>
      <c r="Q22" s="8">
        <v>38370384</v>
      </c>
    </row>
    <row r="23" spans="1:17" ht="21" x14ac:dyDescent="0.55000000000000004">
      <c r="A23" s="18" t="s">
        <v>31</v>
      </c>
      <c r="C23" s="8">
        <v>6000000</v>
      </c>
      <c r="E23" s="8">
        <v>434232180</v>
      </c>
      <c r="G23" s="8">
        <v>311452381</v>
      </c>
      <c r="I23" s="8">
        <v>122779799</v>
      </c>
      <c r="K23" s="8">
        <v>6000000</v>
      </c>
      <c r="M23" s="8">
        <v>434232180</v>
      </c>
      <c r="O23" s="8">
        <v>311452381</v>
      </c>
      <c r="Q23" s="8">
        <v>122779799</v>
      </c>
    </row>
    <row r="24" spans="1:17" ht="21" x14ac:dyDescent="0.55000000000000004">
      <c r="A24" s="18" t="s">
        <v>32</v>
      </c>
      <c r="C24" s="8">
        <v>3301000</v>
      </c>
      <c r="E24" s="8">
        <v>1086767113</v>
      </c>
      <c r="G24" s="8">
        <v>899887094</v>
      </c>
      <c r="I24" s="8">
        <v>186880019</v>
      </c>
      <c r="K24" s="8">
        <v>3301000</v>
      </c>
      <c r="M24" s="8">
        <v>1086767113</v>
      </c>
      <c r="O24" s="8">
        <v>899887094</v>
      </c>
      <c r="Q24" s="8">
        <v>186880019</v>
      </c>
    </row>
    <row r="25" spans="1:17" ht="21" x14ac:dyDescent="0.55000000000000004">
      <c r="A25" s="18" t="s">
        <v>34</v>
      </c>
      <c r="C25" s="8">
        <v>4000000</v>
      </c>
      <c r="E25" s="8">
        <v>1143160582</v>
      </c>
      <c r="G25" s="8">
        <v>-1492454212</v>
      </c>
      <c r="I25" s="8">
        <v>2635614794</v>
      </c>
      <c r="K25" s="8">
        <v>4000000</v>
      </c>
      <c r="M25" s="8">
        <v>1143160582</v>
      </c>
      <c r="O25" s="8">
        <v>-1492454212</v>
      </c>
      <c r="Q25" s="8">
        <v>2635614794</v>
      </c>
    </row>
    <row r="26" spans="1:17" ht="21" x14ac:dyDescent="0.55000000000000004">
      <c r="A26" s="18" t="s">
        <v>45</v>
      </c>
      <c r="C26" s="8">
        <v>800000</v>
      </c>
      <c r="E26" s="8">
        <v>6202872074</v>
      </c>
      <c r="G26" s="8">
        <v>5195551274</v>
      </c>
      <c r="I26" s="8">
        <v>1007320800</v>
      </c>
      <c r="K26" s="8">
        <v>800000</v>
      </c>
      <c r="M26" s="8">
        <v>6202872074</v>
      </c>
      <c r="O26" s="8">
        <v>5195551274</v>
      </c>
      <c r="Q26" s="8">
        <v>1007320800</v>
      </c>
    </row>
    <row r="27" spans="1:17" ht="21" x14ac:dyDescent="0.55000000000000004">
      <c r="A27" s="18" t="s">
        <v>46</v>
      </c>
      <c r="C27" s="8">
        <v>200000</v>
      </c>
      <c r="E27" s="8">
        <v>6057123374</v>
      </c>
      <c r="G27" s="8">
        <v>5154673574</v>
      </c>
      <c r="I27" s="8">
        <v>902449800</v>
      </c>
      <c r="K27" s="8">
        <v>200000</v>
      </c>
      <c r="M27" s="8">
        <v>6057123374</v>
      </c>
      <c r="O27" s="8">
        <v>5154673574</v>
      </c>
      <c r="Q27" s="8">
        <v>902449800</v>
      </c>
    </row>
    <row r="28" spans="1:17" ht="21" x14ac:dyDescent="0.55000000000000004">
      <c r="A28" s="18" t="s">
        <v>47</v>
      </c>
      <c r="C28" s="8">
        <v>297500</v>
      </c>
      <c r="E28" s="8">
        <v>8457874509</v>
      </c>
      <c r="G28" s="8">
        <v>5576979739</v>
      </c>
      <c r="I28" s="8">
        <v>2880894770</v>
      </c>
      <c r="K28" s="8">
        <v>297500</v>
      </c>
      <c r="M28" s="8">
        <v>8457874509</v>
      </c>
      <c r="O28" s="8">
        <v>5576979739</v>
      </c>
      <c r="Q28" s="8">
        <v>2880894770</v>
      </c>
    </row>
    <row r="29" spans="1:17" ht="21" x14ac:dyDescent="0.55000000000000004">
      <c r="A29" s="18" t="s">
        <v>51</v>
      </c>
      <c r="C29" s="8">
        <v>24869520</v>
      </c>
      <c r="E29" s="8">
        <v>29276157072</v>
      </c>
      <c r="G29" s="8">
        <v>29713114579</v>
      </c>
      <c r="I29" s="8">
        <v>-436957507</v>
      </c>
      <c r="K29" s="8">
        <v>24869520</v>
      </c>
      <c r="M29" s="8">
        <v>29276157072</v>
      </c>
      <c r="O29" s="8">
        <v>29713114579</v>
      </c>
      <c r="Q29" s="8">
        <v>-436957507</v>
      </c>
    </row>
    <row r="30" spans="1:17" ht="21" x14ac:dyDescent="0.55000000000000004">
      <c r="A30" s="18" t="s">
        <v>56</v>
      </c>
      <c r="C30" s="8">
        <v>1183146</v>
      </c>
      <c r="E30" s="8">
        <v>12796435204</v>
      </c>
      <c r="G30" s="8">
        <v>10249618764</v>
      </c>
      <c r="I30" s="8">
        <v>2546816440</v>
      </c>
      <c r="K30" s="8">
        <v>1183146</v>
      </c>
      <c r="M30" s="8">
        <v>12796435204</v>
      </c>
      <c r="O30" s="8">
        <v>10249618764</v>
      </c>
      <c r="Q30" s="8">
        <v>2546816440</v>
      </c>
    </row>
    <row r="31" spans="1:17" ht="21" x14ac:dyDescent="0.55000000000000004">
      <c r="A31" s="18" t="s">
        <v>232</v>
      </c>
      <c r="C31" s="8"/>
      <c r="E31" s="24">
        <f>SUM(E9:E30)</f>
        <v>82761114903</v>
      </c>
      <c r="G31" s="24">
        <f>SUM(G9:G30)</f>
        <v>66052393928</v>
      </c>
      <c r="I31" s="24">
        <f>SUM(I9:I30)</f>
        <v>20440379423</v>
      </c>
      <c r="K31" s="8"/>
      <c r="M31" s="24">
        <f>SUM(M9:M30)</f>
        <v>82761114903</v>
      </c>
      <c r="O31" s="24">
        <f>SUM(O9:O30)</f>
        <v>66052393928</v>
      </c>
      <c r="Q31" s="24">
        <f>SUM(Q9:Q30)</f>
        <v>20440379423</v>
      </c>
    </row>
    <row r="32" spans="1:17" ht="19.899999999999999" customHeight="1" x14ac:dyDescent="0.55000000000000004">
      <c r="A32" s="40" t="s">
        <v>0</v>
      </c>
      <c r="B32" s="36"/>
      <c r="C32" s="36"/>
      <c r="D32" s="36"/>
      <c r="E32" s="36"/>
      <c r="F32" s="36"/>
      <c r="G32" s="36"/>
      <c r="H32" s="36"/>
      <c r="I32" s="36"/>
      <c r="J32" s="36"/>
      <c r="K32" s="36"/>
      <c r="L32" s="36"/>
      <c r="M32" s="36"/>
      <c r="N32" s="36"/>
      <c r="O32" s="36"/>
      <c r="P32" s="36"/>
      <c r="Q32" s="36"/>
    </row>
    <row r="33" spans="1:17" ht="19.899999999999999" customHeight="1" x14ac:dyDescent="0.55000000000000004">
      <c r="A33" s="40" t="s">
        <v>154</v>
      </c>
      <c r="B33" s="36"/>
      <c r="C33" s="36"/>
      <c r="D33" s="36"/>
      <c r="E33" s="36"/>
      <c r="F33" s="36"/>
      <c r="G33" s="36"/>
      <c r="H33" s="36"/>
      <c r="I33" s="36"/>
      <c r="J33" s="36"/>
      <c r="K33" s="36"/>
      <c r="L33" s="36"/>
      <c r="M33" s="36"/>
      <c r="N33" s="36"/>
      <c r="O33" s="36"/>
      <c r="P33" s="36"/>
      <c r="Q33" s="36"/>
    </row>
    <row r="34" spans="1:17" ht="19.899999999999999" customHeight="1" x14ac:dyDescent="0.55000000000000004">
      <c r="A34" s="40" t="s">
        <v>2</v>
      </c>
      <c r="B34" s="36"/>
      <c r="C34" s="36"/>
      <c r="D34" s="36"/>
      <c r="E34" s="36"/>
      <c r="F34" s="36"/>
      <c r="G34" s="36"/>
      <c r="H34" s="36"/>
      <c r="I34" s="36"/>
      <c r="J34" s="36"/>
      <c r="K34" s="36"/>
      <c r="L34" s="36"/>
      <c r="M34" s="36"/>
      <c r="N34" s="36"/>
      <c r="O34" s="36"/>
      <c r="P34" s="36"/>
      <c r="Q34" s="36"/>
    </row>
    <row r="36" spans="1:17" ht="21" x14ac:dyDescent="0.55000000000000004">
      <c r="A36" s="41" t="s">
        <v>185</v>
      </c>
      <c r="B36" s="36"/>
      <c r="C36" s="36"/>
      <c r="D36" s="36"/>
      <c r="E36" s="36"/>
      <c r="F36" s="36"/>
      <c r="G36" s="36"/>
      <c r="H36" s="36"/>
      <c r="I36" s="36"/>
      <c r="J36" s="36"/>
      <c r="K36" s="36"/>
      <c r="L36" s="36"/>
      <c r="M36" s="36"/>
      <c r="N36" s="36"/>
      <c r="O36" s="36"/>
      <c r="P36" s="36"/>
      <c r="Q36" s="36"/>
    </row>
    <row r="38" spans="1:17" ht="21" x14ac:dyDescent="0.55000000000000004">
      <c r="C38" s="32" t="s">
        <v>168</v>
      </c>
      <c r="D38" s="33"/>
      <c r="E38" s="33"/>
      <c r="F38" s="33"/>
      <c r="G38" s="33"/>
      <c r="H38" s="33"/>
      <c r="I38" s="33"/>
      <c r="K38" s="32" t="s">
        <v>7</v>
      </c>
      <c r="L38" s="33"/>
      <c r="M38" s="33"/>
      <c r="N38" s="33"/>
      <c r="O38" s="33"/>
      <c r="P38" s="33"/>
      <c r="Q38" s="33"/>
    </row>
    <row r="39" spans="1:17" ht="42" x14ac:dyDescent="0.55000000000000004">
      <c r="A39" s="45" t="s">
        <v>156</v>
      </c>
      <c r="C39" s="13" t="s">
        <v>9</v>
      </c>
      <c r="E39" s="13" t="s">
        <v>11</v>
      </c>
      <c r="G39" s="13" t="s">
        <v>186</v>
      </c>
      <c r="I39" s="13" t="s">
        <v>187</v>
      </c>
      <c r="K39" s="13" t="s">
        <v>9</v>
      </c>
      <c r="M39" s="13" t="s">
        <v>11</v>
      </c>
      <c r="O39" s="13" t="s">
        <v>186</v>
      </c>
      <c r="Q39" s="13" t="s">
        <v>187</v>
      </c>
    </row>
    <row r="40" spans="1:17" ht="21" x14ac:dyDescent="0.55000000000000004">
      <c r="A40" s="18" t="s">
        <v>233</v>
      </c>
      <c r="C40" s="8"/>
      <c r="D40" s="8"/>
      <c r="E40" s="8">
        <f>E31</f>
        <v>82761114903</v>
      </c>
      <c r="F40" s="8"/>
      <c r="G40" s="8">
        <f>G31</f>
        <v>66052393928</v>
      </c>
      <c r="H40" s="8"/>
      <c r="I40" s="8">
        <f>I31</f>
        <v>20440379423</v>
      </c>
      <c r="J40" s="8"/>
      <c r="K40" s="8"/>
      <c r="L40" s="8"/>
      <c r="M40" s="8">
        <f>M31</f>
        <v>82761114903</v>
      </c>
      <c r="N40" s="8"/>
      <c r="O40" s="8">
        <f>O31</f>
        <v>66052393928</v>
      </c>
      <c r="P40" s="8"/>
      <c r="Q40" s="8">
        <f>Q31</f>
        <v>20440379423</v>
      </c>
    </row>
    <row r="41" spans="1:17" ht="21" x14ac:dyDescent="0.55000000000000004">
      <c r="A41" s="18" t="s">
        <v>58</v>
      </c>
      <c r="C41" s="8">
        <v>250001</v>
      </c>
      <c r="E41" s="8">
        <v>2268928246</v>
      </c>
      <c r="G41" s="8">
        <v>1695510503</v>
      </c>
      <c r="I41" s="8">
        <v>573417743</v>
      </c>
      <c r="K41" s="8">
        <v>250001</v>
      </c>
      <c r="M41" s="8">
        <v>2268928246</v>
      </c>
      <c r="O41" s="8">
        <v>1695510503</v>
      </c>
      <c r="Q41" s="8">
        <v>573417743</v>
      </c>
    </row>
    <row r="42" spans="1:17" ht="21" x14ac:dyDescent="0.55000000000000004">
      <c r="A42" s="18" t="s">
        <v>59</v>
      </c>
      <c r="C42" s="8">
        <v>6000000</v>
      </c>
      <c r="E42" s="8">
        <v>17730347176</v>
      </c>
      <c r="G42" s="8">
        <v>15234052931</v>
      </c>
      <c r="I42" s="8">
        <v>2496294245</v>
      </c>
      <c r="K42" s="8">
        <v>6000000</v>
      </c>
      <c r="M42" s="8">
        <v>17730347176</v>
      </c>
      <c r="O42" s="8">
        <v>15234052931</v>
      </c>
      <c r="Q42" s="8">
        <v>2496294245</v>
      </c>
    </row>
    <row r="43" spans="1:17" ht="21" x14ac:dyDescent="0.55000000000000004">
      <c r="A43" s="18" t="s">
        <v>60</v>
      </c>
      <c r="C43" s="8">
        <v>1399204</v>
      </c>
      <c r="E43" s="8">
        <v>15439906715</v>
      </c>
      <c r="G43" s="8">
        <v>12634123471</v>
      </c>
      <c r="I43" s="8">
        <v>2805783244</v>
      </c>
      <c r="K43" s="8">
        <v>1399204</v>
      </c>
      <c r="M43" s="8">
        <v>15439906715</v>
      </c>
      <c r="O43" s="8">
        <v>12634123471</v>
      </c>
      <c r="Q43" s="8">
        <v>2805783244</v>
      </c>
    </row>
    <row r="44" spans="1:17" ht="21" x14ac:dyDescent="0.55000000000000004">
      <c r="A44" s="18" t="s">
        <v>66</v>
      </c>
      <c r="C44" s="8">
        <v>100000</v>
      </c>
      <c r="E44" s="8">
        <v>596430000</v>
      </c>
      <c r="G44" s="8">
        <v>536199150</v>
      </c>
      <c r="I44" s="8">
        <v>60230850</v>
      </c>
      <c r="K44" s="8">
        <v>100000</v>
      </c>
      <c r="M44" s="8">
        <v>596430000</v>
      </c>
      <c r="O44" s="8">
        <v>536199150</v>
      </c>
      <c r="Q44" s="8">
        <v>60230850</v>
      </c>
    </row>
    <row r="45" spans="1:17" ht="21" x14ac:dyDescent="0.55000000000000004">
      <c r="A45" s="18" t="s">
        <v>86</v>
      </c>
      <c r="C45" s="8">
        <v>100000</v>
      </c>
      <c r="E45" s="8">
        <v>3852583133</v>
      </c>
      <c r="G45" s="8">
        <v>3104736031</v>
      </c>
      <c r="I45" s="8">
        <v>747847102</v>
      </c>
      <c r="K45" s="8">
        <v>100000</v>
      </c>
      <c r="M45" s="8">
        <v>3852583133</v>
      </c>
      <c r="O45" s="8">
        <v>3104736031</v>
      </c>
      <c r="Q45" s="8">
        <v>747847102</v>
      </c>
    </row>
    <row r="46" spans="1:17" ht="21" x14ac:dyDescent="0.55000000000000004">
      <c r="A46" s="10" t="s">
        <v>90</v>
      </c>
      <c r="C46" s="21"/>
      <c r="E46" s="10">
        <f>SUM(E40:E45)</f>
        <v>122649310173</v>
      </c>
      <c r="G46" s="10">
        <f>SUM(G40:G45)</f>
        <v>99257016014</v>
      </c>
      <c r="I46" s="10">
        <f>SUM(I40:I45)</f>
        <v>27123952607</v>
      </c>
      <c r="K46" s="21"/>
      <c r="M46" s="10">
        <f>SUM(M40:M45)</f>
        <v>122649310173</v>
      </c>
      <c r="O46" s="10">
        <f>SUM(O40:O45)</f>
        <v>99257016014</v>
      </c>
      <c r="Q46" s="10">
        <f>SUM(Q40:Q45)</f>
        <v>27123952607</v>
      </c>
    </row>
    <row r="47" spans="1:17" ht="21" x14ac:dyDescent="0.55000000000000004">
      <c r="C47" s="21"/>
      <c r="E47" s="12"/>
      <c r="G47" s="12"/>
      <c r="I47" s="12"/>
      <c r="K47" s="21"/>
      <c r="M47" s="12"/>
      <c r="O47" s="12"/>
      <c r="Q47" s="12"/>
    </row>
    <row r="49" spans="1:17" ht="21" x14ac:dyDescent="0.55000000000000004">
      <c r="A49" s="46" t="s">
        <v>188</v>
      </c>
      <c r="B49" s="47"/>
      <c r="C49" s="47"/>
      <c r="D49" s="47"/>
      <c r="E49" s="47"/>
      <c r="F49" s="47"/>
      <c r="G49" s="47"/>
      <c r="H49" s="47"/>
      <c r="I49" s="47"/>
      <c r="J49" s="47"/>
      <c r="K49" s="47"/>
      <c r="L49" s="47"/>
      <c r="M49" s="47"/>
      <c r="N49" s="47"/>
      <c r="O49" s="47"/>
      <c r="P49" s="47"/>
      <c r="Q49" s="48"/>
    </row>
  </sheetData>
  <mergeCells count="13">
    <mergeCell ref="A49:Q49"/>
    <mergeCell ref="A1:Q1"/>
    <mergeCell ref="A2:Q2"/>
    <mergeCell ref="A3:Q3"/>
    <mergeCell ref="A5:Q5"/>
    <mergeCell ref="C7:I7"/>
    <mergeCell ref="K7:Q7"/>
    <mergeCell ref="A32:Q32"/>
    <mergeCell ref="A33:Q33"/>
    <mergeCell ref="A34:Q34"/>
    <mergeCell ref="A36:Q36"/>
    <mergeCell ref="C38:I38"/>
    <mergeCell ref="K38:Q38"/>
  </mergeCells>
  <pageMargins left="0.7" right="0.7" top="0.75" bottom="0.75" header="0.3" footer="0.3"/>
  <pageSetup paperSize="9" scale="75" fitToHeight="0" orientation="landscape" r:id="rId1"/>
  <rowBreaks count="1" manualBreakCount="1">
    <brk id="31" max="16" man="1"/>
  </rowBreak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Q114"/>
  <sheetViews>
    <sheetView rightToLeft="1" view="pageBreakPreview" zoomScale="60" zoomScaleNormal="100" workbookViewId="0">
      <selection activeCell="Q111" sqref="Q111"/>
    </sheetView>
  </sheetViews>
  <sheetFormatPr defaultRowHeight="19.5" x14ac:dyDescent="0.55000000000000004"/>
  <cols>
    <col min="1" max="1" width="39.5703125" style="17" customWidth="1"/>
    <col min="2" max="2" width="1.42578125" style="17" customWidth="1"/>
    <col min="3" max="3" width="14.140625" style="17" customWidth="1"/>
    <col min="4" max="4" width="1.42578125" style="17" customWidth="1"/>
    <col min="5" max="5" width="17" style="17" customWidth="1"/>
    <col min="6" max="6" width="1.42578125" style="17" customWidth="1"/>
    <col min="7" max="7" width="17" style="17" customWidth="1"/>
    <col min="8" max="8" width="1.42578125" style="17" customWidth="1"/>
    <col min="9" max="9" width="17" style="17" customWidth="1"/>
    <col min="10" max="10" width="1.42578125" style="17" customWidth="1"/>
    <col min="11" max="11" width="14.140625" style="17" customWidth="1"/>
    <col min="12" max="12" width="1.42578125" style="17" customWidth="1"/>
    <col min="13" max="13" width="17" style="17" customWidth="1"/>
    <col min="14" max="14" width="1.42578125" style="17" customWidth="1"/>
    <col min="15" max="15" width="17" style="17" customWidth="1"/>
    <col min="16" max="16" width="1.42578125" style="17" customWidth="1"/>
    <col min="17" max="17" width="17" style="17" customWidth="1"/>
    <col min="18" max="16384" width="9.140625" style="17"/>
  </cols>
  <sheetData>
    <row r="1" spans="1:17" ht="19.899999999999999" customHeight="1" x14ac:dyDescent="0.55000000000000004">
      <c r="A1" s="40" t="s">
        <v>0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</row>
    <row r="2" spans="1:17" ht="19.899999999999999" customHeight="1" x14ac:dyDescent="0.55000000000000004">
      <c r="A2" s="40" t="s">
        <v>154</v>
      </c>
      <c r="B2" s="36"/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  <c r="N2" s="36"/>
      <c r="O2" s="36"/>
      <c r="P2" s="36"/>
      <c r="Q2" s="36"/>
    </row>
    <row r="3" spans="1:17" ht="19.899999999999999" customHeight="1" x14ac:dyDescent="0.55000000000000004">
      <c r="A3" s="40" t="s">
        <v>2</v>
      </c>
      <c r="B3" s="36"/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</row>
    <row r="5" spans="1:17" ht="21" x14ac:dyDescent="0.55000000000000004">
      <c r="A5" s="41" t="s">
        <v>189</v>
      </c>
      <c r="B5" s="36"/>
      <c r="C5" s="36"/>
      <c r="D5" s="36"/>
      <c r="E5" s="36"/>
      <c r="F5" s="36"/>
      <c r="G5" s="36"/>
      <c r="H5" s="36"/>
      <c r="I5" s="36"/>
      <c r="J5" s="36"/>
      <c r="K5" s="36"/>
      <c r="L5" s="36"/>
      <c r="M5" s="36"/>
      <c r="N5" s="36"/>
      <c r="O5" s="36"/>
      <c r="P5" s="36"/>
      <c r="Q5" s="36"/>
    </row>
    <row r="7" spans="1:17" ht="21" x14ac:dyDescent="0.55000000000000004">
      <c r="C7" s="32" t="s">
        <v>168</v>
      </c>
      <c r="D7" s="33"/>
      <c r="E7" s="33"/>
      <c r="F7" s="33"/>
      <c r="G7" s="33"/>
      <c r="H7" s="33"/>
      <c r="I7" s="33"/>
      <c r="K7" s="32" t="s">
        <v>7</v>
      </c>
      <c r="L7" s="33"/>
      <c r="M7" s="33"/>
      <c r="N7" s="33"/>
      <c r="O7" s="33"/>
      <c r="P7" s="33"/>
      <c r="Q7" s="33"/>
    </row>
    <row r="8" spans="1:17" ht="42" x14ac:dyDescent="0.55000000000000004">
      <c r="A8" s="45" t="s">
        <v>156</v>
      </c>
      <c r="C8" s="13" t="s">
        <v>9</v>
      </c>
      <c r="E8" s="13" t="s">
        <v>11</v>
      </c>
      <c r="G8" s="13" t="s">
        <v>186</v>
      </c>
      <c r="I8" s="13" t="s">
        <v>190</v>
      </c>
      <c r="K8" s="13" t="s">
        <v>9</v>
      </c>
      <c r="M8" s="13" t="s">
        <v>11</v>
      </c>
      <c r="O8" s="13" t="s">
        <v>186</v>
      </c>
      <c r="Q8" s="13" t="s">
        <v>190</v>
      </c>
    </row>
    <row r="9" spans="1:17" ht="21" x14ac:dyDescent="0.55000000000000004">
      <c r="A9" s="18" t="s">
        <v>17</v>
      </c>
      <c r="C9" s="8">
        <v>467651</v>
      </c>
      <c r="E9" s="8">
        <v>3207592488</v>
      </c>
      <c r="G9" s="8">
        <v>2858941131</v>
      </c>
      <c r="I9" s="8">
        <v>348651357</v>
      </c>
      <c r="K9" s="8">
        <v>467651</v>
      </c>
      <c r="M9" s="8">
        <v>3207592488</v>
      </c>
      <c r="O9" s="8">
        <v>2858941131</v>
      </c>
      <c r="Q9" s="8">
        <v>348651357</v>
      </c>
    </row>
    <row r="10" spans="1:17" ht="21" x14ac:dyDescent="0.55000000000000004">
      <c r="A10" s="18" t="s">
        <v>234</v>
      </c>
      <c r="C10" s="8"/>
      <c r="E10" s="8"/>
      <c r="G10" s="8"/>
      <c r="I10" s="8">
        <v>322177018</v>
      </c>
      <c r="K10" s="8"/>
      <c r="M10" s="8"/>
      <c r="O10" s="8"/>
      <c r="Q10" s="8">
        <v>322177018</v>
      </c>
    </row>
    <row r="11" spans="1:17" ht="21" x14ac:dyDescent="0.55000000000000004">
      <c r="A11" s="18" t="s">
        <v>235</v>
      </c>
      <c r="C11" s="8"/>
      <c r="E11" s="8"/>
      <c r="G11" s="8"/>
      <c r="I11" s="8">
        <v>136568824</v>
      </c>
      <c r="K11" s="8"/>
      <c r="M11" s="8"/>
      <c r="O11" s="8"/>
      <c r="Q11" s="8">
        <v>136568824</v>
      </c>
    </row>
    <row r="12" spans="1:17" ht="21" x14ac:dyDescent="0.55000000000000004">
      <c r="A12" s="18" t="s">
        <v>237</v>
      </c>
      <c r="C12" s="8"/>
      <c r="E12" s="8"/>
      <c r="G12" s="8"/>
      <c r="I12" s="8">
        <v>-11996910</v>
      </c>
      <c r="K12" s="8"/>
      <c r="M12" s="8"/>
      <c r="O12" s="8"/>
      <c r="Q12" s="8">
        <v>-11996910</v>
      </c>
    </row>
    <row r="13" spans="1:17" ht="21" x14ac:dyDescent="0.55000000000000004">
      <c r="A13" s="18" t="s">
        <v>236</v>
      </c>
      <c r="C13" s="8"/>
      <c r="E13" s="8"/>
      <c r="G13" s="8"/>
      <c r="I13" s="8">
        <v>-1999485</v>
      </c>
      <c r="K13" s="8"/>
      <c r="M13" s="8"/>
      <c r="O13" s="8"/>
      <c r="Q13" s="8">
        <v>-1999485</v>
      </c>
    </row>
    <row r="14" spans="1:17" ht="21" x14ac:dyDescent="0.55000000000000004">
      <c r="A14" s="18" t="s">
        <v>244</v>
      </c>
      <c r="C14" s="8"/>
      <c r="E14" s="8"/>
      <c r="G14" s="8"/>
      <c r="I14" s="8">
        <v>-9760486</v>
      </c>
      <c r="K14" s="8"/>
      <c r="M14" s="8"/>
      <c r="O14" s="8"/>
      <c r="Q14" s="8">
        <v>-9760486</v>
      </c>
    </row>
    <row r="15" spans="1:17" ht="21" x14ac:dyDescent="0.55000000000000004">
      <c r="A15" s="18" t="s">
        <v>238</v>
      </c>
      <c r="C15" s="8"/>
      <c r="E15" s="8"/>
      <c r="G15" s="8"/>
      <c r="I15" s="8">
        <v>552857603</v>
      </c>
      <c r="K15" s="8"/>
      <c r="M15" s="8"/>
      <c r="O15" s="8"/>
      <c r="Q15" s="8">
        <v>552857603</v>
      </c>
    </row>
    <row r="16" spans="1:17" ht="21" x14ac:dyDescent="0.55000000000000004">
      <c r="A16" s="18" t="s">
        <v>241</v>
      </c>
      <c r="C16" s="8"/>
      <c r="E16" s="8"/>
      <c r="G16" s="8"/>
      <c r="I16" s="8">
        <v>18005293</v>
      </c>
      <c r="K16" s="8"/>
      <c r="M16" s="8"/>
      <c r="O16" s="8"/>
      <c r="Q16" s="8">
        <v>18005293</v>
      </c>
    </row>
    <row r="17" spans="1:17" ht="21" x14ac:dyDescent="0.55000000000000004">
      <c r="A17" s="18" t="s">
        <v>242</v>
      </c>
      <c r="C17" s="8"/>
      <c r="E17" s="8"/>
      <c r="G17" s="8"/>
      <c r="I17" s="8">
        <v>-3898996</v>
      </c>
      <c r="K17" s="8"/>
      <c r="M17" s="8"/>
      <c r="O17" s="8"/>
      <c r="Q17" s="8">
        <v>-3898996</v>
      </c>
    </row>
    <row r="18" spans="1:17" ht="21" x14ac:dyDescent="0.55000000000000004">
      <c r="A18" s="18" t="s">
        <v>239</v>
      </c>
      <c r="C18" s="8"/>
      <c r="E18" s="8"/>
      <c r="G18" s="8"/>
      <c r="I18" s="8">
        <v>-3551085</v>
      </c>
      <c r="K18" s="8"/>
      <c r="M18" s="8"/>
      <c r="O18" s="8"/>
      <c r="Q18" s="8">
        <v>-3551085</v>
      </c>
    </row>
    <row r="19" spans="1:17" ht="21" x14ac:dyDescent="0.55000000000000004">
      <c r="A19" s="18" t="s">
        <v>240</v>
      </c>
      <c r="C19" s="8"/>
      <c r="E19" s="8"/>
      <c r="G19" s="8"/>
      <c r="I19" s="8">
        <v>-2469364</v>
      </c>
      <c r="K19" s="8"/>
      <c r="M19" s="8"/>
      <c r="O19" s="8"/>
      <c r="Q19" s="8">
        <v>-2469364</v>
      </c>
    </row>
    <row r="20" spans="1:17" ht="21" x14ac:dyDescent="0.55000000000000004">
      <c r="A20" s="18" t="s">
        <v>243</v>
      </c>
      <c r="C20" s="8"/>
      <c r="E20" s="8"/>
      <c r="G20" s="8"/>
      <c r="I20" s="8">
        <v>-79979</v>
      </c>
      <c r="K20" s="8"/>
      <c r="M20" s="8"/>
      <c r="O20" s="8"/>
      <c r="Q20" s="8">
        <v>-79979</v>
      </c>
    </row>
    <row r="21" spans="1:17" ht="21" x14ac:dyDescent="0.55000000000000004">
      <c r="A21" s="18" t="s">
        <v>33</v>
      </c>
      <c r="C21" s="8"/>
      <c r="E21" s="8"/>
      <c r="G21" s="8"/>
      <c r="I21" s="8">
        <v>181246500</v>
      </c>
      <c r="K21" s="8"/>
      <c r="M21" s="8"/>
      <c r="O21" s="8"/>
      <c r="Q21" s="8">
        <v>181246500</v>
      </c>
    </row>
    <row r="22" spans="1:17" ht="21" x14ac:dyDescent="0.55000000000000004">
      <c r="A22" s="18" t="s">
        <v>32</v>
      </c>
      <c r="C22" s="8"/>
      <c r="E22" s="8"/>
      <c r="G22" s="8"/>
      <c r="I22" s="8">
        <v>114704843</v>
      </c>
      <c r="K22" s="8"/>
      <c r="M22" s="8"/>
      <c r="O22" s="8"/>
      <c r="Q22" s="8">
        <v>114704843</v>
      </c>
    </row>
    <row r="23" spans="1:17" ht="21" x14ac:dyDescent="0.55000000000000004">
      <c r="A23" s="18" t="s">
        <v>22</v>
      </c>
      <c r="C23" s="8"/>
      <c r="E23" s="8"/>
      <c r="G23" s="8"/>
      <c r="I23" s="8">
        <v>26803097</v>
      </c>
      <c r="K23" s="8"/>
      <c r="M23" s="8"/>
      <c r="O23" s="8"/>
      <c r="Q23" s="8">
        <v>26803097</v>
      </c>
    </row>
    <row r="24" spans="1:17" ht="21" x14ac:dyDescent="0.55000000000000004">
      <c r="A24" s="18" t="s">
        <v>23</v>
      </c>
      <c r="C24" s="8"/>
      <c r="E24" s="8"/>
      <c r="G24" s="8"/>
      <c r="I24" s="8">
        <v>25493434</v>
      </c>
      <c r="K24" s="8"/>
      <c r="M24" s="8"/>
      <c r="O24" s="8"/>
      <c r="Q24" s="8">
        <v>25493434</v>
      </c>
    </row>
    <row r="25" spans="1:17" ht="21" x14ac:dyDescent="0.55000000000000004">
      <c r="A25" s="18" t="s">
        <v>21</v>
      </c>
      <c r="C25" s="8"/>
      <c r="E25" s="8"/>
      <c r="G25" s="8"/>
      <c r="I25" s="8">
        <v>86140542</v>
      </c>
      <c r="K25" s="8"/>
      <c r="M25" s="8"/>
      <c r="O25" s="8"/>
      <c r="Q25" s="8">
        <v>86140542</v>
      </c>
    </row>
    <row r="26" spans="1:17" ht="21" x14ac:dyDescent="0.55000000000000004">
      <c r="A26" s="18" t="s">
        <v>30</v>
      </c>
      <c r="C26" s="8"/>
      <c r="E26" s="8"/>
      <c r="G26" s="8"/>
      <c r="I26" s="8">
        <v>447883931</v>
      </c>
      <c r="K26" s="8"/>
      <c r="M26" s="8"/>
      <c r="O26" s="8"/>
      <c r="Q26" s="8">
        <v>447883931</v>
      </c>
    </row>
    <row r="27" spans="1:17" ht="21" x14ac:dyDescent="0.55000000000000004">
      <c r="A27" s="18" t="s">
        <v>31</v>
      </c>
      <c r="C27" s="8"/>
      <c r="E27" s="8"/>
      <c r="G27" s="8"/>
      <c r="I27" s="8">
        <v>-13181605</v>
      </c>
      <c r="K27" s="8"/>
      <c r="M27" s="8"/>
      <c r="O27" s="8"/>
      <c r="Q27" s="8">
        <v>-13181605</v>
      </c>
    </row>
    <row r="28" spans="1:17" ht="21" x14ac:dyDescent="0.55000000000000004">
      <c r="A28" s="18" t="s">
        <v>34</v>
      </c>
      <c r="C28" s="8"/>
      <c r="E28" s="8"/>
      <c r="G28" s="8"/>
      <c r="I28" s="8">
        <v>-24993562</v>
      </c>
      <c r="K28" s="8"/>
      <c r="M28" s="8"/>
      <c r="O28" s="8"/>
      <c r="Q28" s="8">
        <v>-24993562</v>
      </c>
    </row>
    <row r="29" spans="1:17" ht="21" x14ac:dyDescent="0.55000000000000004">
      <c r="A29" s="18" t="s">
        <v>35</v>
      </c>
      <c r="C29" s="8"/>
      <c r="E29" s="8"/>
      <c r="G29" s="8"/>
      <c r="I29" s="8">
        <v>21015193</v>
      </c>
      <c r="K29" s="8"/>
      <c r="M29" s="8"/>
      <c r="O29" s="8"/>
      <c r="Q29" s="8">
        <v>21015193</v>
      </c>
    </row>
    <row r="30" spans="1:17" ht="21" x14ac:dyDescent="0.55000000000000004">
      <c r="A30" s="18" t="s">
        <v>36</v>
      </c>
      <c r="C30" s="8">
        <v>2000000</v>
      </c>
      <c r="E30" s="8">
        <v>10039905000</v>
      </c>
      <c r="G30" s="8">
        <v>9081640800</v>
      </c>
      <c r="I30" s="8">
        <v>958264200</v>
      </c>
      <c r="K30" s="8">
        <v>2000000</v>
      </c>
      <c r="M30" s="8">
        <v>10039905000</v>
      </c>
      <c r="O30" s="8">
        <v>9081640800</v>
      </c>
      <c r="Q30" s="8">
        <v>958264200</v>
      </c>
    </row>
    <row r="31" spans="1:17" ht="21" x14ac:dyDescent="0.55000000000000004">
      <c r="A31" s="18" t="s">
        <v>37</v>
      </c>
      <c r="C31" s="8">
        <v>7726948</v>
      </c>
      <c r="E31" s="8">
        <v>27113833488</v>
      </c>
      <c r="G31" s="8">
        <v>26499355675</v>
      </c>
      <c r="I31" s="8">
        <v>614477813</v>
      </c>
      <c r="K31" s="8">
        <v>7726948</v>
      </c>
      <c r="M31" s="8">
        <v>27113833488</v>
      </c>
      <c r="O31" s="8">
        <v>26499355675</v>
      </c>
      <c r="Q31" s="8">
        <v>614477813</v>
      </c>
    </row>
    <row r="32" spans="1:17" ht="21" x14ac:dyDescent="0.55000000000000004">
      <c r="A32" s="18" t="s">
        <v>232</v>
      </c>
      <c r="C32" s="8"/>
      <c r="E32" s="24">
        <f>SUM(E9:E31)</f>
        <v>40361330976</v>
      </c>
      <c r="G32" s="24">
        <f>SUM(G9:G31)</f>
        <v>38439937606</v>
      </c>
      <c r="I32" s="24">
        <f>SUM(I9:I31)</f>
        <v>3782358176</v>
      </c>
      <c r="K32" s="8"/>
      <c r="M32" s="24">
        <f>SUM(M9:M31)</f>
        <v>40361330976</v>
      </c>
      <c r="O32" s="24">
        <f>SUM(O9:O31)</f>
        <v>38439937606</v>
      </c>
      <c r="Q32" s="24">
        <f>SUM(Q9:Q31)</f>
        <v>3782358176</v>
      </c>
    </row>
    <row r="33" spans="1:17" ht="19.899999999999999" customHeight="1" x14ac:dyDescent="0.55000000000000004">
      <c r="A33" s="40" t="s">
        <v>0</v>
      </c>
      <c r="B33" s="36"/>
      <c r="C33" s="36"/>
      <c r="D33" s="36"/>
      <c r="E33" s="36"/>
      <c r="F33" s="36"/>
      <c r="G33" s="36"/>
      <c r="H33" s="36"/>
      <c r="I33" s="36"/>
      <c r="J33" s="36"/>
      <c r="K33" s="36"/>
      <c r="L33" s="36"/>
      <c r="M33" s="36"/>
      <c r="N33" s="36"/>
      <c r="O33" s="36"/>
      <c r="P33" s="36"/>
      <c r="Q33" s="36"/>
    </row>
    <row r="34" spans="1:17" ht="19.899999999999999" customHeight="1" x14ac:dyDescent="0.55000000000000004">
      <c r="A34" s="40" t="s">
        <v>154</v>
      </c>
      <c r="B34" s="36"/>
      <c r="C34" s="36"/>
      <c r="D34" s="36"/>
      <c r="E34" s="36"/>
      <c r="F34" s="36"/>
      <c r="G34" s="36"/>
      <c r="H34" s="36"/>
      <c r="I34" s="36"/>
      <c r="J34" s="36"/>
      <c r="K34" s="36"/>
      <c r="L34" s="36"/>
      <c r="M34" s="36"/>
      <c r="N34" s="36"/>
      <c r="O34" s="36"/>
      <c r="P34" s="36"/>
      <c r="Q34" s="36"/>
    </row>
    <row r="35" spans="1:17" ht="19.899999999999999" customHeight="1" x14ac:dyDescent="0.55000000000000004">
      <c r="A35" s="40" t="s">
        <v>2</v>
      </c>
      <c r="B35" s="36"/>
      <c r="C35" s="36"/>
      <c r="D35" s="36"/>
      <c r="E35" s="36"/>
      <c r="F35" s="36"/>
      <c r="G35" s="36"/>
      <c r="H35" s="36"/>
      <c r="I35" s="36"/>
      <c r="J35" s="36"/>
      <c r="K35" s="36"/>
      <c r="L35" s="36"/>
      <c r="M35" s="36"/>
      <c r="N35" s="36"/>
      <c r="O35" s="36"/>
      <c r="P35" s="36"/>
      <c r="Q35" s="36"/>
    </row>
    <row r="37" spans="1:17" ht="21" x14ac:dyDescent="0.55000000000000004">
      <c r="A37" s="41" t="s">
        <v>189</v>
      </c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36"/>
      <c r="N37" s="36"/>
      <c r="O37" s="36"/>
      <c r="P37" s="36"/>
      <c r="Q37" s="36"/>
    </row>
    <row r="39" spans="1:17" ht="21" x14ac:dyDescent="0.55000000000000004">
      <c r="C39" s="32" t="s">
        <v>168</v>
      </c>
      <c r="D39" s="33"/>
      <c r="E39" s="33"/>
      <c r="F39" s="33"/>
      <c r="G39" s="33"/>
      <c r="H39" s="33"/>
      <c r="I39" s="33"/>
      <c r="K39" s="32" t="s">
        <v>7</v>
      </c>
      <c r="L39" s="33"/>
      <c r="M39" s="33"/>
      <c r="N39" s="33"/>
      <c r="O39" s="33"/>
      <c r="P39" s="33"/>
      <c r="Q39" s="33"/>
    </row>
    <row r="40" spans="1:17" ht="42" x14ac:dyDescent="0.55000000000000004">
      <c r="A40" s="45" t="s">
        <v>156</v>
      </c>
      <c r="C40" s="13" t="s">
        <v>9</v>
      </c>
      <c r="E40" s="13" t="s">
        <v>11</v>
      </c>
      <c r="G40" s="13" t="s">
        <v>186</v>
      </c>
      <c r="I40" s="13" t="s">
        <v>190</v>
      </c>
      <c r="K40" s="13" t="s">
        <v>9</v>
      </c>
      <c r="M40" s="13" t="s">
        <v>11</v>
      </c>
      <c r="O40" s="13" t="s">
        <v>186</v>
      </c>
      <c r="Q40" s="13" t="s">
        <v>190</v>
      </c>
    </row>
    <row r="41" spans="1:17" ht="21" x14ac:dyDescent="0.55000000000000004">
      <c r="A41" s="18" t="s">
        <v>233</v>
      </c>
      <c r="C41" s="8"/>
      <c r="D41" s="8"/>
      <c r="E41" s="8">
        <f>E32</f>
        <v>40361330976</v>
      </c>
      <c r="F41" s="8"/>
      <c r="G41" s="8">
        <f>G32</f>
        <v>38439937606</v>
      </c>
      <c r="H41" s="8"/>
      <c r="I41" s="8">
        <f>I32</f>
        <v>3782358176</v>
      </c>
      <c r="J41" s="8"/>
      <c r="K41" s="8"/>
      <c r="L41" s="8"/>
      <c r="M41" s="8">
        <f>M32</f>
        <v>40361330976</v>
      </c>
      <c r="N41" s="8"/>
      <c r="O41" s="8">
        <f>O32</f>
        <v>38439937606</v>
      </c>
      <c r="P41" s="8"/>
      <c r="Q41" s="8">
        <f>Q32</f>
        <v>3782358176</v>
      </c>
    </row>
    <row r="42" spans="1:17" ht="21" x14ac:dyDescent="0.55000000000000004">
      <c r="A42" s="18" t="s">
        <v>38</v>
      </c>
      <c r="C42" s="8">
        <v>10000000</v>
      </c>
      <c r="E42" s="8">
        <v>18091710000</v>
      </c>
      <c r="G42" s="8">
        <v>19185165000</v>
      </c>
      <c r="I42" s="8">
        <v>-1093455000</v>
      </c>
      <c r="K42" s="8">
        <v>10000000</v>
      </c>
      <c r="M42" s="8">
        <v>18091710000</v>
      </c>
      <c r="O42" s="8">
        <v>19185165000</v>
      </c>
      <c r="Q42" s="8">
        <v>-1093455000</v>
      </c>
    </row>
    <row r="43" spans="1:17" ht="21" x14ac:dyDescent="0.55000000000000004">
      <c r="A43" s="18" t="s">
        <v>39</v>
      </c>
      <c r="C43" s="8">
        <v>37560926</v>
      </c>
      <c r="E43" s="8">
        <v>22813174918</v>
      </c>
      <c r="G43" s="8">
        <v>23669922870</v>
      </c>
      <c r="I43" s="8">
        <v>-856747952</v>
      </c>
      <c r="K43" s="8">
        <v>37560926</v>
      </c>
      <c r="M43" s="8">
        <v>22813174918</v>
      </c>
      <c r="O43" s="8">
        <v>23669922870</v>
      </c>
      <c r="Q43" s="8">
        <v>-856747952</v>
      </c>
    </row>
    <row r="44" spans="1:17" ht="21" x14ac:dyDescent="0.55000000000000004">
      <c r="A44" s="18" t="s">
        <v>40</v>
      </c>
      <c r="C44" s="8">
        <v>14900000</v>
      </c>
      <c r="E44" s="8">
        <v>46626114060</v>
      </c>
      <c r="G44" s="8">
        <v>48018380490</v>
      </c>
      <c r="I44" s="8">
        <v>-1392266430</v>
      </c>
      <c r="K44" s="8">
        <v>14900000</v>
      </c>
      <c r="M44" s="8">
        <v>46626114060</v>
      </c>
      <c r="O44" s="8">
        <v>48018380490</v>
      </c>
      <c r="Q44" s="8">
        <v>-1392266430</v>
      </c>
    </row>
    <row r="45" spans="1:17" ht="21" x14ac:dyDescent="0.55000000000000004">
      <c r="A45" s="18" t="s">
        <v>41</v>
      </c>
      <c r="C45" s="8">
        <v>1700000</v>
      </c>
      <c r="E45" s="8">
        <v>7401696300</v>
      </c>
      <c r="G45" s="8">
        <v>9023985900</v>
      </c>
      <c r="I45" s="8">
        <v>-1622289600</v>
      </c>
      <c r="K45" s="8">
        <v>1700000</v>
      </c>
      <c r="M45" s="8">
        <v>7401696300</v>
      </c>
      <c r="O45" s="8">
        <v>9023985900</v>
      </c>
      <c r="Q45" s="8">
        <v>-1622289600</v>
      </c>
    </row>
    <row r="46" spans="1:17" ht="21" x14ac:dyDescent="0.55000000000000004">
      <c r="A46" s="18" t="s">
        <v>42</v>
      </c>
      <c r="C46" s="8">
        <v>491813</v>
      </c>
      <c r="E46" s="8">
        <v>2864876136</v>
      </c>
      <c r="G46" s="8">
        <v>2835542933</v>
      </c>
      <c r="I46" s="8">
        <v>29333203</v>
      </c>
      <c r="K46" s="8">
        <v>491813</v>
      </c>
      <c r="M46" s="8">
        <v>2864876136</v>
      </c>
      <c r="O46" s="8">
        <v>2835542933</v>
      </c>
      <c r="Q46" s="8">
        <v>29333203</v>
      </c>
    </row>
    <row r="47" spans="1:17" ht="21" x14ac:dyDescent="0.55000000000000004">
      <c r="A47" s="18" t="s">
        <v>43</v>
      </c>
      <c r="C47" s="8">
        <v>571500</v>
      </c>
      <c r="E47" s="8">
        <v>26956324834</v>
      </c>
      <c r="G47" s="8">
        <v>26026860948</v>
      </c>
      <c r="I47" s="8">
        <v>929463886</v>
      </c>
      <c r="K47" s="8">
        <v>571500</v>
      </c>
      <c r="M47" s="8">
        <v>26956324834</v>
      </c>
      <c r="O47" s="8">
        <v>26026860948</v>
      </c>
      <c r="Q47" s="8">
        <v>929463886</v>
      </c>
    </row>
    <row r="48" spans="1:17" ht="21" x14ac:dyDescent="0.55000000000000004">
      <c r="A48" s="18" t="s">
        <v>44</v>
      </c>
      <c r="C48" s="8">
        <v>5800000</v>
      </c>
      <c r="E48" s="8">
        <v>20542440870</v>
      </c>
      <c r="G48" s="8">
        <v>22652610210</v>
      </c>
      <c r="I48" s="8">
        <v>-2110169340</v>
      </c>
      <c r="K48" s="8">
        <v>5800000</v>
      </c>
      <c r="M48" s="8">
        <v>20542440870</v>
      </c>
      <c r="O48" s="8">
        <v>22652610210</v>
      </c>
      <c r="Q48" s="8">
        <v>-2110169340</v>
      </c>
    </row>
    <row r="49" spans="1:17" ht="21" x14ac:dyDescent="0.55000000000000004">
      <c r="A49" s="18" t="s">
        <v>45</v>
      </c>
      <c r="C49" s="8">
        <v>800000</v>
      </c>
      <c r="E49" s="8">
        <v>5685966000</v>
      </c>
      <c r="G49" s="8">
        <v>5232679200</v>
      </c>
      <c r="I49" s="8">
        <v>453286800</v>
      </c>
      <c r="K49" s="8">
        <v>800000</v>
      </c>
      <c r="M49" s="8">
        <v>5685966000</v>
      </c>
      <c r="O49" s="8">
        <v>5232679200</v>
      </c>
      <c r="Q49" s="8">
        <v>453286800</v>
      </c>
    </row>
    <row r="50" spans="1:17" ht="21" x14ac:dyDescent="0.55000000000000004">
      <c r="A50" s="18" t="s">
        <v>46</v>
      </c>
      <c r="C50" s="8">
        <v>310000</v>
      </c>
      <c r="E50" s="8">
        <v>8609864670</v>
      </c>
      <c r="G50" s="8">
        <v>8045940105</v>
      </c>
      <c r="I50" s="8">
        <v>563924565</v>
      </c>
      <c r="K50" s="8">
        <v>310000</v>
      </c>
      <c r="M50" s="8">
        <v>8609864670</v>
      </c>
      <c r="O50" s="8">
        <v>8045940105</v>
      </c>
      <c r="Q50" s="8">
        <v>563924565</v>
      </c>
    </row>
    <row r="51" spans="1:17" ht="21" x14ac:dyDescent="0.55000000000000004">
      <c r="A51" s="18" t="s">
        <v>47</v>
      </c>
      <c r="C51" s="8">
        <v>297500</v>
      </c>
      <c r="E51" s="8">
        <v>8753604300</v>
      </c>
      <c r="G51" s="8">
        <v>5627605230</v>
      </c>
      <c r="I51" s="8">
        <v>3125999070</v>
      </c>
      <c r="K51" s="8">
        <v>297500</v>
      </c>
      <c r="M51" s="8">
        <v>8753604300</v>
      </c>
      <c r="O51" s="8">
        <v>5627605230</v>
      </c>
      <c r="Q51" s="8">
        <v>3125999070</v>
      </c>
    </row>
    <row r="52" spans="1:17" ht="21" x14ac:dyDescent="0.55000000000000004">
      <c r="A52" s="18" t="s">
        <v>48</v>
      </c>
      <c r="C52" s="8">
        <v>24500000</v>
      </c>
      <c r="E52" s="8">
        <v>12347592075</v>
      </c>
      <c r="G52" s="8">
        <v>12956447700</v>
      </c>
      <c r="I52" s="8">
        <v>-608855625</v>
      </c>
      <c r="K52" s="8">
        <v>24500000</v>
      </c>
      <c r="M52" s="8">
        <v>12347592075</v>
      </c>
      <c r="O52" s="8">
        <v>12956447700</v>
      </c>
      <c r="Q52" s="8">
        <v>-608855625</v>
      </c>
    </row>
    <row r="53" spans="1:17" ht="21" x14ac:dyDescent="0.55000000000000004">
      <c r="A53" s="18" t="s">
        <v>49</v>
      </c>
      <c r="C53" s="8">
        <v>3400000</v>
      </c>
      <c r="E53" s="8">
        <v>9733737600</v>
      </c>
      <c r="G53" s="8">
        <v>9709785882</v>
      </c>
      <c r="I53" s="8">
        <v>23951718</v>
      </c>
      <c r="K53" s="8">
        <v>3400000</v>
      </c>
      <c r="M53" s="8">
        <v>9733737600</v>
      </c>
      <c r="O53" s="8">
        <v>9709785882</v>
      </c>
      <c r="Q53" s="8">
        <v>23951718</v>
      </c>
    </row>
    <row r="54" spans="1:17" ht="21" x14ac:dyDescent="0.55000000000000004">
      <c r="A54" s="18" t="s">
        <v>50</v>
      </c>
      <c r="C54" s="8">
        <v>32600000</v>
      </c>
      <c r="E54" s="8">
        <v>43942576680</v>
      </c>
      <c r="G54" s="8">
        <v>46016562600</v>
      </c>
      <c r="I54" s="8">
        <v>-2073985920</v>
      </c>
      <c r="K54" s="8">
        <v>32600000</v>
      </c>
      <c r="M54" s="8">
        <v>43942576680</v>
      </c>
      <c r="O54" s="8">
        <v>46016562600</v>
      </c>
      <c r="Q54" s="8">
        <v>-2073985920</v>
      </c>
    </row>
    <row r="55" spans="1:17" ht="21" x14ac:dyDescent="0.55000000000000004">
      <c r="A55" s="18" t="s">
        <v>52</v>
      </c>
      <c r="C55" s="8">
        <v>888004</v>
      </c>
      <c r="E55" s="8">
        <v>10522026884</v>
      </c>
      <c r="G55" s="8">
        <v>10054185085</v>
      </c>
      <c r="I55" s="8">
        <v>467841799</v>
      </c>
      <c r="K55" s="8">
        <v>888004</v>
      </c>
      <c r="M55" s="8">
        <v>10522026884</v>
      </c>
      <c r="O55" s="8">
        <v>10054185085</v>
      </c>
      <c r="Q55" s="8">
        <v>467841799</v>
      </c>
    </row>
    <row r="56" spans="1:17" ht="21" x14ac:dyDescent="0.55000000000000004">
      <c r="A56" s="18" t="s">
        <v>53</v>
      </c>
      <c r="C56" s="8">
        <v>4279048</v>
      </c>
      <c r="E56" s="8">
        <v>45385780379</v>
      </c>
      <c r="G56" s="8">
        <v>45088029243</v>
      </c>
      <c r="I56" s="8">
        <v>297751136</v>
      </c>
      <c r="K56" s="8">
        <v>4279048</v>
      </c>
      <c r="M56" s="8">
        <v>45385780379</v>
      </c>
      <c r="O56" s="8">
        <v>45088029243</v>
      </c>
      <c r="Q56" s="8">
        <v>297751136</v>
      </c>
    </row>
    <row r="57" spans="1:17" ht="21" x14ac:dyDescent="0.55000000000000004">
      <c r="A57" s="18" t="s">
        <v>54</v>
      </c>
      <c r="C57" s="8">
        <v>2785714</v>
      </c>
      <c r="E57" s="8">
        <v>16401610307</v>
      </c>
      <c r="G57" s="8">
        <v>13688068500</v>
      </c>
      <c r="I57" s="8">
        <v>2713541807</v>
      </c>
      <c r="K57" s="8">
        <v>2785714</v>
      </c>
      <c r="M57" s="8">
        <v>16401610307</v>
      </c>
      <c r="O57" s="8">
        <v>13688068500</v>
      </c>
      <c r="Q57" s="8">
        <v>2713541807</v>
      </c>
    </row>
    <row r="58" spans="1:17" ht="21" x14ac:dyDescent="0.55000000000000004">
      <c r="A58" s="18" t="s">
        <v>55</v>
      </c>
      <c r="C58" s="8">
        <v>800000</v>
      </c>
      <c r="E58" s="8">
        <v>6870873600</v>
      </c>
      <c r="G58" s="8">
        <v>7074058598</v>
      </c>
      <c r="I58" s="8">
        <v>-203184998</v>
      </c>
      <c r="K58" s="8">
        <v>800000</v>
      </c>
      <c r="M58" s="8">
        <v>6870873600</v>
      </c>
      <c r="O58" s="8">
        <v>7074058598</v>
      </c>
      <c r="Q58" s="8">
        <v>-203184998</v>
      </c>
    </row>
    <row r="59" spans="1:17" ht="21" x14ac:dyDescent="0.55000000000000004">
      <c r="A59" s="18" t="s">
        <v>57</v>
      </c>
      <c r="C59" s="8">
        <v>2400000</v>
      </c>
      <c r="E59" s="8">
        <v>11427598800</v>
      </c>
      <c r="G59" s="8">
        <v>11806928280</v>
      </c>
      <c r="I59" s="8">
        <v>-379329480</v>
      </c>
      <c r="K59" s="8">
        <v>2400000</v>
      </c>
      <c r="M59" s="8">
        <v>11427598800</v>
      </c>
      <c r="O59" s="8">
        <v>11806928280</v>
      </c>
      <c r="Q59" s="8">
        <v>-379329480</v>
      </c>
    </row>
    <row r="60" spans="1:17" ht="21" x14ac:dyDescent="0.55000000000000004">
      <c r="A60" s="18" t="s">
        <v>58</v>
      </c>
      <c r="C60" s="8">
        <v>249999</v>
      </c>
      <c r="E60" s="8">
        <v>2500025750</v>
      </c>
      <c r="G60" s="8">
        <v>1709077715</v>
      </c>
      <c r="I60" s="8">
        <v>790948035</v>
      </c>
      <c r="K60" s="8">
        <v>249999</v>
      </c>
      <c r="M60" s="8">
        <v>2500025750</v>
      </c>
      <c r="O60" s="8">
        <v>1709077715</v>
      </c>
      <c r="Q60" s="8">
        <v>790948035</v>
      </c>
    </row>
    <row r="61" spans="1:17" ht="21" x14ac:dyDescent="0.55000000000000004">
      <c r="A61" s="18" t="s">
        <v>59</v>
      </c>
      <c r="C61" s="8">
        <v>3506493</v>
      </c>
      <c r="E61" s="8">
        <v>9644736458</v>
      </c>
      <c r="G61" s="8">
        <v>8965038731</v>
      </c>
      <c r="I61" s="8">
        <v>679697727</v>
      </c>
      <c r="K61" s="8">
        <v>3506493</v>
      </c>
      <c r="M61" s="8">
        <v>9644736458</v>
      </c>
      <c r="O61" s="8">
        <v>8965038731</v>
      </c>
      <c r="Q61" s="8">
        <v>679697727</v>
      </c>
    </row>
    <row r="62" spans="1:17" ht="21" x14ac:dyDescent="0.55000000000000004">
      <c r="A62" s="18" t="s">
        <v>60</v>
      </c>
      <c r="C62" s="8">
        <v>10000000</v>
      </c>
      <c r="E62" s="8">
        <v>105468705000</v>
      </c>
      <c r="G62" s="8">
        <v>90955575000</v>
      </c>
      <c r="I62" s="8">
        <v>14513130000</v>
      </c>
      <c r="K62" s="8">
        <v>10000000</v>
      </c>
      <c r="M62" s="8">
        <v>105468705000</v>
      </c>
      <c r="O62" s="8">
        <v>90955575000</v>
      </c>
      <c r="Q62" s="8">
        <v>14513130000</v>
      </c>
    </row>
    <row r="63" spans="1:17" ht="21" x14ac:dyDescent="0.55000000000000004">
      <c r="A63" s="18" t="s">
        <v>61</v>
      </c>
      <c r="C63" s="8">
        <v>1092665</v>
      </c>
      <c r="E63" s="8">
        <v>25329336161</v>
      </c>
      <c r="G63" s="8">
        <v>24916593976</v>
      </c>
      <c r="I63" s="8">
        <v>412742185</v>
      </c>
      <c r="K63" s="8">
        <v>1092665</v>
      </c>
      <c r="M63" s="8">
        <v>25329336161</v>
      </c>
      <c r="O63" s="8">
        <v>24916593976</v>
      </c>
      <c r="Q63" s="8">
        <v>412742185</v>
      </c>
    </row>
    <row r="64" spans="1:17" ht="21" x14ac:dyDescent="0.55000000000000004">
      <c r="A64" s="18" t="s">
        <v>232</v>
      </c>
      <c r="C64" s="8"/>
      <c r="E64" s="24">
        <f>SUM(E41:E63)</f>
        <v>508281702758</v>
      </c>
      <c r="G64" s="24">
        <f>SUM(G41:G63)</f>
        <v>491698981802</v>
      </c>
      <c r="I64" s="24">
        <f>SUM(I41:I63)</f>
        <v>18443685762</v>
      </c>
      <c r="K64" s="8"/>
      <c r="M64" s="24">
        <f>SUM(M41:M63)</f>
        <v>508281702758</v>
      </c>
      <c r="O64" s="24">
        <f>SUM(O41:O63)</f>
        <v>491698981802</v>
      </c>
      <c r="Q64" s="24">
        <f>SUM(Q41:Q63)</f>
        <v>18443685762</v>
      </c>
    </row>
    <row r="65" spans="1:17" ht="19.899999999999999" customHeight="1" x14ac:dyDescent="0.55000000000000004">
      <c r="A65" s="40" t="s">
        <v>0</v>
      </c>
      <c r="B65" s="36"/>
      <c r="C65" s="36"/>
      <c r="D65" s="36"/>
      <c r="E65" s="36"/>
      <c r="F65" s="36"/>
      <c r="G65" s="36"/>
      <c r="H65" s="36"/>
      <c r="I65" s="36"/>
      <c r="J65" s="36"/>
      <c r="K65" s="36"/>
      <c r="L65" s="36"/>
      <c r="M65" s="36"/>
      <c r="N65" s="36"/>
      <c r="O65" s="36"/>
      <c r="P65" s="36"/>
      <c r="Q65" s="36"/>
    </row>
    <row r="66" spans="1:17" ht="19.899999999999999" customHeight="1" x14ac:dyDescent="0.55000000000000004">
      <c r="A66" s="40" t="s">
        <v>154</v>
      </c>
      <c r="B66" s="36"/>
      <c r="C66" s="36"/>
      <c r="D66" s="36"/>
      <c r="E66" s="36"/>
      <c r="F66" s="36"/>
      <c r="G66" s="36"/>
      <c r="H66" s="36"/>
      <c r="I66" s="36"/>
      <c r="J66" s="36"/>
      <c r="K66" s="36"/>
      <c r="L66" s="36"/>
      <c r="M66" s="36"/>
      <c r="N66" s="36"/>
      <c r="O66" s="36"/>
      <c r="P66" s="36"/>
      <c r="Q66" s="36"/>
    </row>
    <row r="67" spans="1:17" ht="19.899999999999999" customHeight="1" x14ac:dyDescent="0.55000000000000004">
      <c r="A67" s="40" t="s">
        <v>2</v>
      </c>
      <c r="B67" s="36"/>
      <c r="C67" s="36"/>
      <c r="D67" s="36"/>
      <c r="E67" s="36"/>
      <c r="F67" s="36"/>
      <c r="G67" s="36"/>
      <c r="H67" s="36"/>
      <c r="I67" s="36"/>
      <c r="J67" s="36"/>
      <c r="K67" s="36"/>
      <c r="L67" s="36"/>
      <c r="M67" s="36"/>
      <c r="N67" s="36"/>
      <c r="O67" s="36"/>
      <c r="P67" s="36"/>
      <c r="Q67" s="36"/>
    </row>
    <row r="69" spans="1:17" ht="21" x14ac:dyDescent="0.55000000000000004">
      <c r="A69" s="41" t="s">
        <v>189</v>
      </c>
      <c r="B69" s="36"/>
      <c r="C69" s="36"/>
      <c r="D69" s="36"/>
      <c r="E69" s="36"/>
      <c r="F69" s="36"/>
      <c r="G69" s="36"/>
      <c r="H69" s="36"/>
      <c r="I69" s="36"/>
      <c r="J69" s="36"/>
      <c r="K69" s="36"/>
      <c r="L69" s="36"/>
      <c r="M69" s="36"/>
      <c r="N69" s="36"/>
      <c r="O69" s="36"/>
      <c r="P69" s="36"/>
      <c r="Q69" s="36"/>
    </row>
    <row r="71" spans="1:17" ht="21" x14ac:dyDescent="0.55000000000000004">
      <c r="C71" s="32" t="s">
        <v>168</v>
      </c>
      <c r="D71" s="33"/>
      <c r="E71" s="33"/>
      <c r="F71" s="33"/>
      <c r="G71" s="33"/>
      <c r="H71" s="33"/>
      <c r="I71" s="33"/>
      <c r="K71" s="32" t="s">
        <v>7</v>
      </c>
      <c r="L71" s="33"/>
      <c r="M71" s="33"/>
      <c r="N71" s="33"/>
      <c r="O71" s="33"/>
      <c r="P71" s="33"/>
      <c r="Q71" s="33"/>
    </row>
    <row r="72" spans="1:17" ht="42" x14ac:dyDescent="0.55000000000000004">
      <c r="A72" s="45" t="s">
        <v>156</v>
      </c>
      <c r="C72" s="13" t="s">
        <v>9</v>
      </c>
      <c r="E72" s="13" t="s">
        <v>11</v>
      </c>
      <c r="G72" s="13" t="s">
        <v>186</v>
      </c>
      <c r="I72" s="13" t="s">
        <v>190</v>
      </c>
      <c r="K72" s="13" t="s">
        <v>9</v>
      </c>
      <c r="M72" s="13" t="s">
        <v>11</v>
      </c>
      <c r="O72" s="13" t="s">
        <v>186</v>
      </c>
      <c r="Q72" s="13" t="s">
        <v>190</v>
      </c>
    </row>
    <row r="73" spans="1:17" ht="21" x14ac:dyDescent="0.55000000000000004">
      <c r="A73" s="18" t="s">
        <v>233</v>
      </c>
      <c r="C73" s="8"/>
      <c r="D73" s="8"/>
      <c r="E73" s="8">
        <f>E64</f>
        <v>508281702758</v>
      </c>
      <c r="F73" s="8"/>
      <c r="G73" s="8">
        <f>G64</f>
        <v>491698981802</v>
      </c>
      <c r="H73" s="8"/>
      <c r="I73" s="8">
        <f>I64</f>
        <v>18443685762</v>
      </c>
      <c r="J73" s="8"/>
      <c r="K73" s="8"/>
      <c r="L73" s="8"/>
      <c r="M73" s="8">
        <f>M64</f>
        <v>508281702758</v>
      </c>
      <c r="N73" s="8"/>
      <c r="O73" s="8">
        <f>O64</f>
        <v>491698981802</v>
      </c>
      <c r="P73" s="8"/>
      <c r="Q73" s="8">
        <f>Q64</f>
        <v>18443685762</v>
      </c>
    </row>
    <row r="74" spans="1:17" ht="21" x14ac:dyDescent="0.55000000000000004">
      <c r="A74" s="18" t="s">
        <v>62</v>
      </c>
      <c r="C74" s="8">
        <v>3800000</v>
      </c>
      <c r="E74" s="8">
        <v>25081869600</v>
      </c>
      <c r="G74" s="8">
        <v>26139538800</v>
      </c>
      <c r="I74" s="8">
        <v>-1057669200</v>
      </c>
      <c r="K74" s="8">
        <v>3800000</v>
      </c>
      <c r="M74" s="8">
        <v>25081869600</v>
      </c>
      <c r="O74" s="8">
        <v>26139538800</v>
      </c>
      <c r="Q74" s="8">
        <v>-1057669200</v>
      </c>
    </row>
    <row r="75" spans="1:17" ht="21" x14ac:dyDescent="0.55000000000000004">
      <c r="A75" s="18" t="s">
        <v>63</v>
      </c>
      <c r="C75" s="8">
        <v>800000</v>
      </c>
      <c r="E75" s="8">
        <v>3225493440</v>
      </c>
      <c r="G75" s="8">
        <v>3308198400</v>
      </c>
      <c r="I75" s="8">
        <v>-82704960</v>
      </c>
      <c r="K75" s="8">
        <v>800000</v>
      </c>
      <c r="M75" s="8">
        <v>3225493440</v>
      </c>
      <c r="O75" s="8">
        <v>3308198400</v>
      </c>
      <c r="Q75" s="8">
        <v>-82704960</v>
      </c>
    </row>
    <row r="76" spans="1:17" ht="21" x14ac:dyDescent="0.55000000000000004">
      <c r="A76" s="18" t="s">
        <v>64</v>
      </c>
      <c r="C76" s="8">
        <v>8500000</v>
      </c>
      <c r="E76" s="8">
        <v>23962569300</v>
      </c>
      <c r="G76" s="8">
        <v>26572549374</v>
      </c>
      <c r="I76" s="8">
        <v>-2609980074</v>
      </c>
      <c r="K76" s="8">
        <v>8500000</v>
      </c>
      <c r="M76" s="8">
        <v>23962569300</v>
      </c>
      <c r="O76" s="8">
        <v>26572549374</v>
      </c>
      <c r="Q76" s="8">
        <v>-2609980074</v>
      </c>
    </row>
    <row r="77" spans="1:17" ht="21" x14ac:dyDescent="0.55000000000000004">
      <c r="A77" s="18" t="s">
        <v>65</v>
      </c>
      <c r="C77" s="8">
        <v>14351672</v>
      </c>
      <c r="E77" s="8">
        <v>81175130649</v>
      </c>
      <c r="G77" s="8">
        <v>83331376996</v>
      </c>
      <c r="I77" s="8">
        <v>-2156246347</v>
      </c>
      <c r="K77" s="8">
        <v>14351672</v>
      </c>
      <c r="M77" s="8">
        <v>81175130649</v>
      </c>
      <c r="O77" s="8">
        <v>83331376996</v>
      </c>
      <c r="Q77" s="8">
        <v>-2156246347</v>
      </c>
    </row>
    <row r="78" spans="1:17" ht="21" x14ac:dyDescent="0.55000000000000004">
      <c r="A78" s="18" t="s">
        <v>67</v>
      </c>
      <c r="C78" s="8">
        <v>200000</v>
      </c>
      <c r="E78" s="8">
        <v>3435436800</v>
      </c>
      <c r="G78" s="8">
        <v>3632258700</v>
      </c>
      <c r="I78" s="8">
        <v>-196821900</v>
      </c>
      <c r="K78" s="8">
        <v>200000</v>
      </c>
      <c r="M78" s="8">
        <v>3435436800</v>
      </c>
      <c r="O78" s="8">
        <v>3632258700</v>
      </c>
      <c r="Q78" s="8">
        <v>-196821900</v>
      </c>
    </row>
    <row r="79" spans="1:17" ht="21" x14ac:dyDescent="0.55000000000000004">
      <c r="A79" s="18" t="s">
        <v>68</v>
      </c>
      <c r="C79" s="8">
        <v>1341844</v>
      </c>
      <c r="E79" s="8">
        <v>15766225533</v>
      </c>
      <c r="G79" s="8">
        <v>14859200714</v>
      </c>
      <c r="I79" s="8">
        <v>907024819</v>
      </c>
      <c r="K79" s="8">
        <v>1341844</v>
      </c>
      <c r="M79" s="8">
        <v>15766225533</v>
      </c>
      <c r="O79" s="8">
        <v>14859200714</v>
      </c>
      <c r="Q79" s="8">
        <v>907024819</v>
      </c>
    </row>
    <row r="80" spans="1:17" ht="21" x14ac:dyDescent="0.55000000000000004">
      <c r="A80" s="18" t="s">
        <v>69</v>
      </c>
      <c r="C80" s="8">
        <v>1250000</v>
      </c>
      <c r="E80" s="8">
        <v>11717364375</v>
      </c>
      <c r="G80" s="8">
        <v>11667661875</v>
      </c>
      <c r="I80" s="8">
        <v>49702500</v>
      </c>
      <c r="K80" s="8">
        <v>1250000</v>
      </c>
      <c r="M80" s="8">
        <v>11717364375</v>
      </c>
      <c r="O80" s="8">
        <v>11667661875</v>
      </c>
      <c r="Q80" s="8">
        <v>49702500</v>
      </c>
    </row>
    <row r="81" spans="1:17" ht="21" x14ac:dyDescent="0.55000000000000004">
      <c r="A81" s="18" t="s">
        <v>70</v>
      </c>
      <c r="C81" s="8">
        <v>1600000</v>
      </c>
      <c r="E81" s="8">
        <v>27578923200</v>
      </c>
      <c r="G81" s="8">
        <v>25743868160</v>
      </c>
      <c r="I81" s="8">
        <v>1835055040</v>
      </c>
      <c r="K81" s="8">
        <v>1600000</v>
      </c>
      <c r="M81" s="8">
        <v>27578923200</v>
      </c>
      <c r="O81" s="8">
        <v>25743868160</v>
      </c>
      <c r="Q81" s="8">
        <v>1835055040</v>
      </c>
    </row>
    <row r="82" spans="1:17" ht="21" x14ac:dyDescent="0.55000000000000004">
      <c r="A82" s="18" t="s">
        <v>71</v>
      </c>
      <c r="C82" s="8">
        <v>1000000</v>
      </c>
      <c r="E82" s="8">
        <v>6014002500</v>
      </c>
      <c r="G82" s="8">
        <v>6135688610</v>
      </c>
      <c r="I82" s="8">
        <v>-121686110</v>
      </c>
      <c r="K82" s="8">
        <v>1000000</v>
      </c>
      <c r="M82" s="8">
        <v>6014002500</v>
      </c>
      <c r="O82" s="8">
        <v>6135688610</v>
      </c>
      <c r="Q82" s="8">
        <v>-121686110</v>
      </c>
    </row>
    <row r="83" spans="1:17" ht="21" x14ac:dyDescent="0.55000000000000004">
      <c r="A83" s="18" t="s">
        <v>72</v>
      </c>
      <c r="C83" s="8">
        <v>12320000</v>
      </c>
      <c r="E83" s="8">
        <v>100912775040</v>
      </c>
      <c r="G83" s="8">
        <v>96626431440</v>
      </c>
      <c r="I83" s="8">
        <v>4286343600</v>
      </c>
      <c r="K83" s="8">
        <v>12320000</v>
      </c>
      <c r="M83" s="8">
        <v>100912775040</v>
      </c>
      <c r="O83" s="8">
        <v>96626431440</v>
      </c>
      <c r="Q83" s="8">
        <v>4286343600</v>
      </c>
    </row>
    <row r="84" spans="1:17" ht="21" x14ac:dyDescent="0.55000000000000004">
      <c r="A84" s="18" t="s">
        <v>73</v>
      </c>
      <c r="C84" s="8">
        <v>450000</v>
      </c>
      <c r="E84" s="8">
        <v>4034848950</v>
      </c>
      <c r="G84" s="8">
        <v>2492260920</v>
      </c>
      <c r="I84" s="8">
        <v>1542588030</v>
      </c>
      <c r="K84" s="8">
        <v>450000</v>
      </c>
      <c r="M84" s="8">
        <v>4034848950</v>
      </c>
      <c r="O84" s="8">
        <v>2492260920</v>
      </c>
      <c r="Q84" s="8">
        <v>1542588030</v>
      </c>
    </row>
    <row r="85" spans="1:17" ht="21" x14ac:dyDescent="0.55000000000000004">
      <c r="A85" s="18" t="s">
        <v>74</v>
      </c>
      <c r="C85" s="8">
        <v>10000000</v>
      </c>
      <c r="E85" s="8">
        <v>47495709000</v>
      </c>
      <c r="G85" s="8">
        <v>47843626500</v>
      </c>
      <c r="I85" s="8">
        <v>-347917500</v>
      </c>
      <c r="K85" s="8">
        <v>10000000</v>
      </c>
      <c r="M85" s="8">
        <v>47495709000</v>
      </c>
      <c r="O85" s="8">
        <v>47843626500</v>
      </c>
      <c r="Q85" s="8">
        <v>-347917500</v>
      </c>
    </row>
    <row r="86" spans="1:17" ht="21" x14ac:dyDescent="0.55000000000000004">
      <c r="A86" s="18" t="s">
        <v>75</v>
      </c>
      <c r="C86" s="8">
        <v>500000</v>
      </c>
      <c r="E86" s="8">
        <v>8379841500</v>
      </c>
      <c r="G86" s="8">
        <v>8091567000</v>
      </c>
      <c r="I86" s="8">
        <v>288274500</v>
      </c>
      <c r="K86" s="8">
        <v>500000</v>
      </c>
      <c r="M86" s="8">
        <v>8379841500</v>
      </c>
      <c r="O86" s="8">
        <v>8091567000</v>
      </c>
      <c r="Q86" s="8">
        <v>288274500</v>
      </c>
    </row>
    <row r="87" spans="1:17" ht="21" x14ac:dyDescent="0.55000000000000004">
      <c r="A87" s="18" t="s">
        <v>76</v>
      </c>
      <c r="C87" s="8">
        <v>650000</v>
      </c>
      <c r="E87" s="8">
        <v>12102061725</v>
      </c>
      <c r="G87" s="8">
        <v>10809035837</v>
      </c>
      <c r="I87" s="8">
        <v>1293025888</v>
      </c>
      <c r="K87" s="8">
        <v>650000</v>
      </c>
      <c r="M87" s="8">
        <v>12102061725</v>
      </c>
      <c r="O87" s="8">
        <v>10809035837</v>
      </c>
      <c r="Q87" s="8">
        <v>1293025888</v>
      </c>
    </row>
    <row r="88" spans="1:17" ht="21" x14ac:dyDescent="0.55000000000000004">
      <c r="A88" s="18" t="s">
        <v>77</v>
      </c>
      <c r="C88" s="8">
        <v>4688661</v>
      </c>
      <c r="E88" s="8">
        <v>14136095596</v>
      </c>
      <c r="G88" s="8">
        <v>13744591464</v>
      </c>
      <c r="I88" s="8">
        <v>391504132</v>
      </c>
      <c r="K88" s="8">
        <v>4688661</v>
      </c>
      <c r="M88" s="8">
        <v>14136095596</v>
      </c>
      <c r="O88" s="8">
        <v>13744591464</v>
      </c>
      <c r="Q88" s="8">
        <v>391504132</v>
      </c>
    </row>
    <row r="89" spans="1:17" ht="21" x14ac:dyDescent="0.55000000000000004">
      <c r="A89" s="18" t="s">
        <v>78</v>
      </c>
      <c r="C89" s="8">
        <v>607000</v>
      </c>
      <c r="E89" s="8">
        <v>37126485175</v>
      </c>
      <c r="G89" s="8">
        <v>36426554689</v>
      </c>
      <c r="I89" s="8">
        <v>699930486</v>
      </c>
      <c r="K89" s="8">
        <v>607000</v>
      </c>
      <c r="M89" s="8">
        <v>37126485175</v>
      </c>
      <c r="O89" s="8">
        <v>36426554689</v>
      </c>
      <c r="Q89" s="8">
        <v>699930486</v>
      </c>
    </row>
    <row r="90" spans="1:17" ht="21" x14ac:dyDescent="0.55000000000000004">
      <c r="A90" s="18" t="s">
        <v>79</v>
      </c>
      <c r="C90" s="8">
        <v>200000</v>
      </c>
      <c r="E90" s="8">
        <v>12362005800</v>
      </c>
      <c r="G90" s="8">
        <v>12362005800</v>
      </c>
      <c r="I90" s="8">
        <v>0</v>
      </c>
      <c r="K90" s="8">
        <v>200000</v>
      </c>
      <c r="M90" s="8">
        <v>12362005800</v>
      </c>
      <c r="O90" s="8">
        <v>12362005800</v>
      </c>
      <c r="Q90" s="8">
        <v>0</v>
      </c>
    </row>
    <row r="91" spans="1:17" ht="21" x14ac:dyDescent="0.55000000000000004">
      <c r="A91" s="18" t="s">
        <v>80</v>
      </c>
      <c r="C91" s="8">
        <v>285000</v>
      </c>
      <c r="E91" s="8">
        <v>14533508025</v>
      </c>
      <c r="G91" s="8">
        <v>14533508025</v>
      </c>
      <c r="I91" s="8">
        <v>0</v>
      </c>
      <c r="K91" s="8">
        <v>285000</v>
      </c>
      <c r="M91" s="8">
        <v>14533508025</v>
      </c>
      <c r="O91" s="8">
        <v>14533508025</v>
      </c>
      <c r="Q91" s="8">
        <v>0</v>
      </c>
    </row>
    <row r="92" spans="1:17" ht="21" x14ac:dyDescent="0.55000000000000004">
      <c r="A92" s="18" t="s">
        <v>81</v>
      </c>
      <c r="C92" s="8">
        <v>100000</v>
      </c>
      <c r="E92" s="8">
        <v>3851943750</v>
      </c>
      <c r="G92" s="8">
        <v>3332055600</v>
      </c>
      <c r="I92" s="8">
        <v>519888150</v>
      </c>
      <c r="K92" s="8">
        <v>100000</v>
      </c>
      <c r="M92" s="8">
        <v>3851943750</v>
      </c>
      <c r="O92" s="8">
        <v>3332055600</v>
      </c>
      <c r="Q92" s="8">
        <v>519888150</v>
      </c>
    </row>
    <row r="93" spans="1:17" ht="21" x14ac:dyDescent="0.55000000000000004">
      <c r="A93" s="18" t="s">
        <v>82</v>
      </c>
      <c r="C93" s="8">
        <v>113500</v>
      </c>
      <c r="E93" s="8">
        <v>24609318111</v>
      </c>
      <c r="G93" s="8">
        <v>24609318111</v>
      </c>
      <c r="I93" s="8">
        <v>0</v>
      </c>
      <c r="K93" s="8">
        <v>113500</v>
      </c>
      <c r="M93" s="8">
        <v>24609318111</v>
      </c>
      <c r="O93" s="8">
        <v>24609318111</v>
      </c>
      <c r="Q93" s="8">
        <v>0</v>
      </c>
    </row>
    <row r="94" spans="1:17" ht="21" x14ac:dyDescent="0.55000000000000004">
      <c r="A94" s="18" t="s">
        <v>83</v>
      </c>
      <c r="C94" s="8">
        <v>3000000</v>
      </c>
      <c r="E94" s="8">
        <v>8499127500</v>
      </c>
      <c r="G94" s="8">
        <v>8499127500</v>
      </c>
      <c r="I94" s="8">
        <v>0</v>
      </c>
      <c r="K94" s="8">
        <v>3000000</v>
      </c>
      <c r="M94" s="8">
        <v>8499127500</v>
      </c>
      <c r="O94" s="8">
        <v>8499127500</v>
      </c>
      <c r="Q94" s="8">
        <v>0</v>
      </c>
    </row>
    <row r="95" spans="1:17" ht="21" x14ac:dyDescent="0.55000000000000004">
      <c r="A95" s="18" t="s">
        <v>84</v>
      </c>
      <c r="C95" s="8">
        <v>128000</v>
      </c>
      <c r="E95" s="8">
        <v>26592825600</v>
      </c>
      <c r="G95" s="8">
        <v>26592825600</v>
      </c>
      <c r="I95" s="8">
        <v>0</v>
      </c>
      <c r="K95" s="8">
        <v>128000</v>
      </c>
      <c r="M95" s="8">
        <v>26592825600</v>
      </c>
      <c r="O95" s="8">
        <v>26592825600</v>
      </c>
      <c r="Q95" s="8">
        <v>0</v>
      </c>
    </row>
    <row r="96" spans="1:17" ht="21" x14ac:dyDescent="0.55000000000000004">
      <c r="A96" s="18" t="s">
        <v>232</v>
      </c>
      <c r="C96" s="8"/>
      <c r="E96" s="24">
        <f>SUM(E73:E95)</f>
        <v>1020875263927</v>
      </c>
      <c r="G96" s="24">
        <f>SUM(G73:G95)</f>
        <v>999052231917</v>
      </c>
      <c r="I96" s="24">
        <f>SUM(I73:I95)</f>
        <v>23683996816</v>
      </c>
      <c r="K96" s="8"/>
      <c r="M96" s="24">
        <f>SUM(M73:M95)</f>
        <v>1020875263927</v>
      </c>
      <c r="O96" s="24">
        <f>SUM(O73:O95)</f>
        <v>999052231917</v>
      </c>
      <c r="Q96" s="24">
        <f>SUM(Q73:Q95)</f>
        <v>23683996816</v>
      </c>
    </row>
    <row r="97" spans="1:17" ht="19.899999999999999" customHeight="1" x14ac:dyDescent="0.55000000000000004">
      <c r="A97" s="40" t="s">
        <v>0</v>
      </c>
      <c r="B97" s="36"/>
      <c r="C97" s="36"/>
      <c r="D97" s="36"/>
      <c r="E97" s="36"/>
      <c r="F97" s="36"/>
      <c r="G97" s="36"/>
      <c r="H97" s="36"/>
      <c r="I97" s="36"/>
      <c r="J97" s="36"/>
      <c r="K97" s="36"/>
      <c r="L97" s="36"/>
      <c r="M97" s="36"/>
      <c r="N97" s="36"/>
      <c r="O97" s="36"/>
      <c r="P97" s="36"/>
      <c r="Q97" s="36"/>
    </row>
    <row r="98" spans="1:17" ht="19.899999999999999" customHeight="1" x14ac:dyDescent="0.55000000000000004">
      <c r="A98" s="40" t="s">
        <v>154</v>
      </c>
      <c r="B98" s="36"/>
      <c r="C98" s="36"/>
      <c r="D98" s="36"/>
      <c r="E98" s="36"/>
      <c r="F98" s="36"/>
      <c r="G98" s="36"/>
      <c r="H98" s="36"/>
      <c r="I98" s="36"/>
      <c r="J98" s="36"/>
      <c r="K98" s="36"/>
      <c r="L98" s="36"/>
      <c r="M98" s="36"/>
      <c r="N98" s="36"/>
      <c r="O98" s="36"/>
      <c r="P98" s="36"/>
      <c r="Q98" s="36"/>
    </row>
    <row r="99" spans="1:17" ht="19.899999999999999" customHeight="1" x14ac:dyDescent="0.55000000000000004">
      <c r="A99" s="40" t="s">
        <v>2</v>
      </c>
      <c r="B99" s="36"/>
      <c r="C99" s="36"/>
      <c r="D99" s="36"/>
      <c r="E99" s="36"/>
      <c r="F99" s="36"/>
      <c r="G99" s="36"/>
      <c r="H99" s="36"/>
      <c r="I99" s="36"/>
      <c r="J99" s="36"/>
      <c r="K99" s="36"/>
      <c r="L99" s="36"/>
      <c r="M99" s="36"/>
      <c r="N99" s="36"/>
      <c r="O99" s="36"/>
      <c r="P99" s="36"/>
      <c r="Q99" s="36"/>
    </row>
    <row r="101" spans="1:17" ht="21" x14ac:dyDescent="0.55000000000000004">
      <c r="A101" s="41" t="s">
        <v>189</v>
      </c>
      <c r="B101" s="36"/>
      <c r="C101" s="36"/>
      <c r="D101" s="36"/>
      <c r="E101" s="36"/>
      <c r="F101" s="36"/>
      <c r="G101" s="36"/>
      <c r="H101" s="36"/>
      <c r="I101" s="36"/>
      <c r="J101" s="36"/>
      <c r="K101" s="36"/>
      <c r="L101" s="36"/>
      <c r="M101" s="36"/>
      <c r="N101" s="36"/>
      <c r="O101" s="36"/>
      <c r="P101" s="36"/>
      <c r="Q101" s="36"/>
    </row>
    <row r="103" spans="1:17" ht="21" x14ac:dyDescent="0.55000000000000004">
      <c r="C103" s="32" t="s">
        <v>168</v>
      </c>
      <c r="D103" s="33"/>
      <c r="E103" s="33"/>
      <c r="F103" s="33"/>
      <c r="G103" s="33"/>
      <c r="H103" s="33"/>
      <c r="I103" s="33"/>
      <c r="K103" s="32" t="s">
        <v>7</v>
      </c>
      <c r="L103" s="33"/>
      <c r="M103" s="33"/>
      <c r="N103" s="33"/>
      <c r="O103" s="33"/>
      <c r="P103" s="33"/>
      <c r="Q103" s="33"/>
    </row>
    <row r="104" spans="1:17" ht="42" x14ac:dyDescent="0.55000000000000004">
      <c r="A104" s="45" t="s">
        <v>156</v>
      </c>
      <c r="C104" s="13" t="s">
        <v>9</v>
      </c>
      <c r="E104" s="13" t="s">
        <v>11</v>
      </c>
      <c r="G104" s="13" t="s">
        <v>186</v>
      </c>
      <c r="I104" s="13" t="s">
        <v>190</v>
      </c>
      <c r="K104" s="13" t="s">
        <v>9</v>
      </c>
      <c r="M104" s="13" t="s">
        <v>11</v>
      </c>
      <c r="O104" s="13" t="s">
        <v>186</v>
      </c>
      <c r="Q104" s="13" t="s">
        <v>190</v>
      </c>
    </row>
    <row r="105" spans="1:17" ht="21" x14ac:dyDescent="0.55000000000000004">
      <c r="A105" s="18" t="s">
        <v>233</v>
      </c>
      <c r="C105" s="8"/>
      <c r="D105" s="8"/>
      <c r="E105" s="8">
        <f>E96</f>
        <v>1020875263927</v>
      </c>
      <c r="F105" s="8"/>
      <c r="G105" s="8">
        <f>G96</f>
        <v>999052231917</v>
      </c>
      <c r="H105" s="8"/>
      <c r="I105" s="8">
        <f>I96</f>
        <v>23683996816</v>
      </c>
      <c r="J105" s="8"/>
      <c r="K105" s="8"/>
      <c r="L105" s="8"/>
      <c r="M105" s="8">
        <f>M96</f>
        <v>1020875263927</v>
      </c>
      <c r="N105" s="8"/>
      <c r="O105" s="8">
        <f>O96</f>
        <v>999052231917</v>
      </c>
      <c r="P105" s="8"/>
      <c r="Q105" s="8">
        <f>Q96</f>
        <v>23683996816</v>
      </c>
    </row>
    <row r="106" spans="1:17" ht="21" x14ac:dyDescent="0.55000000000000004">
      <c r="A106" s="18" t="s">
        <v>85</v>
      </c>
      <c r="C106" s="8">
        <v>1218099</v>
      </c>
      <c r="E106" s="8">
        <v>23417864354</v>
      </c>
      <c r="G106" s="8">
        <v>23817445286</v>
      </c>
      <c r="I106" s="8">
        <v>-399580932</v>
      </c>
      <c r="K106" s="8">
        <v>1218099</v>
      </c>
      <c r="M106" s="8">
        <v>23417864354</v>
      </c>
      <c r="O106" s="8">
        <v>23817445286</v>
      </c>
      <c r="Q106" s="8">
        <v>-399580932</v>
      </c>
    </row>
    <row r="107" spans="1:17" ht="21" x14ac:dyDescent="0.55000000000000004">
      <c r="A107" s="18" t="s">
        <v>86</v>
      </c>
      <c r="C107" s="8">
        <v>560000</v>
      </c>
      <c r="E107" s="8">
        <v>21515218200</v>
      </c>
      <c r="G107" s="8">
        <v>17515657869</v>
      </c>
      <c r="I107" s="8">
        <v>3999560331</v>
      </c>
      <c r="K107" s="8">
        <v>560000</v>
      </c>
      <c r="M107" s="8">
        <v>21515218200</v>
      </c>
      <c r="O107" s="8">
        <v>17515657869</v>
      </c>
      <c r="Q107" s="8">
        <v>3999560331</v>
      </c>
    </row>
    <row r="108" spans="1:17" ht="21" x14ac:dyDescent="0.55000000000000004">
      <c r="A108" s="18" t="s">
        <v>87</v>
      </c>
      <c r="C108" s="8">
        <v>3600000</v>
      </c>
      <c r="E108" s="8">
        <v>21936695400</v>
      </c>
      <c r="G108" s="8">
        <v>18787545000</v>
      </c>
      <c r="I108" s="8">
        <v>3149150400</v>
      </c>
      <c r="K108" s="8">
        <v>3600000</v>
      </c>
      <c r="M108" s="8">
        <v>21936695400</v>
      </c>
      <c r="O108" s="8">
        <v>18787545000</v>
      </c>
      <c r="Q108" s="8">
        <v>3149150400</v>
      </c>
    </row>
    <row r="109" spans="1:17" ht="21" x14ac:dyDescent="0.55000000000000004">
      <c r="A109" s="18" t="s">
        <v>88</v>
      </c>
      <c r="C109" s="8">
        <v>5200000</v>
      </c>
      <c r="E109" s="8">
        <v>19275424740</v>
      </c>
      <c r="G109" s="8">
        <v>20671070940</v>
      </c>
      <c r="I109" s="8">
        <v>-1395646200</v>
      </c>
      <c r="K109" s="8">
        <v>5200000</v>
      </c>
      <c r="M109" s="8">
        <v>19275424740</v>
      </c>
      <c r="O109" s="8">
        <v>20671070940</v>
      </c>
      <c r="Q109" s="8">
        <v>-1395646200</v>
      </c>
    </row>
    <row r="110" spans="1:17" ht="21" x14ac:dyDescent="0.55000000000000004">
      <c r="A110" s="18" t="s">
        <v>89</v>
      </c>
      <c r="C110" s="8">
        <v>6286264</v>
      </c>
      <c r="E110" s="8">
        <v>21752284198</v>
      </c>
      <c r="G110" s="8">
        <v>23545707228</v>
      </c>
      <c r="I110" s="8">
        <v>-1793423030</v>
      </c>
      <c r="K110" s="8">
        <v>6286264</v>
      </c>
      <c r="M110" s="8">
        <v>21752284198</v>
      </c>
      <c r="O110" s="8">
        <v>23545707228</v>
      </c>
      <c r="Q110" s="8">
        <v>-1793423030</v>
      </c>
    </row>
    <row r="111" spans="1:17" ht="21" x14ac:dyDescent="0.55000000000000004">
      <c r="A111" s="10" t="s">
        <v>90</v>
      </c>
      <c r="C111" s="21"/>
      <c r="E111" s="10">
        <f>SUM(E105:E110)</f>
        <v>1128772750819</v>
      </c>
      <c r="G111" s="10">
        <f>SUM(G105:G110)</f>
        <v>1103389658240</v>
      </c>
      <c r="I111" s="10">
        <f>SUM(I105:I110)</f>
        <v>27244057385</v>
      </c>
      <c r="K111" s="21"/>
      <c r="M111" s="10">
        <f>SUM(M105:M110)</f>
        <v>1128772750819</v>
      </c>
      <c r="O111" s="10">
        <f>SUM(O105:O110)</f>
        <v>1103389658240</v>
      </c>
      <c r="Q111" s="10">
        <f>SUM(Q105:Q110)</f>
        <v>27244057385</v>
      </c>
    </row>
    <row r="112" spans="1:17" ht="21" x14ac:dyDescent="0.55000000000000004">
      <c r="C112" s="21"/>
      <c r="E112" s="12"/>
      <c r="G112" s="12"/>
      <c r="I112" s="12"/>
      <c r="K112" s="21"/>
      <c r="M112" s="12"/>
      <c r="O112" s="12"/>
      <c r="Q112" s="12"/>
    </row>
    <row r="114" spans="1:17" ht="21" x14ac:dyDescent="0.55000000000000004">
      <c r="A114" s="46" t="s">
        <v>188</v>
      </c>
      <c r="B114" s="47"/>
      <c r="C114" s="47"/>
      <c r="D114" s="47"/>
      <c r="E114" s="47"/>
      <c r="F114" s="47"/>
      <c r="G114" s="47"/>
      <c r="H114" s="47"/>
      <c r="I114" s="47"/>
      <c r="J114" s="47"/>
      <c r="K114" s="47"/>
      <c r="L114" s="47"/>
      <c r="M114" s="47"/>
      <c r="N114" s="47"/>
      <c r="O114" s="47"/>
      <c r="P114" s="47"/>
      <c r="Q114" s="48"/>
    </row>
  </sheetData>
  <mergeCells count="25">
    <mergeCell ref="A99:Q99"/>
    <mergeCell ref="A101:Q101"/>
    <mergeCell ref="C103:I103"/>
    <mergeCell ref="K103:Q103"/>
    <mergeCell ref="A69:Q69"/>
    <mergeCell ref="C71:I71"/>
    <mergeCell ref="K71:Q71"/>
    <mergeCell ref="A97:Q97"/>
    <mergeCell ref="A98:Q98"/>
    <mergeCell ref="A114:Q114"/>
    <mergeCell ref="A1:Q1"/>
    <mergeCell ref="A2:Q2"/>
    <mergeCell ref="A3:Q3"/>
    <mergeCell ref="A5:Q5"/>
    <mergeCell ref="C7:I7"/>
    <mergeCell ref="K7:Q7"/>
    <mergeCell ref="A33:Q33"/>
    <mergeCell ref="A34:Q34"/>
    <mergeCell ref="A35:Q35"/>
    <mergeCell ref="A37:Q37"/>
    <mergeCell ref="C39:I39"/>
    <mergeCell ref="K39:Q39"/>
    <mergeCell ref="A65:Q65"/>
    <mergeCell ref="A66:Q66"/>
    <mergeCell ref="A67:Q67"/>
  </mergeCells>
  <pageMargins left="0.7" right="0.7" top="0.75" bottom="0.75" header="0.3" footer="0.3"/>
  <pageSetup paperSize="9" scale="72" fitToHeight="0" orientation="landscape" r:id="rId1"/>
  <rowBreaks count="3" manualBreakCount="3">
    <brk id="32" max="16" man="1"/>
    <brk id="64" max="16" man="1"/>
    <brk id="96" max="16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</vt:i4>
      </vt:variant>
    </vt:vector>
  </HeadingPairs>
  <TitlesOfParts>
    <vt:vector size="13" baseType="lpstr">
      <vt:lpstr>0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'0'!Print_Area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Arash Ranjbar</cp:lastModifiedBy>
  <dcterms:created xsi:type="dcterms:W3CDTF">2025-01-28T22:53:54Z</dcterms:created>
  <dcterms:modified xsi:type="dcterms:W3CDTF">2025-01-29T12:13:48Z</dcterms:modified>
</cp:coreProperties>
</file>