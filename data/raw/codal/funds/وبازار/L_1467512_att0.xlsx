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.nezakati\Desktop\"/>
    </mc:Choice>
  </mc:AlternateContent>
  <xr:revisionPtr revIDLastSave="0" documentId="8_{6CC33E65-9D82-4C3B-97AF-FFE0A2BBC3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21" r:id="rId1"/>
    <sheet name="1" sheetId="22" r:id="rId2"/>
    <sheet name="2" sheetId="26" r:id="rId3"/>
    <sheet name="3" sheetId="47" r:id="rId4"/>
    <sheet name="4" sheetId="42" r:id="rId5"/>
    <sheet name="5" sheetId="46" r:id="rId6"/>
    <sheet name="6" sheetId="44" r:id="rId7"/>
    <sheet name="7" sheetId="45" r:id="rId8"/>
    <sheet name="8" sheetId="38" r:id="rId9"/>
    <sheet name="9" sheetId="39" r:id="rId10"/>
    <sheet name="10" sheetId="40" r:id="rId11"/>
    <sheet name="11" sheetId="41" r:id="rId12"/>
  </sheets>
  <externalReferences>
    <externalReference r:id="rId13"/>
  </externalReferences>
  <definedNames>
    <definedName name="_xlnm.Print_Area" localSheetId="0">'0'!$A$1:$J$29</definedName>
    <definedName name="_xlnm.Print_Area" localSheetId="1">'1'!$A$1:$W$51</definedName>
    <definedName name="_xlnm.Print_Area" localSheetId="2">'2'!$A$1:$Q$13</definedName>
    <definedName name="_xlnm.Print_Area" localSheetId="3">'3'!$A$1:$I$13</definedName>
    <definedName name="_xlnm.Print_Area" localSheetId="5">'5'!$A$1:$Q$175</definedName>
    <definedName name="_xlnm.Print_Area" localSheetId="9">'9'!$A$1:$Q$12</definedName>
    <definedName name="_xlnm.Print_Titles" localSheetId="5">'5'!$1:$8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47" l="1"/>
  <c r="E10" i="47"/>
  <c r="E9" i="47"/>
  <c r="E8" i="47"/>
  <c r="I12" i="47"/>
  <c r="E12" i="47" l="1"/>
  <c r="G10" i="47" s="1"/>
  <c r="G8" i="47" l="1"/>
  <c r="G9" i="47"/>
  <c r="G11" i="47"/>
  <c r="G12" i="47" l="1"/>
  <c r="C11" i="45"/>
  <c r="E11" i="45"/>
  <c r="K10" i="44"/>
  <c r="K9" i="44"/>
  <c r="G10" i="44"/>
  <c r="G9" i="44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64" i="46"/>
  <c r="O65" i="46"/>
  <c r="O66" i="46"/>
  <c r="O67" i="46"/>
  <c r="O68" i="46"/>
  <c r="O69" i="46"/>
  <c r="O70" i="46"/>
  <c r="O71" i="46"/>
  <c r="O72" i="46"/>
  <c r="O73" i="46"/>
  <c r="O74" i="46"/>
  <c r="O75" i="46"/>
  <c r="O76" i="46"/>
  <c r="O77" i="46"/>
  <c r="O78" i="46"/>
  <c r="O79" i="46"/>
  <c r="O80" i="46"/>
  <c r="O81" i="46"/>
  <c r="O82" i="46"/>
  <c r="O83" i="46"/>
  <c r="O84" i="46"/>
  <c r="O85" i="46"/>
  <c r="O86" i="46"/>
  <c r="O87" i="46"/>
  <c r="O88" i="46"/>
  <c r="O89" i="46"/>
  <c r="O90" i="46"/>
  <c r="O91" i="46"/>
  <c r="O92" i="46"/>
  <c r="O93" i="46"/>
  <c r="O94" i="46"/>
  <c r="O95" i="46"/>
  <c r="O96" i="46"/>
  <c r="O97" i="46"/>
  <c r="O98" i="46"/>
  <c r="O99" i="46"/>
  <c r="O100" i="46"/>
  <c r="O101" i="46"/>
  <c r="O102" i="46"/>
  <c r="O103" i="46"/>
  <c r="O104" i="46"/>
  <c r="O105" i="46"/>
  <c r="O106" i="46"/>
  <c r="O107" i="46"/>
  <c r="O108" i="46"/>
  <c r="O109" i="46"/>
  <c r="O110" i="46"/>
  <c r="O111" i="46"/>
  <c r="O112" i="46"/>
  <c r="O113" i="46"/>
  <c r="O114" i="46"/>
  <c r="O115" i="46"/>
  <c r="O116" i="46"/>
  <c r="O117" i="46"/>
  <c r="O118" i="46"/>
  <c r="O119" i="46"/>
  <c r="O120" i="46"/>
  <c r="O121" i="46"/>
  <c r="O122" i="46"/>
  <c r="O123" i="46"/>
  <c r="O124" i="46"/>
  <c r="O125" i="46"/>
  <c r="O126" i="46"/>
  <c r="O127" i="46"/>
  <c r="O128" i="46"/>
  <c r="O129" i="46"/>
  <c r="O130" i="46"/>
  <c r="O131" i="46"/>
  <c r="O132" i="46"/>
  <c r="O133" i="46"/>
  <c r="O134" i="46"/>
  <c r="O135" i="46"/>
  <c r="O136" i="46"/>
  <c r="O137" i="46"/>
  <c r="O138" i="46"/>
  <c r="O139" i="46"/>
  <c r="O140" i="46"/>
  <c r="O141" i="46"/>
  <c r="O142" i="46"/>
  <c r="O143" i="46"/>
  <c r="O144" i="46"/>
  <c r="O145" i="46"/>
  <c r="O146" i="46"/>
  <c r="O147" i="46"/>
  <c r="O148" i="46"/>
  <c r="O149" i="46"/>
  <c r="O150" i="46"/>
  <c r="O151" i="46"/>
  <c r="O152" i="46"/>
  <c r="O153" i="46"/>
  <c r="O154" i="46"/>
  <c r="O155" i="46"/>
  <c r="O156" i="46"/>
  <c r="O157" i="46"/>
  <c r="O158" i="46"/>
  <c r="O159" i="46"/>
  <c r="O160" i="46"/>
  <c r="O161" i="46"/>
  <c r="O162" i="46"/>
  <c r="O163" i="46"/>
  <c r="O164" i="46"/>
  <c r="O165" i="46"/>
  <c r="O166" i="46"/>
  <c r="O167" i="46"/>
  <c r="O168" i="46"/>
  <c r="O169" i="46"/>
  <c r="O170" i="46"/>
  <c r="O171" i="46"/>
  <c r="O172" i="46"/>
  <c r="O173" i="46"/>
  <c r="O9" i="46"/>
  <c r="K174" i="46"/>
  <c r="G10" i="46"/>
  <c r="G11" i="46"/>
  <c r="G12" i="46"/>
  <c r="G13" i="46"/>
  <c r="G14" i="46"/>
  <c r="G15" i="46"/>
  <c r="G16" i="46"/>
  <c r="G17" i="46"/>
  <c r="G18" i="46"/>
  <c r="G20" i="46"/>
  <c r="G21" i="46"/>
  <c r="G22" i="46"/>
  <c r="G23" i="46"/>
  <c r="G24" i="46"/>
  <c r="G25" i="46"/>
  <c r="G26" i="46"/>
  <c r="G28" i="46"/>
  <c r="G29" i="46"/>
  <c r="G31" i="46"/>
  <c r="G32" i="46"/>
  <c r="G33" i="46"/>
  <c r="G34" i="46"/>
  <c r="G35" i="46"/>
  <c r="G36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4" i="46"/>
  <c r="G75" i="46"/>
  <c r="G76" i="46"/>
  <c r="G77" i="46"/>
  <c r="G80" i="46"/>
  <c r="G81" i="46"/>
  <c r="G82" i="46"/>
  <c r="G83" i="46"/>
  <c r="G84" i="46"/>
  <c r="G85" i="46"/>
  <c r="G86" i="46"/>
  <c r="G87" i="46"/>
  <c r="G88" i="46"/>
  <c r="G89" i="46"/>
  <c r="G90" i="46"/>
  <c r="G91" i="46"/>
  <c r="G92" i="46"/>
  <c r="G93" i="46"/>
  <c r="G94" i="46"/>
  <c r="G95" i="46"/>
  <c r="G96" i="46"/>
  <c r="G97" i="46"/>
  <c r="G98" i="46"/>
  <c r="G99" i="46"/>
  <c r="G101" i="46"/>
  <c r="G102" i="46"/>
  <c r="G103" i="46"/>
  <c r="G104" i="46"/>
  <c r="G105" i="46"/>
  <c r="G106" i="46"/>
  <c r="G107" i="46"/>
  <c r="G108" i="46"/>
  <c r="G109" i="46"/>
  <c r="G110" i="46"/>
  <c r="G111" i="46"/>
  <c r="G112" i="46"/>
  <c r="G113" i="46"/>
  <c r="G114" i="46"/>
  <c r="G115" i="46"/>
  <c r="G116" i="46"/>
  <c r="G117" i="46"/>
  <c r="G118" i="46"/>
  <c r="G119" i="46"/>
  <c r="G120" i="46"/>
  <c r="G121" i="46"/>
  <c r="G122" i="46"/>
  <c r="G123" i="46"/>
  <c r="G124" i="46"/>
  <c r="G125" i="46"/>
  <c r="G126" i="46"/>
  <c r="G127" i="46"/>
  <c r="G128" i="46"/>
  <c r="G129" i="46"/>
  <c r="G130" i="46"/>
  <c r="G131" i="46"/>
  <c r="G132" i="46"/>
  <c r="G133" i="46"/>
  <c r="G134" i="46"/>
  <c r="G135" i="46"/>
  <c r="G136" i="46"/>
  <c r="G137" i="46"/>
  <c r="G138" i="46"/>
  <c r="G142" i="46"/>
  <c r="G144" i="46"/>
  <c r="G145" i="46"/>
  <c r="G146" i="46"/>
  <c r="G147" i="46"/>
  <c r="G148" i="46"/>
  <c r="G149" i="46"/>
  <c r="G151" i="46"/>
  <c r="G152" i="46"/>
  <c r="G153" i="46"/>
  <c r="G154" i="46"/>
  <c r="G155" i="46"/>
  <c r="G157" i="46"/>
  <c r="G158" i="46"/>
  <c r="G159" i="46"/>
  <c r="G160" i="46"/>
  <c r="G161" i="46"/>
  <c r="G162" i="46"/>
  <c r="G163" i="46"/>
  <c r="G164" i="46"/>
  <c r="G165" i="46"/>
  <c r="G166" i="46"/>
  <c r="G167" i="46"/>
  <c r="G168" i="46"/>
  <c r="G169" i="46"/>
  <c r="G170" i="46"/>
  <c r="G171" i="46"/>
  <c r="G172" i="46"/>
  <c r="G173" i="46"/>
  <c r="G9" i="46"/>
  <c r="E19" i="46"/>
  <c r="G19" i="46" s="1"/>
  <c r="E27" i="46"/>
  <c r="G27" i="46" s="1"/>
  <c r="E30" i="46"/>
  <c r="G30" i="46" s="1"/>
  <c r="E53" i="46"/>
  <c r="G53" i="46" s="1"/>
  <c r="E72" i="46"/>
  <c r="G72" i="46" s="1"/>
  <c r="E73" i="46"/>
  <c r="G73" i="46" s="1"/>
  <c r="E78" i="46"/>
  <c r="G78" i="46" s="1"/>
  <c r="E79" i="46"/>
  <c r="G79" i="46" s="1"/>
  <c r="E100" i="46"/>
  <c r="G100" i="46" s="1"/>
  <c r="E139" i="46"/>
  <c r="G139" i="46" s="1"/>
  <c r="E140" i="46"/>
  <c r="G140" i="46" s="1"/>
  <c r="E141" i="46"/>
  <c r="G141" i="46" s="1"/>
  <c r="E143" i="46"/>
  <c r="G143" i="46" s="1"/>
  <c r="E150" i="46"/>
  <c r="G150" i="46" s="1"/>
  <c r="E156" i="46"/>
  <c r="G156" i="46" s="1"/>
  <c r="I174" i="46"/>
  <c r="M174" i="46"/>
  <c r="Q174" i="46"/>
  <c r="E174" i="46" l="1"/>
  <c r="C174" i="46"/>
  <c r="G174" i="46"/>
  <c r="O174" i="46"/>
  <c r="E11" i="44" l="1"/>
  <c r="I11" i="44"/>
  <c r="C91" i="42"/>
  <c r="E91" i="42"/>
  <c r="G91" i="42"/>
  <c r="I91" i="42"/>
  <c r="K91" i="42"/>
  <c r="M91" i="42"/>
  <c r="O91" i="42"/>
  <c r="Q91" i="42"/>
  <c r="S91" i="42"/>
  <c r="U91" i="42"/>
  <c r="E46" i="41"/>
  <c r="G46" i="41"/>
  <c r="I46" i="41"/>
  <c r="M46" i="41"/>
  <c r="O46" i="41"/>
  <c r="Q46" i="41"/>
  <c r="E91" i="40"/>
  <c r="G91" i="40"/>
  <c r="I91" i="40"/>
  <c r="M91" i="40"/>
  <c r="O91" i="40"/>
  <c r="Q91" i="40"/>
  <c r="G11" i="39"/>
  <c r="I11" i="39"/>
  <c r="K11" i="39"/>
  <c r="M11" i="39"/>
  <c r="O11" i="39"/>
  <c r="Q11" i="39"/>
  <c r="I53" i="38"/>
  <c r="K53" i="38"/>
  <c r="M53" i="38"/>
  <c r="O53" i="38"/>
  <c r="Q53" i="38"/>
  <c r="S53" i="38"/>
  <c r="K11" i="44" l="1"/>
  <c r="G11" i="44"/>
  <c r="I12" i="26"/>
  <c r="K12" i="26"/>
  <c r="M12" i="26"/>
  <c r="O12" i="26"/>
  <c r="Q12" i="26"/>
  <c r="E50" i="22"/>
  <c r="G50" i="22"/>
  <c r="J50" i="22"/>
  <c r="M50" i="22"/>
  <c r="S50" i="22"/>
  <c r="U50" i="22"/>
  <c r="W50" i="22"/>
</calcChain>
</file>

<file path=xl/sharedStrings.xml><?xml version="1.0" encoding="utf-8"?>
<sst xmlns="http://schemas.openxmlformats.org/spreadsheetml/2006/main" count="712" uniqueCount="412">
  <si>
    <t>‫صورت وضعیت پورتفوی</t>
  </si>
  <si>
    <t>‫برای ماه منتهی به 1404/09/30</t>
  </si>
  <si>
    <t>‫1404/08/30</t>
  </si>
  <si>
    <t>‫1404/09/30</t>
  </si>
  <si>
    <t>‫تعداد</t>
  </si>
  <si>
    <t>‫بهای تمام شده</t>
  </si>
  <si>
    <t>‫خالص ارزش فروش</t>
  </si>
  <si>
    <t>‫درصد به کل دارایی ها</t>
  </si>
  <si>
    <t>‫مبلغ فروش</t>
  </si>
  <si>
    <t>‫جمع</t>
  </si>
  <si>
    <t>‫تاریخ سررسید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</si>
  <si>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</si>
  <si>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</si>
  <si>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</si>
  <si>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</si>
  <si>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</si>
  <si>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</si>
  <si>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‫مبلغ</t>
  </si>
  <si>
    <t>‫افزایش</t>
  </si>
  <si>
    <t>‫کاهش</t>
  </si>
  <si>
    <t>‫کوتاه مدت</t>
  </si>
  <si>
    <t>‫سپرده بانکی نزد بانک پاسارگاد</t>
  </si>
  <si>
    <t>‫سپرده بانکی نزد بانک گردشگري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</si>
  <si>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</si>
  <si>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</si>
  <si>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</si>
  <si>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</si>
  <si>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</si>
  <si>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</si>
  <si>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سپرده بانکی و گواهی سپرده</t>
  </si>
  <si>
    <t>‫سایر درآمدها</t>
  </si>
  <si>
    <t>‫هزینه تنزیل</t>
  </si>
  <si>
    <t>‫تاریخ دریافت سود</t>
  </si>
  <si>
    <t>‫درآمد سود</t>
  </si>
  <si>
    <t>‫خالص درآمد</t>
  </si>
  <si>
    <t>‫1404/09/01</t>
  </si>
  <si>
    <t>‫سود(زیان) حاصل از فروش اوراق بهادار</t>
  </si>
  <si>
    <t>‫ارزش دفتری</t>
  </si>
  <si>
    <t>‫سود و زیان ناشی از فروش</t>
  </si>
  <si>
    <t>‫درآمد ناشی از تغییر قیمت اوراق بهادار</t>
  </si>
  <si>
    <t>‫سود و زیان ناشی از تغییر قیمت</t>
  </si>
  <si>
    <t>‫درآمد تغییر ارزش</t>
  </si>
  <si>
    <t>‫درآمد فروش</t>
  </si>
  <si>
    <t>‫نام سپرده بانکی</t>
  </si>
  <si>
    <t>‫نام سپرده</t>
  </si>
  <si>
    <t>‫سود سپرده بانکی و گواهی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</si>
  <si>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</si>
  <si>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</si>
  <si>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</si>
  <si>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</si>
  <si>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</si>
  <si>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</si>
  <si>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</si>
  <si>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</si>
  <si>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</si>
  <si>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‫تغییرات طی آذر ماه</t>
  </si>
  <si>
    <t>‫خرید طی آذر ماه</t>
  </si>
  <si>
    <t>‫فروش طی آذر ماه</t>
  </si>
  <si>
    <t>‫1-2- سرمایه گذاری در سپرده بانکی</t>
  </si>
  <si>
    <t>طی آذر ماه</t>
  </si>
  <si>
    <t>از ابتدای سال مالی تا پایان آذر ماه</t>
  </si>
  <si>
    <t>‫درصد سود به کل سود سپرده</t>
  </si>
  <si>
    <t>تعدیل کارمزد کارگزاری</t>
  </si>
  <si>
    <t>2-1</t>
  </si>
  <si>
    <t>2-3</t>
  </si>
  <si>
    <t>‫سود سپرده بانکی</t>
  </si>
  <si>
    <t>صندوق ‫سرمایه گذاری قابل معامله شاخصی بازار آشنا</t>
  </si>
  <si>
    <t>‫چادرملو</t>
  </si>
  <si>
    <t>‫پويا زركان آق دره</t>
  </si>
  <si>
    <t>‫پويا</t>
  </si>
  <si>
    <t>‫پست بانك ايران</t>
  </si>
  <si>
    <t>‫پتروشیمی تامین</t>
  </si>
  <si>
    <t>‫پتروشيمی پردیس</t>
  </si>
  <si>
    <t>‫پتروشيمي پارس</t>
  </si>
  <si>
    <t>‫پتروشيمي نوري</t>
  </si>
  <si>
    <t>‫پتروشيمي شيراز</t>
  </si>
  <si>
    <t>‫پتروشيمي جم</t>
  </si>
  <si>
    <t>‫پارس مينو</t>
  </si>
  <si>
    <t>‫نفت و گاز پارسیان</t>
  </si>
  <si>
    <t>‫نفت تهران</t>
  </si>
  <si>
    <t>‫نفت تبريز</t>
  </si>
  <si>
    <t>‫نفت بندر عباس</t>
  </si>
  <si>
    <t>‫نفت اصفهان</t>
  </si>
  <si>
    <t>‫مپنا</t>
  </si>
  <si>
    <t>‫ملي مس</t>
  </si>
  <si>
    <t>‫مبين انرژي خليج فارس</t>
  </si>
  <si>
    <t>‫كيميا كالاي رازي</t>
  </si>
  <si>
    <t>‫فولاد مباركه</t>
  </si>
  <si>
    <t>‫صندوق بازنشستگي</t>
  </si>
  <si>
    <t>‫صنايع پتروشيمي خليج فارس</t>
  </si>
  <si>
    <t>‫صنايع غذايي رضوي</t>
  </si>
  <si>
    <t>‫سيمان فارس و خوزستان</t>
  </si>
  <si>
    <t>‫سيمان شاهرود</t>
  </si>
  <si>
    <t>‫سيمان تهران</t>
  </si>
  <si>
    <t>‫سرمايه گذاري غدير</t>
  </si>
  <si>
    <t>‫سرمايه گذاري صدرتامين</t>
  </si>
  <si>
    <t>‫سرمايه گذاري دارويي تامين</t>
  </si>
  <si>
    <t>‫سرمايه گذاري تامين اجتماعي</t>
  </si>
  <si>
    <t>‫س. و توسعه صنايع لاستيك</t>
  </si>
  <si>
    <t>‫توليدي كوچين</t>
  </si>
  <si>
    <t>‫توسعه‌معادن‌وفلزات‌</t>
  </si>
  <si>
    <t>‫توسعه معادن وص.معدني خاورميانه</t>
  </si>
  <si>
    <t>‫بانك ملت</t>
  </si>
  <si>
    <t>‫بانك تجارت</t>
  </si>
  <si>
    <t>‫ايران خودرو</t>
  </si>
  <si>
    <t>‫اقتصاد نوين</t>
  </si>
  <si>
    <t>‫قیمت بازار هر سهم</t>
  </si>
  <si>
    <t>‫شرکت</t>
  </si>
  <si>
    <t>‫1-1- سرمایه گذاری در سهام و حق تقدم سهام</t>
  </si>
  <si>
    <t>‫1- سرمایه گذاری ها</t>
  </si>
  <si>
    <t>‫سرمایه گذاری قابل معامله شاخصی بازار آشنا</t>
  </si>
  <si>
    <t>‫نام سهام</t>
  </si>
  <si>
    <t>‫1403/05/03</t>
  </si>
  <si>
    <t>‫132.9967.1270160.1</t>
  </si>
  <si>
    <t>‫1401/09/22</t>
  </si>
  <si>
    <t>‫جاري</t>
  </si>
  <si>
    <t>‫132-711270160-1</t>
  </si>
  <si>
    <t>‫1400/08/09</t>
  </si>
  <si>
    <t>‫415.8100.14938708.1</t>
  </si>
  <si>
    <t>‫2-2</t>
  </si>
  <si>
    <t>‫درآمد حاصل از سرمایه گذاری در سهام و حق تقدم سهام</t>
  </si>
  <si>
    <t>‫1404/09/22</t>
  </si>
  <si>
    <t>‫خالص درآمد سود سهام</t>
  </si>
  <si>
    <t>‫جمع درآمد سود سهام</t>
  </si>
  <si>
    <t>‫سود متعلق به هر سهم</t>
  </si>
  <si>
    <t>‫تعداد سهام متعلقه در زمان مجمع</t>
  </si>
  <si>
    <t>‫تاریخ تشکیل مجمع</t>
  </si>
  <si>
    <t>‫اطلاعات مجمع</t>
  </si>
  <si>
    <t>‫درآمد سود سهام</t>
  </si>
  <si>
    <t>‫كوتاه مدت-1.14938708.8100.415-پاسارگاد</t>
  </si>
  <si>
    <t>‫1404/09/03</t>
  </si>
  <si>
    <t>‫كوتاه مدت-1.1270160.9967.132-گردشگري</t>
  </si>
  <si>
    <t>‫گل گهر</t>
  </si>
  <si>
    <t>‫گسترش خودرو</t>
  </si>
  <si>
    <t>‫گروه مالي مهرگان تامين پارس</t>
  </si>
  <si>
    <t>‫گروه مالي صبا تامين</t>
  </si>
  <si>
    <t>‫پخش هجرت</t>
  </si>
  <si>
    <t>‫پتروشيمي بوعلي سينا</t>
  </si>
  <si>
    <t>‫نفت بهران</t>
  </si>
  <si>
    <t>‫نساجي بابكان</t>
  </si>
  <si>
    <t>‫معدنكاران نسوز</t>
  </si>
  <si>
    <t>‫معادن روي</t>
  </si>
  <si>
    <t>‫مديريت نيروگاهي ايرانيان مپنا</t>
  </si>
  <si>
    <t>‫مخابرات</t>
  </si>
  <si>
    <t>‫كشتيراني ايران</t>
  </si>
  <si>
    <t>‫كاني كربن طبس</t>
  </si>
  <si>
    <t>‫قند چهار محال</t>
  </si>
  <si>
    <t>‫فولاد خوزستان</t>
  </si>
  <si>
    <t>‫فولاد اميركبير</t>
  </si>
  <si>
    <t>‫فروشگاههاي زنجيره اي افق كوروش</t>
  </si>
  <si>
    <t>‫صنعتی صبانور</t>
  </si>
  <si>
    <t>‫صنايع شيميايي كيمياگران امروز</t>
  </si>
  <si>
    <t>‫صنايع الكترونيك ماديران</t>
  </si>
  <si>
    <t>‫صنايع ارتباطي آوا</t>
  </si>
  <si>
    <t>‫صبا فولاد خليج فارس</t>
  </si>
  <si>
    <t>‫سيمان سپاهان</t>
  </si>
  <si>
    <t>‫سرمايه گذاري پايا تدبيرپارسا</t>
  </si>
  <si>
    <t>‫سرمايه گذاري مهر</t>
  </si>
  <si>
    <t>‫سرمايه گذاري ملي ايران</t>
  </si>
  <si>
    <t>‫سرمايه گذاري جامي</t>
  </si>
  <si>
    <t>‫سرمايه گذاري اميد</t>
  </si>
  <si>
    <t>‫سايپا</t>
  </si>
  <si>
    <t>‫ذوب آهن  اصفهان</t>
  </si>
  <si>
    <t>‫دارويي و نهاده هاي زاگرس دارو</t>
  </si>
  <si>
    <t>‫تولید برق دماوند</t>
  </si>
  <si>
    <t>‫توليدي برنا باطري</t>
  </si>
  <si>
    <t>‫توليد انرژي برق شمس پاسارگاد</t>
  </si>
  <si>
    <t>‫توسعه نيشكر و صنايع جانبي</t>
  </si>
  <si>
    <t>‫بين المللي توسعه ص. معادن غدير</t>
  </si>
  <si>
    <t>‫بانك صادرات</t>
  </si>
  <si>
    <t>‫ايران ترانسفو</t>
  </si>
  <si>
    <t>‫انتقال داده هاي آسياتك</t>
  </si>
  <si>
    <t>‫ارتباطات سیار</t>
  </si>
  <si>
    <t>‫اخشان خراسان</t>
  </si>
  <si>
    <t>‫آلومينيوم ايران</t>
  </si>
  <si>
    <t>‫گسترش سرمايه گذاري ايران خودرو</t>
  </si>
  <si>
    <t>‫گروه مپنا</t>
  </si>
  <si>
    <t>‫گروه مديريت سرمايه گذاري اميد</t>
  </si>
  <si>
    <t>‫پتروشيمي پرديس</t>
  </si>
  <si>
    <t>‫پالايش نفت تهران</t>
  </si>
  <si>
    <t>‫پالايش نفت تبريز</t>
  </si>
  <si>
    <t>‫پالايش نفت اصفهان</t>
  </si>
  <si>
    <t>‫ملي صنايع مس ايران</t>
  </si>
  <si>
    <t>‫معدني و صنعتي گل گهر</t>
  </si>
  <si>
    <t>‫معدني و صنعتي چادر ملو</t>
  </si>
  <si>
    <t>‫كشتيراني جمهوري اسلامي ايران</t>
  </si>
  <si>
    <t>‫فولاد مباركه اصفهان</t>
  </si>
  <si>
    <t>‫فولاد اميركبير كاشان</t>
  </si>
  <si>
    <t>‫فرآورده هاي غذايي و قند چهار محال</t>
  </si>
  <si>
    <t>‫شركت گسترش نفت و گاز پارسيان</t>
  </si>
  <si>
    <t>‫شركت پالايش نفت بندر عباس</t>
  </si>
  <si>
    <t>‫شركت مخابرات ايران</t>
  </si>
  <si>
    <t>‫شركت ارتباطات سيار ايران</t>
  </si>
  <si>
    <t>‫سرمايه گذاري غدير (هلدينگ)</t>
  </si>
  <si>
    <t>‫سرمايه گذاري صندوق بازنشستگي كشوري (هلدينگ)</t>
  </si>
  <si>
    <t>‫سرمايه گذاري توسعه معادن و فلزات (هلدينگ)</t>
  </si>
  <si>
    <t>‫س. نفت و گاز و پتروشيمي تامين</t>
  </si>
  <si>
    <t>‫ذوب آهن اصفهان</t>
  </si>
  <si>
    <t>‫توليد نيروي برق دماوند</t>
  </si>
  <si>
    <t>‫توسعه معدني و صنعتي صبانور</t>
  </si>
  <si>
    <t>‫توسعه معادن روي ايران</t>
  </si>
  <si>
    <t>‫بانك صادرات ايران</t>
  </si>
  <si>
    <t>‫بانك اقتصاد نوين</t>
  </si>
  <si>
    <t>‫درصد از کل درآمد ها</t>
  </si>
  <si>
    <t>‫جمع مبلغ</t>
  </si>
  <si>
    <t>‫سهام</t>
  </si>
  <si>
    <t>‫1404/04/23</t>
  </si>
  <si>
    <t>‫1404/04/21</t>
  </si>
  <si>
    <t>‫1404/04/29</t>
  </si>
  <si>
    <t>‫1404/02/15</t>
  </si>
  <si>
    <t>‫1404/06/26</t>
  </si>
  <si>
    <t>‫1404/04/31</t>
  </si>
  <si>
    <t>‫1404/05/08</t>
  </si>
  <si>
    <t>‫1404/05/11</t>
  </si>
  <si>
    <t>‫1404/04/28</t>
  </si>
  <si>
    <t>‫1404/03/03</t>
  </si>
  <si>
    <t>‫1403/10/19</t>
  </si>
  <si>
    <t>‫1404/05/12</t>
  </si>
  <si>
    <t>‫1404/04/30</t>
  </si>
  <si>
    <t>‫1404/07/20</t>
  </si>
  <si>
    <t>‫1404/04/12</t>
  </si>
  <si>
    <t>‫1404/03/28</t>
  </si>
  <si>
    <t>‫1404/05/13</t>
  </si>
  <si>
    <t>‫1404/07/30</t>
  </si>
  <si>
    <t>‫1404/04/17</t>
  </si>
  <si>
    <t>‫1404/01/31</t>
  </si>
  <si>
    <t>‫1404/01/27</t>
  </si>
  <si>
    <t>‫1403/12/08</t>
  </si>
  <si>
    <t>‫1404/06/17</t>
  </si>
  <si>
    <t>‫1404/06/23</t>
  </si>
  <si>
    <t>‫1403/12/22</t>
  </si>
  <si>
    <t>‫1403/12/20</t>
  </si>
  <si>
    <t>‫1403/10/15</t>
  </si>
  <si>
    <t>‫1404/04/22</t>
  </si>
  <si>
    <t>‫1404/03/21</t>
  </si>
  <si>
    <t>‫2-1- درآمد حاصل از سرمایه گذاری در سهام و حق تقدم سهام:</t>
  </si>
  <si>
    <t>اختيارف وتجارت-545-1404/02/17</t>
  </si>
  <si>
    <t>اختيارف وبملت-3000-1403/11/24</t>
  </si>
  <si>
    <t>اختيارف وبملت-2640-1404/03/21</t>
  </si>
  <si>
    <t>اختيارف وبملت-2347-1404/03/21</t>
  </si>
  <si>
    <t>اختيارف وبملت-2054-1404/01/27</t>
  </si>
  <si>
    <t>اختيارف وبملت-1907-1404/03/21</t>
  </si>
  <si>
    <t>اختيارف وبملت-1907-1404/01/27</t>
  </si>
  <si>
    <t>اختيارف وبملت-1200-1404/08/21</t>
  </si>
  <si>
    <t>اختيارف وبملت-1175-1404/07/23</t>
  </si>
  <si>
    <t>اختيارف وبملت-1100-1404/08/21</t>
  </si>
  <si>
    <t>اختيارف وبملت-1073-1404/07/23</t>
  </si>
  <si>
    <t>اختيارف وبصادر-600-1404/03/21</t>
  </si>
  <si>
    <t>اختيارف فولاد-3960-1404/03/13</t>
  </si>
  <si>
    <t>اختيارف فملي-6686-1404/03/07</t>
  </si>
  <si>
    <t>اختيارف شستا-1500-1404/04/11</t>
  </si>
  <si>
    <t>اختيارف شستا-1500-1404/03/13</t>
  </si>
  <si>
    <t>اختيارف شستا-1500-1404/02/10</t>
  </si>
  <si>
    <t>اختيارف شستا-1400-1404/02/10</t>
  </si>
  <si>
    <t>اختيارف شستا-1350-1403/12/08</t>
  </si>
  <si>
    <t>اختيارف شستا-1310-1404/08/14</t>
  </si>
  <si>
    <t>اختيارف شستا-1300-1404/01/20</t>
  </si>
  <si>
    <t>اختيارف شستا-1210-1404/08/14</t>
  </si>
  <si>
    <t>اختيارف شستا-1100-1404/07/09</t>
  </si>
  <si>
    <t>اختيارف شپنا-3521-1404/04/18</t>
  </si>
  <si>
    <t>اختيارف خودرو-647-1404/03/07</t>
  </si>
  <si>
    <t>اختيارف خودرو-600-1404/04/04</t>
  </si>
  <si>
    <t>اختيارف خودرو-500-1404/09/05</t>
  </si>
  <si>
    <t>اختيارف خودرو-500-1404/04/04</t>
  </si>
  <si>
    <t>اختيارف خودرو-400-1404/08/07</t>
  </si>
  <si>
    <t>اختيارف خودرو-3750-1404/01/06</t>
  </si>
  <si>
    <t>اختيارف خودرو-3500-1404/01/06</t>
  </si>
  <si>
    <t>اختيارف خودرو-3500-1403/12/01</t>
  </si>
  <si>
    <t>اختيارف خودرو-3250-1404/02/03</t>
  </si>
  <si>
    <t>اختيارف خودرو-3250-1404/01/06</t>
  </si>
  <si>
    <t>اختيارف خودرو-3250-1403/12/01</t>
  </si>
  <si>
    <t>اختيارف خودرو-3250-1403/11/03</t>
  </si>
  <si>
    <t>اختيارف خودرو-3000-1404/01/06</t>
  </si>
  <si>
    <t>اختيارف خودرو-300-1404/08/07</t>
  </si>
  <si>
    <t>اختيارف خساپا-543-1404/02/31</t>
  </si>
  <si>
    <t>اختيارف خساپا-300-1404/06/26</t>
  </si>
  <si>
    <t>اختيارخ وتجارت-900-1404/04/18</t>
  </si>
  <si>
    <t>اختيارخ وتجارت-600-1404/06/18</t>
  </si>
  <si>
    <t>اختيارخ وتجارت-499-1404/02/17</t>
  </si>
  <si>
    <t>اختيارخ وتجارت-2200-1403/12/15</t>
  </si>
  <si>
    <t>اختيارخ وتجارت-1800-1403/12/15</t>
  </si>
  <si>
    <t>اختيارخ وتجارت-1000-1404/04/18</t>
  </si>
  <si>
    <t>اختيارخ وبملت-3750-1404/01/27</t>
  </si>
  <si>
    <t>اختيارخ وبملت-3750-1403/11/24</t>
  </si>
  <si>
    <t>اختيارخ وبملت-3500-1404/01/27</t>
  </si>
  <si>
    <t>اختيارخ وبملت-3250-1404/03/21</t>
  </si>
  <si>
    <t>اختيارخ وبملت-3000-1404/04/25</t>
  </si>
  <si>
    <t>اختيارخ وبملت-3000-1403/11/24</t>
  </si>
  <si>
    <t>اختيارخ وبملت-2934-1404/03/21</t>
  </si>
  <si>
    <t>اختيارخ وبملت-2800-1404/05/22</t>
  </si>
  <si>
    <t>اختيارخ وبملت-2640-1404/03/21</t>
  </si>
  <si>
    <t>اختيارخ وبملت-2600-1404/05/22</t>
  </si>
  <si>
    <t>اختيارخ وبملت-1600-1404/08/21</t>
  </si>
  <si>
    <t>اختيارخ وبملت-1500-1404/09/19</t>
  </si>
  <si>
    <t>اختيارخ وبملت-1400-1404/09/19</t>
  </si>
  <si>
    <t>اختيارخ وبملت-1400-1404/08/21</t>
  </si>
  <si>
    <t>اختيارخ وبملت-1300-1404/08/21</t>
  </si>
  <si>
    <t>اختيارخ وبملت-1277-1404/07/23</t>
  </si>
  <si>
    <t>اختيارخ وبملت-1175-1404/07/23</t>
  </si>
  <si>
    <t>اختيارخ وبملت-1073-1404/07/23</t>
  </si>
  <si>
    <t>اختيارخ وبملت-1073-1404/06/26</t>
  </si>
  <si>
    <t>اختيارخ وبملت-1073-1404/05/22</t>
  </si>
  <si>
    <t>اختيارخ وبصادر-900-1404/03/21</t>
  </si>
  <si>
    <t>اختيارخ وبصادر-800-1404/05/22</t>
  </si>
  <si>
    <t>اختيارخ وبصادر-800-1404/03/21</t>
  </si>
  <si>
    <t>اختيارخ وبصادر-700-1404/05/22</t>
  </si>
  <si>
    <t>اختيارخ وبصادر-700-1404/03/21</t>
  </si>
  <si>
    <t>اختيارخ وبصادر-585-1404/05/22</t>
  </si>
  <si>
    <t>اختيارخ وبصادر-2400-1403/11/17</t>
  </si>
  <si>
    <t>اختيارخ وبصادر-2200-1403/11/17</t>
  </si>
  <si>
    <t>اختيارخ فولاد-6500-1403/12/01</t>
  </si>
  <si>
    <t>اختيارخ فولاد-6000-1403/12/01</t>
  </si>
  <si>
    <t>اختيارخ فولاد-5040-1404/03/13</t>
  </si>
  <si>
    <t>اختيارخ فولاد-5000-1404/05/15</t>
  </si>
  <si>
    <t>اختيارخ فولاد-4320-1404/03/13</t>
  </si>
  <si>
    <t>اختيارخ فولاد-4000-1404/05/15</t>
  </si>
  <si>
    <t>اختيارخ فولاد-3500-1404/09/12</t>
  </si>
  <si>
    <t>اختيارخ فولاد-3250-1404/09/12</t>
  </si>
  <si>
    <t>اختيارخ فولاد-3000-1404/09/12</t>
  </si>
  <si>
    <t>اختيارخ فولاد-2800-1404/09/12</t>
  </si>
  <si>
    <t>اختيارخ فولاد-2600-1404/09/12</t>
  </si>
  <si>
    <t>اختيارخ فملي-9000-1404/09/05</t>
  </si>
  <si>
    <t>اختيارخ فملي-7429-1404/03/07</t>
  </si>
  <si>
    <t>اختيارخ فملي-10000-1404/01/06</t>
  </si>
  <si>
    <t>اختيارخ شستا-2200-1404/04/11</t>
  </si>
  <si>
    <t>اختيارخ شستا-2000-1404/08/14</t>
  </si>
  <si>
    <t>اختيارخ شستا-2000-1404/03/13</t>
  </si>
  <si>
    <t>اختيارخ شستا-1800-1404/08/14</t>
  </si>
  <si>
    <t>اختيارخ شستا-1800-1404/04/11</t>
  </si>
  <si>
    <t>اختيارخ شستا-1700-1404/07/09</t>
  </si>
  <si>
    <t>اختيارخ شستا-1700-1404/04/11</t>
  </si>
  <si>
    <t>اختيارخ شستا-1650-1403/12/08</t>
  </si>
  <si>
    <t>اختيارخ شستا-1650-1403/11/10</t>
  </si>
  <si>
    <t>اختيارخ شستا-1600-1404/08/14</t>
  </si>
  <si>
    <t>اختيارخ شستا-1600-1404/04/11</t>
  </si>
  <si>
    <t>اختيارخ شستا-1550-1403/11/10</t>
  </si>
  <si>
    <t>اختيارخ شستا-1500-1404/08/14</t>
  </si>
  <si>
    <t>اختيارخ شستا-1500-1404/07/09</t>
  </si>
  <si>
    <t>اختيارخ شستا-1500-1404/05/15</t>
  </si>
  <si>
    <t>اختيارخ شستا-1500-1404/01/20</t>
  </si>
  <si>
    <t>اختيارخ شستا-1450-1403/10/12</t>
  </si>
  <si>
    <t>اختيارخ شستا-1410-1404/09/12</t>
  </si>
  <si>
    <t>اختيارخ شستا-1400-1404/08/14</t>
  </si>
  <si>
    <t>اختيارخ شستا-1400-1404/07/09</t>
  </si>
  <si>
    <t>اختيارخ شستا-1400-1404/02/10</t>
  </si>
  <si>
    <t>اختيارخ شستا-1350-1403/10/12</t>
  </si>
  <si>
    <t>اختيارخ شستا-1300-1404/07/09</t>
  </si>
  <si>
    <t>اختيارخ شستا-1300-1404/06/12</t>
  </si>
  <si>
    <t>اختيارخ شستا-1200-1404/06/12</t>
  </si>
  <si>
    <t>اختيارخ شپنا-5500-1403/12/08</t>
  </si>
  <si>
    <t>اختيارخ شپنا-5500-1404/08/21</t>
  </si>
  <si>
    <t>اختيارخ شپنا-5000-1403/12/08</t>
  </si>
  <si>
    <t>اختيارخ شپنا-4930-1404/04/18</t>
  </si>
  <si>
    <t>اختيارخ شپنا-3873-1404/02/17</t>
  </si>
  <si>
    <t>اختيارخ ذوب-700-1403/11/24</t>
  </si>
  <si>
    <t>اختيارخ ذوب-600-1403/11/24</t>
  </si>
  <si>
    <t>اختيارخ ذوب-500-1403/12/22</t>
  </si>
  <si>
    <t>اختيارخ ذوب-400-1404/09/19</t>
  </si>
  <si>
    <t>اختيارخ ذوب-400-1404/06/18</t>
  </si>
  <si>
    <t>اختيارخ خودرو-450-1404/09/05</t>
  </si>
  <si>
    <t>اختيارخ خودرو-700-1404/03/07</t>
  </si>
  <si>
    <t>اختيارخ خودرو-647-1404/03/07</t>
  </si>
  <si>
    <t>اختيارخ خودرو-600-1404/08/07</t>
  </si>
  <si>
    <t>اختيارخ خودرو-600-1404/04/04</t>
  </si>
  <si>
    <t>اختيارخ خودرو-550-1404/09/05</t>
  </si>
  <si>
    <t>اختيارخ خودرو-5000-1404/02/03</t>
  </si>
  <si>
    <t>اختيارخ خودرو-5000-1403/12/01</t>
  </si>
  <si>
    <t>اختيارخ خودرو-500-1404/08/07</t>
  </si>
  <si>
    <t>اختيارخ خودرو-500-1404/07/02</t>
  </si>
  <si>
    <t>اختيارخ خودرو-4000-1404/01/06</t>
  </si>
  <si>
    <t>اختيارخ خودرو-4000-1403/11/03</t>
  </si>
  <si>
    <t>اختيارخ خودرو-400-1404/09/05</t>
  </si>
  <si>
    <t>اختيارخ خودرو-400-1404/08/07</t>
  </si>
  <si>
    <t>اختيارخ خودرو-400-1404/06/05</t>
  </si>
  <si>
    <t>اختيارخ خودرو-3750-1404/01/06</t>
  </si>
  <si>
    <t>اختيارخ خودرو-3750-1403/12/01</t>
  </si>
  <si>
    <t>اختيارخ خودرو-3250-1404/02/03</t>
  </si>
  <si>
    <t>اختيارخ خگستر-5500-1404/04/04</t>
  </si>
  <si>
    <t>اختيارخ خساپا-500-1404/05/29</t>
  </si>
  <si>
    <t>اختيارخ خساپا-3250-1403/12/22</t>
  </si>
  <si>
    <t>اختيارخ خساپا-3000-1403/12/22</t>
  </si>
  <si>
    <t>اختيارخ اخابر-800-1404/05/22</t>
  </si>
  <si>
    <t>اختیار معامله</t>
  </si>
  <si>
    <t>‫2-2- درآمد حاصل از سرمایه گذاری در اختیار معاملات سهام:</t>
  </si>
  <si>
    <t>سرمایه گذاری قابل معامله شاخصی بازار آشنا</t>
  </si>
  <si>
    <t>طی آذر  ماه</t>
  </si>
  <si>
    <t>اختيارخ خودرو-600-1404/10/03</t>
  </si>
  <si>
    <t>اختيارخ خودرو-750-1404/11/01</t>
  </si>
  <si>
    <t>اختيارخ فزر-110000-14041007</t>
  </si>
  <si>
    <t>اختيارخ فزر-120000-14041007</t>
  </si>
  <si>
    <t>اختيارخ وبملت-1100-1404/10/17</t>
  </si>
  <si>
    <t>اختيارخ وبملت-1300-1404/10/17</t>
  </si>
  <si>
    <t>اختيارف خودرو-500-1404/10/03</t>
  </si>
  <si>
    <t>اختيارف خودرو-550-1404/10/03</t>
  </si>
  <si>
    <t>اختيارف خودرو-600-1404/10/03</t>
  </si>
  <si>
    <t>اختيارف خودرو-600-1404/11/01</t>
  </si>
  <si>
    <t>اختيارف شستا-1210-1404/10/10</t>
  </si>
  <si>
    <t>اختيارف شستا-1410-1404/10/10</t>
  </si>
  <si>
    <t>اختيارخ خودرو-650-1404/10/03</t>
  </si>
  <si>
    <t>اختيارخ شستا-1310-1404/10/10</t>
  </si>
  <si>
    <t>اختيارخ شستا-1610-1404/10/10</t>
  </si>
  <si>
    <t>اختيارخ وبملت-1100-1404/09/19</t>
  </si>
  <si>
    <t>اختيارخ وبملت-1300-1404/09/19</t>
  </si>
  <si>
    <t>اختيارف شستا-1210-1404/09/12</t>
  </si>
  <si>
    <t>اختيارف شستا-1410-1404/09/12</t>
  </si>
  <si>
    <t>‫2-3- درآمد حاصل از سرمایه گذاری در سپرده بانکی و گواهی سپرده:</t>
  </si>
  <si>
    <t>‫2-4- سایر درآمدها:</t>
  </si>
  <si>
    <t>سایر درآمد ها</t>
  </si>
  <si>
    <t>‫درآمد حاصل از سرمایه گذاری در اختیار معاملات سهام</t>
  </si>
  <si>
    <t>2-4</t>
  </si>
  <si>
    <t>اختیار معامله خرید سهام</t>
  </si>
  <si>
    <t>اختیار معامله فروش سهام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</si>
</sst>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b/>
      <sz val="12"/>
      <color indexed="8"/>
      <name val="B Zar"/>
      <charset val="178"/>
    </font>
    <font>
      <sz val="7"/>
      <color rgb="FF000000"/>
      <name val="Yekan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2" borderId="2"/>
    <xf numFmtId="0" fontId="1" fillId="2" borderId="2"/>
    <xf numFmtId="9" fontId="1" fillId="2" borderId="2" applyFont="0" applyFill="0" applyBorder="0" applyAlignment="0" applyProtection="0"/>
    <xf numFmtId="0" fontId="1" fillId="2" borderId="2"/>
    <xf numFmtId="0" fontId="1" fillId="2" borderId="2"/>
    <xf numFmtId="0" fontId="1" fillId="2" borderId="2"/>
  </cellStyleXfs>
  <cellXfs count="53">
    <xf numFmtId="0" fontId="0" fillId="0" borderId="0" xfId="0"/>
    <xf numFmtId="0" fontId="3" fillId="2" borderId="2" xfId="1" applyFont="1"/>
    <xf numFmtId="0" fontId="3" fillId="2" borderId="2" xfId="5" applyFont="1"/>
    <xf numFmtId="37" fontId="8" fillId="2" borderId="4" xfId="5" applyNumberFormat="1" applyFont="1" applyBorder="1" applyAlignment="1">
      <alignment horizontal="center" vertical="center"/>
    </xf>
    <xf numFmtId="37" fontId="8" fillId="2" borderId="2" xfId="5" applyNumberFormat="1" applyFont="1" applyAlignment="1">
      <alignment horizontal="right" vertical="center" wrapText="1"/>
    </xf>
    <xf numFmtId="37" fontId="8" fillId="2" borderId="2" xfId="5" applyNumberFormat="1" applyFont="1" applyAlignment="1">
      <alignment horizontal="center" vertical="center"/>
    </xf>
    <xf numFmtId="0" fontId="8" fillId="2" borderId="2" xfId="5" applyFont="1" applyAlignment="1">
      <alignment horizontal="center" vertical="center"/>
    </xf>
    <xf numFmtId="10" fontId="8" fillId="2" borderId="2" xfId="5" applyNumberFormat="1" applyFont="1" applyAlignment="1">
      <alignment horizontal="center" vertical="center"/>
    </xf>
    <xf numFmtId="37" fontId="8" fillId="2" borderId="3" xfId="5" applyNumberFormat="1" applyFont="1" applyBorder="1" applyAlignment="1">
      <alignment horizontal="center" vertical="center"/>
    </xf>
    <xf numFmtId="10" fontId="8" fillId="2" borderId="3" xfId="5" applyNumberFormat="1" applyFont="1" applyBorder="1" applyAlignment="1">
      <alignment horizontal="center" vertical="center"/>
    </xf>
    <xf numFmtId="37" fontId="8" fillId="2" borderId="1" xfId="5" applyNumberFormat="1" applyFont="1" applyBorder="1" applyAlignment="1">
      <alignment horizontal="center" vertical="center"/>
    </xf>
    <xf numFmtId="37" fontId="8" fillId="2" borderId="2" xfId="5" applyNumberFormat="1" applyFont="1" applyBorder="1" applyAlignment="1">
      <alignment horizontal="center" vertical="center"/>
    </xf>
    <xf numFmtId="37" fontId="7" fillId="2" borderId="7" xfId="1" applyNumberFormat="1" applyFont="1" applyBorder="1" applyAlignment="1">
      <alignment horizontal="center" vertical="center"/>
    </xf>
    <xf numFmtId="37" fontId="7" fillId="2" borderId="7" xfId="1" applyNumberFormat="1" applyFont="1" applyBorder="1" applyAlignment="1">
      <alignment horizontal="center" vertical="center" wrapText="1"/>
    </xf>
    <xf numFmtId="37" fontId="8" fillId="2" borderId="2" xfId="1" applyNumberFormat="1" applyFont="1" applyAlignment="1">
      <alignment horizontal="right" vertical="center" wrapText="1"/>
    </xf>
    <xf numFmtId="0" fontId="8" fillId="2" borderId="2" xfId="1" applyFont="1" applyAlignment="1">
      <alignment horizontal="center" vertical="center"/>
    </xf>
    <xf numFmtId="37" fontId="8" fillId="2" borderId="2" xfId="1" applyNumberFormat="1" applyFont="1" applyAlignment="1">
      <alignment horizontal="center" vertical="center" wrapText="1"/>
    </xf>
    <xf numFmtId="37" fontId="8" fillId="2" borderId="2" xfId="1" applyNumberFormat="1" applyFont="1" applyAlignment="1">
      <alignment horizontal="center" vertical="center"/>
    </xf>
    <xf numFmtId="10" fontId="8" fillId="2" borderId="2" xfId="1" applyNumberFormat="1" applyFont="1" applyAlignment="1">
      <alignment horizontal="center" vertical="center"/>
    </xf>
    <xf numFmtId="37" fontId="8" fillId="2" borderId="3" xfId="1" applyNumberFormat="1" applyFont="1" applyBorder="1" applyAlignment="1">
      <alignment horizontal="center" vertical="center"/>
    </xf>
    <xf numFmtId="10" fontId="8" fillId="2" borderId="3" xfId="1" applyNumberFormat="1" applyFont="1" applyBorder="1" applyAlignment="1">
      <alignment horizontal="center" vertical="center"/>
    </xf>
    <xf numFmtId="37" fontId="8" fillId="2" borderId="1" xfId="1" applyNumberFormat="1" applyFont="1" applyBorder="1" applyAlignment="1">
      <alignment horizontal="center" vertical="center"/>
    </xf>
    <xf numFmtId="3" fontId="10" fillId="0" borderId="0" xfId="0" applyNumberFormat="1" applyFont="1"/>
    <xf numFmtId="3" fontId="3" fillId="2" borderId="2" xfId="1" applyNumberFormat="1" applyFont="1"/>
    <xf numFmtId="10" fontId="8" fillId="2" borderId="5" xfId="1" applyNumberFormat="1" applyFont="1" applyBorder="1" applyAlignment="1">
      <alignment horizontal="center" vertical="center"/>
    </xf>
    <xf numFmtId="37" fontId="8" fillId="2" borderId="2" xfId="1" applyNumberFormat="1" applyFont="1" applyBorder="1" applyAlignment="1">
      <alignment horizontal="center" vertical="center" wrapText="1"/>
    </xf>
    <xf numFmtId="37" fontId="8" fillId="2" borderId="2" xfId="1" applyNumberFormat="1" applyFont="1" applyBorder="1" applyAlignment="1">
      <alignment horizontal="center" vertical="center"/>
    </xf>
    <xf numFmtId="10" fontId="8" fillId="2" borderId="2" xfId="1" applyNumberFormat="1" applyFont="1" applyBorder="1" applyAlignment="1">
      <alignment horizontal="center" vertical="center"/>
    </xf>
    <xf numFmtId="37" fontId="7" fillId="2" borderId="7" xfId="5" applyNumberFormat="1" applyFont="1" applyBorder="1" applyAlignment="1">
      <alignment horizontal="center" vertical="center"/>
    </xf>
    <xf numFmtId="37" fontId="7" fillId="2" borderId="7" xfId="5" applyNumberFormat="1" applyFont="1" applyBorder="1" applyAlignment="1">
      <alignment horizontal="center" vertical="center" wrapText="1"/>
    </xf>
    <xf numFmtId="37" fontId="7" fillId="2" borderId="2" xfId="5" applyNumberFormat="1" applyFont="1" applyAlignment="1">
      <alignment horizontal="right" vertical="center"/>
    </xf>
    <xf numFmtId="49" fontId="8" fillId="2" borderId="2" xfId="5" applyNumberFormat="1" applyFont="1" applyAlignment="1">
      <alignment horizontal="center" vertical="center"/>
    </xf>
    <xf numFmtId="37" fontId="7" fillId="2" borderId="3" xfId="5" applyNumberFormat="1" applyFont="1" applyBorder="1" applyAlignment="1">
      <alignment horizontal="center" vertical="center"/>
    </xf>
    <xf numFmtId="9" fontId="8" fillId="2" borderId="3" xfId="5" applyNumberFormat="1" applyFont="1" applyBorder="1" applyAlignment="1">
      <alignment horizontal="center" vertical="center"/>
    </xf>
    <xf numFmtId="37" fontId="7" fillId="2" borderId="4" xfId="1" applyNumberFormat="1" applyFont="1" applyBorder="1" applyAlignment="1">
      <alignment horizontal="center" vertical="center"/>
    </xf>
    <xf numFmtId="0" fontId="5" fillId="2" borderId="2" xfId="1" applyFont="1" applyAlignment="1">
      <alignment horizontal="center" vertical="center" wrapText="1" readingOrder="2"/>
    </xf>
    <xf numFmtId="37" fontId="2" fillId="2" borderId="2" xfId="1" applyNumberFormat="1" applyFont="1" applyAlignment="1">
      <alignment horizontal="center" vertical="center"/>
    </xf>
    <xf numFmtId="0" fontId="3" fillId="2" borderId="2" xfId="1" applyFont="1"/>
    <xf numFmtId="0" fontId="4" fillId="3" borderId="2" xfId="1" applyFont="1" applyFill="1" applyAlignment="1">
      <alignment horizontal="center" vertical="center" wrapText="1" readingOrder="2"/>
    </xf>
    <xf numFmtId="37" fontId="8" fillId="2" borderId="2" xfId="5" applyNumberFormat="1" applyFont="1" applyAlignment="1">
      <alignment horizontal="center" vertical="center" wrapText="1"/>
    </xf>
    <xf numFmtId="37" fontId="8" fillId="2" borderId="4" xfId="5" applyNumberFormat="1" applyFont="1" applyBorder="1" applyAlignment="1">
      <alignment horizontal="center" vertical="center"/>
    </xf>
    <xf numFmtId="0" fontId="8" fillId="2" borderId="2" xfId="5" applyFont="1" applyAlignment="1">
      <alignment horizontal="center" vertical="center"/>
    </xf>
    <xf numFmtId="37" fontId="6" fillId="2" borderId="2" xfId="5" applyNumberFormat="1" applyFont="1" applyAlignment="1">
      <alignment horizontal="center" vertical="center"/>
    </xf>
    <xf numFmtId="0" fontId="3" fillId="2" borderId="2" xfId="5" applyFont="1"/>
    <xf numFmtId="37" fontId="7" fillId="2" borderId="2" xfId="5" applyNumberFormat="1" applyFont="1" applyAlignment="1">
      <alignment horizontal="right" vertical="center"/>
    </xf>
    <xf numFmtId="37" fontId="7" fillId="2" borderId="7" xfId="5" applyNumberFormat="1" applyFont="1" applyBorder="1" applyAlignment="1">
      <alignment horizontal="center" vertical="center"/>
    </xf>
    <xf numFmtId="0" fontId="3" fillId="2" borderId="6" xfId="5" applyFont="1" applyBorder="1"/>
    <xf numFmtId="37" fontId="6" fillId="2" borderId="2" xfId="1" applyNumberFormat="1" applyFont="1" applyAlignment="1">
      <alignment horizontal="center" vertical="center"/>
    </xf>
    <xf numFmtId="37" fontId="7" fillId="2" borderId="2" xfId="1" applyNumberFormat="1" applyFont="1" applyAlignment="1">
      <alignment horizontal="right" vertical="center"/>
    </xf>
    <xf numFmtId="37" fontId="7" fillId="2" borderId="7" xfId="1" applyNumberFormat="1" applyFont="1" applyBorder="1" applyAlignment="1">
      <alignment horizontal="center" vertical="center"/>
    </xf>
    <xf numFmtId="0" fontId="3" fillId="2" borderId="6" xfId="1" applyFont="1" applyBorder="1"/>
    <xf numFmtId="0" fontId="9" fillId="2" borderId="7" xfId="5" applyFont="1" applyBorder="1" applyAlignment="1">
      <alignment horizontal="center"/>
    </xf>
    <xf numFmtId="0" fontId="9" fillId="2" borderId="6" xfId="1" applyFont="1" applyBorder="1" applyAlignment="1">
      <alignment horizontal="center"/>
    </xf>
  </cellXfs>
  <cellStyles count="7">
    <cellStyle name="Normal" xfId="0" builtinId="0"/>
    <cellStyle name="Normal 2" xfId="1" xr:uid="{DA6C8B29-AF47-4957-94A4-8467BEEDF225}"/>
    <cellStyle name="Normal 3" xfId="2" xr:uid="{F9CCBD56-407A-47A3-B12E-4307ACB3CDBF}"/>
    <cellStyle name="Normal 4" xfId="4" xr:uid="{FDDEC855-0330-438E-B709-127B78DD3DB5}"/>
    <cellStyle name="Normal 5" xfId="5" xr:uid="{EBC60285-80C0-4E0F-8309-CA43F94BAA62}"/>
    <cellStyle name="Normal 6" xfId="6" xr:uid="{FE7E6780-3D37-45AF-930A-5851D841790F}"/>
    <cellStyle name="Percent 2" xfId="3" xr:uid="{2D0FF07A-E7AF-4D0A-8B52-95B581781F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F9881-7F37-45EF-8421-EBAA753B4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932647</xdr:colOff>
      <xdr:row>3</xdr:row>
      <xdr:rowOff>68581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7011FE-E64A-4D20-94C3-DC066C92C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139613" y="1"/>
          <a:ext cx="932647" cy="822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932647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393AD-31E4-4028-8EA7-D2F2A1EEE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078653" y="0"/>
          <a:ext cx="932647" cy="8305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32647" cy="829235"/>
    <xdr:pic>
      <xdr:nvPicPr>
        <xdr:cNvPr id="2" name="Picture 1">
          <a:extLst>
            <a:ext uri="{FF2B5EF4-FFF2-40B4-BE49-F238E27FC236}">
              <a16:creationId xmlns:a16="http://schemas.microsoft.com/office/drawing/2014/main" id="{BF5A5619-9B64-4D54-9D12-0C6C16A6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30313" y="0"/>
          <a:ext cx="932647" cy="82923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932647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E876A-A7BB-4F62-B3CD-AD99A28BA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98893" y="0"/>
          <a:ext cx="932647" cy="8305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4DD6C316-39C2-4E8C-AC87-9CADF31E8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583479" y="0"/>
          <a:ext cx="871561" cy="78039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B84CB592-74DE-4668-96F7-586F375F8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741719" y="0"/>
          <a:ext cx="871561" cy="78039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42B3BBBB-D0C7-4377-A962-639F76800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614459" y="0"/>
          <a:ext cx="871561" cy="78039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A76A051E-9EAB-40DB-ABDB-33C7BDB92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962699" y="0"/>
          <a:ext cx="871561" cy="78039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EEA611AE-8C2A-4EAC-8CD0-8E5C707B7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061759" y="0"/>
          <a:ext cx="871561" cy="78039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7524FB68-6832-4A89-AB28-86C5AFCB0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595159" y="0"/>
          <a:ext cx="871561" cy="78039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F9D7AD8A-C1F0-4DBB-A8FE-16355F387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252259" y="0"/>
          <a:ext cx="871561" cy="78039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8933/Downloads/temp_1162466955_17671653551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Data"/>
    </sheetNames>
    <sheetDataSet>
      <sheetData sheetId="0">
        <row r="1">
          <cell r="A1" t="str">
            <v>عنوان حساب</v>
          </cell>
          <cell r="B1" t="str">
            <v>مانده بستانکار</v>
          </cell>
        </row>
        <row r="2">
          <cell r="A2" t="str">
            <v>اختيارخ خودرو-400-1404/09/05</v>
          </cell>
          <cell r="B2">
            <v>736970000</v>
          </cell>
        </row>
        <row r="3">
          <cell r="A3" t="str">
            <v>اختيارخ خودرو-550-1404/09/05</v>
          </cell>
          <cell r="B3">
            <v>4981070</v>
          </cell>
        </row>
        <row r="4">
          <cell r="A4" t="str">
            <v>اختيارخ خودرو-600-1404/10/03</v>
          </cell>
          <cell r="B4">
            <v>-37628734</v>
          </cell>
        </row>
        <row r="5">
          <cell r="A5" t="str">
            <v>اختيارخ خودرو-650-1404/10/03</v>
          </cell>
          <cell r="B5">
            <v>44931895</v>
          </cell>
        </row>
        <row r="6">
          <cell r="A6" t="str">
            <v>اختيارخ شستا-1310-1404/10/10</v>
          </cell>
          <cell r="B6">
            <v>52659126</v>
          </cell>
        </row>
        <row r="7">
          <cell r="A7" t="str">
            <v>اختيارخ شستا-1410-1404/09/12</v>
          </cell>
          <cell r="B7">
            <v>25957630</v>
          </cell>
        </row>
        <row r="8">
          <cell r="A8" t="str">
            <v>اختيارخ شستا-1610-1404/10/10</v>
          </cell>
          <cell r="B8">
            <v>-33164356</v>
          </cell>
        </row>
        <row r="9">
          <cell r="A9" t="str">
            <v>اختيارخ فزر-110000-14041007</v>
          </cell>
          <cell r="B9">
            <v>101486033</v>
          </cell>
        </row>
        <row r="10">
          <cell r="A10" t="str">
            <v>اختيارخ فزر-120000-14041007</v>
          </cell>
          <cell r="B10">
            <v>301855588</v>
          </cell>
        </row>
        <row r="11">
          <cell r="A11" t="str">
            <v>اختيارخ فولاد-2800-1404/09/12</v>
          </cell>
          <cell r="B11">
            <v>3142653</v>
          </cell>
        </row>
        <row r="12">
          <cell r="A12" t="str">
            <v>اختيارخ فولاد-3000-1404/09/12</v>
          </cell>
          <cell r="B12">
            <v>-26582896</v>
          </cell>
        </row>
        <row r="13">
          <cell r="A13" t="str">
            <v>اختيارخ وبملت-1100-1404/09/19</v>
          </cell>
          <cell r="B13">
            <v>17697773</v>
          </cell>
        </row>
        <row r="14">
          <cell r="A14" t="str">
            <v>اختيارخ وبملت-1100-1404/10/17</v>
          </cell>
          <cell r="B14">
            <v>-30479496</v>
          </cell>
        </row>
        <row r="15">
          <cell r="A15" t="str">
            <v>اختيارخ وبملت-1300-1404/09/19</v>
          </cell>
          <cell r="B15">
            <v>45974283</v>
          </cell>
        </row>
        <row r="16">
          <cell r="A16" t="str">
            <v>اختيارف خودرو-500-1404/09/05</v>
          </cell>
          <cell r="B16">
            <v>34988665</v>
          </cell>
        </row>
        <row r="17">
          <cell r="A17" t="str">
            <v>اختيارف خودرو-500-1404/10/03</v>
          </cell>
          <cell r="B17">
            <v>68945520</v>
          </cell>
        </row>
        <row r="18">
          <cell r="A18" t="str">
            <v>اختيارف خودرو-550-1404/10/03</v>
          </cell>
          <cell r="B18">
            <v>54977350</v>
          </cell>
        </row>
        <row r="19">
          <cell r="A19" t="str">
            <v>اختيارف خودرو-600-1404/10/03</v>
          </cell>
          <cell r="B19">
            <v>-12588967</v>
          </cell>
        </row>
        <row r="20">
          <cell r="A20" t="str">
            <v>اختيارف شستا-1210-1404/09/12</v>
          </cell>
          <cell r="B20">
            <v>15981829</v>
          </cell>
        </row>
        <row r="21">
          <cell r="A21" t="str">
            <v>اختيارف شستا-1210-1404/10/10</v>
          </cell>
          <cell r="B21">
            <v>24654608</v>
          </cell>
        </row>
        <row r="22">
          <cell r="A22" t="str">
            <v>اختيارف شستا-1410-1404/09/12</v>
          </cell>
          <cell r="B22">
            <v>4994701</v>
          </cell>
        </row>
        <row r="23">
          <cell r="A23" t="str">
            <v>اختيارف شستا-1410-1404/10/10</v>
          </cell>
          <cell r="B23">
            <v>60974272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1797-48C5-4B3E-80B7-15E6A7F5BD80}">
  <sheetPr>
    <pageSetUpPr fitToPage="1"/>
  </sheetPr>
  <dimension ref="A18:J25"/>
  <sheetViews>
    <sheetView rightToLeft="1" tabSelected="1" view="pageBreakPreview" topLeftCell="A4" zoomScaleNormal="100" zoomScaleSheetLayoutView="100" workbookViewId="0">
      <selection activeCell="A21" sqref="A21"/>
    </sheetView>
  </sheetViews>
  <sheetFormatPr defaultColWidth="8.85546875" defaultRowHeight="19.5" x14ac:dyDescent="0.55000000000000004"/>
  <cols>
    <col min="1" max="16384" width="8.85546875" style="1"/>
  </cols>
  <sheetData>
    <row r="18" spans="1:10" ht="40.15" customHeight="1" x14ac:dyDescent="0.55000000000000004">
      <c r="A18" s="36" t="s">
        <v>66</v>
      </c>
      <c r="B18" s="37"/>
      <c r="C18" s="37"/>
      <c r="D18" s="37"/>
      <c r="E18" s="37"/>
      <c r="F18" s="37"/>
      <c r="G18" s="37"/>
      <c r="H18" s="37"/>
      <c r="I18" s="37"/>
      <c r="J18" s="37"/>
    </row>
    <row r="19" spans="1:10" ht="40.15" customHeight="1" x14ac:dyDescent="0.55000000000000004">
      <c r="A19" s="36" t="s">
        <v>0</v>
      </c>
      <c r="B19" s="37"/>
      <c r="C19" s="37"/>
      <c r="D19" s="37"/>
      <c r="E19" s="37"/>
      <c r="F19" s="37"/>
      <c r="G19" s="37"/>
      <c r="H19" s="37"/>
      <c r="I19" s="37"/>
      <c r="J19" s="37"/>
    </row>
    <row r="20" spans="1:10" ht="40.15" customHeight="1" x14ac:dyDescent="0.55000000000000004">
      <c r="A20" s="36" t="s">
        <v>1</v>
      </c>
      <c r="B20" s="37"/>
      <c r="C20" s="37"/>
      <c r="D20" s="37"/>
      <c r="E20" s="37"/>
      <c r="F20" s="37"/>
      <c r="G20" s="37"/>
      <c r="H20" s="37"/>
      <c r="I20" s="37"/>
      <c r="J20" s="37"/>
    </row>
    <row r="24" spans="1:10" ht="43.5" customHeight="1" x14ac:dyDescent="0.55000000000000004">
      <c r="B24" s="38" t="s">
        <v>48</v>
      </c>
      <c r="C24" s="38"/>
      <c r="D24" s="38" t="s">
        <v>49</v>
      </c>
      <c r="E24" s="38"/>
      <c r="F24" s="38" t="s">
        <v>50</v>
      </c>
      <c r="G24" s="38"/>
      <c r="H24" s="38" t="s">
        <v>51</v>
      </c>
      <c r="I24" s="38"/>
    </row>
    <row r="25" spans="1:10" ht="39.75" customHeight="1" x14ac:dyDescent="0.55000000000000004">
      <c r="B25" s="35" t="s">
        <v>52</v>
      </c>
      <c r="C25" s="35"/>
      <c r="D25" s="35" t="s">
        <v>53</v>
      </c>
      <c r="E25" s="35"/>
      <c r="F25" s="35" t="s">
        <v>54</v>
      </c>
      <c r="G25" s="35"/>
      <c r="H25" s="35"/>
      <c r="I25" s="35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C1AA-272F-465D-8F5E-8303007E5934}">
  <sheetPr>
    <pageSetUpPr fitToPage="1"/>
  </sheetPr>
  <dimension ref="A1:W51"/>
  <sheetViews>
    <sheetView rightToLeft="1" view="pageBreakPreview" zoomScale="60" zoomScaleNormal="100" workbookViewId="0">
      <selection activeCell="O28" sqref="O28"/>
    </sheetView>
  </sheetViews>
  <sheetFormatPr defaultColWidth="8.85546875" defaultRowHeight="19.5" x14ac:dyDescent="0.55000000000000004"/>
  <cols>
    <col min="1" max="1" width="38.7109375" style="2" customWidth="1"/>
    <col min="2" max="2" width="1.42578125" style="2" customWidth="1"/>
    <col min="3" max="3" width="16.85546875" style="2" customWidth="1"/>
    <col min="4" max="4" width="1.42578125" style="2" customWidth="1"/>
    <col min="5" max="5" width="17" style="2" customWidth="1"/>
    <col min="6" max="6" width="1.42578125" style="2" customWidth="1"/>
    <col min="7" max="7" width="17" style="2" customWidth="1"/>
    <col min="8" max="8" width="1.42578125" style="2" customWidth="1"/>
    <col min="9" max="9" width="15.140625" style="2" customWidth="1"/>
    <col min="10" max="10" width="21.85546875" style="2" customWidth="1"/>
    <col min="11" max="11" width="1.42578125" style="2" customWidth="1"/>
    <col min="12" max="12" width="15.140625" style="2" customWidth="1"/>
    <col min="13" max="13" width="21.28515625" style="2" customWidth="1"/>
    <col min="14" max="14" width="1.42578125" style="2" customWidth="1"/>
    <col min="15" max="15" width="16.140625" style="2" customWidth="1"/>
    <col min="16" max="16" width="1.42578125" style="2" customWidth="1"/>
    <col min="17" max="17" width="16.5703125" style="2" customWidth="1"/>
    <col min="18" max="18" width="1.42578125" style="2" customWidth="1"/>
    <col min="19" max="19" width="17" style="2" customWidth="1"/>
    <col min="20" max="20" width="1.42578125" style="2" customWidth="1"/>
    <col min="21" max="21" width="17" style="2" customWidth="1"/>
    <col min="22" max="22" width="1.42578125" style="2" customWidth="1"/>
    <col min="23" max="23" width="16.85546875" style="2" customWidth="1"/>
    <col min="24" max="16384" width="8.85546875" style="2"/>
  </cols>
  <sheetData>
    <row r="1" spans="1:23" ht="19.899999999999999" customHeight="1" x14ac:dyDescent="0.55000000000000004">
      <c r="A1" s="42" t="s">
        <v>110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ht="19.899999999999999" customHeight="1" x14ac:dyDescent="0.55000000000000004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1:23" ht="19.899999999999999" customHeight="1" x14ac:dyDescent="0.55000000000000004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5" spans="1:23" ht="21" x14ac:dyDescent="0.55000000000000004">
      <c r="A5" s="44" t="s">
        <v>109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</row>
    <row r="6" spans="1:23" ht="21" x14ac:dyDescent="0.55000000000000004">
      <c r="A6" s="44" t="s">
        <v>108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8" spans="1:23" ht="21" x14ac:dyDescent="0.55000000000000004">
      <c r="C8" s="45" t="s">
        <v>2</v>
      </c>
      <c r="D8" s="46"/>
      <c r="E8" s="46"/>
      <c r="F8" s="46"/>
      <c r="G8" s="46"/>
      <c r="I8" s="45" t="s">
        <v>55</v>
      </c>
      <c r="J8" s="46"/>
      <c r="K8" s="46"/>
      <c r="L8" s="46"/>
      <c r="M8" s="46"/>
      <c r="O8" s="45" t="s">
        <v>3</v>
      </c>
      <c r="P8" s="46"/>
      <c r="Q8" s="46"/>
      <c r="R8" s="46"/>
      <c r="S8" s="46"/>
      <c r="T8" s="46"/>
      <c r="U8" s="46"/>
      <c r="V8" s="46"/>
      <c r="W8" s="46"/>
    </row>
    <row r="9" spans="1:23" ht="21" x14ac:dyDescent="0.55000000000000004">
      <c r="A9" s="41" t="s">
        <v>107</v>
      </c>
      <c r="C9" s="41" t="s">
        <v>4</v>
      </c>
      <c r="E9" s="41" t="s">
        <v>5</v>
      </c>
      <c r="G9" s="41" t="s">
        <v>6</v>
      </c>
      <c r="I9" s="41" t="s">
        <v>56</v>
      </c>
      <c r="J9" s="43"/>
      <c r="L9" s="41" t="s">
        <v>57</v>
      </c>
      <c r="M9" s="43"/>
      <c r="O9" s="41" t="s">
        <v>4</v>
      </c>
      <c r="Q9" s="39" t="s">
        <v>106</v>
      </c>
      <c r="S9" s="41" t="s">
        <v>5</v>
      </c>
      <c r="U9" s="41" t="s">
        <v>6</v>
      </c>
      <c r="W9" s="39" t="s">
        <v>7</v>
      </c>
    </row>
    <row r="10" spans="1:23" ht="21" x14ac:dyDescent="0.55000000000000004">
      <c r="A10" s="40"/>
      <c r="C10" s="40"/>
      <c r="E10" s="40"/>
      <c r="G10" s="40"/>
      <c r="I10" s="3" t="s">
        <v>4</v>
      </c>
      <c r="J10" s="3" t="s">
        <v>5</v>
      </c>
      <c r="L10" s="3" t="s">
        <v>4</v>
      </c>
      <c r="M10" s="3" t="s">
        <v>8</v>
      </c>
      <c r="O10" s="40"/>
      <c r="Q10" s="40"/>
      <c r="S10" s="40"/>
      <c r="U10" s="40"/>
      <c r="W10" s="40"/>
    </row>
    <row r="11" spans="1:23" ht="21" x14ac:dyDescent="0.55000000000000004">
      <c r="A11" s="4" t="s">
        <v>105</v>
      </c>
      <c r="C11" s="5">
        <v>4200000</v>
      </c>
      <c r="E11" s="5">
        <v>14099676972</v>
      </c>
      <c r="G11" s="5">
        <v>18174615774</v>
      </c>
      <c r="I11" s="5">
        <v>0</v>
      </c>
      <c r="J11" s="5">
        <v>0</v>
      </c>
      <c r="L11" s="5">
        <v>0</v>
      </c>
      <c r="M11" s="5">
        <v>0</v>
      </c>
      <c r="N11" s="6"/>
      <c r="O11" s="5">
        <v>4200000</v>
      </c>
      <c r="Q11" s="5">
        <v>4892</v>
      </c>
      <c r="S11" s="5">
        <v>14099676972</v>
      </c>
      <c r="U11" s="5">
        <v>20583450426</v>
      </c>
      <c r="W11" s="7">
        <v>1.8506104131680193E-2</v>
      </c>
    </row>
    <row r="12" spans="1:23" ht="21" x14ac:dyDescent="0.55000000000000004">
      <c r="A12" s="4" t="s">
        <v>104</v>
      </c>
      <c r="C12" s="5">
        <v>48400000</v>
      </c>
      <c r="E12" s="5">
        <v>16090785954</v>
      </c>
      <c r="G12" s="5">
        <v>25741865248</v>
      </c>
      <c r="I12" s="5">
        <v>0</v>
      </c>
      <c r="J12" s="5">
        <v>0</v>
      </c>
      <c r="L12" s="5">
        <v>4962000</v>
      </c>
      <c r="M12" s="5">
        <v>1973883600</v>
      </c>
      <c r="O12" s="5">
        <v>43438000</v>
      </c>
      <c r="Q12" s="5">
        <v>626</v>
      </c>
      <c r="S12" s="5">
        <v>14441147939</v>
      </c>
      <c r="U12" s="5">
        <v>26809583490</v>
      </c>
      <c r="W12" s="7">
        <v>2.4103876343599485E-2</v>
      </c>
    </row>
    <row r="13" spans="1:23" ht="21" x14ac:dyDescent="0.55000000000000004">
      <c r="A13" s="4" t="s">
        <v>103</v>
      </c>
      <c r="C13" s="5">
        <v>8800000</v>
      </c>
      <c r="E13" s="5">
        <v>4172509660</v>
      </c>
      <c r="G13" s="5">
        <v>4095296744</v>
      </c>
      <c r="I13" s="5">
        <v>2000000</v>
      </c>
      <c r="J13" s="5">
        <v>1181138167</v>
      </c>
      <c r="L13" s="5">
        <v>0</v>
      </c>
      <c r="M13" s="5">
        <v>0</v>
      </c>
      <c r="O13" s="5">
        <v>10800000</v>
      </c>
      <c r="Q13" s="5">
        <v>590</v>
      </c>
      <c r="S13" s="5">
        <v>5353647820</v>
      </c>
      <c r="U13" s="5">
        <v>6322744440</v>
      </c>
      <c r="W13" s="7">
        <v>5.6846332652197859E-3</v>
      </c>
    </row>
    <row r="14" spans="1:23" ht="21" x14ac:dyDescent="0.55000000000000004">
      <c r="A14" s="4" t="s">
        <v>102</v>
      </c>
      <c r="C14" s="5">
        <v>36200000</v>
      </c>
      <c r="E14" s="5">
        <v>20423002245</v>
      </c>
      <c r="G14" s="5">
        <v>42888687756</v>
      </c>
      <c r="I14" s="5">
        <v>10200000</v>
      </c>
      <c r="J14" s="5">
        <v>13498382703</v>
      </c>
      <c r="L14" s="5">
        <v>400000</v>
      </c>
      <c r="M14" s="5">
        <v>464382366</v>
      </c>
      <c r="O14" s="5">
        <v>46000000</v>
      </c>
      <c r="Q14" s="5">
        <v>1477</v>
      </c>
      <c r="S14" s="5">
        <v>33695716415</v>
      </c>
      <c r="U14" s="5">
        <v>67279875080</v>
      </c>
      <c r="W14" s="7">
        <v>6.048977933379824E-2</v>
      </c>
    </row>
    <row r="15" spans="1:23" ht="21" x14ac:dyDescent="0.55000000000000004">
      <c r="A15" s="4" t="s">
        <v>101</v>
      </c>
      <c r="C15" s="5">
        <v>1700000</v>
      </c>
      <c r="E15" s="5">
        <v>7884259784</v>
      </c>
      <c r="G15" s="5">
        <v>8353325768</v>
      </c>
      <c r="I15" s="5">
        <v>0</v>
      </c>
      <c r="J15" s="5">
        <v>0</v>
      </c>
      <c r="L15" s="5">
        <v>1700000</v>
      </c>
      <c r="M15" s="5">
        <v>8535591964</v>
      </c>
      <c r="O15" s="5">
        <v>0</v>
      </c>
      <c r="Q15" s="5">
        <v>0</v>
      </c>
      <c r="S15" s="5">
        <v>0</v>
      </c>
      <c r="U15" s="5">
        <v>0</v>
      </c>
      <c r="W15" s="7">
        <v>0</v>
      </c>
    </row>
    <row r="16" spans="1:23" ht="21" x14ac:dyDescent="0.55000000000000004">
      <c r="A16" s="4" t="s">
        <v>100</v>
      </c>
      <c r="C16" s="5">
        <v>2650000</v>
      </c>
      <c r="E16" s="5">
        <v>5524462600</v>
      </c>
      <c r="G16" s="5">
        <v>5734973305</v>
      </c>
      <c r="I16" s="5">
        <v>2000000</v>
      </c>
      <c r="J16" s="5">
        <v>4439796159</v>
      </c>
      <c r="L16" s="5">
        <v>0</v>
      </c>
      <c r="M16" s="5">
        <v>0</v>
      </c>
      <c r="O16" s="5">
        <v>4650000</v>
      </c>
      <c r="Q16" s="5">
        <v>2670</v>
      </c>
      <c r="S16" s="5">
        <v>9964258759</v>
      </c>
      <c r="U16" s="5">
        <v>12190334631</v>
      </c>
      <c r="W16" s="7">
        <v>1.0960047874012028E-2</v>
      </c>
    </row>
    <row r="17" spans="1:23" ht="21" x14ac:dyDescent="0.55000000000000004">
      <c r="A17" s="4" t="s">
        <v>99</v>
      </c>
      <c r="C17" s="5">
        <v>0</v>
      </c>
      <c r="E17" s="5">
        <v>0</v>
      </c>
      <c r="G17" s="5">
        <v>0</v>
      </c>
      <c r="H17" s="6"/>
      <c r="I17" s="5">
        <v>750000</v>
      </c>
      <c r="J17" s="5">
        <v>14362875300</v>
      </c>
      <c r="L17" s="5">
        <v>750000</v>
      </c>
      <c r="M17" s="5">
        <v>19520431775</v>
      </c>
      <c r="O17" s="5">
        <v>0</v>
      </c>
      <c r="Q17" s="5">
        <v>0</v>
      </c>
      <c r="S17" s="5">
        <v>0</v>
      </c>
      <c r="U17" s="5">
        <v>0</v>
      </c>
      <c r="W17" s="7">
        <v>0</v>
      </c>
    </row>
    <row r="18" spans="1:23" ht="21" x14ac:dyDescent="0.55000000000000004">
      <c r="A18" s="4" t="s">
        <v>98</v>
      </c>
      <c r="C18" s="5">
        <v>562500</v>
      </c>
      <c r="E18" s="5">
        <v>5123397825</v>
      </c>
      <c r="G18" s="5">
        <v>5654078494</v>
      </c>
      <c r="I18" s="5">
        <v>0</v>
      </c>
      <c r="J18" s="5">
        <v>0</v>
      </c>
      <c r="L18" s="5">
        <v>0</v>
      </c>
      <c r="M18" s="5">
        <v>0</v>
      </c>
      <c r="N18" s="6"/>
      <c r="O18" s="5">
        <v>562500</v>
      </c>
      <c r="Q18" s="5">
        <v>9990</v>
      </c>
      <c r="S18" s="5">
        <v>5123397825</v>
      </c>
      <c r="U18" s="5">
        <v>5542448119</v>
      </c>
      <c r="W18" s="7">
        <v>4.9830868932008001E-3</v>
      </c>
    </row>
    <row r="19" spans="1:23" ht="21" x14ac:dyDescent="0.55000000000000004">
      <c r="A19" s="4" t="s">
        <v>97</v>
      </c>
      <c r="C19" s="5">
        <v>21941000</v>
      </c>
      <c r="E19" s="5">
        <v>29803533441</v>
      </c>
      <c r="G19" s="5">
        <v>28999499565</v>
      </c>
      <c r="I19" s="5">
        <v>0</v>
      </c>
      <c r="J19" s="5">
        <v>0</v>
      </c>
      <c r="L19" s="5">
        <v>0</v>
      </c>
      <c r="M19" s="5">
        <v>0</v>
      </c>
      <c r="N19" s="6"/>
      <c r="O19" s="5">
        <v>21941000</v>
      </c>
      <c r="Q19" s="5">
        <v>1715</v>
      </c>
      <c r="S19" s="5">
        <v>29803533441</v>
      </c>
      <c r="U19" s="5">
        <v>37337944260</v>
      </c>
      <c r="W19" s="7">
        <v>3.356968196477006E-2</v>
      </c>
    </row>
    <row r="20" spans="1:23" ht="21" x14ac:dyDescent="0.55000000000000004">
      <c r="A20" s="4" t="s">
        <v>96</v>
      </c>
      <c r="C20" s="5">
        <v>350000</v>
      </c>
      <c r="E20" s="5">
        <v>8636181592</v>
      </c>
      <c r="G20" s="5">
        <v>10064594610</v>
      </c>
      <c r="I20" s="5">
        <v>0</v>
      </c>
      <c r="J20" s="5">
        <v>0</v>
      </c>
      <c r="L20" s="5">
        <v>0</v>
      </c>
      <c r="M20" s="5">
        <v>0</v>
      </c>
      <c r="N20" s="6"/>
      <c r="O20" s="5">
        <v>350000</v>
      </c>
      <c r="Q20" s="5">
        <v>38390</v>
      </c>
      <c r="S20" s="5">
        <v>8636181592</v>
      </c>
      <c r="U20" s="5">
        <v>13384730030</v>
      </c>
      <c r="W20" s="7">
        <v>1.2033901147920542E-2</v>
      </c>
    </row>
    <row r="21" spans="1:23" ht="21" x14ac:dyDescent="0.55000000000000004">
      <c r="A21" s="4" t="s">
        <v>95</v>
      </c>
      <c r="C21" s="5">
        <v>2250000</v>
      </c>
      <c r="E21" s="5">
        <v>23137117508</v>
      </c>
      <c r="G21" s="5">
        <v>21366053775</v>
      </c>
      <c r="I21" s="5">
        <v>0</v>
      </c>
      <c r="J21" s="5">
        <v>0</v>
      </c>
      <c r="L21" s="5">
        <v>0</v>
      </c>
      <c r="M21" s="5">
        <v>0</v>
      </c>
      <c r="N21" s="6"/>
      <c r="O21" s="5">
        <v>2250000</v>
      </c>
      <c r="Q21" s="5">
        <v>13480</v>
      </c>
      <c r="S21" s="5">
        <v>23137117508</v>
      </c>
      <c r="U21" s="5">
        <v>30251831625</v>
      </c>
      <c r="W21" s="7">
        <v>2.7198722014028284E-2</v>
      </c>
    </row>
    <row r="22" spans="1:23" ht="21" x14ac:dyDescent="0.55000000000000004">
      <c r="A22" s="4" t="s">
        <v>94</v>
      </c>
      <c r="C22" s="5">
        <v>3600000</v>
      </c>
      <c r="E22" s="5">
        <v>30631938014</v>
      </c>
      <c r="G22" s="5">
        <v>40151213280</v>
      </c>
      <c r="I22" s="5">
        <v>0</v>
      </c>
      <c r="J22" s="5">
        <v>0</v>
      </c>
      <c r="L22" s="5">
        <v>0</v>
      </c>
      <c r="M22" s="5">
        <v>0</v>
      </c>
      <c r="N22" s="6"/>
      <c r="O22" s="5">
        <v>3600000</v>
      </c>
      <c r="Q22" s="5">
        <v>14210</v>
      </c>
      <c r="S22" s="5">
        <v>30631938014</v>
      </c>
      <c r="U22" s="5">
        <v>50724842400</v>
      </c>
      <c r="W22" s="7">
        <v>4.5605532410237834E-2</v>
      </c>
    </row>
    <row r="23" spans="1:23" ht="21" x14ac:dyDescent="0.55000000000000004">
      <c r="A23" s="4" t="s">
        <v>93</v>
      </c>
      <c r="C23" s="5">
        <v>1850000</v>
      </c>
      <c r="E23" s="5">
        <v>17251259197</v>
      </c>
      <c r="G23" s="5">
        <v>16759936435</v>
      </c>
      <c r="I23" s="5">
        <v>0</v>
      </c>
      <c r="J23" s="5">
        <v>0</v>
      </c>
      <c r="L23" s="5">
        <v>1850000</v>
      </c>
      <c r="M23" s="5">
        <v>18752517138</v>
      </c>
      <c r="O23" s="5">
        <v>0</v>
      </c>
      <c r="Q23" s="5">
        <v>0</v>
      </c>
      <c r="S23" s="5">
        <v>0</v>
      </c>
      <c r="U23" s="5">
        <v>0</v>
      </c>
      <c r="W23" s="7">
        <v>0</v>
      </c>
    </row>
    <row r="24" spans="1:23" ht="21" x14ac:dyDescent="0.55000000000000004">
      <c r="A24" s="4" t="s">
        <v>92</v>
      </c>
      <c r="C24" s="5">
        <v>200000</v>
      </c>
      <c r="E24" s="5">
        <v>1519709532</v>
      </c>
      <c r="G24" s="5">
        <v>1530080340</v>
      </c>
      <c r="I24" s="5">
        <v>2100000</v>
      </c>
      <c r="J24" s="5">
        <v>16794435138</v>
      </c>
      <c r="L24" s="5">
        <v>0</v>
      </c>
      <c r="M24" s="5">
        <v>0</v>
      </c>
      <c r="O24" s="5">
        <v>2300000</v>
      </c>
      <c r="Q24" s="5">
        <v>8160</v>
      </c>
      <c r="S24" s="5">
        <v>18314144670</v>
      </c>
      <c r="U24" s="5">
        <v>18714212200</v>
      </c>
      <c r="W24" s="7">
        <v>1.6825515282806836E-2</v>
      </c>
    </row>
    <row r="25" spans="1:23" ht="21" x14ac:dyDescent="0.55000000000000004">
      <c r="A25" s="4" t="s">
        <v>91</v>
      </c>
      <c r="C25" s="5">
        <v>580000</v>
      </c>
      <c r="E25" s="5">
        <v>9478097970</v>
      </c>
      <c r="G25" s="5">
        <v>10474402120</v>
      </c>
      <c r="I25" s="5">
        <v>520000</v>
      </c>
      <c r="J25" s="5">
        <v>9507416911</v>
      </c>
      <c r="L25" s="5">
        <v>0</v>
      </c>
      <c r="M25" s="5">
        <v>0</v>
      </c>
      <c r="O25" s="5">
        <v>1100000</v>
      </c>
      <c r="Q25" s="5">
        <v>18910</v>
      </c>
      <c r="S25" s="5">
        <v>18985514881</v>
      </c>
      <c r="U25" s="5">
        <v>20640208270</v>
      </c>
      <c r="W25" s="7">
        <v>1.8557133796270681E-2</v>
      </c>
    </row>
    <row r="26" spans="1:23" ht="21" x14ac:dyDescent="0.55000000000000004">
      <c r="A26" s="4" t="s">
        <v>90</v>
      </c>
      <c r="C26" s="5">
        <v>1875000</v>
      </c>
      <c r="E26" s="5">
        <v>6098945898</v>
      </c>
      <c r="G26" s="5">
        <v>6295953150</v>
      </c>
      <c r="I26" s="5">
        <v>0</v>
      </c>
      <c r="J26" s="5">
        <v>0</v>
      </c>
      <c r="L26" s="5">
        <v>0</v>
      </c>
      <c r="M26" s="5">
        <v>0</v>
      </c>
      <c r="N26" s="6"/>
      <c r="O26" s="5">
        <v>1875000</v>
      </c>
      <c r="Q26" s="5">
        <v>4265</v>
      </c>
      <c r="S26" s="5">
        <v>6098945898</v>
      </c>
      <c r="U26" s="5">
        <v>7871801944</v>
      </c>
      <c r="W26" s="7">
        <v>7.0773550335183526E-3</v>
      </c>
    </row>
    <row r="27" spans="1:23" ht="21" x14ac:dyDescent="0.55000000000000004">
      <c r="A27" s="4" t="s">
        <v>89</v>
      </c>
      <c r="C27" s="5">
        <v>9800000</v>
      </c>
      <c r="E27" s="5">
        <v>51509831359</v>
      </c>
      <c r="G27" s="5">
        <v>86448546940</v>
      </c>
      <c r="I27" s="5">
        <v>200000</v>
      </c>
      <c r="J27" s="5">
        <v>2117626354</v>
      </c>
      <c r="L27" s="5">
        <v>400000</v>
      </c>
      <c r="M27" s="5">
        <v>3736572420</v>
      </c>
      <c r="O27" s="5">
        <v>9600000</v>
      </c>
      <c r="Q27" s="5">
        <v>10500</v>
      </c>
      <c r="S27" s="5">
        <v>51525015617</v>
      </c>
      <c r="U27" s="5">
        <v>99354010560</v>
      </c>
      <c r="W27" s="7">
        <v>8.9326892589442361E-2</v>
      </c>
    </row>
    <row r="28" spans="1:23" ht="21" x14ac:dyDescent="0.55000000000000004">
      <c r="A28" s="4" t="s">
        <v>88</v>
      </c>
      <c r="C28" s="5">
        <v>650000</v>
      </c>
      <c r="E28" s="5">
        <v>10719282645</v>
      </c>
      <c r="G28" s="5">
        <v>10351856775</v>
      </c>
      <c r="I28" s="5">
        <v>50000</v>
      </c>
      <c r="J28" s="5">
        <v>1039762568</v>
      </c>
      <c r="L28" s="5">
        <v>0</v>
      </c>
      <c r="M28" s="5">
        <v>0</v>
      </c>
      <c r="O28" s="5">
        <v>700000</v>
      </c>
      <c r="Q28" s="5">
        <v>21220</v>
      </c>
      <c r="S28" s="5">
        <v>11759045213</v>
      </c>
      <c r="U28" s="5">
        <v>14586369000</v>
      </c>
      <c r="W28" s="7">
        <v>1.3114266948953367E-2</v>
      </c>
    </row>
    <row r="29" spans="1:23" ht="21" x14ac:dyDescent="0.55000000000000004">
      <c r="A29" s="4" t="s">
        <v>87</v>
      </c>
      <c r="C29" s="5">
        <v>16900000</v>
      </c>
      <c r="E29" s="5">
        <v>52477216174</v>
      </c>
      <c r="G29" s="5">
        <v>51481944410</v>
      </c>
      <c r="I29" s="5">
        <v>0</v>
      </c>
      <c r="J29" s="5">
        <v>0</v>
      </c>
      <c r="L29" s="5">
        <v>1010000</v>
      </c>
      <c r="M29" s="5">
        <v>3013335000</v>
      </c>
      <c r="O29" s="5">
        <v>15890000</v>
      </c>
      <c r="Q29" s="5">
        <v>3885</v>
      </c>
      <c r="S29" s="5">
        <v>49341003846</v>
      </c>
      <c r="U29" s="5">
        <v>61082017742</v>
      </c>
      <c r="W29" s="7">
        <v>5.4917429173037768E-2</v>
      </c>
    </row>
    <row r="30" spans="1:23" ht="21" x14ac:dyDescent="0.55000000000000004">
      <c r="A30" s="4" t="s">
        <v>86</v>
      </c>
      <c r="C30" s="5">
        <v>0</v>
      </c>
      <c r="E30" s="5">
        <v>0</v>
      </c>
      <c r="G30" s="5">
        <v>0</v>
      </c>
      <c r="H30" s="6"/>
      <c r="I30" s="5">
        <v>267500</v>
      </c>
      <c r="J30" s="5">
        <v>7670727922</v>
      </c>
      <c r="L30" s="5">
        <v>0</v>
      </c>
      <c r="M30" s="5">
        <v>0</v>
      </c>
      <c r="O30" s="5">
        <v>267500</v>
      </c>
      <c r="Q30" s="5">
        <v>29700</v>
      </c>
      <c r="S30" s="5">
        <v>7670727922</v>
      </c>
      <c r="U30" s="5">
        <v>7883337082</v>
      </c>
      <c r="W30" s="7">
        <v>7.0877260092577585E-3</v>
      </c>
    </row>
    <row r="31" spans="1:23" ht="21" x14ac:dyDescent="0.55000000000000004">
      <c r="A31" s="4" t="s">
        <v>85</v>
      </c>
      <c r="C31" s="5">
        <v>500000</v>
      </c>
      <c r="E31" s="5">
        <v>6325570798</v>
      </c>
      <c r="G31" s="5">
        <v>6067731050</v>
      </c>
      <c r="I31" s="5">
        <v>270000</v>
      </c>
      <c r="J31" s="5">
        <v>3889935233</v>
      </c>
      <c r="L31" s="5">
        <v>0</v>
      </c>
      <c r="M31" s="5">
        <v>0</v>
      </c>
      <c r="O31" s="5">
        <v>770000</v>
      </c>
      <c r="Q31" s="5">
        <v>15210</v>
      </c>
      <c r="S31" s="5">
        <v>10215506031</v>
      </c>
      <c r="U31" s="5">
        <v>11712854307</v>
      </c>
      <c r="W31" s="7">
        <v>1.0530756360009554E-2</v>
      </c>
    </row>
    <row r="32" spans="1:23" ht="21" x14ac:dyDescent="0.55000000000000004">
      <c r="A32" s="4" t="s">
        <v>84</v>
      </c>
      <c r="C32" s="5">
        <v>11000000</v>
      </c>
      <c r="E32" s="5">
        <v>44697071750</v>
      </c>
      <c r="G32" s="5">
        <v>95178538400</v>
      </c>
      <c r="I32" s="5">
        <v>0</v>
      </c>
      <c r="J32" s="5">
        <v>0</v>
      </c>
      <c r="L32" s="5">
        <v>0</v>
      </c>
      <c r="M32" s="5">
        <v>0</v>
      </c>
      <c r="N32" s="6"/>
      <c r="O32" s="5">
        <v>11000000</v>
      </c>
      <c r="Q32" s="5">
        <v>11570</v>
      </c>
      <c r="S32" s="5">
        <v>44697071750</v>
      </c>
      <c r="U32" s="5">
        <v>126504502300</v>
      </c>
      <c r="W32" s="7">
        <v>0.11373727165456222</v>
      </c>
    </row>
    <row r="33" spans="1:23" ht="21" x14ac:dyDescent="0.55000000000000004">
      <c r="A33" s="4" t="s">
        <v>83</v>
      </c>
      <c r="C33" s="5">
        <v>700000</v>
      </c>
      <c r="E33" s="5">
        <v>9935597718</v>
      </c>
      <c r="G33" s="5">
        <v>9425572730</v>
      </c>
      <c r="I33" s="5">
        <v>0</v>
      </c>
      <c r="J33" s="5">
        <v>0</v>
      </c>
      <c r="L33" s="5">
        <v>0</v>
      </c>
      <c r="M33" s="5">
        <v>0</v>
      </c>
      <c r="N33" s="6"/>
      <c r="O33" s="5">
        <v>700000</v>
      </c>
      <c r="Q33" s="5">
        <v>15360</v>
      </c>
      <c r="S33" s="5">
        <v>9935597718</v>
      </c>
      <c r="U33" s="5">
        <v>10557752800</v>
      </c>
      <c r="W33" s="7">
        <v>9.4922313154329127E-3</v>
      </c>
    </row>
    <row r="34" spans="1:23" ht="21" x14ac:dyDescent="0.55000000000000004">
      <c r="A34" s="4" t="s">
        <v>82</v>
      </c>
      <c r="C34" s="5">
        <v>8650000</v>
      </c>
      <c r="E34" s="5">
        <v>23820967913</v>
      </c>
      <c r="G34" s="5">
        <v>44915548071</v>
      </c>
      <c r="I34" s="5">
        <v>0</v>
      </c>
      <c r="J34" s="5">
        <v>0</v>
      </c>
      <c r="L34" s="5">
        <v>0</v>
      </c>
      <c r="M34" s="5">
        <v>0</v>
      </c>
      <c r="N34" s="6"/>
      <c r="O34" s="5">
        <v>8650000</v>
      </c>
      <c r="Q34" s="5">
        <v>6220</v>
      </c>
      <c r="S34" s="5">
        <v>23820967913</v>
      </c>
      <c r="U34" s="5">
        <v>53644596875</v>
      </c>
      <c r="W34" s="7">
        <v>4.8230616117536831E-2</v>
      </c>
    </row>
    <row r="35" spans="1:23" ht="21" x14ac:dyDescent="0.55000000000000004">
      <c r="A35" s="4" t="s">
        <v>81</v>
      </c>
      <c r="C35" s="5">
        <v>4575000</v>
      </c>
      <c r="E35" s="5">
        <v>15537437821</v>
      </c>
      <c r="G35" s="5">
        <v>18753233218</v>
      </c>
      <c r="I35" s="5">
        <v>400000</v>
      </c>
      <c r="J35" s="5">
        <v>2558798518</v>
      </c>
      <c r="L35" s="5">
        <v>0</v>
      </c>
      <c r="M35" s="5">
        <v>0</v>
      </c>
      <c r="O35" s="5">
        <v>4975000</v>
      </c>
      <c r="Q35" s="5">
        <v>6440</v>
      </c>
      <c r="S35" s="5">
        <v>18096236337</v>
      </c>
      <c r="U35" s="5">
        <v>31939434827</v>
      </c>
      <c r="W35" s="7">
        <v>2.8716007014492517E-2</v>
      </c>
    </row>
    <row r="36" spans="1:23" ht="21" x14ac:dyDescent="0.55000000000000004">
      <c r="A36" s="4" t="s">
        <v>80</v>
      </c>
      <c r="C36" s="5">
        <v>249000</v>
      </c>
      <c r="E36" s="5">
        <v>4181233051</v>
      </c>
      <c r="G36" s="5">
        <v>5121869518</v>
      </c>
      <c r="I36" s="5">
        <v>0</v>
      </c>
      <c r="J36" s="5">
        <v>0</v>
      </c>
      <c r="L36" s="5">
        <v>0</v>
      </c>
      <c r="M36" s="5">
        <v>0</v>
      </c>
      <c r="N36" s="6"/>
      <c r="O36" s="5">
        <v>249000</v>
      </c>
      <c r="Q36" s="5">
        <v>26550</v>
      </c>
      <c r="S36" s="5">
        <v>4181233051</v>
      </c>
      <c r="U36" s="5">
        <v>6559847356</v>
      </c>
      <c r="W36" s="7">
        <v>5.8978070122159901E-3</v>
      </c>
    </row>
    <row r="37" spans="1:23" ht="21" x14ac:dyDescent="0.55000000000000004">
      <c r="A37" s="4" t="s">
        <v>79</v>
      </c>
      <c r="C37" s="5">
        <v>5500000</v>
      </c>
      <c r="E37" s="5">
        <v>10982072329</v>
      </c>
      <c r="G37" s="5">
        <v>17016438230</v>
      </c>
      <c r="I37" s="5">
        <v>0</v>
      </c>
      <c r="J37" s="5">
        <v>0</v>
      </c>
      <c r="L37" s="5">
        <v>0</v>
      </c>
      <c r="M37" s="5">
        <v>0</v>
      </c>
      <c r="N37" s="6"/>
      <c r="O37" s="5">
        <v>5500000</v>
      </c>
      <c r="Q37" s="5">
        <v>3675</v>
      </c>
      <c r="S37" s="5">
        <v>10982072329</v>
      </c>
      <c r="U37" s="5">
        <v>19919820250</v>
      </c>
      <c r="W37" s="7">
        <v>1.7909449591852984E-2</v>
      </c>
    </row>
    <row r="38" spans="1:23" ht="21" x14ac:dyDescent="0.55000000000000004">
      <c r="A38" s="4" t="s">
        <v>78</v>
      </c>
      <c r="C38" s="5">
        <v>550000</v>
      </c>
      <c r="E38" s="5">
        <v>26828196226</v>
      </c>
      <c r="G38" s="5">
        <v>35719239325</v>
      </c>
      <c r="I38" s="5">
        <v>0</v>
      </c>
      <c r="J38" s="5">
        <v>0</v>
      </c>
      <c r="L38" s="5">
        <v>0</v>
      </c>
      <c r="M38" s="5">
        <v>0</v>
      </c>
      <c r="N38" s="6"/>
      <c r="O38" s="5">
        <v>550000</v>
      </c>
      <c r="Q38" s="5">
        <v>83890</v>
      </c>
      <c r="S38" s="5">
        <v>26828196226</v>
      </c>
      <c r="U38" s="5">
        <v>45826501545</v>
      </c>
      <c r="W38" s="7">
        <v>4.1201547458298494E-2</v>
      </c>
    </row>
    <row r="39" spans="1:23" ht="21" x14ac:dyDescent="0.55000000000000004">
      <c r="A39" s="4" t="s">
        <v>77</v>
      </c>
      <c r="C39" s="5">
        <v>1400000</v>
      </c>
      <c r="E39" s="5">
        <v>6264485553</v>
      </c>
      <c r="G39" s="5">
        <v>7821072140</v>
      </c>
      <c r="I39" s="5">
        <v>0</v>
      </c>
      <c r="J39" s="5">
        <v>0</v>
      </c>
      <c r="L39" s="5">
        <v>600000</v>
      </c>
      <c r="M39" s="5">
        <v>3760703370</v>
      </c>
      <c r="O39" s="5">
        <v>1105454</v>
      </c>
      <c r="Q39" s="5">
        <v>4813</v>
      </c>
      <c r="S39" s="5">
        <v>3579706030</v>
      </c>
      <c r="U39" s="5">
        <v>5279422250</v>
      </c>
      <c r="W39" s="7">
        <v>4.74660641882459E-3</v>
      </c>
    </row>
    <row r="40" spans="1:23" ht="21" x14ac:dyDescent="0.55000000000000004">
      <c r="A40" s="4" t="s">
        <v>76</v>
      </c>
      <c r="C40" s="5">
        <v>200000</v>
      </c>
      <c r="E40" s="5">
        <v>8564224465</v>
      </c>
      <c r="G40" s="5">
        <v>8870893800</v>
      </c>
      <c r="I40" s="5">
        <v>0</v>
      </c>
      <c r="J40" s="5">
        <v>0</v>
      </c>
      <c r="L40" s="5">
        <v>0</v>
      </c>
      <c r="M40" s="5">
        <v>0</v>
      </c>
      <c r="N40" s="6"/>
      <c r="O40" s="5">
        <v>200000</v>
      </c>
      <c r="Q40" s="5">
        <v>60620</v>
      </c>
      <c r="S40" s="5">
        <v>8564224465</v>
      </c>
      <c r="U40" s="5">
        <v>12095771300</v>
      </c>
      <c r="W40" s="7">
        <v>1.0875028170594664E-2</v>
      </c>
    </row>
    <row r="41" spans="1:23" ht="21" x14ac:dyDescent="0.55000000000000004">
      <c r="A41" s="4" t="s">
        <v>75</v>
      </c>
      <c r="C41" s="5">
        <v>700000</v>
      </c>
      <c r="E41" s="5">
        <v>24005614258</v>
      </c>
      <c r="G41" s="5">
        <v>24949636880</v>
      </c>
      <c r="I41" s="5">
        <v>100000</v>
      </c>
      <c r="J41" s="5">
        <v>3821152499</v>
      </c>
      <c r="L41" s="5">
        <v>100000</v>
      </c>
      <c r="M41" s="5">
        <v>4056315105</v>
      </c>
      <c r="O41" s="5">
        <v>700000</v>
      </c>
      <c r="Q41" s="5">
        <v>45020</v>
      </c>
      <c r="S41" s="5">
        <v>24348420912</v>
      </c>
      <c r="U41" s="5">
        <v>31270396780</v>
      </c>
      <c r="W41" s="7">
        <v>2.8114490382946694E-2</v>
      </c>
    </row>
    <row r="42" spans="1:23" ht="21" x14ac:dyDescent="0.55000000000000004">
      <c r="A42" s="4" t="s">
        <v>74</v>
      </c>
      <c r="C42" s="5">
        <v>500000</v>
      </c>
      <c r="E42" s="5">
        <v>13078980565</v>
      </c>
      <c r="G42" s="5">
        <v>20673945450</v>
      </c>
      <c r="I42" s="5">
        <v>0</v>
      </c>
      <c r="J42" s="5">
        <v>0</v>
      </c>
      <c r="L42" s="5">
        <v>0</v>
      </c>
      <c r="M42" s="5">
        <v>0</v>
      </c>
      <c r="N42" s="6"/>
      <c r="O42" s="5">
        <v>500000</v>
      </c>
      <c r="Q42" s="5">
        <v>51310</v>
      </c>
      <c r="S42" s="5">
        <v>13078980565</v>
      </c>
      <c r="U42" s="5">
        <v>25471570900</v>
      </c>
      <c r="W42" s="7">
        <v>2.2900900175485232E-2</v>
      </c>
    </row>
    <row r="43" spans="1:23" ht="21" x14ac:dyDescent="0.55000000000000004">
      <c r="A43" s="4" t="s">
        <v>73</v>
      </c>
      <c r="C43" s="5">
        <v>3000000</v>
      </c>
      <c r="E43" s="5">
        <v>8292444580</v>
      </c>
      <c r="G43" s="5">
        <v>7721845140</v>
      </c>
      <c r="I43" s="5">
        <v>0</v>
      </c>
      <c r="J43" s="5">
        <v>0</v>
      </c>
      <c r="L43" s="5">
        <v>0</v>
      </c>
      <c r="M43" s="5">
        <v>0</v>
      </c>
      <c r="N43" s="6"/>
      <c r="O43" s="5">
        <v>3000000</v>
      </c>
      <c r="Q43" s="5">
        <v>3205</v>
      </c>
      <c r="S43" s="5">
        <v>8292444580</v>
      </c>
      <c r="U43" s="5">
        <v>9552583290</v>
      </c>
      <c r="W43" s="7">
        <v>8.5885066610594599E-3</v>
      </c>
    </row>
    <row r="44" spans="1:23" ht="21" x14ac:dyDescent="0.55000000000000004">
      <c r="A44" s="4" t="s">
        <v>72</v>
      </c>
      <c r="C44" s="5">
        <v>120000</v>
      </c>
      <c r="E44" s="5">
        <v>18239142954</v>
      </c>
      <c r="G44" s="5">
        <v>35685998280</v>
      </c>
      <c r="I44" s="5">
        <v>0</v>
      </c>
      <c r="J44" s="5">
        <v>0</v>
      </c>
      <c r="L44" s="5">
        <v>0</v>
      </c>
      <c r="M44" s="5">
        <v>0</v>
      </c>
      <c r="N44" s="6"/>
      <c r="O44" s="5">
        <v>120000</v>
      </c>
      <c r="Q44" s="5">
        <v>394960</v>
      </c>
      <c r="S44" s="5">
        <v>18239142954</v>
      </c>
      <c r="U44" s="5">
        <v>47041933068</v>
      </c>
      <c r="W44" s="7">
        <v>4.2294313824677604E-2</v>
      </c>
    </row>
    <row r="45" spans="1:23" ht="21" x14ac:dyDescent="0.55000000000000004">
      <c r="A45" s="4" t="s">
        <v>71</v>
      </c>
      <c r="C45" s="5">
        <v>1100000</v>
      </c>
      <c r="E45" s="5">
        <v>16548215065</v>
      </c>
      <c r="G45" s="5">
        <v>17976955590</v>
      </c>
      <c r="I45" s="5">
        <v>100000</v>
      </c>
      <c r="J45" s="5">
        <v>2166756899</v>
      </c>
      <c r="L45" s="5">
        <v>0</v>
      </c>
      <c r="M45" s="5">
        <v>0</v>
      </c>
      <c r="O45" s="5">
        <v>1200000</v>
      </c>
      <c r="Q45" s="5">
        <v>21680</v>
      </c>
      <c r="S45" s="5">
        <v>18714971964</v>
      </c>
      <c r="U45" s="5">
        <v>26124484560</v>
      </c>
      <c r="W45" s="7">
        <v>2.3487919743676481E-2</v>
      </c>
    </row>
    <row r="46" spans="1:23" ht="21" x14ac:dyDescent="0.55000000000000004">
      <c r="A46" s="4" t="s">
        <v>70</v>
      </c>
      <c r="C46" s="5">
        <v>2000000</v>
      </c>
      <c r="E46" s="5">
        <v>10526832667</v>
      </c>
      <c r="G46" s="5">
        <v>15955701600</v>
      </c>
      <c r="I46" s="5">
        <v>0</v>
      </c>
      <c r="J46" s="5">
        <v>0</v>
      </c>
      <c r="L46" s="5">
        <v>0</v>
      </c>
      <c r="M46" s="5">
        <v>0</v>
      </c>
      <c r="N46" s="6"/>
      <c r="O46" s="5">
        <v>2000000</v>
      </c>
      <c r="Q46" s="5">
        <v>8190</v>
      </c>
      <c r="S46" s="5">
        <v>10526832667</v>
      </c>
      <c r="U46" s="5">
        <v>16154155600</v>
      </c>
      <c r="W46" s="7">
        <v>1.4523827614215022E-2</v>
      </c>
    </row>
    <row r="47" spans="1:23" ht="21" x14ac:dyDescent="0.55000000000000004">
      <c r="A47" s="4" t="s">
        <v>69</v>
      </c>
      <c r="C47" s="5">
        <v>100000</v>
      </c>
      <c r="E47" s="5">
        <v>2552366400</v>
      </c>
      <c r="G47" s="5">
        <v>3443176900</v>
      </c>
      <c r="I47" s="5">
        <v>0</v>
      </c>
      <c r="J47" s="5">
        <v>0</v>
      </c>
      <c r="L47" s="5">
        <v>100000</v>
      </c>
      <c r="M47" s="5">
        <v>3549793334</v>
      </c>
      <c r="O47" s="5">
        <v>0</v>
      </c>
      <c r="Q47" s="5">
        <v>0</v>
      </c>
      <c r="S47" s="5">
        <v>0</v>
      </c>
      <c r="U47" s="5">
        <v>0</v>
      </c>
      <c r="W47" s="7">
        <v>0</v>
      </c>
    </row>
    <row r="48" spans="1:23" ht="21" x14ac:dyDescent="0.55000000000000004">
      <c r="A48" s="4" t="s">
        <v>68</v>
      </c>
      <c r="C48" s="5">
        <v>350000</v>
      </c>
      <c r="E48" s="5">
        <v>16628233734</v>
      </c>
      <c r="G48" s="5">
        <v>32402576850</v>
      </c>
      <c r="I48" s="5">
        <v>0</v>
      </c>
      <c r="J48" s="5">
        <v>0</v>
      </c>
      <c r="L48" s="5">
        <v>0</v>
      </c>
      <c r="M48" s="5">
        <v>0</v>
      </c>
      <c r="N48" s="6"/>
      <c r="O48" s="5">
        <v>350000</v>
      </c>
      <c r="Q48" s="5">
        <v>100100</v>
      </c>
      <c r="S48" s="5">
        <v>16628233734</v>
      </c>
      <c r="U48" s="5">
        <v>34764179450</v>
      </c>
      <c r="W48" s="7">
        <v>3.1255669561672195E-2</v>
      </c>
    </row>
    <row r="49" spans="1:23" ht="21" x14ac:dyDescent="0.55000000000000004">
      <c r="A49" s="4" t="s">
        <v>67</v>
      </c>
      <c r="C49" s="5">
        <v>5802960</v>
      </c>
      <c r="E49" s="5">
        <v>17199552966</v>
      </c>
      <c r="G49" s="5">
        <v>14280095736</v>
      </c>
      <c r="I49" s="5">
        <v>0</v>
      </c>
      <c r="J49" s="5">
        <v>0</v>
      </c>
      <c r="L49" s="5">
        <v>0</v>
      </c>
      <c r="M49" s="5">
        <v>0</v>
      </c>
      <c r="N49" s="6"/>
      <c r="O49" s="5">
        <v>5802960</v>
      </c>
      <c r="Q49" s="5">
        <v>3085</v>
      </c>
      <c r="S49" s="5">
        <v>17199552966</v>
      </c>
      <c r="U49" s="5">
        <v>17746473813</v>
      </c>
      <c r="W49" s="7">
        <v>1.5955444085247832E-2</v>
      </c>
    </row>
    <row r="50" spans="1:23" ht="21.75" thickBot="1" x14ac:dyDescent="0.6">
      <c r="A50" s="8" t="s">
        <v>9</v>
      </c>
      <c r="C50" s="11"/>
      <c r="E50" s="8">
        <f>SUM(E11:$E$49)</f>
        <v>598789449183</v>
      </c>
      <c r="G50" s="8">
        <f>SUM(G11:$G$49)</f>
        <v>816546993397</v>
      </c>
      <c r="I50" s="11"/>
      <c r="J50" s="8">
        <f>SUM(J11:$J$49)</f>
        <v>83048804371</v>
      </c>
      <c r="L50" s="11"/>
      <c r="M50" s="8">
        <f>SUM(M11:$M$49)</f>
        <v>67363526072</v>
      </c>
      <c r="O50" s="11"/>
      <c r="Q50" s="11"/>
      <c r="S50" s="8">
        <f>SUM(S11:$S$49)</f>
        <v>626510406524</v>
      </c>
      <c r="U50" s="8">
        <f>SUM(U11:$U$49)</f>
        <v>1032726022570</v>
      </c>
      <c r="W50" s="9">
        <f>SUM(W11:$W$49)</f>
        <v>0.92850007737455575</v>
      </c>
    </row>
    <row r="51" spans="1:23" ht="21.75" thickTop="1" x14ac:dyDescent="0.55000000000000004">
      <c r="C51" s="11"/>
      <c r="E51" s="10"/>
      <c r="G51" s="10"/>
      <c r="I51" s="11"/>
      <c r="J51" s="10"/>
      <c r="L51" s="11"/>
      <c r="M51" s="10"/>
      <c r="O51" s="11"/>
      <c r="Q51" s="11"/>
      <c r="S51" s="10"/>
      <c r="U51" s="10"/>
      <c r="W51" s="10"/>
    </row>
  </sheetData>
  <mergeCells count="19"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</mergeCells>
  <pageMargins left="0.7" right="0.7" top="0.75" bottom="0.75" header="0.3" footer="0.3"/>
  <pageSetup paperSize="9" scale="5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A114-8E88-4F59-BE68-A4A2F9522485}">
  <sheetPr>
    <pageSetUpPr fitToPage="1"/>
  </sheetPr>
  <dimension ref="A1:Q13"/>
  <sheetViews>
    <sheetView rightToLeft="1" view="pageBreakPreview" zoomScaleNormal="100" zoomScaleSheetLayoutView="100" workbookViewId="0">
      <selection activeCell="O7" sqref="O7:Q7"/>
    </sheetView>
  </sheetViews>
  <sheetFormatPr defaultColWidth="8.85546875" defaultRowHeight="19.5" x14ac:dyDescent="0.55000000000000004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9.8554687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8.425781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0.5703125" style="1" customWidth="1"/>
    <col min="18" max="16384" width="8.85546875" style="1"/>
  </cols>
  <sheetData>
    <row r="1" spans="1:17" ht="19.899999999999999" customHeight="1" x14ac:dyDescent="0.55000000000000004">
      <c r="A1" s="47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9.899999999999999" customHeight="1" x14ac:dyDescent="0.55000000000000004">
      <c r="A2" s="4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9.899999999999999" customHeight="1" x14ac:dyDescent="0.55000000000000004">
      <c r="A3" s="4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5" spans="1:17" ht="21" x14ac:dyDescent="0.55000000000000004">
      <c r="A5" s="48" t="s">
        <v>58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7" spans="1:17" ht="21" x14ac:dyDescent="0.55000000000000004">
      <c r="C7" s="49" t="s">
        <v>12</v>
      </c>
      <c r="D7" s="50"/>
      <c r="E7" s="50"/>
      <c r="F7" s="50"/>
      <c r="G7" s="50"/>
      <c r="I7" s="12" t="s">
        <v>2</v>
      </c>
      <c r="K7" s="49" t="s">
        <v>55</v>
      </c>
      <c r="L7" s="50"/>
      <c r="M7" s="50"/>
      <c r="O7" s="49" t="s">
        <v>3</v>
      </c>
      <c r="P7" s="50"/>
      <c r="Q7" s="50"/>
    </row>
    <row r="8" spans="1:17" ht="63" x14ac:dyDescent="0.55000000000000004">
      <c r="A8" s="12" t="s">
        <v>13</v>
      </c>
      <c r="C8" s="12" t="s">
        <v>14</v>
      </c>
      <c r="E8" s="12" t="s">
        <v>15</v>
      </c>
      <c r="G8" s="13" t="s">
        <v>16</v>
      </c>
      <c r="I8" s="12" t="s">
        <v>17</v>
      </c>
      <c r="K8" s="12" t="s">
        <v>18</v>
      </c>
      <c r="M8" s="12" t="s">
        <v>19</v>
      </c>
      <c r="O8" s="12" t="s">
        <v>17</v>
      </c>
      <c r="Q8" s="13" t="s">
        <v>7</v>
      </c>
    </row>
    <row r="9" spans="1:17" ht="42" x14ac:dyDescent="0.55000000000000004">
      <c r="A9" s="14" t="s">
        <v>21</v>
      </c>
      <c r="C9" s="15" t="s">
        <v>118</v>
      </c>
      <c r="E9" s="16" t="s">
        <v>20</v>
      </c>
      <c r="G9" s="15" t="s">
        <v>117</v>
      </c>
      <c r="I9" s="17">
        <v>6834698219</v>
      </c>
      <c r="K9" s="17">
        <v>11069334513</v>
      </c>
      <c r="M9" s="17">
        <v>11000750000</v>
      </c>
      <c r="O9" s="17">
        <v>6903282732</v>
      </c>
      <c r="Q9" s="18">
        <v>6.2065818142642698E-3</v>
      </c>
    </row>
    <row r="10" spans="1:17" ht="42" x14ac:dyDescent="0.55000000000000004">
      <c r="A10" s="14" t="s">
        <v>22</v>
      </c>
      <c r="C10" s="15" t="s">
        <v>116</v>
      </c>
      <c r="E10" s="16" t="s">
        <v>115</v>
      </c>
      <c r="G10" s="15" t="s">
        <v>114</v>
      </c>
      <c r="I10" s="17">
        <v>18863893</v>
      </c>
      <c r="K10" s="17">
        <v>0</v>
      </c>
      <c r="L10" s="17"/>
      <c r="M10" s="17">
        <v>0</v>
      </c>
      <c r="N10" s="15"/>
      <c r="O10" s="17">
        <v>18863893</v>
      </c>
      <c r="Q10" s="18">
        <v>1.6960089827598136E-5</v>
      </c>
    </row>
    <row r="11" spans="1:17" ht="42" x14ac:dyDescent="0.55000000000000004">
      <c r="A11" s="14" t="s">
        <v>22</v>
      </c>
      <c r="C11" s="15" t="s">
        <v>113</v>
      </c>
      <c r="E11" s="16" t="s">
        <v>20</v>
      </c>
      <c r="G11" s="15" t="s">
        <v>112</v>
      </c>
      <c r="I11" s="17">
        <v>55598988471</v>
      </c>
      <c r="K11" s="17">
        <v>21025847844</v>
      </c>
      <c r="M11" s="17">
        <v>26002250000</v>
      </c>
      <c r="O11" s="17">
        <v>50622586315</v>
      </c>
      <c r="Q11" s="18">
        <v>4.5513596329651573E-2</v>
      </c>
    </row>
    <row r="12" spans="1:17" ht="21.75" thickBot="1" x14ac:dyDescent="0.6">
      <c r="A12" s="19" t="s">
        <v>9</v>
      </c>
      <c r="I12" s="19">
        <f>SUM(I9:$I$11)</f>
        <v>62452550583</v>
      </c>
      <c r="K12" s="19">
        <f>SUM(K9:$K$11)</f>
        <v>32095182357</v>
      </c>
      <c r="M12" s="19">
        <f>SUM(M9:$M$11)</f>
        <v>37003000000</v>
      </c>
      <c r="O12" s="19">
        <f>SUM(O9:$O$11)</f>
        <v>57544732940</v>
      </c>
      <c r="Q12" s="20">
        <f>SUM(Q9:$Q$11)</f>
        <v>5.1737138233743443E-2</v>
      </c>
    </row>
    <row r="13" spans="1:17" ht="21.75" thickTop="1" x14ac:dyDescent="0.55000000000000004">
      <c r="I13" s="21"/>
      <c r="K13" s="21"/>
      <c r="M13" s="21"/>
      <c r="O13" s="21"/>
      <c r="Q13" s="21"/>
    </row>
  </sheetData>
  <mergeCells count="7">
    <mergeCell ref="A1:Q1"/>
    <mergeCell ref="A2:Q2"/>
    <mergeCell ref="A3:Q3"/>
    <mergeCell ref="A5:Q5"/>
    <mergeCell ref="C7:G7"/>
    <mergeCell ref="K7:M7"/>
    <mergeCell ref="O7:Q7"/>
  </mergeCells>
  <pageMargins left="0.7" right="0.7" top="0.75" bottom="0.75" header="0.3" footer="0.3"/>
  <pageSetup paperSize="9" scale="8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C738-A6CC-4F7C-AF00-2F30D7AAA281}">
  <sheetPr>
    <pageSetUpPr fitToPage="1"/>
  </sheetPr>
  <dimension ref="A1:I13"/>
  <sheetViews>
    <sheetView rightToLeft="1" view="pageBreakPreview" zoomScaleNormal="100" zoomScaleSheetLayoutView="100" workbookViewId="0">
      <selection activeCell="K1" sqref="K1:L1048576"/>
    </sheetView>
  </sheetViews>
  <sheetFormatPr defaultColWidth="8.85546875" defaultRowHeight="19.5" x14ac:dyDescent="0.55000000000000004"/>
  <cols>
    <col min="1" max="1" width="49.7109375" style="2" customWidth="1"/>
    <col min="2" max="2" width="1.42578125" style="2" customWidth="1"/>
    <col min="3" max="3" width="11.42578125" style="2" customWidth="1"/>
    <col min="4" max="4" width="1.42578125" style="2" customWidth="1"/>
    <col min="5" max="5" width="21.28515625" style="2" customWidth="1"/>
    <col min="6" max="6" width="1.42578125" style="2" customWidth="1"/>
    <col min="7" max="7" width="11.42578125" style="2" customWidth="1"/>
    <col min="8" max="8" width="1.42578125" style="2" customWidth="1"/>
    <col min="9" max="9" width="11.42578125" style="2" customWidth="1"/>
    <col min="10" max="16384" width="8.85546875" style="2"/>
  </cols>
  <sheetData>
    <row r="1" spans="1:9" ht="19.899999999999999" customHeight="1" x14ac:dyDescent="0.55000000000000004">
      <c r="A1" s="42" t="s">
        <v>110</v>
      </c>
      <c r="B1" s="43"/>
      <c r="C1" s="43"/>
      <c r="D1" s="43"/>
      <c r="E1" s="43"/>
      <c r="F1" s="43"/>
      <c r="G1" s="43"/>
      <c r="H1" s="43"/>
      <c r="I1" s="43"/>
    </row>
    <row r="2" spans="1:9" ht="19.899999999999999" customHeight="1" x14ac:dyDescent="0.55000000000000004">
      <c r="A2" s="42" t="s">
        <v>23</v>
      </c>
      <c r="B2" s="43"/>
      <c r="C2" s="43"/>
      <c r="D2" s="43"/>
      <c r="E2" s="43"/>
      <c r="F2" s="43"/>
      <c r="G2" s="43"/>
      <c r="H2" s="43"/>
      <c r="I2" s="43"/>
    </row>
    <row r="3" spans="1:9" ht="19.899999999999999" customHeight="1" x14ac:dyDescent="0.55000000000000004">
      <c r="A3" s="42" t="s">
        <v>1</v>
      </c>
      <c r="B3" s="43"/>
      <c r="C3" s="43"/>
      <c r="D3" s="43"/>
      <c r="E3" s="43"/>
      <c r="F3" s="43"/>
      <c r="G3" s="43"/>
      <c r="H3" s="43"/>
      <c r="I3" s="43"/>
    </row>
    <row r="5" spans="1:9" ht="21" x14ac:dyDescent="0.55000000000000004">
      <c r="A5" s="44" t="s">
        <v>24</v>
      </c>
      <c r="B5" s="43"/>
      <c r="C5" s="43"/>
      <c r="D5" s="43"/>
      <c r="E5" s="43"/>
      <c r="F5" s="43"/>
      <c r="G5" s="43"/>
      <c r="H5" s="43"/>
      <c r="I5" s="43"/>
    </row>
    <row r="6" spans="1:9" ht="21" x14ac:dyDescent="0.55000000000000004">
      <c r="E6" s="51" t="s">
        <v>60</v>
      </c>
      <c r="F6" s="51"/>
      <c r="G6" s="51"/>
      <c r="H6" s="51"/>
      <c r="I6" s="51"/>
    </row>
    <row r="7" spans="1:9" ht="63" x14ac:dyDescent="0.55000000000000004">
      <c r="A7" s="28" t="s">
        <v>25</v>
      </c>
      <c r="C7" s="28" t="s">
        <v>26</v>
      </c>
      <c r="E7" s="28" t="s">
        <v>17</v>
      </c>
      <c r="G7" s="29" t="s">
        <v>27</v>
      </c>
      <c r="I7" s="29" t="s">
        <v>28</v>
      </c>
    </row>
    <row r="8" spans="1:9" ht="21" x14ac:dyDescent="0.55000000000000004">
      <c r="A8" s="30" t="s">
        <v>120</v>
      </c>
      <c r="C8" s="31" t="s">
        <v>63</v>
      </c>
      <c r="E8" s="5">
        <f>'4'!$S$91</f>
        <v>371491598217</v>
      </c>
      <c r="G8" s="7">
        <f>E8/$E$12</f>
        <v>0.90343386936566838</v>
      </c>
      <c r="I8" s="7">
        <v>0.33399950243347515</v>
      </c>
    </row>
    <row r="9" spans="1:9" ht="21" x14ac:dyDescent="0.55000000000000004">
      <c r="A9" s="30" t="s">
        <v>408</v>
      </c>
      <c r="C9" s="31" t="s">
        <v>119</v>
      </c>
      <c r="E9" s="5">
        <f>'5'!$O$174</f>
        <v>25652132258</v>
      </c>
      <c r="G9" s="7">
        <f>E9/$E$12</f>
        <v>6.2383658781396088E-2</v>
      </c>
      <c r="I9" s="7">
        <v>2.3063238715630319E-2</v>
      </c>
    </row>
    <row r="10" spans="1:9" ht="21" x14ac:dyDescent="0.55000000000000004">
      <c r="A10" s="30" t="s">
        <v>29</v>
      </c>
      <c r="C10" s="31" t="s">
        <v>64</v>
      </c>
      <c r="E10" s="5">
        <f>'6'!$I$11</f>
        <v>13841622169</v>
      </c>
      <c r="G10" s="7">
        <f>E10/$E$12</f>
        <v>3.3661569560269639E-2</v>
      </c>
      <c r="I10" s="7">
        <v>1.2444682301045375E-2</v>
      </c>
    </row>
    <row r="11" spans="1:9" ht="21" x14ac:dyDescent="0.55000000000000004">
      <c r="A11" s="30" t="s">
        <v>30</v>
      </c>
      <c r="C11" s="31" t="s">
        <v>409</v>
      </c>
      <c r="E11" s="5">
        <f>'7'!$E$11</f>
        <v>214194787</v>
      </c>
      <c r="G11" s="7">
        <f>E11/$E$12</f>
        <v>5.2090229266592823E-4</v>
      </c>
      <c r="I11" s="7">
        <v>1.9257757813422974E-4</v>
      </c>
    </row>
    <row r="12" spans="1:9" ht="21.75" thickBot="1" x14ac:dyDescent="0.6">
      <c r="A12" s="32" t="s">
        <v>9</v>
      </c>
      <c r="E12" s="8">
        <f>SUM(E8:$E$11)</f>
        <v>411199547431</v>
      </c>
      <c r="G12" s="33">
        <f>SUM(G8:$G$11)</f>
        <v>1</v>
      </c>
      <c r="I12" s="9">
        <f>SUM(I8:$I$11)</f>
        <v>0.3697000010282851</v>
      </c>
    </row>
    <row r="13" spans="1:9" ht="21.75" thickTop="1" x14ac:dyDescent="0.55000000000000004">
      <c r="E13" s="10"/>
      <c r="G13" s="10"/>
      <c r="I13" s="10"/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scale="7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95FE-3725-4A0B-B00F-671AED7E0476}">
  <sheetPr>
    <pageSetUpPr fitToPage="1"/>
  </sheetPr>
  <dimension ref="A1:U92"/>
  <sheetViews>
    <sheetView rightToLeft="1" view="pageBreakPreview" topLeftCell="A76" zoomScale="60" zoomScaleNormal="100" workbookViewId="0">
      <selection activeCell="M8" sqref="M8"/>
    </sheetView>
  </sheetViews>
  <sheetFormatPr defaultColWidth="8.85546875" defaultRowHeight="19.5" x14ac:dyDescent="0.55000000000000004"/>
  <cols>
    <col min="1" max="1" width="46.1406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0.57031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8" width="1.42578125" style="1" customWidth="1"/>
    <col min="19" max="19" width="17" style="1" customWidth="1"/>
    <col min="20" max="20" width="1.42578125" style="1" customWidth="1"/>
    <col min="21" max="21" width="10.5703125" style="1" customWidth="1"/>
    <col min="22" max="16384" width="8.85546875" style="1"/>
  </cols>
  <sheetData>
    <row r="1" spans="1:21" ht="19.899999999999999" customHeight="1" x14ac:dyDescent="0.55000000000000004">
      <c r="A1" s="47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ht="19.899999999999999" customHeight="1" x14ac:dyDescent="0.55000000000000004">
      <c r="A2" s="4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1" ht="19.899999999999999" customHeight="1" x14ac:dyDescent="0.55000000000000004">
      <c r="A3" s="4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5" spans="1:21" ht="21" x14ac:dyDescent="0.55000000000000004">
      <c r="A5" s="48" t="s">
        <v>235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</row>
    <row r="7" spans="1:21" ht="21" x14ac:dyDescent="0.55000000000000004">
      <c r="C7" s="49" t="s">
        <v>59</v>
      </c>
      <c r="D7" s="50"/>
      <c r="E7" s="50"/>
      <c r="F7" s="50"/>
      <c r="G7" s="50"/>
      <c r="H7" s="50"/>
      <c r="I7" s="50"/>
      <c r="J7" s="50"/>
      <c r="K7" s="50"/>
      <c r="M7" s="49" t="s">
        <v>60</v>
      </c>
      <c r="N7" s="50"/>
      <c r="O7" s="50"/>
      <c r="P7" s="50"/>
      <c r="Q7" s="50"/>
      <c r="R7" s="50"/>
      <c r="S7" s="50"/>
      <c r="T7" s="50"/>
      <c r="U7" s="50"/>
    </row>
    <row r="8" spans="1:21" ht="63" x14ac:dyDescent="0.55000000000000004">
      <c r="A8" s="12" t="s">
        <v>205</v>
      </c>
      <c r="C8" s="13" t="s">
        <v>128</v>
      </c>
      <c r="E8" s="13" t="s">
        <v>41</v>
      </c>
      <c r="G8" s="13" t="s">
        <v>42</v>
      </c>
      <c r="I8" s="13" t="s">
        <v>204</v>
      </c>
      <c r="K8" s="13" t="s">
        <v>203</v>
      </c>
      <c r="M8" s="13" t="s">
        <v>128</v>
      </c>
      <c r="O8" s="13" t="s">
        <v>41</v>
      </c>
      <c r="Q8" s="13" t="s">
        <v>42</v>
      </c>
      <c r="S8" s="13" t="s">
        <v>204</v>
      </c>
      <c r="U8" s="13" t="s">
        <v>203</v>
      </c>
    </row>
    <row r="9" spans="1:21" ht="21" x14ac:dyDescent="0.55000000000000004">
      <c r="A9" s="16" t="s">
        <v>174</v>
      </c>
      <c r="C9" s="17">
        <v>0</v>
      </c>
      <c r="E9" s="17">
        <v>0</v>
      </c>
      <c r="G9" s="17">
        <v>0</v>
      </c>
      <c r="I9" s="17">
        <v>0</v>
      </c>
      <c r="K9" s="18">
        <v>0</v>
      </c>
      <c r="M9" s="17">
        <v>0</v>
      </c>
      <c r="O9" s="17">
        <v>0</v>
      </c>
      <c r="Q9" s="17">
        <v>410312059</v>
      </c>
      <c r="S9" s="17">
        <v>410312059</v>
      </c>
      <c r="U9" s="18">
        <v>9.9783442871022245E-4</v>
      </c>
    </row>
    <row r="10" spans="1:21" ht="21" x14ac:dyDescent="0.55000000000000004">
      <c r="A10" s="16" t="s">
        <v>173</v>
      </c>
      <c r="C10" s="17">
        <v>0</v>
      </c>
      <c r="E10" s="17">
        <v>0</v>
      </c>
      <c r="G10" s="17">
        <v>0</v>
      </c>
      <c r="I10" s="17">
        <v>0</v>
      </c>
      <c r="K10" s="18">
        <v>0</v>
      </c>
      <c r="M10" s="17">
        <v>0</v>
      </c>
      <c r="O10" s="17">
        <v>0</v>
      </c>
      <c r="Q10" s="17">
        <v>191025600</v>
      </c>
      <c r="S10" s="17">
        <v>191025600</v>
      </c>
      <c r="U10" s="18">
        <v>4.6455354227117039E-4</v>
      </c>
    </row>
    <row r="11" spans="1:21" ht="21" x14ac:dyDescent="0.55000000000000004">
      <c r="A11" s="16" t="s">
        <v>171</v>
      </c>
      <c r="C11" s="17">
        <v>0</v>
      </c>
      <c r="E11" s="17">
        <v>0</v>
      </c>
      <c r="G11" s="17">
        <v>0</v>
      </c>
      <c r="I11" s="17">
        <v>0</v>
      </c>
      <c r="K11" s="18">
        <v>0</v>
      </c>
      <c r="M11" s="17">
        <v>0</v>
      </c>
      <c r="O11" s="17">
        <v>0</v>
      </c>
      <c r="Q11" s="17">
        <v>-1476525993</v>
      </c>
      <c r="S11" s="17">
        <v>-1476525993</v>
      </c>
      <c r="U11" s="18">
        <v>-3.5907510841667678E-3</v>
      </c>
    </row>
    <row r="12" spans="1:21" ht="21" x14ac:dyDescent="0.55000000000000004">
      <c r="A12" s="16" t="s">
        <v>170</v>
      </c>
      <c r="C12" s="17">
        <v>0</v>
      </c>
      <c r="E12" s="17">
        <v>0</v>
      </c>
      <c r="G12" s="17">
        <v>0</v>
      </c>
      <c r="I12" s="17">
        <v>0</v>
      </c>
      <c r="K12" s="18">
        <v>0</v>
      </c>
      <c r="M12" s="17">
        <v>0</v>
      </c>
      <c r="O12" s="17">
        <v>0</v>
      </c>
      <c r="Q12" s="17">
        <v>254827730</v>
      </c>
      <c r="S12" s="17">
        <v>254827730</v>
      </c>
      <c r="U12" s="18">
        <v>6.1971340302253411E-4</v>
      </c>
    </row>
    <row r="13" spans="1:21" ht="21" x14ac:dyDescent="0.55000000000000004">
      <c r="A13" s="16" t="s">
        <v>104</v>
      </c>
      <c r="C13" s="17">
        <v>0</v>
      </c>
      <c r="E13" s="17">
        <v>3265017012</v>
      </c>
      <c r="G13" s="17">
        <v>-212498770</v>
      </c>
      <c r="I13" s="17">
        <v>3052518242</v>
      </c>
      <c r="K13" s="18">
        <v>1.4994532969828594E-2</v>
      </c>
      <c r="M13" s="17">
        <v>0</v>
      </c>
      <c r="O13" s="17">
        <v>7574141342</v>
      </c>
      <c r="Q13" s="17">
        <v>-412103053</v>
      </c>
      <c r="S13" s="17">
        <v>7162038289</v>
      </c>
      <c r="U13" s="18">
        <v>1.7417300388202953E-2</v>
      </c>
    </row>
    <row r="14" spans="1:21" ht="21" x14ac:dyDescent="0.55000000000000004">
      <c r="A14" s="16" t="s">
        <v>202</v>
      </c>
      <c r="C14" s="17">
        <v>0</v>
      </c>
      <c r="E14" s="17">
        <v>2408834652</v>
      </c>
      <c r="G14" s="17">
        <v>0</v>
      </c>
      <c r="I14" s="17">
        <v>2408834652</v>
      </c>
      <c r="K14" s="18">
        <v>1.1832640379116723E-2</v>
      </c>
      <c r="M14" s="17">
        <v>1258089360</v>
      </c>
      <c r="O14" s="17">
        <v>6483773454</v>
      </c>
      <c r="Q14" s="17">
        <v>1338953748</v>
      </c>
      <c r="S14" s="17">
        <v>9080816562</v>
      </c>
      <c r="U14" s="18">
        <v>2.2083561054601117E-2</v>
      </c>
    </row>
    <row r="15" spans="1:21" ht="21" x14ac:dyDescent="0.55000000000000004">
      <c r="A15" s="16" t="s">
        <v>103</v>
      </c>
      <c r="C15" s="17">
        <v>0</v>
      </c>
      <c r="E15" s="17">
        <v>1046309536</v>
      </c>
      <c r="G15" s="17">
        <v>0</v>
      </c>
      <c r="I15" s="17">
        <v>1046309536</v>
      </c>
      <c r="K15" s="18">
        <v>5.1396655451004698E-3</v>
      </c>
      <c r="M15" s="17">
        <v>291128585</v>
      </c>
      <c r="O15" s="17">
        <v>969096620</v>
      </c>
      <c r="Q15" s="17">
        <v>820651110</v>
      </c>
      <c r="S15" s="17">
        <v>2080876315</v>
      </c>
      <c r="U15" s="18">
        <v>5.0604655248376647E-3</v>
      </c>
    </row>
    <row r="16" spans="1:21" ht="21" x14ac:dyDescent="0.55000000000000004">
      <c r="A16" s="16" t="s">
        <v>201</v>
      </c>
      <c r="C16" s="17">
        <v>0</v>
      </c>
      <c r="E16" s="17">
        <v>0</v>
      </c>
      <c r="G16" s="17">
        <v>0</v>
      </c>
      <c r="I16" s="17">
        <v>0</v>
      </c>
      <c r="K16" s="18">
        <v>0</v>
      </c>
      <c r="M16" s="17">
        <v>0</v>
      </c>
      <c r="O16" s="17">
        <v>0</v>
      </c>
      <c r="Q16" s="17">
        <v>-2841925362</v>
      </c>
      <c r="S16" s="17">
        <v>-2841925362</v>
      </c>
      <c r="U16" s="18">
        <v>-6.911254270565716E-3</v>
      </c>
    </row>
    <row r="17" spans="1:21" ht="21" x14ac:dyDescent="0.55000000000000004">
      <c r="A17" s="16" t="s">
        <v>102</v>
      </c>
      <c r="C17" s="17">
        <v>0</v>
      </c>
      <c r="E17" s="17">
        <v>11290815169</v>
      </c>
      <c r="G17" s="17">
        <v>69989452</v>
      </c>
      <c r="I17" s="17">
        <v>11360804621</v>
      </c>
      <c r="K17" s="18">
        <v>5.5806369020010446E-2</v>
      </c>
      <c r="M17" s="17">
        <v>1800000000</v>
      </c>
      <c r="O17" s="17">
        <v>18159548343</v>
      </c>
      <c r="Q17" s="17">
        <v>4018703679</v>
      </c>
      <c r="S17" s="17">
        <v>23978252022</v>
      </c>
      <c r="U17" s="18">
        <v>5.8312508450652445E-2</v>
      </c>
    </row>
    <row r="18" spans="1:21" ht="21" x14ac:dyDescent="0.55000000000000004">
      <c r="A18" s="16" t="s">
        <v>168</v>
      </c>
      <c r="C18" s="17">
        <v>0</v>
      </c>
      <c r="E18" s="17">
        <v>0</v>
      </c>
      <c r="G18" s="17">
        <v>0</v>
      </c>
      <c r="I18" s="17">
        <v>0</v>
      </c>
      <c r="K18" s="18">
        <v>0</v>
      </c>
      <c r="M18" s="17">
        <v>952000000</v>
      </c>
      <c r="O18" s="17">
        <v>0</v>
      </c>
      <c r="Q18" s="17">
        <v>-2453485900</v>
      </c>
      <c r="S18" s="17">
        <v>-1501485900</v>
      </c>
      <c r="U18" s="18">
        <v>-3.6514508710623933E-3</v>
      </c>
    </row>
    <row r="19" spans="1:21" ht="21" x14ac:dyDescent="0.55000000000000004">
      <c r="A19" s="16" t="s">
        <v>200</v>
      </c>
      <c r="C19" s="17">
        <v>0</v>
      </c>
      <c r="E19" s="17">
        <v>0</v>
      </c>
      <c r="G19" s="17">
        <v>0</v>
      </c>
      <c r="I19" s="17">
        <v>0</v>
      </c>
      <c r="K19" s="18">
        <v>0</v>
      </c>
      <c r="M19" s="17">
        <v>0</v>
      </c>
      <c r="O19" s="17">
        <v>0</v>
      </c>
      <c r="Q19" s="17">
        <v>-707351562</v>
      </c>
      <c r="S19" s="17">
        <v>-707351562</v>
      </c>
      <c r="U19" s="18">
        <v>-1.7202022857572253E-3</v>
      </c>
    </row>
    <row r="20" spans="1:21" ht="21" x14ac:dyDescent="0.55000000000000004">
      <c r="A20" s="16" t="s">
        <v>101</v>
      </c>
      <c r="C20" s="17">
        <v>0</v>
      </c>
      <c r="E20" s="17">
        <v>-469065984</v>
      </c>
      <c r="G20" s="17">
        <v>717826227</v>
      </c>
      <c r="I20" s="17">
        <v>248760243</v>
      </c>
      <c r="K20" s="18">
        <v>1.2219562241836629E-3</v>
      </c>
      <c r="M20" s="17">
        <v>0</v>
      </c>
      <c r="O20" s="17">
        <v>0</v>
      </c>
      <c r="Q20" s="17">
        <v>1075837915</v>
      </c>
      <c r="S20" s="17">
        <v>1075837915</v>
      </c>
      <c r="U20" s="18">
        <v>2.6163211335176032E-3</v>
      </c>
    </row>
    <row r="21" spans="1:21" ht="21" x14ac:dyDescent="0.55000000000000004">
      <c r="A21" s="16" t="s">
        <v>199</v>
      </c>
      <c r="C21" s="17">
        <v>0</v>
      </c>
      <c r="E21" s="17">
        <v>0</v>
      </c>
      <c r="G21" s="17">
        <v>0</v>
      </c>
      <c r="I21" s="17">
        <v>0</v>
      </c>
      <c r="K21" s="18">
        <v>0</v>
      </c>
      <c r="M21" s="17">
        <v>0</v>
      </c>
      <c r="O21" s="17">
        <v>0</v>
      </c>
      <c r="Q21" s="17">
        <v>-2314315880</v>
      </c>
      <c r="S21" s="17">
        <v>-2314315880</v>
      </c>
      <c r="U21" s="18">
        <v>-5.6281652301493667E-3</v>
      </c>
    </row>
    <row r="22" spans="1:21" ht="21" x14ac:dyDescent="0.55000000000000004">
      <c r="A22" s="16" t="s">
        <v>167</v>
      </c>
      <c r="C22" s="17">
        <v>0</v>
      </c>
      <c r="E22" s="17">
        <v>0</v>
      </c>
      <c r="G22" s="17">
        <v>0</v>
      </c>
      <c r="I22" s="17">
        <v>0</v>
      </c>
      <c r="K22" s="18">
        <v>0</v>
      </c>
      <c r="M22" s="17">
        <v>1257300000</v>
      </c>
      <c r="O22" s="17">
        <v>0</v>
      </c>
      <c r="Q22" s="17">
        <v>2831026152</v>
      </c>
      <c r="S22" s="17">
        <v>4088326152</v>
      </c>
      <c r="U22" s="18">
        <v>9.9423658183587088E-3</v>
      </c>
    </row>
    <row r="23" spans="1:21" ht="21" x14ac:dyDescent="0.55000000000000004">
      <c r="A23" s="16" t="s">
        <v>166</v>
      </c>
      <c r="C23" s="17">
        <v>0</v>
      </c>
      <c r="E23" s="17">
        <v>0</v>
      </c>
      <c r="G23" s="17">
        <v>0</v>
      </c>
      <c r="I23" s="17">
        <v>0</v>
      </c>
      <c r="K23" s="18">
        <v>0</v>
      </c>
      <c r="M23" s="17">
        <v>292500000</v>
      </c>
      <c r="O23" s="17">
        <v>0</v>
      </c>
      <c r="Q23" s="17">
        <v>1119306895</v>
      </c>
      <c r="S23" s="17">
        <v>1411806895</v>
      </c>
      <c r="U23" s="18">
        <v>3.4333612566855558E-3</v>
      </c>
    </row>
    <row r="24" spans="1:21" ht="21" x14ac:dyDescent="0.55000000000000004">
      <c r="A24" s="16" t="s">
        <v>198</v>
      </c>
      <c r="C24" s="17">
        <v>0</v>
      </c>
      <c r="E24" s="17">
        <v>0</v>
      </c>
      <c r="G24" s="17">
        <v>0</v>
      </c>
      <c r="I24" s="17">
        <v>0</v>
      </c>
      <c r="K24" s="18">
        <v>0</v>
      </c>
      <c r="M24" s="17">
        <v>0</v>
      </c>
      <c r="O24" s="17">
        <v>0</v>
      </c>
      <c r="Q24" s="17">
        <v>-201510906</v>
      </c>
      <c r="S24" s="17">
        <v>-201510906</v>
      </c>
      <c r="U24" s="18">
        <v>-4.9005266932061905E-4</v>
      </c>
    </row>
    <row r="25" spans="1:21" ht="21" x14ac:dyDescent="0.55000000000000004">
      <c r="A25" s="16" t="s">
        <v>165</v>
      </c>
      <c r="C25" s="17">
        <v>0</v>
      </c>
      <c r="E25" s="17">
        <v>0</v>
      </c>
      <c r="G25" s="17">
        <v>0</v>
      </c>
      <c r="I25" s="17">
        <v>0</v>
      </c>
      <c r="K25" s="18">
        <v>0</v>
      </c>
      <c r="M25" s="17">
        <v>0</v>
      </c>
      <c r="O25" s="17">
        <v>0</v>
      </c>
      <c r="Q25" s="17">
        <v>694641600</v>
      </c>
      <c r="S25" s="17">
        <v>694641600</v>
      </c>
      <c r="U25" s="18">
        <v>1.6892930365820782E-3</v>
      </c>
    </row>
    <row r="26" spans="1:21" ht="21" x14ac:dyDescent="0.55000000000000004">
      <c r="A26" s="16" t="s">
        <v>99</v>
      </c>
      <c r="C26" s="17">
        <v>0</v>
      </c>
      <c r="E26" s="17">
        <v>0</v>
      </c>
      <c r="G26" s="17">
        <v>5309624700</v>
      </c>
      <c r="I26" s="17">
        <v>5309624700</v>
      </c>
      <c r="K26" s="18">
        <v>2.6081856457441693E-2</v>
      </c>
      <c r="M26" s="17">
        <v>0</v>
      </c>
      <c r="O26" s="17">
        <v>0</v>
      </c>
      <c r="Q26" s="17">
        <v>5309624700</v>
      </c>
      <c r="S26" s="17">
        <v>5309624700</v>
      </c>
      <c r="U26" s="18">
        <v>1.2912431435972458E-2</v>
      </c>
    </row>
    <row r="27" spans="1:21" ht="21" x14ac:dyDescent="0.55000000000000004">
      <c r="A27" s="16" t="s">
        <v>163</v>
      </c>
      <c r="C27" s="17">
        <v>0</v>
      </c>
      <c r="E27" s="17">
        <v>0</v>
      </c>
      <c r="G27" s="17">
        <v>0</v>
      </c>
      <c r="I27" s="17">
        <v>0</v>
      </c>
      <c r="K27" s="18">
        <v>0</v>
      </c>
      <c r="M27" s="17">
        <v>0</v>
      </c>
      <c r="O27" s="17">
        <v>0</v>
      </c>
      <c r="Q27" s="17">
        <v>6310789540</v>
      </c>
      <c r="S27" s="17">
        <v>6310789540</v>
      </c>
      <c r="U27" s="18">
        <v>1.5347155749464207E-2</v>
      </c>
    </row>
    <row r="28" spans="1:21" ht="21" x14ac:dyDescent="0.55000000000000004">
      <c r="A28" s="16" t="s">
        <v>197</v>
      </c>
      <c r="C28" s="17">
        <v>0</v>
      </c>
      <c r="E28" s="17">
        <v>0</v>
      </c>
      <c r="G28" s="17">
        <v>0</v>
      </c>
      <c r="I28" s="17">
        <v>0</v>
      </c>
      <c r="K28" s="18">
        <v>0</v>
      </c>
      <c r="M28" s="17">
        <v>0</v>
      </c>
      <c r="O28" s="17">
        <v>0</v>
      </c>
      <c r="Q28" s="17">
        <v>-2455634450</v>
      </c>
      <c r="S28" s="17">
        <v>-2455634450</v>
      </c>
      <c r="U28" s="18">
        <v>-5.9718366662406359E-3</v>
      </c>
    </row>
    <row r="29" spans="1:21" ht="21" x14ac:dyDescent="0.55000000000000004">
      <c r="A29" s="16" t="s">
        <v>196</v>
      </c>
      <c r="C29" s="17">
        <v>0</v>
      </c>
      <c r="E29" s="17">
        <v>5980772071</v>
      </c>
      <c r="G29" s="17">
        <v>0</v>
      </c>
      <c r="I29" s="17">
        <v>5980772071</v>
      </c>
      <c r="K29" s="18">
        <v>2.9378656209072228E-2</v>
      </c>
      <c r="M29" s="17">
        <v>2200000000</v>
      </c>
      <c r="O29" s="17">
        <v>2379085219</v>
      </c>
      <c r="Q29" s="17">
        <v>-3087240096</v>
      </c>
      <c r="S29" s="17">
        <v>1491845123</v>
      </c>
      <c r="U29" s="18">
        <v>3.6280055469508792E-3</v>
      </c>
    </row>
    <row r="30" spans="1:21" ht="21" x14ac:dyDescent="0.55000000000000004">
      <c r="A30" s="16" t="s">
        <v>98</v>
      </c>
      <c r="C30" s="17">
        <v>0</v>
      </c>
      <c r="E30" s="17">
        <v>-111630375</v>
      </c>
      <c r="G30" s="17">
        <v>0</v>
      </c>
      <c r="I30" s="17">
        <v>-111630375</v>
      </c>
      <c r="K30" s="18">
        <v>-5.483490042225372E-4</v>
      </c>
      <c r="M30" s="17">
        <v>0</v>
      </c>
      <c r="O30" s="17">
        <v>419050294</v>
      </c>
      <c r="Q30" s="17">
        <v>839102175</v>
      </c>
      <c r="S30" s="17">
        <v>1258152469</v>
      </c>
      <c r="U30" s="18">
        <v>3.0596903566389474E-3</v>
      </c>
    </row>
    <row r="31" spans="1:21" ht="21" x14ac:dyDescent="0.55000000000000004">
      <c r="A31" s="16" t="s">
        <v>161</v>
      </c>
      <c r="C31" s="17">
        <v>0</v>
      </c>
      <c r="E31" s="17">
        <v>0</v>
      </c>
      <c r="G31" s="17">
        <v>0</v>
      </c>
      <c r="I31" s="17">
        <v>0</v>
      </c>
      <c r="K31" s="18">
        <v>0</v>
      </c>
      <c r="M31" s="17">
        <v>0</v>
      </c>
      <c r="O31" s="17">
        <v>0</v>
      </c>
      <c r="Q31" s="17">
        <v>1736288324</v>
      </c>
      <c r="S31" s="17">
        <v>1736288324</v>
      </c>
      <c r="U31" s="18">
        <v>4.222464901658592E-3</v>
      </c>
    </row>
    <row r="32" spans="1:21" ht="21" x14ac:dyDescent="0.55000000000000004">
      <c r="A32" s="16" t="s">
        <v>97</v>
      </c>
      <c r="C32" s="17">
        <v>0</v>
      </c>
      <c r="E32" s="17">
        <v>8338444695</v>
      </c>
      <c r="G32" s="17">
        <v>0</v>
      </c>
      <c r="I32" s="17">
        <v>8338444695</v>
      </c>
      <c r="K32" s="18">
        <v>4.0959979264317152E-2</v>
      </c>
      <c r="M32" s="17">
        <v>4167650000</v>
      </c>
      <c r="O32" s="17">
        <v>5858008814</v>
      </c>
      <c r="Q32" s="17">
        <v>-6456662846</v>
      </c>
      <c r="S32" s="17">
        <v>3568995968</v>
      </c>
      <c r="U32" s="18">
        <v>8.679411132779714E-3</v>
      </c>
    </row>
    <row r="33" spans="1:21" ht="21" x14ac:dyDescent="0.55000000000000004">
      <c r="A33" s="16" t="s">
        <v>195</v>
      </c>
      <c r="C33" s="17">
        <v>0</v>
      </c>
      <c r="E33" s="17">
        <v>2015565167</v>
      </c>
      <c r="G33" s="17">
        <v>0</v>
      </c>
      <c r="I33" s="17">
        <v>2015565167</v>
      </c>
      <c r="K33" s="18">
        <v>9.9008280879651425E-3</v>
      </c>
      <c r="M33" s="17">
        <v>1122566610</v>
      </c>
      <c r="O33" s="17">
        <v>1229199306</v>
      </c>
      <c r="Q33" s="17">
        <v>-6846862313</v>
      </c>
      <c r="S33" s="17">
        <v>-4495096397</v>
      </c>
      <c r="U33" s="18">
        <v>-1.0931586939534414E-2</v>
      </c>
    </row>
    <row r="34" spans="1:21" ht="21" x14ac:dyDescent="0.55000000000000004">
      <c r="A34" s="16" t="s">
        <v>159</v>
      </c>
      <c r="C34" s="17">
        <v>0</v>
      </c>
      <c r="E34" s="17">
        <v>0</v>
      </c>
      <c r="G34" s="17">
        <v>0</v>
      </c>
      <c r="I34" s="17">
        <v>0</v>
      </c>
      <c r="K34" s="18">
        <v>0</v>
      </c>
      <c r="M34" s="17">
        <v>0</v>
      </c>
      <c r="O34" s="17">
        <v>0</v>
      </c>
      <c r="Q34" s="17">
        <v>-436957507</v>
      </c>
      <c r="S34" s="17">
        <v>-436957507</v>
      </c>
      <c r="U34" s="18">
        <v>-1.0626332685191395E-3</v>
      </c>
    </row>
    <row r="35" spans="1:21" ht="21" x14ac:dyDescent="0.55000000000000004">
      <c r="A35" s="16" t="s">
        <v>96</v>
      </c>
      <c r="C35" s="17">
        <v>0</v>
      </c>
      <c r="E35" s="17">
        <v>3320135420</v>
      </c>
      <c r="G35" s="17">
        <v>0</v>
      </c>
      <c r="I35" s="17">
        <v>3320135420</v>
      </c>
      <c r="K35" s="18">
        <v>1.630911793892097E-2</v>
      </c>
      <c r="M35" s="17">
        <v>1330000000</v>
      </c>
      <c r="O35" s="17">
        <v>4492570125</v>
      </c>
      <c r="Q35" s="17">
        <v>1828471751</v>
      </c>
      <c r="S35" s="17">
        <v>7651041876</v>
      </c>
      <c r="U35" s="18">
        <v>1.8606504078829543E-2</v>
      </c>
    </row>
    <row r="36" spans="1:21" ht="21" x14ac:dyDescent="0.55000000000000004">
      <c r="A36" s="16" t="s">
        <v>95</v>
      </c>
      <c r="C36" s="17">
        <v>0</v>
      </c>
      <c r="E36" s="17">
        <v>8885777850</v>
      </c>
      <c r="G36" s="17">
        <v>0</v>
      </c>
      <c r="I36" s="17">
        <v>8885777850</v>
      </c>
      <c r="K36" s="18">
        <v>4.3648580736113961E-2</v>
      </c>
      <c r="M36" s="17">
        <v>1705000000</v>
      </c>
      <c r="O36" s="17">
        <v>5569779820</v>
      </c>
      <c r="Q36" s="17">
        <v>-76931900</v>
      </c>
      <c r="S36" s="17">
        <v>7197847920</v>
      </c>
      <c r="U36" s="18">
        <v>1.7504385527202512E-2</v>
      </c>
    </row>
    <row r="37" spans="1:21" ht="21" x14ac:dyDescent="0.55000000000000004">
      <c r="A37" s="16" t="s">
        <v>194</v>
      </c>
      <c r="C37" s="17">
        <v>0</v>
      </c>
      <c r="E37" s="17">
        <v>3194749657</v>
      </c>
      <c r="G37" s="17">
        <v>0</v>
      </c>
      <c r="I37" s="17">
        <v>3194749657</v>
      </c>
      <c r="K37" s="18">
        <v>1.5693199930182464E-2</v>
      </c>
      <c r="M37" s="17">
        <v>1553500000</v>
      </c>
      <c r="O37" s="17">
        <v>1553635541</v>
      </c>
      <c r="Q37" s="17">
        <v>-1913723493</v>
      </c>
      <c r="S37" s="17">
        <v>1193412048</v>
      </c>
      <c r="U37" s="18">
        <v>2.902248673934237E-3</v>
      </c>
    </row>
    <row r="38" spans="1:21" ht="21" x14ac:dyDescent="0.55000000000000004">
      <c r="A38" s="16" t="s">
        <v>193</v>
      </c>
      <c r="C38" s="17">
        <v>0</v>
      </c>
      <c r="E38" s="17">
        <v>10573629120</v>
      </c>
      <c r="G38" s="17">
        <v>0</v>
      </c>
      <c r="I38" s="17">
        <v>10573629120</v>
      </c>
      <c r="K38" s="18">
        <v>5.1939617679958722E-2</v>
      </c>
      <c r="M38" s="17">
        <v>5006486160</v>
      </c>
      <c r="O38" s="17">
        <v>13802983909</v>
      </c>
      <c r="Q38" s="17">
        <v>-3980233956</v>
      </c>
      <c r="S38" s="17">
        <v>14829236113</v>
      </c>
      <c r="U38" s="18">
        <v>3.6063093980438811E-2</v>
      </c>
    </row>
    <row r="39" spans="1:21" ht="21" x14ac:dyDescent="0.55000000000000004">
      <c r="A39" s="16" t="s">
        <v>158</v>
      </c>
      <c r="C39" s="17">
        <v>0</v>
      </c>
      <c r="E39" s="17">
        <v>0</v>
      </c>
      <c r="G39" s="17">
        <v>0</v>
      </c>
      <c r="I39" s="17">
        <v>0</v>
      </c>
      <c r="K39" s="18">
        <v>0</v>
      </c>
      <c r="M39" s="17">
        <v>642857000</v>
      </c>
      <c r="O39" s="17">
        <v>0</v>
      </c>
      <c r="Q39" s="17">
        <v>901828280</v>
      </c>
      <c r="S39" s="17">
        <v>1544685280</v>
      </c>
      <c r="U39" s="18">
        <v>3.7565070782038358E-3</v>
      </c>
    </row>
    <row r="40" spans="1:21" ht="21" x14ac:dyDescent="0.55000000000000004">
      <c r="A40" s="16" t="s">
        <v>157</v>
      </c>
      <c r="C40" s="17">
        <v>0</v>
      </c>
      <c r="E40" s="17">
        <v>0</v>
      </c>
      <c r="G40" s="17">
        <v>0</v>
      </c>
      <c r="I40" s="17">
        <v>0</v>
      </c>
      <c r="K40" s="18">
        <v>0</v>
      </c>
      <c r="M40" s="17">
        <v>0</v>
      </c>
      <c r="O40" s="17">
        <v>0</v>
      </c>
      <c r="Q40" s="17">
        <v>402934800</v>
      </c>
      <c r="S40" s="17">
        <v>402934800</v>
      </c>
      <c r="U40" s="18">
        <v>9.7989373489378159E-4</v>
      </c>
    </row>
    <row r="41" spans="1:21" ht="21" x14ac:dyDescent="0.55000000000000004">
      <c r="A41" s="16" t="s">
        <v>156</v>
      </c>
      <c r="C41" s="17">
        <v>0</v>
      </c>
      <c r="E41" s="17">
        <v>0</v>
      </c>
      <c r="G41" s="17">
        <v>0</v>
      </c>
      <c r="I41" s="17">
        <v>0</v>
      </c>
      <c r="K41" s="18">
        <v>0</v>
      </c>
      <c r="M41" s="17">
        <v>0</v>
      </c>
      <c r="O41" s="17">
        <v>0</v>
      </c>
      <c r="Q41" s="17">
        <v>229043646</v>
      </c>
      <c r="S41" s="17">
        <v>229043646</v>
      </c>
      <c r="U41" s="18">
        <v>5.5700930704577804E-4</v>
      </c>
    </row>
    <row r="42" spans="1:21" ht="21" x14ac:dyDescent="0.55000000000000004">
      <c r="A42" s="16" t="s">
        <v>93</v>
      </c>
      <c r="C42" s="17">
        <v>0</v>
      </c>
      <c r="E42" s="17">
        <v>491322762</v>
      </c>
      <c r="G42" s="17">
        <v>1647344063</v>
      </c>
      <c r="I42" s="17">
        <v>2138666825</v>
      </c>
      <c r="K42" s="18">
        <v>1.0505526151394952E-2</v>
      </c>
      <c r="M42" s="17">
        <v>2100000000</v>
      </c>
      <c r="O42" s="17">
        <v>0</v>
      </c>
      <c r="Q42" s="17">
        <v>2717069112</v>
      </c>
      <c r="S42" s="17">
        <v>4817069112</v>
      </c>
      <c r="U42" s="18">
        <v>1.1714589664132143E-2</v>
      </c>
    </row>
    <row r="43" spans="1:21" ht="21" x14ac:dyDescent="0.55000000000000004">
      <c r="A43" s="16" t="s">
        <v>155</v>
      </c>
      <c r="C43" s="17">
        <v>0</v>
      </c>
      <c r="E43" s="17">
        <v>0</v>
      </c>
      <c r="G43" s="17">
        <v>0</v>
      </c>
      <c r="I43" s="17">
        <v>0</v>
      </c>
      <c r="K43" s="18">
        <v>0</v>
      </c>
      <c r="M43" s="17">
        <v>0</v>
      </c>
      <c r="O43" s="17">
        <v>0</v>
      </c>
      <c r="Q43" s="17">
        <v>2814038028</v>
      </c>
      <c r="S43" s="17">
        <v>2814038028</v>
      </c>
      <c r="U43" s="18">
        <v>6.8434352986886521E-3</v>
      </c>
    </row>
    <row r="44" spans="1:21" ht="21" x14ac:dyDescent="0.55000000000000004">
      <c r="A44" s="16" t="s">
        <v>92</v>
      </c>
      <c r="C44" s="17">
        <v>0</v>
      </c>
      <c r="E44" s="17">
        <v>389696722</v>
      </c>
      <c r="G44" s="17">
        <v>0</v>
      </c>
      <c r="I44" s="17">
        <v>389696722</v>
      </c>
      <c r="K44" s="18">
        <v>1.9142622199153849E-3</v>
      </c>
      <c r="M44" s="17">
        <v>0</v>
      </c>
      <c r="O44" s="17">
        <v>400067530</v>
      </c>
      <c r="Q44" s="17">
        <v>0</v>
      </c>
      <c r="S44" s="17">
        <v>400067530</v>
      </c>
      <c r="U44" s="18">
        <v>9.7292084521225278E-4</v>
      </c>
    </row>
    <row r="45" spans="1:21" ht="21" x14ac:dyDescent="0.55000000000000004">
      <c r="A45" s="16" t="s">
        <v>91</v>
      </c>
      <c r="C45" s="17">
        <v>0</v>
      </c>
      <c r="E45" s="17">
        <v>658389239</v>
      </c>
      <c r="G45" s="17">
        <v>0</v>
      </c>
      <c r="I45" s="17">
        <v>658389239</v>
      </c>
      <c r="K45" s="18">
        <v>3.2341294526376358E-3</v>
      </c>
      <c r="M45" s="17">
        <v>0</v>
      </c>
      <c r="O45" s="17">
        <v>1654693389</v>
      </c>
      <c r="Q45" s="17">
        <v>206564937</v>
      </c>
      <c r="S45" s="17">
        <v>1861258326</v>
      </c>
      <c r="U45" s="18">
        <v>4.5263783933933927E-3</v>
      </c>
    </row>
    <row r="46" spans="1:21" ht="21" x14ac:dyDescent="0.55000000000000004">
      <c r="A46" s="16" t="s">
        <v>192</v>
      </c>
      <c r="C46" s="17">
        <v>0</v>
      </c>
      <c r="E46" s="17">
        <v>0</v>
      </c>
      <c r="G46" s="17">
        <v>0</v>
      </c>
      <c r="I46" s="17">
        <v>0</v>
      </c>
      <c r="K46" s="18">
        <v>0</v>
      </c>
      <c r="M46" s="17">
        <v>637000000</v>
      </c>
      <c r="O46" s="17">
        <v>0</v>
      </c>
      <c r="Q46" s="17">
        <v>-714788246</v>
      </c>
      <c r="S46" s="17">
        <v>-77788246</v>
      </c>
      <c r="U46" s="18">
        <v>-1.891725780542566E-4</v>
      </c>
    </row>
    <row r="47" spans="1:21" ht="21" x14ac:dyDescent="0.55000000000000004">
      <c r="A47" s="16" t="s">
        <v>191</v>
      </c>
      <c r="C47" s="17">
        <v>0</v>
      </c>
      <c r="E47" s="17">
        <v>0</v>
      </c>
      <c r="G47" s="17">
        <v>0</v>
      </c>
      <c r="I47" s="17">
        <v>0</v>
      </c>
      <c r="K47" s="18">
        <v>0</v>
      </c>
      <c r="M47" s="17">
        <v>1160426080</v>
      </c>
      <c r="O47" s="17">
        <v>0</v>
      </c>
      <c r="Q47" s="17">
        <v>-2799209091</v>
      </c>
      <c r="S47" s="17">
        <v>-1638783011</v>
      </c>
      <c r="U47" s="18">
        <v>-3.9853425549971544E-3</v>
      </c>
    </row>
    <row r="48" spans="1:21" ht="21" x14ac:dyDescent="0.55000000000000004">
      <c r="A48" s="16" t="s">
        <v>190</v>
      </c>
      <c r="C48" s="17">
        <v>0</v>
      </c>
      <c r="E48" s="17">
        <v>10627403093</v>
      </c>
      <c r="G48" s="17">
        <v>0</v>
      </c>
      <c r="I48" s="17">
        <v>10627403093</v>
      </c>
      <c r="K48" s="18">
        <v>5.2203765359724548E-2</v>
      </c>
      <c r="M48" s="17">
        <v>1310400000</v>
      </c>
      <c r="O48" s="17">
        <v>13843198490</v>
      </c>
      <c r="Q48" s="17">
        <v>44473593</v>
      </c>
      <c r="S48" s="17">
        <v>15198072083</v>
      </c>
      <c r="U48" s="18">
        <v>3.6960063058826854E-2</v>
      </c>
    </row>
    <row r="49" spans="1:21" ht="21" x14ac:dyDescent="0.55000000000000004">
      <c r="A49" s="16" t="s">
        <v>189</v>
      </c>
      <c r="C49" s="17">
        <v>0</v>
      </c>
      <c r="E49" s="17">
        <v>10107262220</v>
      </c>
      <c r="G49" s="17">
        <v>0</v>
      </c>
      <c r="I49" s="17">
        <v>10107262220</v>
      </c>
      <c r="K49" s="18">
        <v>4.9648737395651232E-2</v>
      </c>
      <c r="M49" s="17">
        <v>4394680000</v>
      </c>
      <c r="O49" s="17">
        <v>11625148565</v>
      </c>
      <c r="Q49" s="17">
        <v>-241918659</v>
      </c>
      <c r="S49" s="17">
        <v>15777909906</v>
      </c>
      <c r="U49" s="18">
        <v>3.837016576033625E-2</v>
      </c>
    </row>
    <row r="50" spans="1:21" ht="21" x14ac:dyDescent="0.55000000000000004">
      <c r="A50" s="16" t="s">
        <v>154</v>
      </c>
      <c r="C50" s="17">
        <v>0</v>
      </c>
      <c r="E50" s="17">
        <v>0</v>
      </c>
      <c r="G50" s="17">
        <v>0</v>
      </c>
      <c r="I50" s="17">
        <v>0</v>
      </c>
      <c r="K50" s="18">
        <v>0</v>
      </c>
      <c r="M50" s="17">
        <v>1344000000</v>
      </c>
      <c r="O50" s="17">
        <v>0</v>
      </c>
      <c r="Q50" s="17">
        <v>-4634389748</v>
      </c>
      <c r="S50" s="17">
        <v>-3290389748</v>
      </c>
      <c r="U50" s="18">
        <v>-8.0018710208796286E-3</v>
      </c>
    </row>
    <row r="51" spans="1:21" ht="21" x14ac:dyDescent="0.55000000000000004">
      <c r="A51" s="16" t="s">
        <v>153</v>
      </c>
      <c r="C51" s="17">
        <v>0</v>
      </c>
      <c r="E51" s="17">
        <v>0</v>
      </c>
      <c r="G51" s="17">
        <v>0</v>
      </c>
      <c r="I51" s="17">
        <v>0</v>
      </c>
      <c r="K51" s="18">
        <v>0</v>
      </c>
      <c r="M51" s="17">
        <v>0</v>
      </c>
      <c r="O51" s="17">
        <v>0</v>
      </c>
      <c r="Q51" s="17">
        <v>597495097</v>
      </c>
      <c r="S51" s="17">
        <v>597495097</v>
      </c>
      <c r="U51" s="18">
        <v>1.4530432769273153E-3</v>
      </c>
    </row>
    <row r="52" spans="1:21" ht="21" x14ac:dyDescent="0.55000000000000004">
      <c r="A52" s="16" t="s">
        <v>152</v>
      </c>
      <c r="C52" s="17">
        <v>0</v>
      </c>
      <c r="E52" s="17">
        <v>0</v>
      </c>
      <c r="G52" s="17">
        <v>0</v>
      </c>
      <c r="I52" s="17">
        <v>0</v>
      </c>
      <c r="K52" s="18">
        <v>0</v>
      </c>
      <c r="M52" s="17">
        <v>225000000</v>
      </c>
      <c r="O52" s="17">
        <v>0</v>
      </c>
      <c r="Q52" s="17">
        <v>2133705317</v>
      </c>
      <c r="S52" s="17">
        <v>2358705317</v>
      </c>
      <c r="U52" s="18">
        <v>5.7361155268518659E-3</v>
      </c>
    </row>
    <row r="53" spans="1:21" ht="21" x14ac:dyDescent="0.55000000000000004">
      <c r="A53" s="16" t="s">
        <v>151</v>
      </c>
      <c r="C53" s="17">
        <v>0</v>
      </c>
      <c r="E53" s="17">
        <v>0</v>
      </c>
      <c r="G53" s="17">
        <v>0</v>
      </c>
      <c r="I53" s="17">
        <v>0</v>
      </c>
      <c r="K53" s="18">
        <v>0</v>
      </c>
      <c r="M53" s="17">
        <v>0</v>
      </c>
      <c r="O53" s="17">
        <v>0</v>
      </c>
      <c r="Q53" s="17">
        <v>1447873382</v>
      </c>
      <c r="S53" s="17">
        <v>1447873382</v>
      </c>
      <c r="U53" s="18">
        <v>3.5210710416208059E-3</v>
      </c>
    </row>
    <row r="54" spans="1:21" ht="21" x14ac:dyDescent="0.55000000000000004">
      <c r="A54" s="16" t="s">
        <v>90</v>
      </c>
      <c r="C54" s="17">
        <v>0</v>
      </c>
      <c r="E54" s="17">
        <v>1575848794</v>
      </c>
      <c r="G54" s="17">
        <v>0</v>
      </c>
      <c r="I54" s="17">
        <v>1575848794</v>
      </c>
      <c r="K54" s="18">
        <v>7.7408601108361957E-3</v>
      </c>
      <c r="M54" s="17">
        <v>562500000</v>
      </c>
      <c r="O54" s="17">
        <v>1772856046</v>
      </c>
      <c r="Q54" s="17">
        <v>598442884</v>
      </c>
      <c r="S54" s="17">
        <v>2933798930</v>
      </c>
      <c r="U54" s="18">
        <v>7.1346808241558694E-3</v>
      </c>
    </row>
    <row r="55" spans="1:21" ht="21" x14ac:dyDescent="0.55000000000000004">
      <c r="A55" s="16" t="s">
        <v>89</v>
      </c>
      <c r="C55" s="17">
        <v>0</v>
      </c>
      <c r="E55" s="17">
        <v>13609772267</v>
      </c>
      <c r="G55" s="17">
        <v>943746119</v>
      </c>
      <c r="I55" s="17">
        <v>14553518386</v>
      </c>
      <c r="K55" s="18">
        <v>7.1489568272949777E-2</v>
      </c>
      <c r="M55" s="17">
        <v>4641000000</v>
      </c>
      <c r="O55" s="17">
        <v>30920911675</v>
      </c>
      <c r="Q55" s="17">
        <v>6427941937</v>
      </c>
      <c r="S55" s="17">
        <v>41989853612</v>
      </c>
      <c r="U55" s="18">
        <v>0.10211477014024559</v>
      </c>
    </row>
    <row r="56" spans="1:21" ht="21" x14ac:dyDescent="0.55000000000000004">
      <c r="A56" s="16" t="s">
        <v>188</v>
      </c>
      <c r="C56" s="17">
        <v>0</v>
      </c>
      <c r="E56" s="17">
        <v>0</v>
      </c>
      <c r="G56" s="17">
        <v>0</v>
      </c>
      <c r="I56" s="17">
        <v>0</v>
      </c>
      <c r="K56" s="18">
        <v>0</v>
      </c>
      <c r="M56" s="17">
        <v>0</v>
      </c>
      <c r="O56" s="17">
        <v>0</v>
      </c>
      <c r="Q56" s="17">
        <v>-2220221191</v>
      </c>
      <c r="S56" s="17">
        <v>-2220221191</v>
      </c>
      <c r="U56" s="18">
        <v>-5.3993371511701404E-3</v>
      </c>
    </row>
    <row r="57" spans="1:21" ht="21" x14ac:dyDescent="0.55000000000000004">
      <c r="A57" s="16" t="s">
        <v>149</v>
      </c>
      <c r="C57" s="17">
        <v>0</v>
      </c>
      <c r="E57" s="17">
        <v>0</v>
      </c>
      <c r="G57" s="17">
        <v>0</v>
      </c>
      <c r="I57" s="17">
        <v>0</v>
      </c>
      <c r="K57" s="18">
        <v>0</v>
      </c>
      <c r="M57" s="17">
        <v>0</v>
      </c>
      <c r="O57" s="17">
        <v>0</v>
      </c>
      <c r="Q57" s="17">
        <v>157727</v>
      </c>
      <c r="S57" s="17">
        <v>157727</v>
      </c>
      <c r="U57" s="18">
        <v>3.8357495833964081E-7</v>
      </c>
    </row>
    <row r="58" spans="1:21" ht="21" x14ac:dyDescent="0.55000000000000004">
      <c r="A58" s="16" t="s">
        <v>187</v>
      </c>
      <c r="C58" s="17">
        <v>0</v>
      </c>
      <c r="E58" s="17">
        <v>0</v>
      </c>
      <c r="G58" s="17">
        <v>0</v>
      </c>
      <c r="I58" s="17">
        <v>0</v>
      </c>
      <c r="K58" s="18">
        <v>0</v>
      </c>
      <c r="M58" s="17">
        <v>0</v>
      </c>
      <c r="O58" s="17">
        <v>0</v>
      </c>
      <c r="Q58" s="17">
        <v>-364180561</v>
      </c>
      <c r="S58" s="17">
        <v>-364180561</v>
      </c>
      <c r="U58" s="18">
        <v>-8.8564762858408532E-4</v>
      </c>
    </row>
    <row r="59" spans="1:21" ht="21" x14ac:dyDescent="0.55000000000000004">
      <c r="A59" s="16" t="s">
        <v>147</v>
      </c>
      <c r="C59" s="17">
        <v>0</v>
      </c>
      <c r="E59" s="17">
        <v>0</v>
      </c>
      <c r="G59" s="17">
        <v>0</v>
      </c>
      <c r="I59" s="17">
        <v>0</v>
      </c>
      <c r="K59" s="18">
        <v>0</v>
      </c>
      <c r="M59" s="17">
        <v>0</v>
      </c>
      <c r="O59" s="17">
        <v>0</v>
      </c>
      <c r="Q59" s="17">
        <v>-7535029565</v>
      </c>
      <c r="S59" s="17">
        <v>-7535029565</v>
      </c>
      <c r="U59" s="18">
        <v>-1.8324374720135657E-2</v>
      </c>
    </row>
    <row r="60" spans="1:21" ht="21" x14ac:dyDescent="0.55000000000000004">
      <c r="A60" s="16" t="s">
        <v>186</v>
      </c>
      <c r="C60" s="17">
        <v>0</v>
      </c>
      <c r="E60" s="17">
        <v>13268952427</v>
      </c>
      <c r="G60" s="17">
        <v>-638879095</v>
      </c>
      <c r="I60" s="17">
        <v>12630073332</v>
      </c>
      <c r="K60" s="18">
        <v>6.2041251181498065E-2</v>
      </c>
      <c r="M60" s="17">
        <v>4760000000</v>
      </c>
      <c r="O60" s="17">
        <v>3360741689</v>
      </c>
      <c r="Q60" s="17">
        <v>-14014138410</v>
      </c>
      <c r="S60" s="17">
        <v>-5893396721</v>
      </c>
      <c r="U60" s="18">
        <v>-1.4332101680349913E-2</v>
      </c>
    </row>
    <row r="61" spans="1:21" ht="21" x14ac:dyDescent="0.55000000000000004">
      <c r="A61" s="16" t="s">
        <v>145</v>
      </c>
      <c r="C61" s="17">
        <v>0</v>
      </c>
      <c r="E61" s="17">
        <v>0</v>
      </c>
      <c r="G61" s="17">
        <v>0</v>
      </c>
      <c r="I61" s="17">
        <v>0</v>
      </c>
      <c r="K61" s="18">
        <v>0</v>
      </c>
      <c r="M61" s="17">
        <v>296000000</v>
      </c>
      <c r="O61" s="17">
        <v>0</v>
      </c>
      <c r="Q61" s="17">
        <v>-1418258700</v>
      </c>
      <c r="S61" s="17">
        <v>-1122258700</v>
      </c>
      <c r="U61" s="18">
        <v>-2.7292114482542588E-3</v>
      </c>
    </row>
    <row r="62" spans="1:21" ht="21" x14ac:dyDescent="0.55000000000000004">
      <c r="A62" s="16" t="s">
        <v>185</v>
      </c>
      <c r="C62" s="17">
        <v>0</v>
      </c>
      <c r="E62" s="17">
        <v>0</v>
      </c>
      <c r="G62" s="17">
        <v>0</v>
      </c>
      <c r="I62" s="17">
        <v>0</v>
      </c>
      <c r="K62" s="18">
        <v>0</v>
      </c>
      <c r="M62" s="17">
        <v>0</v>
      </c>
      <c r="O62" s="17">
        <v>0</v>
      </c>
      <c r="Q62" s="17">
        <v>-2474802263</v>
      </c>
      <c r="S62" s="17">
        <v>-2474802263</v>
      </c>
      <c r="U62" s="18">
        <v>-6.0184507086869961E-3</v>
      </c>
    </row>
    <row r="63" spans="1:21" ht="21" x14ac:dyDescent="0.55000000000000004">
      <c r="A63" s="16" t="s">
        <v>86</v>
      </c>
      <c r="C63" s="17">
        <v>0</v>
      </c>
      <c r="E63" s="17">
        <v>212609160</v>
      </c>
      <c r="G63" s="17">
        <v>0</v>
      </c>
      <c r="I63" s="17">
        <v>212609160</v>
      </c>
      <c r="K63" s="18">
        <v>1.0443754325342907E-3</v>
      </c>
      <c r="M63" s="17">
        <v>0</v>
      </c>
      <c r="O63" s="17">
        <v>212609160</v>
      </c>
      <c r="Q63" s="17">
        <v>0</v>
      </c>
      <c r="S63" s="17">
        <v>212609160</v>
      </c>
      <c r="U63" s="18">
        <v>5.1704241943120721E-4</v>
      </c>
    </row>
    <row r="64" spans="1:21" ht="21" x14ac:dyDescent="0.55000000000000004">
      <c r="A64" s="16" t="s">
        <v>85</v>
      </c>
      <c r="C64" s="17">
        <v>0</v>
      </c>
      <c r="E64" s="17">
        <v>1755188024</v>
      </c>
      <c r="G64" s="17">
        <v>0</v>
      </c>
      <c r="I64" s="17">
        <v>1755188024</v>
      </c>
      <c r="K64" s="18">
        <v>8.6218075069954981E-3</v>
      </c>
      <c r="M64" s="17">
        <v>0</v>
      </c>
      <c r="O64" s="17">
        <v>1497348276</v>
      </c>
      <c r="Q64" s="17">
        <v>99830342</v>
      </c>
      <c r="S64" s="17">
        <v>1597178618</v>
      </c>
      <c r="U64" s="18">
        <v>3.8841651832616808E-3</v>
      </c>
    </row>
    <row r="65" spans="1:21" ht="21" x14ac:dyDescent="0.55000000000000004">
      <c r="A65" s="16" t="s">
        <v>142</v>
      </c>
      <c r="C65" s="17">
        <v>0</v>
      </c>
      <c r="E65" s="17">
        <v>0</v>
      </c>
      <c r="G65" s="17">
        <v>0</v>
      </c>
      <c r="I65" s="17">
        <v>0</v>
      </c>
      <c r="K65" s="18">
        <v>0</v>
      </c>
      <c r="M65" s="17">
        <v>0</v>
      </c>
      <c r="O65" s="17">
        <v>0</v>
      </c>
      <c r="Q65" s="17">
        <v>1102917532</v>
      </c>
      <c r="S65" s="17">
        <v>1102917532</v>
      </c>
      <c r="U65" s="18">
        <v>2.6821758252484323E-3</v>
      </c>
    </row>
    <row r="66" spans="1:21" ht="21" x14ac:dyDescent="0.55000000000000004">
      <c r="A66" s="16" t="s">
        <v>140</v>
      </c>
      <c r="C66" s="17">
        <v>0</v>
      </c>
      <c r="E66" s="17">
        <v>0</v>
      </c>
      <c r="G66" s="17">
        <v>0</v>
      </c>
      <c r="I66" s="17">
        <v>0</v>
      </c>
      <c r="K66" s="18">
        <v>0</v>
      </c>
      <c r="M66" s="17">
        <v>262500000</v>
      </c>
      <c r="O66" s="17">
        <v>0</v>
      </c>
      <c r="Q66" s="17">
        <v>808314250</v>
      </c>
      <c r="S66" s="17">
        <v>1070814250</v>
      </c>
      <c r="U66" s="18">
        <v>2.6041041250593985E-3</v>
      </c>
    </row>
    <row r="67" spans="1:21" ht="21" x14ac:dyDescent="0.55000000000000004">
      <c r="A67" s="16" t="s">
        <v>184</v>
      </c>
      <c r="C67" s="17">
        <v>0</v>
      </c>
      <c r="E67" s="17">
        <v>3466378077</v>
      </c>
      <c r="G67" s="17">
        <v>0</v>
      </c>
      <c r="I67" s="17">
        <v>3466378077</v>
      </c>
      <c r="K67" s="18">
        <v>1.7027488860283622E-2</v>
      </c>
      <c r="M67" s="17">
        <v>1976000000</v>
      </c>
      <c r="O67" s="17">
        <v>-360458542</v>
      </c>
      <c r="Q67" s="17">
        <v>-1626775972</v>
      </c>
      <c r="S67" s="17">
        <v>-11234514</v>
      </c>
      <c r="U67" s="18">
        <v>-2.7321119653046794E-5</v>
      </c>
    </row>
    <row r="68" spans="1:21" ht="21" x14ac:dyDescent="0.55000000000000004">
      <c r="A68" s="16" t="s">
        <v>183</v>
      </c>
      <c r="C68" s="17">
        <v>0</v>
      </c>
      <c r="E68" s="17">
        <v>0</v>
      </c>
      <c r="G68" s="17">
        <v>0</v>
      </c>
      <c r="I68" s="17">
        <v>0</v>
      </c>
      <c r="K68" s="18">
        <v>0</v>
      </c>
      <c r="M68" s="17">
        <v>1612000000</v>
      </c>
      <c r="O68" s="17">
        <v>0</v>
      </c>
      <c r="Q68" s="17">
        <v>-9181696722</v>
      </c>
      <c r="S68" s="17">
        <v>-7569696722</v>
      </c>
      <c r="U68" s="18">
        <v>-1.8408681486269729E-2</v>
      </c>
    </row>
    <row r="69" spans="1:21" ht="21" x14ac:dyDescent="0.55000000000000004">
      <c r="A69" s="16" t="s">
        <v>182</v>
      </c>
      <c r="C69" s="17">
        <v>0</v>
      </c>
      <c r="E69" s="17">
        <v>31325963900</v>
      </c>
      <c r="G69" s="17">
        <v>0</v>
      </c>
      <c r="I69" s="17">
        <v>31325963900</v>
      </c>
      <c r="K69" s="18">
        <v>0.15387891611827109</v>
      </c>
      <c r="M69" s="17">
        <v>4440000000</v>
      </c>
      <c r="O69" s="17">
        <v>62415540407</v>
      </c>
      <c r="Q69" s="17">
        <v>2388053323</v>
      </c>
      <c r="S69" s="17">
        <v>69243593730</v>
      </c>
      <c r="U69" s="18">
        <v>0.16839291041021362</v>
      </c>
    </row>
    <row r="70" spans="1:21" ht="21" x14ac:dyDescent="0.55000000000000004">
      <c r="A70" s="16" t="s">
        <v>139</v>
      </c>
      <c r="C70" s="17">
        <v>0</v>
      </c>
      <c r="E70" s="17">
        <v>0</v>
      </c>
      <c r="G70" s="17">
        <v>0</v>
      </c>
      <c r="I70" s="17">
        <v>0</v>
      </c>
      <c r="K70" s="18">
        <v>0</v>
      </c>
      <c r="M70" s="17">
        <v>0</v>
      </c>
      <c r="O70" s="17">
        <v>0</v>
      </c>
      <c r="Q70" s="17">
        <v>2697705400</v>
      </c>
      <c r="S70" s="17">
        <v>2697705400</v>
      </c>
      <c r="U70" s="18">
        <v>6.5605269637894845E-3</v>
      </c>
    </row>
    <row r="71" spans="1:21" ht="21" x14ac:dyDescent="0.55000000000000004">
      <c r="A71" s="16" t="s">
        <v>138</v>
      </c>
      <c r="C71" s="17">
        <v>0</v>
      </c>
      <c r="E71" s="17">
        <v>0</v>
      </c>
      <c r="G71" s="17">
        <v>0</v>
      </c>
      <c r="I71" s="17">
        <v>0</v>
      </c>
      <c r="K71" s="18">
        <v>0</v>
      </c>
      <c r="M71" s="17">
        <v>420000000</v>
      </c>
      <c r="O71" s="17">
        <v>0</v>
      </c>
      <c r="Q71" s="17">
        <v>-1983363651</v>
      </c>
      <c r="S71" s="17">
        <v>-1563363651</v>
      </c>
      <c r="U71" s="18">
        <v>-3.8019308507866996E-3</v>
      </c>
    </row>
    <row r="72" spans="1:21" ht="21" x14ac:dyDescent="0.55000000000000004">
      <c r="A72" s="16" t="s">
        <v>77</v>
      </c>
      <c r="C72" s="17">
        <v>0</v>
      </c>
      <c r="E72" s="17">
        <v>143129633</v>
      </c>
      <c r="G72" s="17">
        <v>1105220477</v>
      </c>
      <c r="I72" s="17">
        <v>1248350110</v>
      </c>
      <c r="K72" s="18">
        <v>6.1321261326909874E-3</v>
      </c>
      <c r="M72" s="17">
        <v>1891500000</v>
      </c>
      <c r="O72" s="17">
        <v>1699716220</v>
      </c>
      <c r="Q72" s="17">
        <v>3330709760</v>
      </c>
      <c r="S72" s="17">
        <v>6921925980</v>
      </c>
      <c r="U72" s="18">
        <v>1.6833373293149413E-2</v>
      </c>
    </row>
    <row r="73" spans="1:21" ht="21" x14ac:dyDescent="0.55000000000000004">
      <c r="A73" s="16" t="s">
        <v>181</v>
      </c>
      <c r="C73" s="17">
        <v>0</v>
      </c>
      <c r="E73" s="17">
        <v>8729048804</v>
      </c>
      <c r="G73" s="17">
        <v>0</v>
      </c>
      <c r="I73" s="17">
        <v>8729048804</v>
      </c>
      <c r="K73" s="18">
        <v>4.2878698736641609E-2</v>
      </c>
      <c r="M73" s="17">
        <v>3330000000</v>
      </c>
      <c r="O73" s="17">
        <v>23839920136</v>
      </c>
      <c r="Q73" s="17">
        <v>1386090593</v>
      </c>
      <c r="S73" s="17">
        <v>28556010729</v>
      </c>
      <c r="U73" s="18">
        <v>6.9445121163291712E-2</v>
      </c>
    </row>
    <row r="74" spans="1:21" ht="21" x14ac:dyDescent="0.55000000000000004">
      <c r="A74" s="16" t="s">
        <v>180</v>
      </c>
      <c r="C74" s="17">
        <v>0</v>
      </c>
      <c r="E74" s="17">
        <v>1437977838</v>
      </c>
      <c r="G74" s="17">
        <v>0</v>
      </c>
      <c r="I74" s="17">
        <v>1437977838</v>
      </c>
      <c r="K74" s="18">
        <v>7.0636125298457241E-3</v>
      </c>
      <c r="M74" s="17">
        <v>1298050000</v>
      </c>
      <c r="O74" s="17">
        <v>2239949819</v>
      </c>
      <c r="Q74" s="17">
        <v>2526827618</v>
      </c>
      <c r="S74" s="17">
        <v>6064827437</v>
      </c>
      <c r="U74" s="18">
        <v>1.4749002589819026E-2</v>
      </c>
    </row>
    <row r="75" spans="1:21" ht="21" x14ac:dyDescent="0.55000000000000004">
      <c r="A75" s="16" t="s">
        <v>179</v>
      </c>
      <c r="C75" s="17">
        <v>0</v>
      </c>
      <c r="E75" s="17">
        <v>2903382020</v>
      </c>
      <c r="G75" s="17">
        <v>0</v>
      </c>
      <c r="I75" s="17">
        <v>2903382020</v>
      </c>
      <c r="K75" s="18">
        <v>1.4261948323156833E-2</v>
      </c>
      <c r="M75" s="17">
        <v>1080336390</v>
      </c>
      <c r="O75" s="17">
        <v>7978544359</v>
      </c>
      <c r="Q75" s="17">
        <v>543714539</v>
      </c>
      <c r="S75" s="17">
        <v>9602595288</v>
      </c>
      <c r="U75" s="18">
        <v>2.3352470328777134E-2</v>
      </c>
    </row>
    <row r="76" spans="1:21" ht="21" x14ac:dyDescent="0.55000000000000004">
      <c r="A76" s="16" t="s">
        <v>137</v>
      </c>
      <c r="C76" s="17">
        <v>0</v>
      </c>
      <c r="E76" s="17">
        <v>0</v>
      </c>
      <c r="G76" s="17">
        <v>0</v>
      </c>
      <c r="I76" s="17">
        <v>0</v>
      </c>
      <c r="K76" s="18">
        <v>0</v>
      </c>
      <c r="M76" s="17">
        <v>1839860000</v>
      </c>
      <c r="O76" s="17">
        <v>0</v>
      </c>
      <c r="Q76" s="17">
        <v>-2090606228</v>
      </c>
      <c r="S76" s="17">
        <v>-250746228</v>
      </c>
      <c r="U76" s="18">
        <v>-6.0978763280175293E-4</v>
      </c>
    </row>
    <row r="77" spans="1:21" ht="21" x14ac:dyDescent="0.55000000000000004">
      <c r="A77" s="16" t="s">
        <v>76</v>
      </c>
      <c r="C77" s="17">
        <v>0</v>
      </c>
      <c r="E77" s="17">
        <v>3224877500</v>
      </c>
      <c r="G77" s="17">
        <v>0</v>
      </c>
      <c r="I77" s="17">
        <v>3224877500</v>
      </c>
      <c r="K77" s="18">
        <v>1.5841193455317738E-2</v>
      </c>
      <c r="M77" s="17">
        <v>953521800</v>
      </c>
      <c r="O77" s="17">
        <v>1896818300</v>
      </c>
      <c r="Q77" s="17">
        <v>564872035</v>
      </c>
      <c r="S77" s="17">
        <v>3415212135</v>
      </c>
      <c r="U77" s="18">
        <v>8.3054255289434324E-3</v>
      </c>
    </row>
    <row r="78" spans="1:21" ht="21" x14ac:dyDescent="0.55000000000000004">
      <c r="A78" s="16" t="s">
        <v>75</v>
      </c>
      <c r="C78" s="17">
        <v>0</v>
      </c>
      <c r="E78" s="17">
        <v>5986832268</v>
      </c>
      <c r="G78" s="17">
        <v>600689783</v>
      </c>
      <c r="I78" s="17">
        <v>6587522051</v>
      </c>
      <c r="K78" s="18">
        <v>3.2359124091089507E-2</v>
      </c>
      <c r="M78" s="17">
        <v>2492000000</v>
      </c>
      <c r="O78" s="17">
        <v>6859822714</v>
      </c>
      <c r="Q78" s="17">
        <v>600689783</v>
      </c>
      <c r="S78" s="17">
        <v>9952512497</v>
      </c>
      <c r="U78" s="18">
        <v>2.4203431032172866E-2</v>
      </c>
    </row>
    <row r="79" spans="1:21" ht="21" x14ac:dyDescent="0.55000000000000004">
      <c r="A79" s="16" t="s">
        <v>74</v>
      </c>
      <c r="C79" s="17">
        <v>0</v>
      </c>
      <c r="E79" s="17">
        <v>4797625450</v>
      </c>
      <c r="G79" s="17">
        <v>0</v>
      </c>
      <c r="I79" s="17">
        <v>4797625450</v>
      </c>
      <c r="K79" s="18">
        <v>2.3566821648141931E-2</v>
      </c>
      <c r="M79" s="17">
        <v>2380003400</v>
      </c>
      <c r="O79" s="17">
        <v>8812298685</v>
      </c>
      <c r="Q79" s="17">
        <v>4493528293</v>
      </c>
      <c r="S79" s="17">
        <v>15685830378</v>
      </c>
      <c r="U79" s="18">
        <v>3.8146238334362682E-2</v>
      </c>
    </row>
    <row r="80" spans="1:21" ht="21" x14ac:dyDescent="0.55000000000000004">
      <c r="A80" s="16" t="s">
        <v>73</v>
      </c>
      <c r="C80" s="17">
        <v>0</v>
      </c>
      <c r="E80" s="17">
        <v>1830738150</v>
      </c>
      <c r="G80" s="17">
        <v>0</v>
      </c>
      <c r="I80" s="17">
        <v>1830738150</v>
      </c>
      <c r="K80" s="18">
        <v>8.9929236692496087E-3</v>
      </c>
      <c r="M80" s="17">
        <v>864000000</v>
      </c>
      <c r="O80" s="17">
        <v>160738226</v>
      </c>
      <c r="Q80" s="17">
        <v>-262326308</v>
      </c>
      <c r="S80" s="17">
        <v>762411918</v>
      </c>
      <c r="U80" s="18">
        <v>1.8541031001952466E-3</v>
      </c>
    </row>
    <row r="81" spans="1:21" ht="21" x14ac:dyDescent="0.55000000000000004">
      <c r="A81" s="16" t="s">
        <v>178</v>
      </c>
      <c r="C81" s="17">
        <v>1320000000</v>
      </c>
      <c r="E81" s="17">
        <v>11355934788</v>
      </c>
      <c r="G81" s="17">
        <v>0</v>
      </c>
      <c r="I81" s="17">
        <v>12675934788</v>
      </c>
      <c r="K81" s="18">
        <v>6.2266531117445567E-2</v>
      </c>
      <c r="M81" s="17">
        <v>5880000000</v>
      </c>
      <c r="O81" s="17">
        <v>21350577810</v>
      </c>
      <c r="Q81" s="17">
        <v>778763390</v>
      </c>
      <c r="S81" s="17">
        <v>28009341200</v>
      </c>
      <c r="U81" s="18">
        <v>6.8115680155653655E-2</v>
      </c>
    </row>
    <row r="82" spans="1:21" ht="21" x14ac:dyDescent="0.55000000000000004">
      <c r="A82" s="16" t="s">
        <v>136</v>
      </c>
      <c r="C82" s="17">
        <v>0</v>
      </c>
      <c r="E82" s="17">
        <v>0</v>
      </c>
      <c r="G82" s="17">
        <v>0</v>
      </c>
      <c r="I82" s="17">
        <v>0</v>
      </c>
      <c r="K82" s="18">
        <v>0</v>
      </c>
      <c r="M82" s="17">
        <v>1865500000</v>
      </c>
      <c r="O82" s="17">
        <v>0</v>
      </c>
      <c r="Q82" s="17">
        <v>433500928</v>
      </c>
      <c r="S82" s="17">
        <v>2299000928</v>
      </c>
      <c r="U82" s="18">
        <v>5.5909209278081464E-3</v>
      </c>
    </row>
    <row r="83" spans="1:21" ht="21" x14ac:dyDescent="0.55000000000000004">
      <c r="A83" s="16" t="s">
        <v>70</v>
      </c>
      <c r="C83" s="17">
        <v>0</v>
      </c>
      <c r="E83" s="17">
        <v>198454000</v>
      </c>
      <c r="G83" s="17">
        <v>0</v>
      </c>
      <c r="I83" s="17">
        <v>198454000</v>
      </c>
      <c r="K83" s="18">
        <v>9.7484267417339936E-4</v>
      </c>
      <c r="M83" s="17">
        <v>3248000000</v>
      </c>
      <c r="O83" s="17">
        <v>5716630600</v>
      </c>
      <c r="Q83" s="17">
        <v>3233980000</v>
      </c>
      <c r="S83" s="17">
        <v>12198610600</v>
      </c>
      <c r="U83" s="18">
        <v>2.9665698026948465E-2</v>
      </c>
    </row>
    <row r="84" spans="1:21" ht="21" x14ac:dyDescent="0.55000000000000004">
      <c r="A84" s="16" t="s">
        <v>69</v>
      </c>
      <c r="C84" s="17">
        <v>0</v>
      </c>
      <c r="E84" s="17">
        <v>-890810500</v>
      </c>
      <c r="G84" s="17">
        <v>1025080550</v>
      </c>
      <c r="I84" s="17">
        <v>134270050</v>
      </c>
      <c r="K84" s="18">
        <v>6.5955926614427545E-4</v>
      </c>
      <c r="M84" s="17">
        <v>235000000</v>
      </c>
      <c r="O84" s="17">
        <v>0</v>
      </c>
      <c r="Q84" s="17">
        <v>1585415250</v>
      </c>
      <c r="S84" s="17">
        <v>1820415250</v>
      </c>
      <c r="U84" s="18">
        <v>4.4270524620362833E-3</v>
      </c>
    </row>
    <row r="85" spans="1:21" ht="21" x14ac:dyDescent="0.55000000000000004">
      <c r="A85" s="16" t="s">
        <v>68</v>
      </c>
      <c r="C85" s="17">
        <v>0</v>
      </c>
      <c r="E85" s="17">
        <v>2361602600</v>
      </c>
      <c r="G85" s="17">
        <v>0</v>
      </c>
      <c r="I85" s="17">
        <v>2361602600</v>
      </c>
      <c r="K85" s="18">
        <v>1.1600627822663453E-2</v>
      </c>
      <c r="M85" s="17">
        <v>0</v>
      </c>
      <c r="O85" s="17">
        <v>18135945716</v>
      </c>
      <c r="Q85" s="17">
        <v>11225788189</v>
      </c>
      <c r="S85" s="17">
        <v>29361733905</v>
      </c>
      <c r="U85" s="18">
        <v>7.1404552545791103E-2</v>
      </c>
    </row>
    <row r="86" spans="1:21" ht="21" x14ac:dyDescent="0.55000000000000004">
      <c r="A86" s="16" t="s">
        <v>135</v>
      </c>
      <c r="C86" s="17">
        <v>0</v>
      </c>
      <c r="E86" s="17">
        <v>0</v>
      </c>
      <c r="G86" s="17">
        <v>0</v>
      </c>
      <c r="I86" s="17">
        <v>0</v>
      </c>
      <c r="K86" s="18">
        <v>0</v>
      </c>
      <c r="M86" s="17">
        <v>0</v>
      </c>
      <c r="O86" s="17">
        <v>0</v>
      </c>
      <c r="Q86" s="17">
        <v>-2496132153</v>
      </c>
      <c r="S86" s="17">
        <v>-2496132153</v>
      </c>
      <c r="U86" s="18">
        <v>-6.0703226879178134E-3</v>
      </c>
    </row>
    <row r="87" spans="1:21" ht="21" x14ac:dyDescent="0.55000000000000004">
      <c r="A87" s="16" t="s">
        <v>134</v>
      </c>
      <c r="C87" s="17">
        <v>0</v>
      </c>
      <c r="E87" s="17">
        <v>0</v>
      </c>
      <c r="G87" s="17">
        <v>0</v>
      </c>
      <c r="I87" s="17">
        <v>0</v>
      </c>
      <c r="K87" s="18">
        <v>0</v>
      </c>
      <c r="M87" s="17">
        <v>0</v>
      </c>
      <c r="O87" s="17">
        <v>0</v>
      </c>
      <c r="Q87" s="17">
        <v>3007391</v>
      </c>
      <c r="S87" s="17">
        <v>3007391</v>
      </c>
      <c r="U87" s="18">
        <v>7.3136487572578617E-6</v>
      </c>
    </row>
    <row r="88" spans="1:21" ht="21" x14ac:dyDescent="0.55000000000000004">
      <c r="A88" s="16" t="s">
        <v>177</v>
      </c>
      <c r="C88" s="17">
        <v>0</v>
      </c>
      <c r="E88" s="17">
        <v>0</v>
      </c>
      <c r="G88" s="17">
        <v>0</v>
      </c>
      <c r="I88" s="17">
        <v>0</v>
      </c>
      <c r="K88" s="18">
        <v>0</v>
      </c>
      <c r="M88" s="17">
        <v>0</v>
      </c>
      <c r="O88" s="17">
        <v>0</v>
      </c>
      <c r="Q88" s="17">
        <v>1118081095</v>
      </c>
      <c r="S88" s="17">
        <v>1118081095</v>
      </c>
      <c r="U88" s="18">
        <v>2.7190519659599497E-3</v>
      </c>
    </row>
    <row r="89" spans="1:21" ht="21" x14ac:dyDescent="0.55000000000000004">
      <c r="A89" s="16" t="s">
        <v>176</v>
      </c>
      <c r="C89" s="17">
        <v>0</v>
      </c>
      <c r="E89" s="17">
        <v>1132180070</v>
      </c>
      <c r="G89" s="17">
        <v>0</v>
      </c>
      <c r="I89" s="17">
        <v>1132180070</v>
      </c>
      <c r="K89" s="18">
        <v>5.5614774561592436E-3</v>
      </c>
      <c r="M89" s="17">
        <v>434000000</v>
      </c>
      <c r="O89" s="17">
        <v>622155082</v>
      </c>
      <c r="Q89" s="17">
        <v>-153952245</v>
      </c>
      <c r="S89" s="17">
        <v>902202837</v>
      </c>
      <c r="U89" s="18">
        <v>2.1940594547298861E-3</v>
      </c>
    </row>
    <row r="90" spans="1:21" ht="21" x14ac:dyDescent="0.55000000000000004">
      <c r="A90" s="16" t="s">
        <v>175</v>
      </c>
      <c r="C90" s="17">
        <v>0</v>
      </c>
      <c r="E90" s="17">
        <v>0</v>
      </c>
      <c r="G90" s="17">
        <v>0</v>
      </c>
      <c r="I90" s="17">
        <v>0</v>
      </c>
      <c r="K90" s="18">
        <v>0</v>
      </c>
      <c r="M90" s="17">
        <v>0</v>
      </c>
      <c r="O90" s="17">
        <v>0</v>
      </c>
      <c r="Q90" s="17">
        <v>-1517070806</v>
      </c>
      <c r="S90" s="17">
        <v>-1517070806</v>
      </c>
      <c r="U90" s="18">
        <v>-3.6893516722548156E-3</v>
      </c>
    </row>
    <row r="91" spans="1:21" ht="21.75" thickBot="1" x14ac:dyDescent="0.6">
      <c r="A91" s="19" t="s">
        <v>9</v>
      </c>
      <c r="C91" s="19">
        <f>SUM(C9:$C$90)</f>
        <v>1320000000</v>
      </c>
      <c r="E91" s="19">
        <f>SUM(E9:$E$90)</f>
        <v>190439113296</v>
      </c>
      <c r="G91" s="19">
        <f>SUM(G9:$G$90)</f>
        <v>10568143506</v>
      </c>
      <c r="I91" s="19">
        <f>SUM(I9:$I$90)</f>
        <v>202327256802</v>
      </c>
      <c r="K91" s="20">
        <f>SUM(K9:$K$90)</f>
        <v>0.99386882642340191</v>
      </c>
      <c r="M91" s="19">
        <f>SUM(M9:$M$90)</f>
        <v>81512355385</v>
      </c>
      <c r="O91" s="19">
        <f>SUM(O9:$O$90)</f>
        <v>295146647139</v>
      </c>
      <c r="Q91" s="19">
        <f>SUM(Q9:$Q$90)</f>
        <v>-5167404307</v>
      </c>
      <c r="S91" s="19">
        <f>SUM(S9:$S$90)</f>
        <v>371491598217</v>
      </c>
      <c r="U91" s="20">
        <f>SUM(U9:$U$90)</f>
        <v>0.90342727820609237</v>
      </c>
    </row>
    <row r="92" spans="1:21" ht="21.75" thickTop="1" x14ac:dyDescent="0.55000000000000004">
      <c r="C92" s="21"/>
      <c r="E92" s="21"/>
      <c r="G92" s="21"/>
      <c r="I92" s="21"/>
      <c r="K92" s="21"/>
      <c r="M92" s="21"/>
      <c r="O92" s="21"/>
      <c r="Q92" s="21"/>
      <c r="S92" s="21"/>
      <c r="U92" s="21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6A72-3FE8-434E-8E93-14AF1598D89A}">
  <sheetPr>
    <pageSetUpPr fitToPage="1"/>
  </sheetPr>
  <dimension ref="A1:Q183"/>
  <sheetViews>
    <sheetView rightToLeft="1" view="pageBreakPreview" topLeftCell="A165" zoomScale="80" zoomScaleNormal="82" zoomScaleSheetLayoutView="70" workbookViewId="0">
      <selection activeCell="S1" sqref="S1:T1048576"/>
    </sheetView>
  </sheetViews>
  <sheetFormatPr defaultColWidth="8.85546875" defaultRowHeight="19.5" x14ac:dyDescent="0.55000000000000004"/>
  <cols>
    <col min="1" max="1" width="43.285156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0.5703125" style="1" customWidth="1"/>
    <col min="10" max="10" width="1.42578125" style="1" customWidth="1"/>
    <col min="11" max="11" width="17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0.5703125" style="1" customWidth="1"/>
    <col min="18" max="16384" width="8.85546875" style="1"/>
  </cols>
  <sheetData>
    <row r="1" spans="1:17" ht="19.899999999999999" customHeight="1" x14ac:dyDescent="0.55000000000000004">
      <c r="A1" s="47" t="s">
        <v>384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9.899999999999999" customHeight="1" x14ac:dyDescent="0.55000000000000004">
      <c r="A2" s="4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9.899999999999999" customHeight="1" x14ac:dyDescent="0.55000000000000004">
      <c r="A3" s="4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5" spans="1:17" ht="21" x14ac:dyDescent="0.55000000000000004">
      <c r="A5" s="48" t="s">
        <v>383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7" spans="1:17" ht="21" x14ac:dyDescent="0.55000000000000004">
      <c r="C7" s="52" t="s">
        <v>385</v>
      </c>
      <c r="D7" s="52"/>
      <c r="E7" s="52"/>
      <c r="F7" s="52"/>
      <c r="G7" s="52"/>
      <c r="H7" s="52"/>
      <c r="I7" s="52"/>
      <c r="K7" s="52" t="s">
        <v>60</v>
      </c>
      <c r="L7" s="52"/>
      <c r="M7" s="52"/>
      <c r="N7" s="52"/>
      <c r="O7" s="52"/>
      <c r="P7" s="52"/>
      <c r="Q7" s="52"/>
    </row>
    <row r="8" spans="1:17" ht="63" x14ac:dyDescent="0.55000000000000004">
      <c r="A8" s="12" t="s">
        <v>382</v>
      </c>
      <c r="C8" s="13" t="s">
        <v>41</v>
      </c>
      <c r="E8" s="13" t="s">
        <v>42</v>
      </c>
      <c r="G8" s="13" t="s">
        <v>204</v>
      </c>
      <c r="I8" s="13" t="s">
        <v>203</v>
      </c>
      <c r="K8" s="13" t="s">
        <v>41</v>
      </c>
      <c r="M8" s="13" t="s">
        <v>42</v>
      </c>
      <c r="O8" s="13" t="s">
        <v>204</v>
      </c>
      <c r="Q8" s="13" t="s">
        <v>203</v>
      </c>
    </row>
    <row r="9" spans="1:17" ht="21" x14ac:dyDescent="0.55000000000000004">
      <c r="A9" s="25" t="s">
        <v>381</v>
      </c>
      <c r="C9" s="26">
        <v>0</v>
      </c>
      <c r="E9" s="26">
        <v>0</v>
      </c>
      <c r="G9" s="26">
        <f>E9+C9</f>
        <v>0</v>
      </c>
      <c r="I9" s="27">
        <v>0</v>
      </c>
      <c r="K9" s="26">
        <v>0</v>
      </c>
      <c r="M9" s="26">
        <v>39994850</v>
      </c>
      <c r="O9" s="26">
        <f>M9+K9</f>
        <v>39994850</v>
      </c>
      <c r="Q9" s="27">
        <v>9.7263137716118247E-5</v>
      </c>
    </row>
    <row r="10" spans="1:17" ht="21" x14ac:dyDescent="0.55000000000000004">
      <c r="A10" s="16" t="s">
        <v>380</v>
      </c>
      <c r="C10" s="26">
        <v>0</v>
      </c>
      <c r="E10" s="26">
        <v>0</v>
      </c>
      <c r="G10" s="26">
        <f t="shared" ref="G10:G73" si="0">E10+C10</f>
        <v>0</v>
      </c>
      <c r="I10" s="18">
        <v>0</v>
      </c>
      <c r="K10" s="17">
        <v>0</v>
      </c>
      <c r="M10" s="17">
        <v>165978980</v>
      </c>
      <c r="O10" s="26">
        <f t="shared" ref="O10:O73" si="1">M10+K10</f>
        <v>165978980</v>
      </c>
      <c r="Q10" s="18">
        <v>4.0364287876366173E-4</v>
      </c>
    </row>
    <row r="11" spans="1:17" ht="21" x14ac:dyDescent="0.55000000000000004">
      <c r="A11" s="16" t="s">
        <v>379</v>
      </c>
      <c r="C11" s="26">
        <v>0</v>
      </c>
      <c r="E11" s="26">
        <v>0</v>
      </c>
      <c r="G11" s="26">
        <f t="shared" si="0"/>
        <v>0</v>
      </c>
      <c r="I11" s="18">
        <v>0</v>
      </c>
      <c r="K11" s="17">
        <v>0</v>
      </c>
      <c r="M11" s="17">
        <v>153286869</v>
      </c>
      <c r="O11" s="26">
        <f t="shared" si="1"/>
        <v>153286869</v>
      </c>
      <c r="Q11" s="18">
        <v>3.7277704128455485E-4</v>
      </c>
    </row>
    <row r="12" spans="1:17" ht="21" x14ac:dyDescent="0.55000000000000004">
      <c r="A12" s="16" t="s">
        <v>378</v>
      </c>
      <c r="C12" s="26">
        <v>0</v>
      </c>
      <c r="E12" s="26">
        <v>0</v>
      </c>
      <c r="G12" s="26">
        <f t="shared" si="0"/>
        <v>0</v>
      </c>
      <c r="I12" s="18">
        <v>0</v>
      </c>
      <c r="K12" s="17">
        <v>0</v>
      </c>
      <c r="M12" s="17">
        <v>2571000</v>
      </c>
      <c r="O12" s="26">
        <f t="shared" si="1"/>
        <v>2571000</v>
      </c>
      <c r="Q12" s="18">
        <v>6.2523931723244372E-6</v>
      </c>
    </row>
    <row r="13" spans="1:17" ht="21" x14ac:dyDescent="0.55000000000000004">
      <c r="A13" s="16" t="s">
        <v>377</v>
      </c>
      <c r="C13" s="26">
        <v>0</v>
      </c>
      <c r="E13" s="26">
        <v>0</v>
      </c>
      <c r="G13" s="26">
        <f t="shared" si="0"/>
        <v>0</v>
      </c>
      <c r="I13" s="18">
        <v>0</v>
      </c>
      <c r="K13" s="17">
        <v>0</v>
      </c>
      <c r="M13" s="17">
        <v>643341293</v>
      </c>
      <c r="O13" s="26">
        <f t="shared" si="1"/>
        <v>643341293</v>
      </c>
      <c r="Q13" s="18">
        <v>1.5645362535307566E-3</v>
      </c>
    </row>
    <row r="14" spans="1:17" ht="21" x14ac:dyDescent="0.55000000000000004">
      <c r="A14" s="16" t="s">
        <v>376</v>
      </c>
      <c r="C14" s="26">
        <v>0</v>
      </c>
      <c r="E14" s="26">
        <v>0</v>
      </c>
      <c r="G14" s="26">
        <f t="shared" si="0"/>
        <v>0</v>
      </c>
      <c r="I14" s="18">
        <v>0</v>
      </c>
      <c r="K14" s="17">
        <v>0</v>
      </c>
      <c r="M14" s="17">
        <v>-987077134</v>
      </c>
      <c r="O14" s="26">
        <f t="shared" si="1"/>
        <v>-987077134</v>
      </c>
      <c r="Q14" s="18">
        <v>-2.4004645403263997E-3</v>
      </c>
    </row>
    <row r="15" spans="1:17" ht="21" x14ac:dyDescent="0.55000000000000004">
      <c r="A15" s="16" t="s">
        <v>375</v>
      </c>
      <c r="C15" s="26">
        <v>0</v>
      </c>
      <c r="E15" s="26">
        <v>0</v>
      </c>
      <c r="G15" s="26">
        <f t="shared" si="0"/>
        <v>0</v>
      </c>
      <c r="I15" s="18">
        <v>0</v>
      </c>
      <c r="K15" s="17">
        <v>0</v>
      </c>
      <c r="M15" s="17">
        <v>17872710</v>
      </c>
      <c r="O15" s="26">
        <f t="shared" si="1"/>
        <v>17872710</v>
      </c>
      <c r="Q15" s="18">
        <v>4.3464492405653323E-5</v>
      </c>
    </row>
    <row r="16" spans="1:17" ht="21" x14ac:dyDescent="0.55000000000000004">
      <c r="A16" s="16" t="s">
        <v>374</v>
      </c>
      <c r="C16" s="26">
        <v>0</v>
      </c>
      <c r="E16" s="26">
        <v>0</v>
      </c>
      <c r="G16" s="26">
        <f t="shared" si="0"/>
        <v>0</v>
      </c>
      <c r="I16" s="18">
        <v>0</v>
      </c>
      <c r="K16" s="17">
        <v>0</v>
      </c>
      <c r="M16" s="17">
        <v>-2600103280</v>
      </c>
      <c r="O16" s="26">
        <f t="shared" si="1"/>
        <v>-2600103280</v>
      </c>
      <c r="Q16" s="18">
        <v>-6.323169193002868E-3</v>
      </c>
    </row>
    <row r="17" spans="1:17" ht="21" x14ac:dyDescent="0.55000000000000004">
      <c r="A17" s="16" t="s">
        <v>373</v>
      </c>
      <c r="C17" s="26">
        <v>0</v>
      </c>
      <c r="E17" s="26">
        <v>0</v>
      </c>
      <c r="G17" s="26">
        <f t="shared" si="0"/>
        <v>0</v>
      </c>
      <c r="I17" s="18">
        <v>0</v>
      </c>
      <c r="K17" s="17">
        <v>0</v>
      </c>
      <c r="M17" s="17">
        <v>4000935</v>
      </c>
      <c r="O17" s="26">
        <f t="shared" si="1"/>
        <v>4000935</v>
      </c>
      <c r="Q17" s="18">
        <v>9.7298400143577885E-6</v>
      </c>
    </row>
    <row r="18" spans="1:17" ht="21" x14ac:dyDescent="0.55000000000000004">
      <c r="A18" s="16" t="s">
        <v>372</v>
      </c>
      <c r="C18" s="26">
        <v>0</v>
      </c>
      <c r="E18" s="26">
        <v>0</v>
      </c>
      <c r="G18" s="26">
        <f t="shared" si="0"/>
        <v>0</v>
      </c>
      <c r="I18" s="18">
        <v>0</v>
      </c>
      <c r="K18" s="17">
        <v>0</v>
      </c>
      <c r="M18" s="17">
        <v>-475171214</v>
      </c>
      <c r="O18" s="26">
        <f t="shared" si="1"/>
        <v>-475171214</v>
      </c>
      <c r="Q18" s="18">
        <v>-1.1555648596261042E-3</v>
      </c>
    </row>
    <row r="19" spans="1:17" ht="21" x14ac:dyDescent="0.55000000000000004">
      <c r="A19" s="16" t="s">
        <v>371</v>
      </c>
      <c r="C19" s="26">
        <v>-87462375</v>
      </c>
      <c r="E19" s="26">
        <f>VLOOKUP(A19,[1]myData!$A:$B,2,0)</f>
        <v>736970000</v>
      </c>
      <c r="G19" s="26">
        <f t="shared" si="0"/>
        <v>649507625</v>
      </c>
      <c r="I19" s="18">
        <v>3.1905013255011916E-3</v>
      </c>
      <c r="K19" s="17">
        <v>0</v>
      </c>
      <c r="M19" s="17">
        <v>736970000</v>
      </c>
      <c r="O19" s="26">
        <f t="shared" si="1"/>
        <v>736970000</v>
      </c>
      <c r="Q19" s="18">
        <v>1.7922311148222251E-3</v>
      </c>
    </row>
    <row r="20" spans="1:17" ht="21" x14ac:dyDescent="0.55000000000000004">
      <c r="A20" s="16" t="s">
        <v>370</v>
      </c>
      <c r="C20" s="26">
        <v>0</v>
      </c>
      <c r="E20" s="26">
        <v>0</v>
      </c>
      <c r="G20" s="26">
        <f t="shared" si="0"/>
        <v>0</v>
      </c>
      <c r="I20" s="18">
        <v>0</v>
      </c>
      <c r="K20" s="17">
        <v>0</v>
      </c>
      <c r="M20" s="17">
        <v>652987649</v>
      </c>
      <c r="O20" s="26">
        <f t="shared" si="1"/>
        <v>652987649</v>
      </c>
      <c r="Q20" s="18">
        <v>1.5879951451652221E-3</v>
      </c>
    </row>
    <row r="21" spans="1:17" ht="21" x14ac:dyDescent="0.55000000000000004">
      <c r="A21" s="16" t="s">
        <v>369</v>
      </c>
      <c r="C21" s="26">
        <v>0</v>
      </c>
      <c r="E21" s="26">
        <v>0</v>
      </c>
      <c r="G21" s="26">
        <f t="shared" si="0"/>
        <v>0</v>
      </c>
      <c r="I21" s="18">
        <v>0</v>
      </c>
      <c r="K21" s="17">
        <v>0</v>
      </c>
      <c r="M21" s="17">
        <v>-143352748</v>
      </c>
      <c r="O21" s="26">
        <f t="shared" si="1"/>
        <v>-143352748</v>
      </c>
      <c r="Q21" s="18">
        <v>-3.4861833637850863E-4</v>
      </c>
    </row>
    <row r="22" spans="1:17" ht="21" x14ac:dyDescent="0.55000000000000004">
      <c r="A22" s="16" t="s">
        <v>359</v>
      </c>
      <c r="C22" s="26">
        <v>4265157</v>
      </c>
      <c r="E22" s="26">
        <v>0</v>
      </c>
      <c r="G22" s="26">
        <f t="shared" si="0"/>
        <v>4265157</v>
      </c>
      <c r="I22" s="18">
        <v>2.0951238350697862E-5</v>
      </c>
      <c r="K22" s="17">
        <v>0</v>
      </c>
      <c r="M22" s="17">
        <v>1004133</v>
      </c>
      <c r="O22" s="26">
        <f t="shared" si="1"/>
        <v>1004133</v>
      </c>
      <c r="Q22" s="18">
        <v>2.4419425567116509E-6</v>
      </c>
    </row>
    <row r="23" spans="1:17" ht="21" x14ac:dyDescent="0.55000000000000004">
      <c r="A23" s="16" t="s">
        <v>368</v>
      </c>
      <c r="C23" s="26">
        <v>0</v>
      </c>
      <c r="E23" s="26">
        <v>0</v>
      </c>
      <c r="G23" s="26">
        <f t="shared" si="0"/>
        <v>0</v>
      </c>
      <c r="I23" s="18">
        <v>0</v>
      </c>
      <c r="K23" s="17">
        <v>0</v>
      </c>
      <c r="M23" s="17">
        <v>45634580</v>
      </c>
      <c r="O23" s="26">
        <f t="shared" si="1"/>
        <v>45634580</v>
      </c>
      <c r="Q23" s="18">
        <v>1.1097834944142097E-4</v>
      </c>
    </row>
    <row r="24" spans="1:17" ht="21" x14ac:dyDescent="0.55000000000000004">
      <c r="A24" s="16" t="s">
        <v>367</v>
      </c>
      <c r="C24" s="26">
        <v>0</v>
      </c>
      <c r="E24" s="26">
        <v>0</v>
      </c>
      <c r="G24" s="26">
        <f t="shared" si="0"/>
        <v>0</v>
      </c>
      <c r="I24" s="18">
        <v>0</v>
      </c>
      <c r="K24" s="17">
        <v>0</v>
      </c>
      <c r="M24" s="17">
        <v>-599419268</v>
      </c>
      <c r="O24" s="26">
        <f t="shared" si="1"/>
        <v>-599419268</v>
      </c>
      <c r="Q24" s="18">
        <v>-1.4577226521209304E-3</v>
      </c>
    </row>
    <row r="25" spans="1:17" ht="21" x14ac:dyDescent="0.55000000000000004">
      <c r="A25" s="16" t="s">
        <v>366</v>
      </c>
      <c r="C25" s="26">
        <v>0</v>
      </c>
      <c r="E25" s="26">
        <v>0</v>
      </c>
      <c r="G25" s="26">
        <f t="shared" si="0"/>
        <v>0</v>
      </c>
      <c r="I25" s="18">
        <v>0</v>
      </c>
      <c r="K25" s="17">
        <v>0</v>
      </c>
      <c r="M25" s="17">
        <v>330679973</v>
      </c>
      <c r="O25" s="26">
        <f t="shared" si="1"/>
        <v>330679973</v>
      </c>
      <c r="Q25" s="18">
        <v>8.0417783174236844E-4</v>
      </c>
    </row>
    <row r="26" spans="1:17" ht="21" x14ac:dyDescent="0.55000000000000004">
      <c r="A26" s="16" t="s">
        <v>365</v>
      </c>
      <c r="C26" s="26">
        <v>0</v>
      </c>
      <c r="E26" s="26">
        <v>0</v>
      </c>
      <c r="G26" s="26">
        <f t="shared" si="0"/>
        <v>0</v>
      </c>
      <c r="I26" s="18">
        <v>0</v>
      </c>
      <c r="K26" s="17">
        <v>0</v>
      </c>
      <c r="M26" s="17">
        <v>152611430</v>
      </c>
      <c r="O26" s="26">
        <f t="shared" si="1"/>
        <v>152611430</v>
      </c>
      <c r="Q26" s="18">
        <v>3.7113444688863045E-4</v>
      </c>
    </row>
    <row r="27" spans="1:17" ht="21" x14ac:dyDescent="0.55000000000000004">
      <c r="A27" s="16" t="s">
        <v>364</v>
      </c>
      <c r="C27" s="26">
        <v>-5018937</v>
      </c>
      <c r="E27" s="26">
        <f>VLOOKUP(A27,[1]myData!$A:$B,2,0)</f>
        <v>4981070</v>
      </c>
      <c r="G27" s="26">
        <f t="shared" si="0"/>
        <v>-37867</v>
      </c>
      <c r="I27" s="18">
        <v>-1.8600969263871785E-7</v>
      </c>
      <c r="K27" s="17">
        <v>0</v>
      </c>
      <c r="M27" s="17">
        <v>777731949</v>
      </c>
      <c r="O27" s="26">
        <f t="shared" si="1"/>
        <v>777731949</v>
      </c>
      <c r="Q27" s="18">
        <v>1.8913597541136435E-3</v>
      </c>
    </row>
    <row r="28" spans="1:17" ht="21" x14ac:dyDescent="0.55000000000000004">
      <c r="A28" s="16" t="s">
        <v>363</v>
      </c>
      <c r="C28" s="26">
        <v>0</v>
      </c>
      <c r="E28" s="26">
        <v>0</v>
      </c>
      <c r="G28" s="26">
        <f t="shared" si="0"/>
        <v>0</v>
      </c>
      <c r="I28" s="18">
        <v>0</v>
      </c>
      <c r="K28" s="17">
        <v>0</v>
      </c>
      <c r="M28" s="17">
        <v>486645713</v>
      </c>
      <c r="O28" s="26">
        <f t="shared" si="1"/>
        <v>486645713</v>
      </c>
      <c r="Q28" s="18">
        <v>1.1834695967725235E-3</v>
      </c>
    </row>
    <row r="29" spans="1:17" ht="21" x14ac:dyDescent="0.55000000000000004">
      <c r="A29" s="16" t="s">
        <v>362</v>
      </c>
      <c r="C29" s="26">
        <v>0</v>
      </c>
      <c r="E29" s="26">
        <v>0</v>
      </c>
      <c r="G29" s="26">
        <f t="shared" si="0"/>
        <v>0</v>
      </c>
      <c r="I29" s="18">
        <v>0</v>
      </c>
      <c r="K29" s="17">
        <v>0</v>
      </c>
      <c r="M29" s="17">
        <v>28953636</v>
      </c>
      <c r="O29" s="26">
        <f t="shared" si="1"/>
        <v>28953636</v>
      </c>
      <c r="Q29" s="18">
        <v>7.0412102699481531E-5</v>
      </c>
    </row>
    <row r="30" spans="1:17" ht="21" x14ac:dyDescent="0.55000000000000004">
      <c r="A30" s="16" t="s">
        <v>386</v>
      </c>
      <c r="C30" s="26">
        <v>-9492803</v>
      </c>
      <c r="E30" s="26">
        <f>VLOOKUP(A30,[1]myData!$A:$B,2,0)</f>
        <v>-37628734</v>
      </c>
      <c r="G30" s="26">
        <f t="shared" si="0"/>
        <v>-47121537</v>
      </c>
      <c r="I30" s="18">
        <v>-2.3146968637689734E-4</v>
      </c>
      <c r="K30" s="17">
        <v>-9492803</v>
      </c>
      <c r="M30" s="17">
        <v>-37628734</v>
      </c>
      <c r="O30" s="26">
        <f t="shared" si="1"/>
        <v>-47121537</v>
      </c>
      <c r="Q30" s="18">
        <v>-1.1459446760335798E-4</v>
      </c>
    </row>
    <row r="31" spans="1:17" ht="21" x14ac:dyDescent="0.55000000000000004">
      <c r="A31" s="16" t="s">
        <v>398</v>
      </c>
      <c r="C31" s="26">
        <v>0</v>
      </c>
      <c r="E31" s="26">
        <v>44931895</v>
      </c>
      <c r="G31" s="26">
        <f t="shared" si="0"/>
        <v>44931895</v>
      </c>
      <c r="I31" s="18">
        <v>2.207137607580517E-4</v>
      </c>
      <c r="K31" s="17">
        <v>0</v>
      </c>
      <c r="M31" s="17">
        <v>44931895</v>
      </c>
      <c r="O31" s="26">
        <f t="shared" si="1"/>
        <v>44931895</v>
      </c>
      <c r="Q31" s="18">
        <v>1.0926949572835415E-4</v>
      </c>
    </row>
    <row r="32" spans="1:17" ht="21" x14ac:dyDescent="0.55000000000000004">
      <c r="A32" s="16" t="s">
        <v>361</v>
      </c>
      <c r="C32" s="26">
        <v>0</v>
      </c>
      <c r="E32" s="26">
        <v>0</v>
      </c>
      <c r="G32" s="26">
        <f t="shared" si="0"/>
        <v>0</v>
      </c>
      <c r="I32" s="18">
        <v>0</v>
      </c>
      <c r="K32" s="17">
        <v>0</v>
      </c>
      <c r="M32" s="17">
        <v>450982632</v>
      </c>
      <c r="O32" s="26">
        <f t="shared" si="1"/>
        <v>450982632</v>
      </c>
      <c r="Q32" s="18">
        <v>1.096740851479465E-3</v>
      </c>
    </row>
    <row r="33" spans="1:17" ht="21" x14ac:dyDescent="0.55000000000000004">
      <c r="A33" s="16" t="s">
        <v>360</v>
      </c>
      <c r="C33" s="26">
        <v>0</v>
      </c>
      <c r="E33" s="26">
        <v>0</v>
      </c>
      <c r="G33" s="26">
        <f t="shared" si="0"/>
        <v>0</v>
      </c>
      <c r="I33" s="18">
        <v>0</v>
      </c>
      <c r="K33" s="17">
        <v>0</v>
      </c>
      <c r="M33" s="17">
        <v>815842743</v>
      </c>
      <c r="O33" s="26">
        <f t="shared" si="1"/>
        <v>815842743</v>
      </c>
      <c r="Q33" s="18">
        <v>1.9840410719656324E-3</v>
      </c>
    </row>
    <row r="34" spans="1:17" ht="21" x14ac:dyDescent="0.55000000000000004">
      <c r="A34" s="16" t="s">
        <v>387</v>
      </c>
      <c r="C34" s="26">
        <v>8092420</v>
      </c>
      <c r="E34" s="26">
        <v>0</v>
      </c>
      <c r="G34" s="26">
        <f t="shared" si="0"/>
        <v>8092420</v>
      </c>
      <c r="I34" s="18">
        <v>3.9751460556775374E-5</v>
      </c>
      <c r="K34" s="17">
        <v>8092420</v>
      </c>
      <c r="M34" s="17">
        <v>0</v>
      </c>
      <c r="O34" s="26">
        <f t="shared" si="1"/>
        <v>8092420</v>
      </c>
      <c r="Q34" s="18">
        <v>1.9679887808472083E-5</v>
      </c>
    </row>
    <row r="35" spans="1:17" ht="21" x14ac:dyDescent="0.55000000000000004">
      <c r="A35" s="16" t="s">
        <v>358</v>
      </c>
      <c r="C35" s="26">
        <v>0</v>
      </c>
      <c r="E35" s="26">
        <v>0</v>
      </c>
      <c r="G35" s="26">
        <f t="shared" si="0"/>
        <v>0</v>
      </c>
      <c r="I35" s="18">
        <v>0</v>
      </c>
      <c r="K35" s="17">
        <v>0</v>
      </c>
      <c r="M35" s="17">
        <v>91444000</v>
      </c>
      <c r="O35" s="26">
        <f t="shared" si="1"/>
        <v>91444000</v>
      </c>
      <c r="Q35" s="18">
        <v>2.2238189080125859E-4</v>
      </c>
    </row>
    <row r="36" spans="1:17" ht="21" x14ac:dyDescent="0.55000000000000004">
      <c r="A36" s="16" t="s">
        <v>357</v>
      </c>
      <c r="C36" s="26">
        <v>0</v>
      </c>
      <c r="E36" s="26">
        <v>0</v>
      </c>
      <c r="G36" s="26">
        <f t="shared" si="0"/>
        <v>0</v>
      </c>
      <c r="I36" s="18">
        <v>0</v>
      </c>
      <c r="K36" s="17">
        <v>0</v>
      </c>
      <c r="M36" s="17">
        <v>-37110479</v>
      </c>
      <c r="O36" s="26">
        <f t="shared" si="1"/>
        <v>-37110479</v>
      </c>
      <c r="Q36" s="18">
        <v>-9.0248660257210973E-5</v>
      </c>
    </row>
    <row r="37" spans="1:17" ht="21" x14ac:dyDescent="0.55000000000000004">
      <c r="A37" s="16" t="s">
        <v>356</v>
      </c>
      <c r="C37" s="26">
        <v>0</v>
      </c>
      <c r="E37" s="26">
        <v>0</v>
      </c>
      <c r="G37" s="26">
        <f t="shared" si="0"/>
        <v>0</v>
      </c>
      <c r="I37" s="18">
        <v>0</v>
      </c>
      <c r="K37" s="17">
        <v>0</v>
      </c>
      <c r="M37" s="17">
        <v>836739081</v>
      </c>
      <c r="O37" s="26">
        <f t="shared" si="1"/>
        <v>836739081</v>
      </c>
      <c r="Q37" s="18">
        <v>2.0348586997516235E-3</v>
      </c>
    </row>
    <row r="38" spans="1:17" ht="21" x14ac:dyDescent="0.55000000000000004">
      <c r="A38" s="16" t="s">
        <v>355</v>
      </c>
      <c r="C38" s="26">
        <v>0</v>
      </c>
      <c r="E38" s="26">
        <v>0</v>
      </c>
      <c r="G38" s="26">
        <f t="shared" si="0"/>
        <v>0</v>
      </c>
      <c r="I38" s="18">
        <v>0</v>
      </c>
      <c r="K38" s="17">
        <v>0</v>
      </c>
      <c r="M38" s="17">
        <v>798978106</v>
      </c>
      <c r="O38" s="26">
        <f t="shared" si="1"/>
        <v>798978106</v>
      </c>
      <c r="Q38" s="18">
        <v>1.9430281037693935E-3</v>
      </c>
    </row>
    <row r="39" spans="1:17" ht="21" x14ac:dyDescent="0.55000000000000004">
      <c r="A39" s="16" t="s">
        <v>354</v>
      </c>
      <c r="C39" s="26">
        <v>0</v>
      </c>
      <c r="E39" s="26">
        <v>0</v>
      </c>
      <c r="G39" s="26">
        <f t="shared" si="0"/>
        <v>0</v>
      </c>
      <c r="I39" s="18">
        <v>0</v>
      </c>
      <c r="K39" s="17">
        <v>0</v>
      </c>
      <c r="M39" s="17">
        <v>416670792</v>
      </c>
      <c r="O39" s="26">
        <f t="shared" si="1"/>
        <v>416670792</v>
      </c>
      <c r="Q39" s="18">
        <v>1.0132981777548876E-3</v>
      </c>
    </row>
    <row r="40" spans="1:17" ht="21" x14ac:dyDescent="0.55000000000000004">
      <c r="A40" s="16" t="s">
        <v>353</v>
      </c>
      <c r="C40" s="26">
        <v>0</v>
      </c>
      <c r="E40" s="26">
        <v>0</v>
      </c>
      <c r="G40" s="26">
        <f t="shared" si="0"/>
        <v>0</v>
      </c>
      <c r="I40" s="18">
        <v>0</v>
      </c>
      <c r="K40" s="17">
        <v>0</v>
      </c>
      <c r="M40" s="17">
        <v>190746694</v>
      </c>
      <c r="O40" s="26">
        <f t="shared" si="1"/>
        <v>190746694</v>
      </c>
      <c r="Q40" s="18">
        <v>4.6387527312682176E-4</v>
      </c>
    </row>
    <row r="41" spans="1:17" ht="21" x14ac:dyDescent="0.55000000000000004">
      <c r="A41" s="16" t="s">
        <v>352</v>
      </c>
      <c r="C41" s="26">
        <v>0</v>
      </c>
      <c r="E41" s="26">
        <v>0</v>
      </c>
      <c r="G41" s="26">
        <f t="shared" si="0"/>
        <v>0</v>
      </c>
      <c r="I41" s="18">
        <v>0</v>
      </c>
      <c r="K41" s="17">
        <v>0</v>
      </c>
      <c r="M41" s="17">
        <v>65085425</v>
      </c>
      <c r="O41" s="26">
        <f t="shared" si="1"/>
        <v>65085425</v>
      </c>
      <c r="Q41" s="18">
        <v>1.5828069501666053E-4</v>
      </c>
    </row>
    <row r="42" spans="1:17" ht="21" x14ac:dyDescent="0.55000000000000004">
      <c r="A42" s="16" t="s">
        <v>351</v>
      </c>
      <c r="C42" s="26">
        <v>0</v>
      </c>
      <c r="E42" s="26">
        <v>0</v>
      </c>
      <c r="G42" s="26">
        <f t="shared" si="0"/>
        <v>0</v>
      </c>
      <c r="I42" s="18">
        <v>0</v>
      </c>
      <c r="K42" s="17">
        <v>0</v>
      </c>
      <c r="M42" s="17">
        <v>299720319</v>
      </c>
      <c r="O42" s="26">
        <f t="shared" si="1"/>
        <v>299720319</v>
      </c>
      <c r="Q42" s="18">
        <v>7.2888731082166561E-4</v>
      </c>
    </row>
    <row r="43" spans="1:17" ht="21" x14ac:dyDescent="0.55000000000000004">
      <c r="A43" s="16" t="s">
        <v>349</v>
      </c>
      <c r="C43" s="26">
        <v>0</v>
      </c>
      <c r="E43" s="26">
        <v>0</v>
      </c>
      <c r="G43" s="26">
        <f t="shared" si="0"/>
        <v>0</v>
      </c>
      <c r="I43" s="18">
        <v>0</v>
      </c>
      <c r="K43" s="17">
        <v>0</v>
      </c>
      <c r="M43" s="17">
        <v>2313123597</v>
      </c>
      <c r="O43" s="26">
        <f t="shared" si="1"/>
        <v>2313123597</v>
      </c>
      <c r="Q43" s="18">
        <v>5.6252657271977221E-3</v>
      </c>
    </row>
    <row r="44" spans="1:17" ht="21" x14ac:dyDescent="0.55000000000000004">
      <c r="A44" s="16" t="s">
        <v>350</v>
      </c>
      <c r="C44" s="26">
        <v>-4998713</v>
      </c>
      <c r="E44" s="26">
        <v>0</v>
      </c>
      <c r="G44" s="26">
        <f t="shared" si="0"/>
        <v>-4998713</v>
      </c>
      <c r="I44" s="18">
        <v>-2.4554600805956725E-5</v>
      </c>
      <c r="K44" s="17">
        <v>0</v>
      </c>
      <c r="M44" s="17">
        <v>109135100</v>
      </c>
      <c r="O44" s="26">
        <f t="shared" si="1"/>
        <v>109135100</v>
      </c>
      <c r="Q44" s="18">
        <v>2.6540472738270892E-4</v>
      </c>
    </row>
    <row r="45" spans="1:17" ht="21" x14ac:dyDescent="0.55000000000000004">
      <c r="A45" s="16" t="s">
        <v>348</v>
      </c>
      <c r="C45" s="26">
        <v>0</v>
      </c>
      <c r="E45" s="26">
        <v>0</v>
      </c>
      <c r="G45" s="26">
        <f t="shared" si="0"/>
        <v>0</v>
      </c>
      <c r="I45" s="18">
        <v>0</v>
      </c>
      <c r="K45" s="17">
        <v>0</v>
      </c>
      <c r="M45" s="17">
        <v>5000000</v>
      </c>
      <c r="O45" s="26">
        <f t="shared" si="1"/>
        <v>5000000</v>
      </c>
      <c r="Q45" s="18">
        <v>1.2159457744699411E-5</v>
      </c>
    </row>
    <row r="46" spans="1:17" ht="21" x14ac:dyDescent="0.55000000000000004">
      <c r="A46" s="16" t="s">
        <v>347</v>
      </c>
      <c r="C46" s="26">
        <v>0</v>
      </c>
      <c r="E46" s="26">
        <v>0</v>
      </c>
      <c r="G46" s="26">
        <f t="shared" si="0"/>
        <v>0</v>
      </c>
      <c r="I46" s="18">
        <v>0</v>
      </c>
      <c r="K46" s="17">
        <v>0</v>
      </c>
      <c r="M46" s="17">
        <v>34000000</v>
      </c>
      <c r="O46" s="26">
        <f t="shared" si="1"/>
        <v>34000000</v>
      </c>
      <c r="Q46" s="18">
        <v>8.2684312663956002E-5</v>
      </c>
    </row>
    <row r="47" spans="1:17" ht="21" x14ac:dyDescent="0.55000000000000004">
      <c r="A47" s="16" t="s">
        <v>346</v>
      </c>
      <c r="C47" s="26">
        <v>0</v>
      </c>
      <c r="E47" s="26">
        <v>0</v>
      </c>
      <c r="G47" s="26">
        <f t="shared" si="0"/>
        <v>0</v>
      </c>
      <c r="I47" s="18">
        <v>0</v>
      </c>
      <c r="K47" s="17">
        <v>0</v>
      </c>
      <c r="M47" s="17">
        <v>20000000</v>
      </c>
      <c r="O47" s="26">
        <f t="shared" si="1"/>
        <v>20000000</v>
      </c>
      <c r="Q47" s="18">
        <v>4.8637830978797642E-5</v>
      </c>
    </row>
    <row r="48" spans="1:17" ht="21" x14ac:dyDescent="0.55000000000000004">
      <c r="A48" s="16" t="s">
        <v>399</v>
      </c>
      <c r="C48" s="26">
        <v>16531468</v>
      </c>
      <c r="E48" s="26">
        <v>52659126</v>
      </c>
      <c r="G48" s="26">
        <f t="shared" si="0"/>
        <v>69190594</v>
      </c>
      <c r="I48" s="18">
        <v>3.3987696737080615E-4</v>
      </c>
      <c r="K48" s="17">
        <v>16531468</v>
      </c>
      <c r="M48" s="17">
        <v>52659126</v>
      </c>
      <c r="O48" s="26">
        <f t="shared" si="1"/>
        <v>69190594</v>
      </c>
      <c r="Q48" s="18">
        <v>1.6826402081473053E-4</v>
      </c>
    </row>
    <row r="49" spans="1:17" ht="21" x14ac:dyDescent="0.55000000000000004">
      <c r="A49" s="16" t="s">
        <v>345</v>
      </c>
      <c r="C49" s="26">
        <v>0</v>
      </c>
      <c r="E49" s="26">
        <v>0</v>
      </c>
      <c r="G49" s="26">
        <f t="shared" si="0"/>
        <v>0</v>
      </c>
      <c r="I49" s="18">
        <v>0</v>
      </c>
      <c r="K49" s="17">
        <v>0</v>
      </c>
      <c r="M49" s="17">
        <v>2539867414</v>
      </c>
      <c r="O49" s="26">
        <f t="shared" si="1"/>
        <v>2539867414</v>
      </c>
      <c r="Q49" s="18">
        <v>6.1766820995343931E-3</v>
      </c>
    </row>
    <row r="50" spans="1:17" ht="21" x14ac:dyDescent="0.55000000000000004">
      <c r="A50" s="16" t="s">
        <v>344</v>
      </c>
      <c r="C50" s="26">
        <v>0</v>
      </c>
      <c r="E50" s="26">
        <v>0</v>
      </c>
      <c r="G50" s="26">
        <f t="shared" si="0"/>
        <v>0</v>
      </c>
      <c r="I50" s="18">
        <v>0</v>
      </c>
      <c r="K50" s="17">
        <v>0</v>
      </c>
      <c r="M50" s="17">
        <v>-1633923532</v>
      </c>
      <c r="O50" s="26">
        <f t="shared" si="1"/>
        <v>-1633923532</v>
      </c>
      <c r="Q50" s="18">
        <v>-3.9735248290848034E-3</v>
      </c>
    </row>
    <row r="51" spans="1:17" ht="21" x14ac:dyDescent="0.55000000000000004">
      <c r="A51" s="16" t="s">
        <v>343</v>
      </c>
      <c r="C51" s="26">
        <v>0</v>
      </c>
      <c r="E51" s="26">
        <v>0</v>
      </c>
      <c r="G51" s="26">
        <f t="shared" si="0"/>
        <v>0</v>
      </c>
      <c r="I51" s="18">
        <v>0</v>
      </c>
      <c r="K51" s="17">
        <v>0</v>
      </c>
      <c r="M51" s="17">
        <v>37996928</v>
      </c>
      <c r="O51" s="26">
        <f t="shared" si="1"/>
        <v>37996928</v>
      </c>
      <c r="Q51" s="18">
        <v>9.240440808887719E-5</v>
      </c>
    </row>
    <row r="52" spans="1:17" ht="21" x14ac:dyDescent="0.55000000000000004">
      <c r="A52" s="16" t="s">
        <v>342</v>
      </c>
      <c r="C52" s="26">
        <v>-70631808</v>
      </c>
      <c r="E52" s="26">
        <v>0</v>
      </c>
      <c r="G52" s="26">
        <f t="shared" si="0"/>
        <v>-70631808</v>
      </c>
      <c r="I52" s="18">
        <v>-3.4695647652565383E-4</v>
      </c>
      <c r="K52" s="17">
        <v>0</v>
      </c>
      <c r="M52" s="17">
        <v>64743265</v>
      </c>
      <c r="O52" s="26">
        <f t="shared" si="1"/>
        <v>64743265</v>
      </c>
      <c r="Q52" s="18">
        <v>1.5744859900427527E-4</v>
      </c>
    </row>
    <row r="53" spans="1:17" ht="21" x14ac:dyDescent="0.55000000000000004">
      <c r="A53" s="16" t="s">
        <v>341</v>
      </c>
      <c r="C53" s="26">
        <v>999220</v>
      </c>
      <c r="E53" s="26">
        <f>VLOOKUP(A53,[1]myData!$A:$B,2,0)</f>
        <v>25957630</v>
      </c>
      <c r="G53" s="26">
        <f t="shared" si="0"/>
        <v>26956850</v>
      </c>
      <c r="I53" s="18">
        <v>1.3241702228874804E-4</v>
      </c>
      <c r="K53" s="17">
        <v>0</v>
      </c>
      <c r="M53" s="17">
        <v>81908525</v>
      </c>
      <c r="O53" s="26">
        <f t="shared" si="1"/>
        <v>81908525</v>
      </c>
      <c r="Q53" s="18">
        <v>1.9919264973363107E-4</v>
      </c>
    </row>
    <row r="54" spans="1:17" ht="21" x14ac:dyDescent="0.55000000000000004">
      <c r="A54" s="16" t="s">
        <v>340</v>
      </c>
      <c r="C54" s="26">
        <v>0</v>
      </c>
      <c r="E54" s="26">
        <v>0</v>
      </c>
      <c r="G54" s="26">
        <f t="shared" si="0"/>
        <v>0</v>
      </c>
      <c r="I54" s="18">
        <v>0</v>
      </c>
      <c r="K54" s="17">
        <v>0</v>
      </c>
      <c r="M54" s="17">
        <v>288880900</v>
      </c>
      <c r="O54" s="26">
        <f t="shared" si="1"/>
        <v>288880900</v>
      </c>
      <c r="Q54" s="18">
        <v>7.0252701936014727E-4</v>
      </c>
    </row>
    <row r="55" spans="1:17" ht="21" x14ac:dyDescent="0.55000000000000004">
      <c r="A55" s="16" t="s">
        <v>339</v>
      </c>
      <c r="C55" s="26">
        <v>0</v>
      </c>
      <c r="E55" s="26">
        <v>0</v>
      </c>
      <c r="G55" s="26">
        <f t="shared" si="0"/>
        <v>0</v>
      </c>
      <c r="I55" s="18">
        <v>0</v>
      </c>
      <c r="K55" s="17">
        <v>0</v>
      </c>
      <c r="M55" s="17">
        <v>64568918</v>
      </c>
      <c r="O55" s="26">
        <f t="shared" si="1"/>
        <v>64568918</v>
      </c>
      <c r="Q55" s="18">
        <v>1.5702460600839225E-4</v>
      </c>
    </row>
    <row r="56" spans="1:17" ht="21" x14ac:dyDescent="0.55000000000000004">
      <c r="A56" s="16" t="s">
        <v>338</v>
      </c>
      <c r="C56" s="26">
        <v>0</v>
      </c>
      <c r="E56" s="26">
        <v>0</v>
      </c>
      <c r="G56" s="26">
        <f t="shared" si="0"/>
        <v>0</v>
      </c>
      <c r="I56" s="18">
        <v>0</v>
      </c>
      <c r="K56" s="17">
        <v>0</v>
      </c>
      <c r="M56" s="17">
        <v>76234671</v>
      </c>
      <c r="O56" s="26">
        <f t="shared" si="1"/>
        <v>76234671</v>
      </c>
      <c r="Q56" s="18">
        <v>1.8539445214111233E-4</v>
      </c>
    </row>
    <row r="57" spans="1:17" ht="21" x14ac:dyDescent="0.55000000000000004">
      <c r="A57" s="16" t="s">
        <v>337</v>
      </c>
      <c r="C57" s="26">
        <v>0</v>
      </c>
      <c r="E57" s="26">
        <v>0</v>
      </c>
      <c r="G57" s="26">
        <f t="shared" si="0"/>
        <v>0</v>
      </c>
      <c r="I57" s="18">
        <v>0</v>
      </c>
      <c r="K57" s="17">
        <v>0</v>
      </c>
      <c r="M57" s="17">
        <v>27996932</v>
      </c>
      <c r="O57" s="26">
        <f t="shared" si="1"/>
        <v>27996932</v>
      </c>
      <c r="Q57" s="18">
        <v>6.8085502327044553E-5</v>
      </c>
    </row>
    <row r="58" spans="1:17" ht="21" x14ac:dyDescent="0.55000000000000004">
      <c r="A58" s="16" t="s">
        <v>336</v>
      </c>
      <c r="C58" s="26">
        <v>0</v>
      </c>
      <c r="E58" s="26">
        <v>0</v>
      </c>
      <c r="G58" s="26">
        <f t="shared" si="0"/>
        <v>0</v>
      </c>
      <c r="I58" s="18">
        <v>0</v>
      </c>
      <c r="K58" s="17">
        <v>0</v>
      </c>
      <c r="M58" s="17">
        <v>-99672897</v>
      </c>
      <c r="O58" s="26">
        <f t="shared" si="1"/>
        <v>-99672897</v>
      </c>
      <c r="Q58" s="18">
        <v>-2.4239367587265535E-4</v>
      </c>
    </row>
    <row r="59" spans="1:17" ht="21" x14ac:dyDescent="0.55000000000000004">
      <c r="A59" s="16" t="s">
        <v>335</v>
      </c>
      <c r="C59" s="26">
        <v>0</v>
      </c>
      <c r="E59" s="26">
        <v>0</v>
      </c>
      <c r="G59" s="26">
        <f t="shared" si="0"/>
        <v>0</v>
      </c>
      <c r="I59" s="18">
        <v>0</v>
      </c>
      <c r="K59" s="17">
        <v>0</v>
      </c>
      <c r="M59" s="17">
        <v>818500907</v>
      </c>
      <c r="O59" s="26">
        <f t="shared" si="1"/>
        <v>818500907</v>
      </c>
      <c r="Q59" s="18">
        <v>1.9905054385329283E-3</v>
      </c>
    </row>
    <row r="60" spans="1:17" ht="21" x14ac:dyDescent="0.55000000000000004">
      <c r="A60" s="16" t="s">
        <v>334</v>
      </c>
      <c r="C60" s="26">
        <v>0</v>
      </c>
      <c r="E60" s="26">
        <v>0</v>
      </c>
      <c r="G60" s="26">
        <f t="shared" si="0"/>
        <v>0</v>
      </c>
      <c r="I60" s="18">
        <v>0</v>
      </c>
      <c r="K60" s="17">
        <v>0</v>
      </c>
      <c r="M60" s="17">
        <v>379994939</v>
      </c>
      <c r="O60" s="26">
        <f t="shared" si="1"/>
        <v>379994939</v>
      </c>
      <c r="Q60" s="18">
        <v>9.2410648079402607E-4</v>
      </c>
    </row>
    <row r="61" spans="1:17" ht="21" x14ac:dyDescent="0.55000000000000004">
      <c r="A61" s="16" t="s">
        <v>333</v>
      </c>
      <c r="C61" s="26">
        <v>0</v>
      </c>
      <c r="E61" s="26">
        <v>0</v>
      </c>
      <c r="G61" s="26">
        <f t="shared" si="0"/>
        <v>0</v>
      </c>
      <c r="I61" s="18">
        <v>0</v>
      </c>
      <c r="K61" s="17">
        <v>0</v>
      </c>
      <c r="M61" s="17">
        <v>75996929</v>
      </c>
      <c r="O61" s="26">
        <f t="shared" si="1"/>
        <v>75996929</v>
      </c>
      <c r="Q61" s="18">
        <v>1.8481628938048426E-4</v>
      </c>
    </row>
    <row r="62" spans="1:17" ht="21" x14ac:dyDescent="0.55000000000000004">
      <c r="A62" s="16" t="s">
        <v>400</v>
      </c>
      <c r="C62" s="26">
        <v>-16717327</v>
      </c>
      <c r="E62" s="26">
        <v>-33164356</v>
      </c>
      <c r="G62" s="26">
        <f t="shared" si="0"/>
        <v>-49881683</v>
      </c>
      <c r="I62" s="18">
        <v>-2.4502803293453292E-4</v>
      </c>
      <c r="K62" s="26">
        <v>-16717327</v>
      </c>
      <c r="M62" s="17">
        <v>-33164356</v>
      </c>
      <c r="O62" s="26">
        <f t="shared" si="1"/>
        <v>-49881683</v>
      </c>
      <c r="Q62" s="18">
        <v>-1.2130684333459819E-4</v>
      </c>
    </row>
    <row r="63" spans="1:17" ht="21" x14ac:dyDescent="0.55000000000000004">
      <c r="A63" s="16" t="s">
        <v>332</v>
      </c>
      <c r="C63" s="26">
        <v>0</v>
      </c>
      <c r="E63" s="26">
        <v>0</v>
      </c>
      <c r="G63" s="26">
        <f t="shared" si="0"/>
        <v>0</v>
      </c>
      <c r="I63" s="18">
        <v>0</v>
      </c>
      <c r="K63" s="17">
        <v>0</v>
      </c>
      <c r="M63" s="17">
        <v>103932028</v>
      </c>
      <c r="O63" s="26">
        <f t="shared" si="1"/>
        <v>103932028</v>
      </c>
      <c r="Q63" s="18">
        <v>2.527514205573832E-4</v>
      </c>
    </row>
    <row r="64" spans="1:17" ht="21" x14ac:dyDescent="0.55000000000000004">
      <c r="A64" s="16" t="s">
        <v>331</v>
      </c>
      <c r="C64" s="26">
        <v>0</v>
      </c>
      <c r="E64" s="26">
        <v>0</v>
      </c>
      <c r="G64" s="26">
        <f t="shared" si="0"/>
        <v>0</v>
      </c>
      <c r="I64" s="18">
        <v>0</v>
      </c>
      <c r="K64" s="17">
        <v>0</v>
      </c>
      <c r="M64" s="17">
        <v>853398759</v>
      </c>
      <c r="O64" s="26">
        <f t="shared" si="1"/>
        <v>853398759</v>
      </c>
      <c r="Q64" s="18">
        <v>2.0753732298878832E-3</v>
      </c>
    </row>
    <row r="65" spans="1:17" ht="21" x14ac:dyDescent="0.55000000000000004">
      <c r="A65" s="16" t="s">
        <v>330</v>
      </c>
      <c r="C65" s="26">
        <v>0</v>
      </c>
      <c r="E65" s="26">
        <v>0</v>
      </c>
      <c r="G65" s="26">
        <f t="shared" si="0"/>
        <v>0</v>
      </c>
      <c r="I65" s="18">
        <v>0</v>
      </c>
      <c r="K65" s="17">
        <v>0</v>
      </c>
      <c r="M65" s="17">
        <v>130771169</v>
      </c>
      <c r="O65" s="26">
        <f t="shared" si="1"/>
        <v>130771169</v>
      </c>
      <c r="Q65" s="18">
        <v>3.1802130073608912E-4</v>
      </c>
    </row>
    <row r="66" spans="1:17" ht="21" x14ac:dyDescent="0.55000000000000004">
      <c r="A66" s="16" t="s">
        <v>329</v>
      </c>
      <c r="C66" s="26">
        <v>0</v>
      </c>
      <c r="E66" s="26">
        <v>0</v>
      </c>
      <c r="G66" s="26">
        <f t="shared" si="0"/>
        <v>0</v>
      </c>
      <c r="I66" s="18">
        <v>0</v>
      </c>
      <c r="J66" s="15"/>
      <c r="K66" s="17">
        <v>0</v>
      </c>
      <c r="M66" s="17">
        <v>15997940</v>
      </c>
      <c r="O66" s="26">
        <f t="shared" si="1"/>
        <v>15997940</v>
      </c>
      <c r="Q66" s="18">
        <v>3.89052550864473E-5</v>
      </c>
    </row>
    <row r="67" spans="1:17" ht="21" x14ac:dyDescent="0.55000000000000004">
      <c r="A67" s="16" t="s">
        <v>328</v>
      </c>
      <c r="C67" s="26">
        <v>0</v>
      </c>
      <c r="E67" s="26">
        <v>0</v>
      </c>
      <c r="G67" s="26">
        <f t="shared" si="0"/>
        <v>0</v>
      </c>
      <c r="I67" s="18">
        <v>0</v>
      </c>
      <c r="J67" s="15"/>
      <c r="K67" s="17">
        <v>0</v>
      </c>
      <c r="M67" s="17">
        <v>41960571</v>
      </c>
      <c r="O67" s="26">
        <f t="shared" si="1"/>
        <v>41960571</v>
      </c>
      <c r="Q67" s="18">
        <v>1.020435580035919E-4</v>
      </c>
    </row>
    <row r="68" spans="1:17" ht="21" x14ac:dyDescent="0.55000000000000004">
      <c r="A68" s="16" t="s">
        <v>327</v>
      </c>
      <c r="C68" s="26">
        <v>-133965</v>
      </c>
      <c r="E68" s="26">
        <v>0</v>
      </c>
      <c r="G68" s="26">
        <f t="shared" si="0"/>
        <v>-133965</v>
      </c>
      <c r="I68" s="18">
        <v>-6.5806080424501117E-7</v>
      </c>
      <c r="J68" s="15"/>
      <c r="K68" s="17">
        <v>0</v>
      </c>
      <c r="M68" s="17">
        <v>10265873</v>
      </c>
      <c r="O68" s="26">
        <f t="shared" si="1"/>
        <v>10265873</v>
      </c>
      <c r="Q68" s="18">
        <v>2.4965489791190115E-5</v>
      </c>
    </row>
    <row r="69" spans="1:17" ht="21" x14ac:dyDescent="0.55000000000000004">
      <c r="A69" s="16" t="s">
        <v>326</v>
      </c>
      <c r="C69" s="26">
        <v>0</v>
      </c>
      <c r="E69" s="26">
        <v>0</v>
      </c>
      <c r="G69" s="26">
        <f t="shared" si="0"/>
        <v>0</v>
      </c>
      <c r="I69" s="18">
        <v>0</v>
      </c>
      <c r="J69" s="15"/>
      <c r="K69" s="17">
        <v>0</v>
      </c>
      <c r="M69" s="17">
        <v>478416987</v>
      </c>
      <c r="O69" s="26">
        <f t="shared" si="1"/>
        <v>478416987</v>
      </c>
      <c r="Q69" s="18">
        <v>1.1634582275545815E-3</v>
      </c>
    </row>
    <row r="70" spans="1:17" ht="21" x14ac:dyDescent="0.55000000000000004">
      <c r="A70" s="16" t="s">
        <v>325</v>
      </c>
      <c r="C70" s="26">
        <v>-567853</v>
      </c>
      <c r="E70" s="26">
        <v>0</v>
      </c>
      <c r="G70" s="26">
        <f t="shared" si="0"/>
        <v>-567853</v>
      </c>
      <c r="I70" s="18">
        <v>-2.7893987375280284E-6</v>
      </c>
      <c r="J70" s="15"/>
      <c r="K70" s="17">
        <v>0</v>
      </c>
      <c r="M70" s="17">
        <v>1135782</v>
      </c>
      <c r="O70" s="26">
        <f t="shared" si="1"/>
        <v>1135782</v>
      </c>
      <c r="Q70" s="18">
        <v>2.7620986472380375E-6</v>
      </c>
    </row>
    <row r="71" spans="1:17" ht="21" x14ac:dyDescent="0.55000000000000004">
      <c r="A71" s="16" t="s">
        <v>324</v>
      </c>
      <c r="C71" s="26">
        <v>0</v>
      </c>
      <c r="E71" s="26">
        <v>0</v>
      </c>
      <c r="G71" s="26">
        <f t="shared" si="0"/>
        <v>0</v>
      </c>
      <c r="I71" s="18">
        <v>0</v>
      </c>
      <c r="J71" s="15"/>
      <c r="K71" s="17">
        <v>0</v>
      </c>
      <c r="M71" s="17">
        <v>1377570353</v>
      </c>
      <c r="O71" s="26">
        <f t="shared" si="1"/>
        <v>1377570353</v>
      </c>
      <c r="Q71" s="18">
        <v>3.3501016995308303E-3</v>
      </c>
    </row>
    <row r="72" spans="1:17" ht="21" x14ac:dyDescent="0.55000000000000004">
      <c r="A72" s="16" t="s">
        <v>388</v>
      </c>
      <c r="C72" s="26">
        <v>46714587</v>
      </c>
      <c r="E72" s="26">
        <f>VLOOKUP(A72,[1]myData!$A:$B,2,0)</f>
        <v>101486033</v>
      </c>
      <c r="G72" s="26">
        <f t="shared" si="0"/>
        <v>148200620</v>
      </c>
      <c r="I72" s="18">
        <v>7.279887969753987E-4</v>
      </c>
      <c r="J72" s="15"/>
      <c r="K72" s="17">
        <v>46714587</v>
      </c>
      <c r="M72" s="17">
        <v>101486033</v>
      </c>
      <c r="O72" s="26">
        <f t="shared" si="1"/>
        <v>148200620</v>
      </c>
      <c r="Q72" s="18">
        <v>3.6040783532565091E-4</v>
      </c>
    </row>
    <row r="73" spans="1:17" ht="21" x14ac:dyDescent="0.55000000000000004">
      <c r="A73" s="16" t="s">
        <v>389</v>
      </c>
      <c r="C73" s="26">
        <v>99924</v>
      </c>
      <c r="E73" s="26">
        <f>VLOOKUP(A73,[1]myData!$A:$B,2,0)</f>
        <v>301855588</v>
      </c>
      <c r="G73" s="26">
        <f t="shared" si="0"/>
        <v>301955512</v>
      </c>
      <c r="I73" s="18">
        <v>1.4832612030973324E-3</v>
      </c>
      <c r="J73" s="15"/>
      <c r="K73" s="17">
        <v>99924</v>
      </c>
      <c r="M73" s="17">
        <v>301855588</v>
      </c>
      <c r="O73" s="26">
        <f t="shared" si="1"/>
        <v>301955512</v>
      </c>
      <c r="Q73" s="18">
        <v>7.343230577886152E-4</v>
      </c>
    </row>
    <row r="74" spans="1:17" ht="21" x14ac:dyDescent="0.55000000000000004">
      <c r="A74" s="16" t="s">
        <v>323</v>
      </c>
      <c r="C74" s="26">
        <v>0</v>
      </c>
      <c r="E74" s="26">
        <v>0</v>
      </c>
      <c r="G74" s="26">
        <f t="shared" ref="G74:G137" si="2">E74+C74</f>
        <v>0</v>
      </c>
      <c r="I74" s="18">
        <v>0</v>
      </c>
      <c r="J74" s="15"/>
      <c r="K74" s="17">
        <v>0</v>
      </c>
      <c r="M74" s="17">
        <v>429981911</v>
      </c>
      <c r="O74" s="26">
        <f t="shared" ref="O74:O137" si="3">M74+K74</f>
        <v>429981911</v>
      </c>
      <c r="Q74" s="18">
        <v>1.0456693755579206E-3</v>
      </c>
    </row>
    <row r="75" spans="1:17" ht="21" x14ac:dyDescent="0.55000000000000004">
      <c r="A75" s="16" t="s">
        <v>322</v>
      </c>
      <c r="C75" s="26">
        <v>0</v>
      </c>
      <c r="E75" s="26">
        <v>0</v>
      </c>
      <c r="G75" s="26">
        <f t="shared" si="2"/>
        <v>0</v>
      </c>
      <c r="I75" s="18">
        <v>0</v>
      </c>
      <c r="J75" s="15"/>
      <c r="K75" s="17">
        <v>0</v>
      </c>
      <c r="M75" s="17">
        <v>37185668</v>
      </c>
      <c r="O75" s="26">
        <f t="shared" si="3"/>
        <v>37185668</v>
      </c>
      <c r="Q75" s="18">
        <v>9.0431511750884211E-5</v>
      </c>
    </row>
    <row r="76" spans="1:17" ht="21" x14ac:dyDescent="0.55000000000000004">
      <c r="A76" s="16" t="s">
        <v>321</v>
      </c>
      <c r="C76" s="26">
        <v>7394228</v>
      </c>
      <c r="E76" s="26">
        <v>0</v>
      </c>
      <c r="G76" s="26">
        <f t="shared" si="2"/>
        <v>7394228</v>
      </c>
      <c r="I76" s="18">
        <v>3.6321812596207817E-5</v>
      </c>
      <c r="J76" s="15"/>
      <c r="K76" s="17">
        <v>0</v>
      </c>
      <c r="M76" s="17">
        <v>-30315478</v>
      </c>
      <c r="O76" s="26">
        <f t="shared" si="3"/>
        <v>-30315478</v>
      </c>
      <c r="Q76" s="18">
        <v>-7.3723954750272926E-5</v>
      </c>
    </row>
    <row r="77" spans="1:17" ht="21" x14ac:dyDescent="0.55000000000000004">
      <c r="A77" s="16" t="s">
        <v>320</v>
      </c>
      <c r="C77" s="26">
        <v>38805006</v>
      </c>
      <c r="E77" s="26">
        <v>0</v>
      </c>
      <c r="G77" s="26">
        <f t="shared" si="2"/>
        <v>38805006</v>
      </c>
      <c r="I77" s="18">
        <v>1.9061735122675687E-4</v>
      </c>
      <c r="J77" s="15"/>
      <c r="K77" s="17">
        <v>0</v>
      </c>
      <c r="M77" s="17">
        <v>418796114</v>
      </c>
      <c r="O77" s="26">
        <f t="shared" si="3"/>
        <v>418796114</v>
      </c>
      <c r="Q77" s="18">
        <v>1.0184667303654634E-3</v>
      </c>
    </row>
    <row r="78" spans="1:17" ht="21" x14ac:dyDescent="0.55000000000000004">
      <c r="A78" s="16" t="s">
        <v>319</v>
      </c>
      <c r="C78" s="26">
        <v>81064902</v>
      </c>
      <c r="E78" s="26">
        <f>VLOOKUP(A78,[1]myData!$A:$B,2,0)</f>
        <v>3142653</v>
      </c>
      <c r="G78" s="26">
        <f t="shared" si="2"/>
        <v>84207555</v>
      </c>
      <c r="I78" s="18">
        <v>4.1364305129553249E-4</v>
      </c>
      <c r="J78" s="15"/>
      <c r="K78" s="17">
        <v>0</v>
      </c>
      <c r="M78" s="17">
        <v>3142653</v>
      </c>
      <c r="O78" s="26">
        <f t="shared" si="3"/>
        <v>3142653</v>
      </c>
      <c r="Q78" s="18">
        <v>7.6425912719505672E-6</v>
      </c>
    </row>
    <row r="79" spans="1:17" ht="21" x14ac:dyDescent="0.55000000000000004">
      <c r="A79" s="16" t="s">
        <v>318</v>
      </c>
      <c r="C79" s="26">
        <v>149701170</v>
      </c>
      <c r="E79" s="26">
        <f>VLOOKUP(A79,[1]myData!$A:$B,2,0)</f>
        <v>-26582896</v>
      </c>
      <c r="G79" s="26">
        <f t="shared" si="2"/>
        <v>123118274</v>
      </c>
      <c r="I79" s="18">
        <v>6.0477968428841603E-4</v>
      </c>
      <c r="J79" s="15"/>
      <c r="K79" s="17">
        <v>0</v>
      </c>
      <c r="M79" s="17">
        <v>-26582896</v>
      </c>
      <c r="O79" s="26">
        <f t="shared" si="3"/>
        <v>-26582896</v>
      </c>
      <c r="Q79" s="18">
        <v>-6.4646720128747802E-5</v>
      </c>
    </row>
    <row r="80" spans="1:17" ht="21" x14ac:dyDescent="0.55000000000000004">
      <c r="A80" s="16" t="s">
        <v>317</v>
      </c>
      <c r="C80" s="26">
        <v>3958980</v>
      </c>
      <c r="E80" s="26">
        <v>0</v>
      </c>
      <c r="G80" s="26">
        <f t="shared" si="2"/>
        <v>3958980</v>
      </c>
      <c r="I80" s="18">
        <v>1.9447240419437273E-5</v>
      </c>
      <c r="J80" s="15"/>
      <c r="K80" s="17">
        <v>0</v>
      </c>
      <c r="M80" s="17">
        <v>-29514167</v>
      </c>
      <c r="O80" s="26">
        <f t="shared" si="3"/>
        <v>-29514167</v>
      </c>
      <c r="Q80" s="18">
        <v>-7.1775253301300355E-5</v>
      </c>
    </row>
    <row r="81" spans="1:17" ht="21" x14ac:dyDescent="0.55000000000000004">
      <c r="A81" s="16" t="s">
        <v>316</v>
      </c>
      <c r="C81" s="26">
        <v>-3102579</v>
      </c>
      <c r="E81" s="26">
        <v>0</v>
      </c>
      <c r="G81" s="26">
        <f t="shared" si="2"/>
        <v>-3102579</v>
      </c>
      <c r="I81" s="18">
        <v>-1.5240440652212761E-5</v>
      </c>
      <c r="J81" s="15"/>
      <c r="K81" s="17">
        <v>0</v>
      </c>
      <c r="M81" s="17">
        <v>177327116</v>
      </c>
      <c r="O81" s="26">
        <f t="shared" si="3"/>
        <v>177327116</v>
      </c>
      <c r="Q81" s="18">
        <v>4.3124031479828217E-4</v>
      </c>
    </row>
    <row r="82" spans="1:17" ht="21" x14ac:dyDescent="0.55000000000000004">
      <c r="A82" s="16" t="s">
        <v>315</v>
      </c>
      <c r="C82" s="26">
        <v>0</v>
      </c>
      <c r="E82" s="26">
        <v>0</v>
      </c>
      <c r="G82" s="26">
        <f t="shared" si="2"/>
        <v>0</v>
      </c>
      <c r="I82" s="18">
        <v>0</v>
      </c>
      <c r="J82" s="15"/>
      <c r="K82" s="17">
        <v>0</v>
      </c>
      <c r="M82" s="17">
        <v>82079944</v>
      </c>
      <c r="O82" s="26">
        <f t="shared" si="3"/>
        <v>82079944</v>
      </c>
      <c r="Q82" s="18">
        <v>1.9960952215105881E-4</v>
      </c>
    </row>
    <row r="83" spans="1:17" ht="21" x14ac:dyDescent="0.55000000000000004">
      <c r="A83" s="16" t="s">
        <v>314</v>
      </c>
      <c r="C83" s="26">
        <v>0</v>
      </c>
      <c r="E83" s="26">
        <v>0</v>
      </c>
      <c r="G83" s="26">
        <f t="shared" si="2"/>
        <v>0</v>
      </c>
      <c r="I83" s="18">
        <v>0</v>
      </c>
      <c r="J83" s="15"/>
      <c r="K83" s="17">
        <v>0</v>
      </c>
      <c r="M83" s="17">
        <v>407621359</v>
      </c>
      <c r="O83" s="26">
        <f t="shared" si="3"/>
        <v>407621359</v>
      </c>
      <c r="Q83" s="18">
        <v>9.9129093811948978E-4</v>
      </c>
    </row>
    <row r="84" spans="1:17" ht="21" x14ac:dyDescent="0.55000000000000004">
      <c r="A84" s="16" t="s">
        <v>313</v>
      </c>
      <c r="C84" s="26">
        <v>0</v>
      </c>
      <c r="E84" s="26">
        <v>0</v>
      </c>
      <c r="G84" s="26">
        <f t="shared" si="2"/>
        <v>0</v>
      </c>
      <c r="I84" s="18">
        <v>0</v>
      </c>
      <c r="J84" s="15"/>
      <c r="K84" s="17">
        <v>0</v>
      </c>
      <c r="M84" s="17">
        <v>278569994</v>
      </c>
      <c r="O84" s="26">
        <f t="shared" si="3"/>
        <v>278569994</v>
      </c>
      <c r="Q84" s="18">
        <v>6.7745201419683375E-4</v>
      </c>
    </row>
    <row r="85" spans="1:17" ht="21" x14ac:dyDescent="0.55000000000000004">
      <c r="A85" s="16" t="s">
        <v>312</v>
      </c>
      <c r="C85" s="26">
        <v>0</v>
      </c>
      <c r="E85" s="26">
        <v>0</v>
      </c>
      <c r="G85" s="26">
        <f t="shared" si="2"/>
        <v>0</v>
      </c>
      <c r="I85" s="18">
        <v>0</v>
      </c>
      <c r="J85" s="15"/>
      <c r="K85" s="17">
        <v>0</v>
      </c>
      <c r="M85" s="17">
        <v>67514952</v>
      </c>
      <c r="O85" s="26">
        <f t="shared" si="3"/>
        <v>67514952</v>
      </c>
      <c r="Q85" s="18">
        <v>1.641890411958818E-4</v>
      </c>
    </row>
    <row r="86" spans="1:17" ht="21" x14ac:dyDescent="0.55000000000000004">
      <c r="A86" s="16" t="s">
        <v>311</v>
      </c>
      <c r="C86" s="26">
        <v>0</v>
      </c>
      <c r="E86" s="26">
        <v>0</v>
      </c>
      <c r="G86" s="26">
        <f t="shared" si="2"/>
        <v>0</v>
      </c>
      <c r="I86" s="18">
        <v>0</v>
      </c>
      <c r="J86" s="15"/>
      <c r="K86" s="17">
        <v>0</v>
      </c>
      <c r="M86" s="17">
        <v>1596292</v>
      </c>
      <c r="O86" s="26">
        <f t="shared" si="3"/>
        <v>1596292</v>
      </c>
      <c r="Q86" s="18">
        <v>3.8820090244403428E-6</v>
      </c>
    </row>
    <row r="87" spans="1:17" ht="21" x14ac:dyDescent="0.55000000000000004">
      <c r="A87" s="16" t="s">
        <v>310</v>
      </c>
      <c r="C87" s="26">
        <v>0</v>
      </c>
      <c r="E87" s="26">
        <v>0</v>
      </c>
      <c r="G87" s="26">
        <f t="shared" si="2"/>
        <v>0</v>
      </c>
      <c r="I87" s="18">
        <v>0</v>
      </c>
      <c r="J87" s="15"/>
      <c r="K87" s="17">
        <v>0</v>
      </c>
      <c r="M87" s="17">
        <v>718657381</v>
      </c>
      <c r="O87" s="26">
        <f t="shared" si="3"/>
        <v>718657381</v>
      </c>
      <c r="Q87" s="18">
        <v>1.7476968114371692E-3</v>
      </c>
    </row>
    <row r="88" spans="1:17" ht="21" x14ac:dyDescent="0.55000000000000004">
      <c r="A88" s="16" t="s">
        <v>309</v>
      </c>
      <c r="C88" s="26">
        <v>0</v>
      </c>
      <c r="E88" s="26">
        <v>0</v>
      </c>
      <c r="G88" s="26">
        <f t="shared" si="2"/>
        <v>0</v>
      </c>
      <c r="I88" s="18">
        <v>0</v>
      </c>
      <c r="J88" s="15"/>
      <c r="K88" s="17">
        <v>0</v>
      </c>
      <c r="M88" s="17">
        <v>1027103692</v>
      </c>
      <c r="O88" s="26">
        <f t="shared" si="3"/>
        <v>1027103692</v>
      </c>
      <c r="Q88" s="18">
        <v>2.4978047884597517E-3</v>
      </c>
    </row>
    <row r="89" spans="1:17" ht="21" x14ac:dyDescent="0.55000000000000004">
      <c r="A89" s="16" t="s">
        <v>308</v>
      </c>
      <c r="C89" s="26">
        <v>0</v>
      </c>
      <c r="E89" s="26">
        <v>0</v>
      </c>
      <c r="G89" s="26">
        <f t="shared" si="2"/>
        <v>0</v>
      </c>
      <c r="I89" s="18">
        <v>0</v>
      </c>
      <c r="J89" s="15"/>
      <c r="K89" s="17">
        <v>0</v>
      </c>
      <c r="M89" s="17">
        <v>394213597</v>
      </c>
      <c r="O89" s="26">
        <f t="shared" si="3"/>
        <v>394213597</v>
      </c>
      <c r="Q89" s="18">
        <v>9.5868471502149255E-4</v>
      </c>
    </row>
    <row r="90" spans="1:17" ht="21" x14ac:dyDescent="0.55000000000000004">
      <c r="A90" s="16" t="s">
        <v>307</v>
      </c>
      <c r="C90" s="26">
        <v>0</v>
      </c>
      <c r="E90" s="26">
        <v>0</v>
      </c>
      <c r="G90" s="26">
        <f t="shared" si="2"/>
        <v>0</v>
      </c>
      <c r="I90" s="18">
        <v>0</v>
      </c>
      <c r="J90" s="15"/>
      <c r="K90" s="17">
        <v>0</v>
      </c>
      <c r="M90" s="17">
        <v>27846437</v>
      </c>
      <c r="O90" s="26">
        <f t="shared" si="3"/>
        <v>27846437</v>
      </c>
      <c r="Q90" s="18">
        <v>6.7719514808386845E-5</v>
      </c>
    </row>
    <row r="91" spans="1:17" ht="21" x14ac:dyDescent="0.55000000000000004">
      <c r="A91" s="16" t="s">
        <v>306</v>
      </c>
      <c r="C91" s="26">
        <v>0</v>
      </c>
      <c r="E91" s="26">
        <v>0</v>
      </c>
      <c r="G91" s="26">
        <f t="shared" si="2"/>
        <v>0</v>
      </c>
      <c r="I91" s="18">
        <v>0</v>
      </c>
      <c r="J91" s="15"/>
      <c r="K91" s="17">
        <v>0</v>
      </c>
      <c r="M91" s="17">
        <v>-207613744</v>
      </c>
      <c r="O91" s="26">
        <f t="shared" si="3"/>
        <v>-207613744</v>
      </c>
      <c r="Q91" s="18">
        <v>-5.0489410947736823E-4</v>
      </c>
    </row>
    <row r="92" spans="1:17" ht="21" x14ac:dyDescent="0.55000000000000004">
      <c r="A92" s="16" t="s">
        <v>305</v>
      </c>
      <c r="C92" s="26">
        <v>0</v>
      </c>
      <c r="E92" s="26">
        <v>0</v>
      </c>
      <c r="G92" s="26">
        <f t="shared" si="2"/>
        <v>0</v>
      </c>
      <c r="I92" s="18">
        <v>0</v>
      </c>
      <c r="J92" s="15"/>
      <c r="K92" s="17">
        <v>0</v>
      </c>
      <c r="M92" s="17">
        <v>542264460</v>
      </c>
      <c r="O92" s="26">
        <f t="shared" si="3"/>
        <v>542264460</v>
      </c>
      <c r="Q92" s="18">
        <v>1.3187283575644489E-3</v>
      </c>
    </row>
    <row r="93" spans="1:17" ht="21" x14ac:dyDescent="0.55000000000000004">
      <c r="A93" s="16" t="s">
        <v>304</v>
      </c>
      <c r="C93" s="26">
        <v>0</v>
      </c>
      <c r="E93" s="26">
        <v>0</v>
      </c>
      <c r="G93" s="26">
        <f t="shared" si="2"/>
        <v>0</v>
      </c>
      <c r="I93" s="18">
        <v>0</v>
      </c>
      <c r="J93" s="15"/>
      <c r="K93" s="17">
        <v>0</v>
      </c>
      <c r="M93" s="17">
        <v>762470285</v>
      </c>
      <c r="O93" s="26">
        <f t="shared" si="3"/>
        <v>762470285</v>
      </c>
      <c r="Q93" s="18">
        <v>1.8542450424092836E-3</v>
      </c>
    </row>
    <row r="94" spans="1:17" ht="21" x14ac:dyDescent="0.55000000000000004">
      <c r="A94" s="16" t="s">
        <v>303</v>
      </c>
      <c r="C94" s="26">
        <v>0</v>
      </c>
      <c r="E94" s="26">
        <v>0</v>
      </c>
      <c r="G94" s="26">
        <f t="shared" si="2"/>
        <v>0</v>
      </c>
      <c r="I94" s="18">
        <v>0</v>
      </c>
      <c r="J94" s="15"/>
      <c r="K94" s="17">
        <v>0</v>
      </c>
      <c r="M94" s="17">
        <v>134416530</v>
      </c>
      <c r="O94" s="26">
        <f t="shared" si="3"/>
        <v>134416530</v>
      </c>
      <c r="Q94" s="18">
        <v>3.2688642334482418E-4</v>
      </c>
    </row>
    <row r="95" spans="1:17" ht="21" x14ac:dyDescent="0.55000000000000004">
      <c r="A95" s="16" t="s">
        <v>302</v>
      </c>
      <c r="C95" s="26">
        <v>0</v>
      </c>
      <c r="E95" s="26">
        <v>0</v>
      </c>
      <c r="G95" s="26">
        <f t="shared" si="2"/>
        <v>0</v>
      </c>
      <c r="I95" s="18">
        <v>0</v>
      </c>
      <c r="J95" s="15"/>
      <c r="K95" s="17">
        <v>0</v>
      </c>
      <c r="M95" s="17">
        <v>292147825</v>
      </c>
      <c r="O95" s="26">
        <f t="shared" si="3"/>
        <v>292147825</v>
      </c>
      <c r="Q95" s="18">
        <v>7.1047182665866769E-4</v>
      </c>
    </row>
    <row r="96" spans="1:17" ht="21" x14ac:dyDescent="0.55000000000000004">
      <c r="A96" s="16" t="s">
        <v>301</v>
      </c>
      <c r="C96" s="26">
        <v>0</v>
      </c>
      <c r="E96" s="26">
        <v>0</v>
      </c>
      <c r="G96" s="26">
        <f t="shared" si="2"/>
        <v>0</v>
      </c>
      <c r="I96" s="18">
        <v>0</v>
      </c>
      <c r="J96" s="15"/>
      <c r="K96" s="17">
        <v>0</v>
      </c>
      <c r="M96" s="17">
        <v>-49213200</v>
      </c>
      <c r="O96" s="26">
        <f t="shared" si="3"/>
        <v>-49213200</v>
      </c>
      <c r="Q96" s="18">
        <v>-1.1968116517628821E-4</v>
      </c>
    </row>
    <row r="97" spans="1:17" ht="21" x14ac:dyDescent="0.55000000000000004">
      <c r="A97" s="16" t="s">
        <v>300</v>
      </c>
      <c r="C97" s="26">
        <v>0</v>
      </c>
      <c r="E97" s="26">
        <v>0</v>
      </c>
      <c r="G97" s="26">
        <f t="shared" si="2"/>
        <v>0</v>
      </c>
      <c r="I97" s="18">
        <v>0</v>
      </c>
      <c r="J97" s="15"/>
      <c r="K97" s="17">
        <v>0</v>
      </c>
      <c r="M97" s="17">
        <v>70772500</v>
      </c>
      <c r="O97" s="26">
        <f t="shared" si="3"/>
        <v>70772500</v>
      </c>
      <c r="Q97" s="18">
        <v>1.7211104464734782E-4</v>
      </c>
    </row>
    <row r="98" spans="1:17" ht="21" x14ac:dyDescent="0.55000000000000004">
      <c r="A98" s="16" t="s">
        <v>299</v>
      </c>
      <c r="C98" s="26">
        <v>0</v>
      </c>
      <c r="E98" s="26">
        <v>0</v>
      </c>
      <c r="G98" s="26">
        <f t="shared" si="2"/>
        <v>0</v>
      </c>
      <c r="I98" s="18">
        <v>0</v>
      </c>
      <c r="J98" s="15"/>
      <c r="K98" s="17">
        <v>0</v>
      </c>
      <c r="M98" s="17">
        <v>112062000</v>
      </c>
      <c r="O98" s="26">
        <f t="shared" si="3"/>
        <v>112062000</v>
      </c>
      <c r="Q98" s="18">
        <v>2.7252263075730108E-4</v>
      </c>
    </row>
    <row r="99" spans="1:17" ht="21" x14ac:dyDescent="0.55000000000000004">
      <c r="A99" s="16" t="s">
        <v>401</v>
      </c>
      <c r="C99" s="26">
        <v>0</v>
      </c>
      <c r="E99" s="26">
        <v>17697773</v>
      </c>
      <c r="G99" s="26">
        <f t="shared" si="2"/>
        <v>17697773</v>
      </c>
      <c r="I99" s="18">
        <v>8.6934727232677525E-5</v>
      </c>
      <c r="J99" s="15"/>
      <c r="K99" s="17">
        <v>0</v>
      </c>
      <c r="M99" s="17">
        <v>17697773</v>
      </c>
      <c r="O99" s="26">
        <f t="shared" si="3"/>
        <v>17697773</v>
      </c>
      <c r="Q99" s="18">
        <v>4.3039064593756429E-5</v>
      </c>
    </row>
    <row r="100" spans="1:17" ht="21" x14ac:dyDescent="0.55000000000000004">
      <c r="A100" s="16" t="s">
        <v>390</v>
      </c>
      <c r="C100" s="26">
        <v>181542470</v>
      </c>
      <c r="E100" s="26">
        <f>VLOOKUP(A100,[1]myData!$A:$B,2,0)</f>
        <v>-30479496</v>
      </c>
      <c r="G100" s="26">
        <f t="shared" si="2"/>
        <v>151062974</v>
      </c>
      <c r="I100" s="18">
        <v>7.4204920809228694E-4</v>
      </c>
      <c r="J100" s="15"/>
      <c r="K100" s="17">
        <v>181542470</v>
      </c>
      <c r="M100" s="17">
        <v>-30479496</v>
      </c>
      <c r="O100" s="26">
        <f t="shared" si="3"/>
        <v>151062974</v>
      </c>
      <c r="Q100" s="18">
        <v>3.6736876982832519E-4</v>
      </c>
    </row>
    <row r="101" spans="1:17" ht="21" x14ac:dyDescent="0.55000000000000004">
      <c r="A101" s="16" t="s">
        <v>298</v>
      </c>
      <c r="C101" s="26">
        <v>0</v>
      </c>
      <c r="E101" s="26">
        <v>0</v>
      </c>
      <c r="G101" s="26">
        <f t="shared" si="2"/>
        <v>0</v>
      </c>
      <c r="I101" s="18">
        <v>0</v>
      </c>
      <c r="J101" s="15"/>
      <c r="K101" s="17">
        <v>0</v>
      </c>
      <c r="M101" s="17">
        <v>5891941</v>
      </c>
      <c r="O101" s="26">
        <f t="shared" si="3"/>
        <v>5891941</v>
      </c>
      <c r="Q101" s="18">
        <v>1.4328561524752398E-5</v>
      </c>
    </row>
    <row r="102" spans="1:17" ht="21" x14ac:dyDescent="0.55000000000000004">
      <c r="A102" s="16" t="s">
        <v>297</v>
      </c>
      <c r="C102" s="26">
        <v>0</v>
      </c>
      <c r="E102" s="26">
        <v>0</v>
      </c>
      <c r="G102" s="26">
        <f t="shared" si="2"/>
        <v>0</v>
      </c>
      <c r="I102" s="18">
        <v>0</v>
      </c>
      <c r="J102" s="15"/>
      <c r="K102" s="17">
        <v>0</v>
      </c>
      <c r="M102" s="17">
        <v>17686915</v>
      </c>
      <c r="O102" s="26">
        <f t="shared" si="3"/>
        <v>17686915</v>
      </c>
      <c r="Q102" s="18">
        <v>4.3012659115318037E-5</v>
      </c>
    </row>
    <row r="103" spans="1:17" ht="21" x14ac:dyDescent="0.55000000000000004">
      <c r="A103" s="16" t="s">
        <v>296</v>
      </c>
      <c r="C103" s="26">
        <v>-14270207</v>
      </c>
      <c r="E103" s="26">
        <v>0</v>
      </c>
      <c r="G103" s="26">
        <f t="shared" si="2"/>
        <v>-14270207</v>
      </c>
      <c r="I103" s="18">
        <v>-7.0097890457677663E-5</v>
      </c>
      <c r="J103" s="15"/>
      <c r="K103" s="17">
        <v>0</v>
      </c>
      <c r="M103" s="17">
        <v>50240943</v>
      </c>
      <c r="O103" s="26">
        <f t="shared" si="3"/>
        <v>50240943</v>
      </c>
      <c r="Q103" s="18">
        <v>1.2218052469247032E-4</v>
      </c>
    </row>
    <row r="104" spans="1:17" ht="21" x14ac:dyDescent="0.55000000000000004">
      <c r="A104" s="16" t="s">
        <v>402</v>
      </c>
      <c r="C104" s="26">
        <v>0</v>
      </c>
      <c r="E104" s="26">
        <v>45974283</v>
      </c>
      <c r="G104" s="26">
        <f t="shared" si="2"/>
        <v>45974283</v>
      </c>
      <c r="I104" s="18">
        <v>2.258341629945713E-4</v>
      </c>
      <c r="J104" s="15"/>
      <c r="K104" s="17">
        <v>0</v>
      </c>
      <c r="M104" s="17">
        <v>45974283</v>
      </c>
      <c r="O104" s="26">
        <f t="shared" si="3"/>
        <v>45974283</v>
      </c>
      <c r="Q104" s="18">
        <v>1.118044702962705E-4</v>
      </c>
    </row>
    <row r="105" spans="1:17" ht="21" x14ac:dyDescent="0.55000000000000004">
      <c r="A105" s="16" t="s">
        <v>391</v>
      </c>
      <c r="C105" s="26">
        <v>-1765971415</v>
      </c>
      <c r="E105" s="26">
        <v>0</v>
      </c>
      <c r="G105" s="26">
        <f t="shared" si="2"/>
        <v>-1765971415</v>
      </c>
      <c r="I105" s="18">
        <v>-8.6747775137431451E-3</v>
      </c>
      <c r="J105" s="15"/>
      <c r="K105" s="17">
        <v>-1765971415</v>
      </c>
      <c r="M105" s="17">
        <v>0</v>
      </c>
      <c r="O105" s="26">
        <f t="shared" si="3"/>
        <v>-1765971415</v>
      </c>
      <c r="Q105" s="18">
        <v>-4.2946509598079056E-3</v>
      </c>
    </row>
    <row r="106" spans="1:17" ht="21" x14ac:dyDescent="0.55000000000000004">
      <c r="A106" s="16" t="s">
        <v>295</v>
      </c>
      <c r="C106" s="26">
        <v>-16960631</v>
      </c>
      <c r="E106" s="26">
        <v>0</v>
      </c>
      <c r="G106" s="26">
        <f t="shared" si="2"/>
        <v>-16960631</v>
      </c>
      <c r="I106" s="18">
        <v>-8.3313749683595483E-5</v>
      </c>
      <c r="J106" s="15"/>
      <c r="K106" s="17">
        <v>0</v>
      </c>
      <c r="M106" s="17">
        <v>114571205</v>
      </c>
      <c r="O106" s="26">
        <f t="shared" si="3"/>
        <v>114571205</v>
      </c>
      <c r="Q106" s="18">
        <v>2.7862474519135881E-4</v>
      </c>
    </row>
    <row r="107" spans="1:17" ht="21" x14ac:dyDescent="0.55000000000000004">
      <c r="A107" s="16" t="s">
        <v>294</v>
      </c>
      <c r="C107" s="26">
        <v>0</v>
      </c>
      <c r="E107" s="26">
        <v>0</v>
      </c>
      <c r="G107" s="26">
        <f t="shared" si="2"/>
        <v>0</v>
      </c>
      <c r="I107" s="18">
        <v>0</v>
      </c>
      <c r="J107" s="15"/>
      <c r="K107" s="17">
        <v>0</v>
      </c>
      <c r="M107" s="17">
        <v>41988322</v>
      </c>
      <c r="O107" s="26">
        <f t="shared" si="3"/>
        <v>41988322</v>
      </c>
      <c r="Q107" s="18">
        <v>1.0211104542596654E-4</v>
      </c>
    </row>
    <row r="108" spans="1:17" ht="21" x14ac:dyDescent="0.55000000000000004">
      <c r="A108" s="16" t="s">
        <v>293</v>
      </c>
      <c r="C108" s="26">
        <v>-401896</v>
      </c>
      <c r="E108" s="26">
        <v>0</v>
      </c>
      <c r="G108" s="26">
        <f t="shared" si="2"/>
        <v>-401896</v>
      </c>
      <c r="I108" s="18">
        <v>-1.9741873249195909E-6</v>
      </c>
      <c r="J108" s="15"/>
      <c r="K108" s="17">
        <v>0</v>
      </c>
      <c r="M108" s="17">
        <v>4998202</v>
      </c>
      <c r="O108" s="26">
        <f t="shared" si="3"/>
        <v>4998202</v>
      </c>
      <c r="Q108" s="18">
        <v>1.2155085203694418E-5</v>
      </c>
    </row>
    <row r="109" spans="1:17" ht="21" x14ac:dyDescent="0.55000000000000004">
      <c r="A109" s="16" t="s">
        <v>292</v>
      </c>
      <c r="C109" s="26">
        <v>-57768305</v>
      </c>
      <c r="E109" s="26">
        <v>0</v>
      </c>
      <c r="G109" s="26">
        <f t="shared" si="2"/>
        <v>-57768305</v>
      </c>
      <c r="I109" s="18">
        <v>-2.8376857573374464E-4</v>
      </c>
      <c r="J109" s="15"/>
      <c r="K109" s="17">
        <v>0</v>
      </c>
      <c r="M109" s="17">
        <v>102977737</v>
      </c>
      <c r="O109" s="26">
        <f t="shared" si="3"/>
        <v>102977737</v>
      </c>
      <c r="Q109" s="18">
        <v>2.5043068833925381E-4</v>
      </c>
    </row>
    <row r="110" spans="1:17" ht="21" x14ac:dyDescent="0.55000000000000004">
      <c r="A110" s="16" t="s">
        <v>291</v>
      </c>
      <c r="C110" s="26">
        <v>0</v>
      </c>
      <c r="E110" s="26">
        <v>0</v>
      </c>
      <c r="G110" s="26">
        <f t="shared" si="2"/>
        <v>0</v>
      </c>
      <c r="I110" s="18">
        <v>0</v>
      </c>
      <c r="J110" s="15"/>
      <c r="K110" s="17">
        <v>0</v>
      </c>
      <c r="M110" s="17">
        <v>174158979</v>
      </c>
      <c r="O110" s="26">
        <f t="shared" si="3"/>
        <v>174158979</v>
      </c>
      <c r="Q110" s="18">
        <v>4.2353574920209842E-4</v>
      </c>
    </row>
    <row r="111" spans="1:17" ht="21" x14ac:dyDescent="0.55000000000000004">
      <c r="A111" s="16" t="s">
        <v>290</v>
      </c>
      <c r="C111" s="26">
        <v>0</v>
      </c>
      <c r="E111" s="26">
        <v>0</v>
      </c>
      <c r="G111" s="26">
        <f t="shared" si="2"/>
        <v>0</v>
      </c>
      <c r="I111" s="18">
        <v>0</v>
      </c>
      <c r="J111" s="15"/>
      <c r="K111" s="17">
        <v>0</v>
      </c>
      <c r="M111" s="17">
        <v>246240351</v>
      </c>
      <c r="O111" s="26">
        <f t="shared" si="3"/>
        <v>246240351</v>
      </c>
      <c r="Q111" s="18">
        <v>5.9882982860489026E-4</v>
      </c>
    </row>
    <row r="112" spans="1:17" ht="21" x14ac:dyDescent="0.55000000000000004">
      <c r="A112" s="16" t="s">
        <v>289</v>
      </c>
      <c r="C112" s="26">
        <v>0</v>
      </c>
      <c r="E112" s="26">
        <v>0</v>
      </c>
      <c r="G112" s="26">
        <f t="shared" si="2"/>
        <v>0</v>
      </c>
      <c r="I112" s="18">
        <v>0</v>
      </c>
      <c r="J112" s="15"/>
      <c r="K112" s="17">
        <v>0</v>
      </c>
      <c r="M112" s="17">
        <v>171732364</v>
      </c>
      <c r="O112" s="26">
        <f t="shared" si="3"/>
        <v>171732364</v>
      </c>
      <c r="Q112" s="18">
        <v>4.1763448469106767E-4</v>
      </c>
    </row>
    <row r="113" spans="1:17" ht="21" x14ac:dyDescent="0.55000000000000004">
      <c r="A113" s="16" t="s">
        <v>288</v>
      </c>
      <c r="C113" s="26">
        <v>0</v>
      </c>
      <c r="E113" s="26">
        <v>0</v>
      </c>
      <c r="G113" s="26">
        <f t="shared" si="2"/>
        <v>0</v>
      </c>
      <c r="I113" s="18">
        <v>0</v>
      </c>
      <c r="J113" s="15"/>
      <c r="K113" s="17">
        <v>0</v>
      </c>
      <c r="M113" s="17">
        <v>903156644</v>
      </c>
      <c r="O113" s="26">
        <f t="shared" si="3"/>
        <v>903156644</v>
      </c>
      <c r="Q113" s="18">
        <v>2.1963790099125058E-3</v>
      </c>
    </row>
    <row r="114" spans="1:17" ht="21" x14ac:dyDescent="0.55000000000000004">
      <c r="A114" s="16" t="s">
        <v>287</v>
      </c>
      <c r="C114" s="26">
        <v>0</v>
      </c>
      <c r="E114" s="26">
        <v>0</v>
      </c>
      <c r="G114" s="26">
        <f t="shared" si="2"/>
        <v>0</v>
      </c>
      <c r="I114" s="18">
        <v>0</v>
      </c>
      <c r="J114" s="15"/>
      <c r="K114" s="17">
        <v>0</v>
      </c>
      <c r="M114" s="17">
        <v>1500319978</v>
      </c>
      <c r="O114" s="26">
        <f t="shared" si="3"/>
        <v>1500319978</v>
      </c>
      <c r="Q114" s="18">
        <v>3.6486154752038702E-3</v>
      </c>
    </row>
    <row r="115" spans="1:17" ht="21" x14ac:dyDescent="0.55000000000000004">
      <c r="A115" s="16" t="s">
        <v>286</v>
      </c>
      <c r="C115" s="26">
        <v>0</v>
      </c>
      <c r="E115" s="26">
        <v>0</v>
      </c>
      <c r="G115" s="26">
        <f t="shared" si="2"/>
        <v>0</v>
      </c>
      <c r="I115" s="18">
        <v>0</v>
      </c>
      <c r="J115" s="15"/>
      <c r="K115" s="17">
        <v>0</v>
      </c>
      <c r="M115" s="17">
        <v>50435522</v>
      </c>
      <c r="O115" s="26">
        <f t="shared" si="3"/>
        <v>50435522</v>
      </c>
      <c r="Q115" s="18">
        <v>1.226537197181715E-4</v>
      </c>
    </row>
    <row r="116" spans="1:17" ht="21" x14ac:dyDescent="0.55000000000000004">
      <c r="A116" s="16" t="s">
        <v>285</v>
      </c>
      <c r="C116" s="26">
        <v>0</v>
      </c>
      <c r="E116" s="26">
        <v>0</v>
      </c>
      <c r="G116" s="26">
        <f t="shared" si="2"/>
        <v>0</v>
      </c>
      <c r="I116" s="18">
        <v>0</v>
      </c>
      <c r="J116" s="15"/>
      <c r="K116" s="17">
        <v>0</v>
      </c>
      <c r="M116" s="17">
        <v>365668940</v>
      </c>
      <c r="O116" s="26">
        <f t="shared" si="3"/>
        <v>365668940</v>
      </c>
      <c r="Q116" s="18">
        <v>8.8926720489580487E-4</v>
      </c>
    </row>
    <row r="117" spans="1:17" ht="21" x14ac:dyDescent="0.55000000000000004">
      <c r="A117" s="16" t="s">
        <v>284</v>
      </c>
      <c r="C117" s="26">
        <v>0</v>
      </c>
      <c r="E117" s="26">
        <v>0</v>
      </c>
      <c r="G117" s="26">
        <f t="shared" si="2"/>
        <v>0</v>
      </c>
      <c r="I117" s="18">
        <v>0</v>
      </c>
      <c r="J117" s="15"/>
      <c r="K117" s="17">
        <v>0</v>
      </c>
      <c r="M117" s="17">
        <v>388881313</v>
      </c>
      <c r="O117" s="26">
        <f t="shared" si="3"/>
        <v>388881313</v>
      </c>
      <c r="Q117" s="18">
        <v>9.457171786253452E-4</v>
      </c>
    </row>
    <row r="118" spans="1:17" ht="21" x14ac:dyDescent="0.55000000000000004">
      <c r="A118" s="16" t="s">
        <v>283</v>
      </c>
      <c r="C118" s="26">
        <v>0</v>
      </c>
      <c r="E118" s="26">
        <v>0</v>
      </c>
      <c r="G118" s="26">
        <f t="shared" si="2"/>
        <v>0</v>
      </c>
      <c r="I118" s="18">
        <v>0</v>
      </c>
      <c r="J118" s="15"/>
      <c r="K118" s="17">
        <v>0</v>
      </c>
      <c r="M118" s="17">
        <v>169892337</v>
      </c>
      <c r="O118" s="26">
        <f t="shared" si="3"/>
        <v>169892337</v>
      </c>
      <c r="Q118" s="18">
        <v>4.1315973857994646E-4</v>
      </c>
    </row>
    <row r="119" spans="1:17" ht="21" x14ac:dyDescent="0.55000000000000004">
      <c r="A119" s="16" t="s">
        <v>282</v>
      </c>
      <c r="C119" s="26">
        <v>0</v>
      </c>
      <c r="E119" s="26">
        <v>0</v>
      </c>
      <c r="G119" s="26">
        <f t="shared" si="2"/>
        <v>0</v>
      </c>
      <c r="I119" s="18">
        <v>0</v>
      </c>
      <c r="J119" s="15"/>
      <c r="K119" s="17">
        <v>0</v>
      </c>
      <c r="M119" s="17">
        <v>-1836545797</v>
      </c>
      <c r="O119" s="26">
        <f t="shared" si="3"/>
        <v>-1836545797</v>
      </c>
      <c r="Q119" s="18">
        <v>-4.4662802029653602E-3</v>
      </c>
    </row>
    <row r="120" spans="1:17" ht="21" x14ac:dyDescent="0.55000000000000004">
      <c r="A120" s="16" t="s">
        <v>281</v>
      </c>
      <c r="C120" s="26">
        <v>0</v>
      </c>
      <c r="E120" s="26">
        <v>0</v>
      </c>
      <c r="G120" s="26">
        <f t="shared" si="2"/>
        <v>0</v>
      </c>
      <c r="I120" s="18">
        <v>0</v>
      </c>
      <c r="J120" s="15"/>
      <c r="K120" s="17">
        <v>0</v>
      </c>
      <c r="M120" s="17">
        <v>27528204</v>
      </c>
      <c r="O120" s="26">
        <f t="shared" si="3"/>
        <v>27528204</v>
      </c>
      <c r="Q120" s="18">
        <v>6.6945606665093057E-5</v>
      </c>
    </row>
    <row r="121" spans="1:17" ht="21" x14ac:dyDescent="0.55000000000000004">
      <c r="A121" s="16" t="s">
        <v>280</v>
      </c>
      <c r="C121" s="26">
        <v>0</v>
      </c>
      <c r="E121" s="26">
        <v>0</v>
      </c>
      <c r="G121" s="26">
        <f t="shared" si="2"/>
        <v>0</v>
      </c>
      <c r="I121" s="18">
        <v>0</v>
      </c>
      <c r="J121" s="15"/>
      <c r="K121" s="17">
        <v>0</v>
      </c>
      <c r="M121" s="17">
        <v>294439966</v>
      </c>
      <c r="O121" s="26">
        <f t="shared" si="3"/>
        <v>294439966</v>
      </c>
      <c r="Q121" s="18">
        <v>7.1604606498554626E-4</v>
      </c>
    </row>
    <row r="122" spans="1:17" ht="21" x14ac:dyDescent="0.55000000000000004">
      <c r="A122" s="16" t="s">
        <v>279</v>
      </c>
      <c r="C122" s="26">
        <v>0</v>
      </c>
      <c r="E122" s="26">
        <v>0</v>
      </c>
      <c r="G122" s="26">
        <f t="shared" si="2"/>
        <v>0</v>
      </c>
      <c r="I122" s="18">
        <v>0</v>
      </c>
      <c r="J122" s="15"/>
      <c r="K122" s="17">
        <v>0</v>
      </c>
      <c r="M122" s="17">
        <v>593579598</v>
      </c>
      <c r="O122" s="26">
        <f t="shared" si="3"/>
        <v>593579598</v>
      </c>
      <c r="Q122" s="18">
        <v>1.4435212079993327E-3</v>
      </c>
    </row>
    <row r="123" spans="1:17" ht="21" x14ac:dyDescent="0.55000000000000004">
      <c r="A123" s="16" t="s">
        <v>278</v>
      </c>
      <c r="C123" s="26">
        <v>0</v>
      </c>
      <c r="E123" s="26">
        <v>0</v>
      </c>
      <c r="G123" s="26">
        <f t="shared" si="2"/>
        <v>0</v>
      </c>
      <c r="I123" s="18">
        <v>0</v>
      </c>
      <c r="J123" s="15"/>
      <c r="K123" s="17">
        <v>0</v>
      </c>
      <c r="M123" s="17">
        <v>-4999124626</v>
      </c>
      <c r="O123" s="26">
        <f t="shared" si="3"/>
        <v>-4999124626</v>
      </c>
      <c r="Q123" s="18">
        <v>-1.2157328930066649E-2</v>
      </c>
    </row>
    <row r="124" spans="1:17" ht="21" x14ac:dyDescent="0.55000000000000004">
      <c r="A124" s="16" t="s">
        <v>277</v>
      </c>
      <c r="C124" s="26">
        <v>0</v>
      </c>
      <c r="E124" s="26">
        <v>0</v>
      </c>
      <c r="G124" s="26">
        <f t="shared" si="2"/>
        <v>0</v>
      </c>
      <c r="I124" s="18">
        <v>0</v>
      </c>
      <c r="J124" s="15"/>
      <c r="K124" s="17">
        <v>0</v>
      </c>
      <c r="M124" s="17">
        <v>161556937</v>
      </c>
      <c r="O124" s="26">
        <f t="shared" si="3"/>
        <v>161556937</v>
      </c>
      <c r="Q124" s="18">
        <v>3.9288894976291299E-4</v>
      </c>
    </row>
    <row r="125" spans="1:17" ht="21" x14ac:dyDescent="0.55000000000000004">
      <c r="A125" s="16" t="s">
        <v>276</v>
      </c>
      <c r="C125" s="26">
        <v>0</v>
      </c>
      <c r="E125" s="26">
        <v>0</v>
      </c>
      <c r="G125" s="26">
        <f t="shared" si="2"/>
        <v>0</v>
      </c>
      <c r="I125" s="18">
        <v>0</v>
      </c>
      <c r="J125" s="15"/>
      <c r="K125" s="17">
        <v>0</v>
      </c>
      <c r="M125" s="17">
        <v>139779875</v>
      </c>
      <c r="O125" s="26">
        <f t="shared" si="3"/>
        <v>139779875</v>
      </c>
      <c r="Q125" s="18">
        <v>3.399294967243731E-4</v>
      </c>
    </row>
    <row r="126" spans="1:17" ht="21" x14ac:dyDescent="0.55000000000000004">
      <c r="A126" s="16" t="s">
        <v>275</v>
      </c>
      <c r="C126" s="26">
        <v>0</v>
      </c>
      <c r="E126" s="26">
        <v>0</v>
      </c>
      <c r="G126" s="26">
        <f t="shared" si="2"/>
        <v>0</v>
      </c>
      <c r="I126" s="18">
        <v>0</v>
      </c>
      <c r="J126" s="15"/>
      <c r="K126" s="17">
        <v>0</v>
      </c>
      <c r="M126" s="17">
        <v>24996190</v>
      </c>
      <c r="O126" s="26">
        <f t="shared" si="3"/>
        <v>24996190</v>
      </c>
      <c r="Q126" s="18">
        <v>6.0788023216695596E-5</v>
      </c>
    </row>
    <row r="127" spans="1:17" ht="21" x14ac:dyDescent="0.55000000000000004">
      <c r="A127" s="16" t="s">
        <v>274</v>
      </c>
      <c r="C127" s="26">
        <v>0</v>
      </c>
      <c r="E127" s="26">
        <v>0</v>
      </c>
      <c r="G127" s="26">
        <f t="shared" si="2"/>
        <v>0</v>
      </c>
      <c r="I127" s="18">
        <v>0</v>
      </c>
      <c r="J127" s="15"/>
      <c r="K127" s="17">
        <v>0</v>
      </c>
      <c r="M127" s="17">
        <v>314113740</v>
      </c>
      <c r="O127" s="26">
        <f t="shared" si="3"/>
        <v>314113740</v>
      </c>
      <c r="Q127" s="18">
        <v>7.6389054971189941E-4</v>
      </c>
    </row>
    <row r="128" spans="1:17" ht="21" x14ac:dyDescent="0.55000000000000004">
      <c r="A128" s="16" t="s">
        <v>273</v>
      </c>
      <c r="C128" s="26">
        <v>0</v>
      </c>
      <c r="E128" s="26">
        <v>0</v>
      </c>
      <c r="G128" s="26">
        <f t="shared" si="2"/>
        <v>0</v>
      </c>
      <c r="I128" s="18">
        <v>0</v>
      </c>
      <c r="J128" s="15"/>
      <c r="K128" s="17">
        <v>0</v>
      </c>
      <c r="M128" s="17">
        <v>7989736</v>
      </c>
      <c r="O128" s="26">
        <f t="shared" si="3"/>
        <v>7989736</v>
      </c>
      <c r="Q128" s="18">
        <v>1.943017145666074E-5</v>
      </c>
    </row>
    <row r="129" spans="1:17" ht="21" x14ac:dyDescent="0.55000000000000004">
      <c r="A129" s="16" t="s">
        <v>272</v>
      </c>
      <c r="C129" s="26">
        <v>0</v>
      </c>
      <c r="E129" s="26">
        <v>0</v>
      </c>
      <c r="G129" s="26">
        <f t="shared" si="2"/>
        <v>0</v>
      </c>
      <c r="I129" s="18">
        <v>0</v>
      </c>
      <c r="J129" s="15"/>
      <c r="K129" s="17">
        <v>0</v>
      </c>
      <c r="M129" s="17">
        <v>-1001</v>
      </c>
      <c r="O129" s="26">
        <f t="shared" si="3"/>
        <v>-1001</v>
      </c>
      <c r="Q129" s="18">
        <v>-2.4343234404888223E-9</v>
      </c>
    </row>
    <row r="130" spans="1:17" ht="21" x14ac:dyDescent="0.55000000000000004">
      <c r="A130" s="16" t="s">
        <v>271</v>
      </c>
      <c r="C130" s="26">
        <v>0</v>
      </c>
      <c r="E130" s="26">
        <v>0</v>
      </c>
      <c r="G130" s="26">
        <f t="shared" si="2"/>
        <v>0</v>
      </c>
      <c r="I130" s="18">
        <v>0</v>
      </c>
      <c r="J130" s="15"/>
      <c r="K130" s="17">
        <v>0</v>
      </c>
      <c r="M130" s="17">
        <v>2635614794</v>
      </c>
      <c r="O130" s="26">
        <f t="shared" si="3"/>
        <v>2635614794</v>
      </c>
      <c r="Q130" s="18">
        <v>6.4095293437895287E-3</v>
      </c>
    </row>
    <row r="131" spans="1:17" ht="21" x14ac:dyDescent="0.55000000000000004">
      <c r="A131" s="16" t="s">
        <v>270</v>
      </c>
      <c r="C131" s="26">
        <v>0</v>
      </c>
      <c r="E131" s="26">
        <v>0</v>
      </c>
      <c r="G131" s="26">
        <f t="shared" si="2"/>
        <v>0</v>
      </c>
      <c r="I131" s="18">
        <v>0</v>
      </c>
      <c r="J131" s="15"/>
      <c r="K131" s="17">
        <v>0</v>
      </c>
      <c r="M131" s="17">
        <v>220595472</v>
      </c>
      <c r="O131" s="26">
        <f t="shared" si="3"/>
        <v>220595472</v>
      </c>
      <c r="Q131" s="18">
        <v>5.3646426409120448E-4</v>
      </c>
    </row>
    <row r="132" spans="1:17" ht="21" x14ac:dyDescent="0.55000000000000004">
      <c r="A132" s="16" t="s">
        <v>269</v>
      </c>
      <c r="C132" s="26">
        <v>0</v>
      </c>
      <c r="E132" s="26">
        <v>0</v>
      </c>
      <c r="G132" s="26">
        <f t="shared" si="2"/>
        <v>0</v>
      </c>
      <c r="I132" s="18">
        <v>0</v>
      </c>
      <c r="J132" s="15"/>
      <c r="K132" s="17">
        <v>0</v>
      </c>
      <c r="M132" s="17">
        <v>769032514</v>
      </c>
      <c r="O132" s="26">
        <f t="shared" si="3"/>
        <v>769032514</v>
      </c>
      <c r="Q132" s="18">
        <v>1.8702036716565916E-3</v>
      </c>
    </row>
    <row r="133" spans="1:17" ht="21" x14ac:dyDescent="0.55000000000000004">
      <c r="A133" s="16" t="s">
        <v>268</v>
      </c>
      <c r="C133" s="26">
        <v>0</v>
      </c>
      <c r="E133" s="26">
        <v>0</v>
      </c>
      <c r="G133" s="26">
        <f t="shared" si="2"/>
        <v>0</v>
      </c>
      <c r="I133" s="18">
        <v>0</v>
      </c>
      <c r="J133" s="15"/>
      <c r="K133" s="17">
        <v>0</v>
      </c>
      <c r="M133" s="17">
        <v>2823802</v>
      </c>
      <c r="O133" s="26">
        <f t="shared" si="3"/>
        <v>2823802</v>
      </c>
      <c r="Q133" s="18">
        <v>6.8671802196795377E-6</v>
      </c>
    </row>
    <row r="134" spans="1:17" ht="21" x14ac:dyDescent="0.55000000000000004">
      <c r="A134" s="16" t="s">
        <v>267</v>
      </c>
      <c r="C134" s="26">
        <v>0</v>
      </c>
      <c r="E134" s="26">
        <v>0</v>
      </c>
      <c r="G134" s="26">
        <f t="shared" si="2"/>
        <v>0</v>
      </c>
      <c r="I134" s="18">
        <v>0</v>
      </c>
      <c r="J134" s="15"/>
      <c r="K134" s="17">
        <v>0</v>
      </c>
      <c r="M134" s="17">
        <v>137838676</v>
      </c>
      <c r="O134" s="26">
        <f t="shared" si="3"/>
        <v>137838676</v>
      </c>
      <c r="Q134" s="18">
        <v>3.3520871128146258E-4</v>
      </c>
    </row>
    <row r="135" spans="1:17" ht="21" x14ac:dyDescent="0.55000000000000004">
      <c r="A135" s="16" t="s">
        <v>266</v>
      </c>
      <c r="C135" s="26">
        <v>0</v>
      </c>
      <c r="E135" s="26">
        <v>0</v>
      </c>
      <c r="G135" s="26">
        <f t="shared" si="2"/>
        <v>0</v>
      </c>
      <c r="I135" s="18">
        <v>0</v>
      </c>
      <c r="J135" s="15"/>
      <c r="K135" s="17">
        <v>0</v>
      </c>
      <c r="M135" s="17">
        <v>1604128594</v>
      </c>
      <c r="O135" s="26">
        <f t="shared" si="3"/>
        <v>1604128594</v>
      </c>
      <c r="Q135" s="18">
        <v>3.9010667711614154E-3</v>
      </c>
    </row>
    <row r="136" spans="1:17" ht="21" x14ac:dyDescent="0.55000000000000004">
      <c r="A136" s="16" t="s">
        <v>265</v>
      </c>
      <c r="C136" s="26">
        <v>0</v>
      </c>
      <c r="E136" s="26">
        <v>0</v>
      </c>
      <c r="G136" s="26">
        <f t="shared" si="2"/>
        <v>0</v>
      </c>
      <c r="I136" s="18">
        <v>0</v>
      </c>
      <c r="J136" s="15"/>
      <c r="K136" s="17">
        <v>0</v>
      </c>
      <c r="M136" s="17">
        <v>1173724363</v>
      </c>
      <c r="O136" s="26">
        <f t="shared" si="3"/>
        <v>1173724363</v>
      </c>
      <c r="Q136" s="18">
        <v>2.8543703591645468E-3</v>
      </c>
    </row>
    <row r="137" spans="1:17" ht="21" x14ac:dyDescent="0.55000000000000004">
      <c r="A137" s="16" t="s">
        <v>264</v>
      </c>
      <c r="C137" s="26">
        <v>0</v>
      </c>
      <c r="E137" s="26">
        <v>0</v>
      </c>
      <c r="G137" s="26">
        <f t="shared" si="2"/>
        <v>0</v>
      </c>
      <c r="I137" s="18">
        <v>0</v>
      </c>
      <c r="J137" s="15"/>
      <c r="K137" s="17">
        <v>0</v>
      </c>
      <c r="M137" s="17">
        <v>120000000</v>
      </c>
      <c r="O137" s="26">
        <f t="shared" si="3"/>
        <v>120000000</v>
      </c>
      <c r="Q137" s="18">
        <v>2.9182698587278588E-4</v>
      </c>
    </row>
    <row r="138" spans="1:17" ht="21" x14ac:dyDescent="0.55000000000000004">
      <c r="A138" s="16" t="s">
        <v>263</v>
      </c>
      <c r="C138" s="26">
        <v>0</v>
      </c>
      <c r="E138" s="26">
        <v>0</v>
      </c>
      <c r="G138" s="26">
        <f t="shared" ref="G138:G173" si="4">E138+C138</f>
        <v>0</v>
      </c>
      <c r="I138" s="18">
        <v>0</v>
      </c>
      <c r="J138" s="15"/>
      <c r="K138" s="17">
        <v>0</v>
      </c>
      <c r="M138" s="17">
        <v>15820222</v>
      </c>
      <c r="O138" s="26">
        <f t="shared" ref="O138:O173" si="5">M138+K138</f>
        <v>15820222</v>
      </c>
      <c r="Q138" s="18">
        <v>3.84730641841528E-5</v>
      </c>
    </row>
    <row r="139" spans="1:17" ht="21" x14ac:dyDescent="0.55000000000000004">
      <c r="A139" s="16" t="s">
        <v>262</v>
      </c>
      <c r="C139" s="26">
        <v>-30015150</v>
      </c>
      <c r="E139" s="26">
        <f>VLOOKUP(A139,[1]myData!$A:$B,2,0)</f>
        <v>34988665</v>
      </c>
      <c r="G139" s="26">
        <f t="shared" si="4"/>
        <v>4973515</v>
      </c>
      <c r="I139" s="18">
        <v>2.443082357947693E-5</v>
      </c>
      <c r="J139" s="15"/>
      <c r="K139" s="17">
        <v>0</v>
      </c>
      <c r="M139" s="17">
        <v>109947360</v>
      </c>
      <c r="O139" s="26">
        <f t="shared" si="5"/>
        <v>109947360</v>
      </c>
      <c r="Q139" s="18">
        <v>2.6738005561225087E-4</v>
      </c>
    </row>
    <row r="140" spans="1:17" ht="21" x14ac:dyDescent="0.55000000000000004">
      <c r="A140" s="16" t="s">
        <v>392</v>
      </c>
      <c r="C140" s="26">
        <v>999242</v>
      </c>
      <c r="E140" s="26">
        <f>VLOOKUP(A140,[1]myData!$A:$B,2,0)</f>
        <v>68945520</v>
      </c>
      <c r="G140" s="26">
        <f t="shared" si="4"/>
        <v>69944762</v>
      </c>
      <c r="I140" s="18">
        <v>3.4358157977416415E-4</v>
      </c>
      <c r="J140" s="15"/>
      <c r="K140" s="17">
        <v>999242</v>
      </c>
      <c r="M140" s="17">
        <v>68945520</v>
      </c>
      <c r="O140" s="26">
        <f t="shared" si="5"/>
        <v>69944762</v>
      </c>
      <c r="Q140" s="18">
        <v>1.7009807560041141E-4</v>
      </c>
    </row>
    <row r="141" spans="1:17" ht="21" x14ac:dyDescent="0.55000000000000004">
      <c r="A141" s="16" t="s">
        <v>393</v>
      </c>
      <c r="C141" s="26">
        <v>999243</v>
      </c>
      <c r="E141" s="26">
        <f>VLOOKUP(A141,[1]myData!$A:$B,2,0)</f>
        <v>54977350</v>
      </c>
      <c r="G141" s="26">
        <f t="shared" si="4"/>
        <v>55976593</v>
      </c>
      <c r="I141" s="18">
        <v>2.749673557158636E-4</v>
      </c>
      <c r="J141" s="15"/>
      <c r="K141" s="17">
        <v>999243</v>
      </c>
      <c r="M141" s="17">
        <v>54977350</v>
      </c>
      <c r="O141" s="26">
        <f t="shared" si="5"/>
        <v>55976593</v>
      </c>
      <c r="Q141" s="18">
        <v>1.3612900345514738E-4</v>
      </c>
    </row>
    <row r="142" spans="1:17" ht="21" x14ac:dyDescent="0.55000000000000004">
      <c r="A142" s="16" t="s">
        <v>261</v>
      </c>
      <c r="C142" s="26">
        <v>0</v>
      </c>
      <c r="E142" s="26">
        <v>0</v>
      </c>
      <c r="G142" s="26">
        <f t="shared" si="4"/>
        <v>0</v>
      </c>
      <c r="I142" s="18">
        <v>0</v>
      </c>
      <c r="J142" s="15"/>
      <c r="K142" s="17">
        <v>0</v>
      </c>
      <c r="M142" s="17">
        <v>1217020000</v>
      </c>
      <c r="O142" s="26">
        <f t="shared" si="5"/>
        <v>1217020000</v>
      </c>
      <c r="Q142" s="18">
        <v>2.9596606528908154E-3</v>
      </c>
    </row>
    <row r="143" spans="1:17" ht="21" x14ac:dyDescent="0.55000000000000004">
      <c r="A143" s="16" t="s">
        <v>394</v>
      </c>
      <c r="C143" s="26">
        <v>2498106</v>
      </c>
      <c r="E143" s="26">
        <f>VLOOKUP(A143,[1]myData!$A:$B,2,0)</f>
        <v>-12588967</v>
      </c>
      <c r="G143" s="26">
        <f t="shared" si="4"/>
        <v>-10090861</v>
      </c>
      <c r="I143" s="18">
        <v>-4.9568171576043131E-5</v>
      </c>
      <c r="J143" s="15"/>
      <c r="K143" s="17">
        <v>2498106</v>
      </c>
      <c r="M143" s="17">
        <v>-12588967</v>
      </c>
      <c r="O143" s="26">
        <f t="shared" si="5"/>
        <v>-10090861</v>
      </c>
      <c r="Q143" s="18">
        <v>-2.453987958742705E-5</v>
      </c>
    </row>
    <row r="144" spans="1:17" ht="21" x14ac:dyDescent="0.55000000000000004">
      <c r="A144" s="16" t="s">
        <v>395</v>
      </c>
      <c r="C144" s="26">
        <v>-3960610</v>
      </c>
      <c r="E144" s="26">
        <v>0</v>
      </c>
      <c r="G144" s="26">
        <f t="shared" si="4"/>
        <v>-3960610</v>
      </c>
      <c r="I144" s="18">
        <v>-1.9455247280265992E-5</v>
      </c>
      <c r="J144" s="15"/>
      <c r="K144" s="17">
        <v>-3960610</v>
      </c>
      <c r="M144" s="17">
        <v>0</v>
      </c>
      <c r="O144" s="26">
        <f t="shared" si="5"/>
        <v>-3960610</v>
      </c>
      <c r="Q144" s="18">
        <v>-9.6317739876467872E-6</v>
      </c>
    </row>
    <row r="145" spans="1:17" ht="21" x14ac:dyDescent="0.55000000000000004">
      <c r="A145" s="16" t="s">
        <v>260</v>
      </c>
      <c r="C145" s="26">
        <v>0</v>
      </c>
      <c r="E145" s="26">
        <v>0</v>
      </c>
      <c r="G145" s="26">
        <f t="shared" si="4"/>
        <v>0</v>
      </c>
      <c r="I145" s="18">
        <v>0</v>
      </c>
      <c r="J145" s="15"/>
      <c r="K145" s="17">
        <v>0</v>
      </c>
      <c r="M145" s="17">
        <v>-890035553</v>
      </c>
      <c r="O145" s="26">
        <f t="shared" si="5"/>
        <v>-890035553</v>
      </c>
      <c r="Q145" s="18">
        <v>-2.1644699395967346E-3</v>
      </c>
    </row>
    <row r="146" spans="1:17" ht="21" x14ac:dyDescent="0.55000000000000004">
      <c r="A146" s="16" t="s">
        <v>259</v>
      </c>
      <c r="C146" s="26">
        <v>0</v>
      </c>
      <c r="E146" s="26">
        <v>0</v>
      </c>
      <c r="G146" s="26">
        <f t="shared" si="4"/>
        <v>0</v>
      </c>
      <c r="I146" s="18">
        <v>0</v>
      </c>
      <c r="J146" s="15"/>
      <c r="K146" s="17">
        <v>0</v>
      </c>
      <c r="M146" s="17">
        <v>-9841314</v>
      </c>
      <c r="O146" s="26">
        <f t="shared" si="5"/>
        <v>-9841314</v>
      </c>
      <c r="Q146" s="18">
        <v>-2.3933008347063749E-5</v>
      </c>
    </row>
    <row r="147" spans="1:17" ht="21" x14ac:dyDescent="0.55000000000000004">
      <c r="A147" s="16" t="s">
        <v>258</v>
      </c>
      <c r="C147" s="26">
        <v>0</v>
      </c>
      <c r="E147" s="26">
        <v>0</v>
      </c>
      <c r="G147" s="26">
        <f t="shared" si="4"/>
        <v>0</v>
      </c>
      <c r="I147" s="18">
        <v>0</v>
      </c>
      <c r="J147" s="15"/>
      <c r="K147" s="17">
        <v>0</v>
      </c>
      <c r="M147" s="17">
        <v>31000000</v>
      </c>
      <c r="O147" s="26">
        <f t="shared" si="5"/>
        <v>31000000</v>
      </c>
      <c r="Q147" s="18">
        <v>7.5388638017136346E-5</v>
      </c>
    </row>
    <row r="148" spans="1:17" ht="21" x14ac:dyDescent="0.55000000000000004">
      <c r="A148" s="16" t="s">
        <v>257</v>
      </c>
      <c r="C148" s="26">
        <v>0</v>
      </c>
      <c r="E148" s="26">
        <v>0</v>
      </c>
      <c r="G148" s="26">
        <f t="shared" si="4"/>
        <v>0</v>
      </c>
      <c r="I148" s="18">
        <v>0</v>
      </c>
      <c r="J148" s="15"/>
      <c r="K148" s="17">
        <v>0</v>
      </c>
      <c r="M148" s="17">
        <v>75255000</v>
      </c>
      <c r="O148" s="26">
        <f t="shared" si="5"/>
        <v>75255000</v>
      </c>
      <c r="Q148" s="18">
        <v>1.8301199851547084E-4</v>
      </c>
    </row>
    <row r="149" spans="1:17" ht="21" x14ac:dyDescent="0.55000000000000004">
      <c r="A149" s="16" t="s">
        <v>403</v>
      </c>
      <c r="C149" s="26">
        <v>0</v>
      </c>
      <c r="E149" s="26">
        <v>15981829</v>
      </c>
      <c r="G149" s="26">
        <f t="shared" si="4"/>
        <v>15981829</v>
      </c>
      <c r="I149" s="18">
        <v>7.850569361434884E-5</v>
      </c>
      <c r="J149" s="15"/>
      <c r="K149" s="17">
        <v>0</v>
      </c>
      <c r="M149" s="17">
        <v>15981829</v>
      </c>
      <c r="O149" s="26">
        <f t="shared" si="5"/>
        <v>15981829</v>
      </c>
      <c r="Q149" s="18">
        <v>3.886607488170233E-5</v>
      </c>
    </row>
    <row r="150" spans="1:17" ht="21" x14ac:dyDescent="0.55000000000000004">
      <c r="A150" s="16" t="s">
        <v>396</v>
      </c>
      <c r="C150" s="26">
        <v>17197962</v>
      </c>
      <c r="E150" s="26">
        <f>VLOOKUP(A150,[1]myData!$A:$B,2,0)</f>
        <v>24654608</v>
      </c>
      <c r="G150" s="26">
        <f t="shared" si="4"/>
        <v>41852570</v>
      </c>
      <c r="I150" s="18">
        <v>2.0558754804553896E-4</v>
      </c>
      <c r="J150" s="15"/>
      <c r="K150" s="17">
        <v>17197962</v>
      </c>
      <c r="M150" s="17">
        <v>24654608</v>
      </c>
      <c r="O150" s="26">
        <f t="shared" si="5"/>
        <v>41852570</v>
      </c>
      <c r="Q150" s="18">
        <v>1.0178091128441485E-4</v>
      </c>
    </row>
    <row r="151" spans="1:17" ht="21" x14ac:dyDescent="0.55000000000000004">
      <c r="A151" s="16" t="s">
        <v>256</v>
      </c>
      <c r="C151" s="26">
        <v>0</v>
      </c>
      <c r="E151" s="26">
        <v>0</v>
      </c>
      <c r="G151" s="26">
        <f t="shared" si="4"/>
        <v>0</v>
      </c>
      <c r="I151" s="18">
        <v>0</v>
      </c>
      <c r="J151" s="15"/>
      <c r="K151" s="17">
        <v>0</v>
      </c>
      <c r="M151" s="17">
        <v>97524246</v>
      </c>
      <c r="O151" s="26">
        <f t="shared" si="5"/>
        <v>97524246</v>
      </c>
      <c r="Q151" s="18">
        <v>2.3716838966413411E-4</v>
      </c>
    </row>
    <row r="152" spans="1:17" ht="21" x14ac:dyDescent="0.55000000000000004">
      <c r="A152" s="16" t="s">
        <v>255</v>
      </c>
      <c r="C152" s="26">
        <v>-17995366</v>
      </c>
      <c r="E152" s="26">
        <v>0</v>
      </c>
      <c r="G152" s="26">
        <f t="shared" si="4"/>
        <v>-17995366</v>
      </c>
      <c r="I152" s="18">
        <v>-8.8396558971696565E-5</v>
      </c>
      <c r="J152" s="15"/>
      <c r="K152" s="17">
        <v>0</v>
      </c>
      <c r="M152" s="17">
        <v>101986114</v>
      </c>
      <c r="O152" s="26">
        <f t="shared" si="5"/>
        <v>101986114</v>
      </c>
      <c r="Q152" s="18">
        <v>2.4801916874581944E-4</v>
      </c>
    </row>
    <row r="153" spans="1:17" ht="21" x14ac:dyDescent="0.55000000000000004">
      <c r="A153" s="16" t="s">
        <v>254</v>
      </c>
      <c r="C153" s="26">
        <v>0</v>
      </c>
      <c r="E153" s="26">
        <v>0</v>
      </c>
      <c r="G153" s="26">
        <f t="shared" si="4"/>
        <v>0</v>
      </c>
      <c r="I153" s="18">
        <v>0</v>
      </c>
      <c r="J153" s="15"/>
      <c r="K153" s="17">
        <v>0</v>
      </c>
      <c r="M153" s="17">
        <v>228052331</v>
      </c>
      <c r="O153" s="26">
        <f t="shared" si="5"/>
        <v>228052331</v>
      </c>
      <c r="Q153" s="18">
        <v>5.5459853647494076E-4</v>
      </c>
    </row>
    <row r="154" spans="1:17" ht="21" x14ac:dyDescent="0.55000000000000004">
      <c r="A154" s="16" t="s">
        <v>253</v>
      </c>
      <c r="C154" s="26">
        <v>0</v>
      </c>
      <c r="E154" s="26">
        <v>0</v>
      </c>
      <c r="G154" s="26">
        <f t="shared" si="4"/>
        <v>0</v>
      </c>
      <c r="I154" s="18">
        <v>0</v>
      </c>
      <c r="J154" s="15"/>
      <c r="K154" s="17">
        <v>0</v>
      </c>
      <c r="M154" s="17">
        <v>1327034090</v>
      </c>
      <c r="O154" s="26">
        <f t="shared" si="5"/>
        <v>1327034090</v>
      </c>
      <c r="Q154" s="18">
        <v>3.2272029886261273E-3</v>
      </c>
    </row>
    <row r="155" spans="1:17" ht="21" x14ac:dyDescent="0.55000000000000004">
      <c r="A155" s="16" t="s">
        <v>404</v>
      </c>
      <c r="C155" s="26">
        <v>0</v>
      </c>
      <c r="E155" s="26">
        <v>4994701</v>
      </c>
      <c r="G155" s="26">
        <f t="shared" si="4"/>
        <v>4994701</v>
      </c>
      <c r="I155" s="18">
        <v>2.4534893121512049E-5</v>
      </c>
      <c r="J155" s="15"/>
      <c r="K155" s="17">
        <v>0</v>
      </c>
      <c r="M155" s="17">
        <v>4994701</v>
      </c>
      <c r="O155" s="26">
        <f t="shared" si="5"/>
        <v>4994701</v>
      </c>
      <c r="Q155" s="18">
        <v>1.2146571151381578E-5</v>
      </c>
    </row>
    <row r="156" spans="1:17" ht="21" x14ac:dyDescent="0.55000000000000004">
      <c r="A156" s="16" t="s">
        <v>397</v>
      </c>
      <c r="C156" s="26">
        <v>1998485</v>
      </c>
      <c r="E156" s="26">
        <f>VLOOKUP(A156,[1]myData!$A:$B,2,0)</f>
        <v>60974272</v>
      </c>
      <c r="G156" s="26">
        <f t="shared" si="4"/>
        <v>62972757</v>
      </c>
      <c r="I156" s="18">
        <v>3.0933380447837613E-4</v>
      </c>
      <c r="J156" s="15"/>
      <c r="K156" s="17">
        <v>1998485</v>
      </c>
      <c r="M156" s="17">
        <v>60974272</v>
      </c>
      <c r="O156" s="26">
        <f t="shared" si="5"/>
        <v>62972757</v>
      </c>
      <c r="Q156" s="18">
        <v>1.5314291556174482E-4</v>
      </c>
    </row>
    <row r="157" spans="1:17" ht="21" x14ac:dyDescent="0.55000000000000004">
      <c r="A157" s="16" t="s">
        <v>252</v>
      </c>
      <c r="C157" s="26">
        <v>0</v>
      </c>
      <c r="E157" s="26">
        <v>0</v>
      </c>
      <c r="G157" s="26">
        <f t="shared" si="4"/>
        <v>0</v>
      </c>
      <c r="I157" s="18">
        <v>0</v>
      </c>
      <c r="J157" s="15"/>
      <c r="K157" s="17">
        <v>0</v>
      </c>
      <c r="M157" s="17">
        <v>315434648</v>
      </c>
      <c r="O157" s="26">
        <f t="shared" si="5"/>
        <v>315434648</v>
      </c>
      <c r="Q157" s="18">
        <v>7.6710285471402653E-4</v>
      </c>
    </row>
    <row r="158" spans="1:17" ht="21" x14ac:dyDescent="0.55000000000000004">
      <c r="A158" s="16" t="s">
        <v>251</v>
      </c>
      <c r="C158" s="26">
        <v>0</v>
      </c>
      <c r="E158" s="26">
        <v>0</v>
      </c>
      <c r="G158" s="26">
        <f t="shared" si="4"/>
        <v>0</v>
      </c>
      <c r="I158" s="18">
        <v>0</v>
      </c>
      <c r="J158" s="15"/>
      <c r="K158" s="17">
        <v>0</v>
      </c>
      <c r="M158" s="17">
        <v>292526296</v>
      </c>
      <c r="O158" s="26">
        <f t="shared" si="5"/>
        <v>292526296</v>
      </c>
      <c r="Q158" s="18">
        <v>7.1139222708508645E-4</v>
      </c>
    </row>
    <row r="159" spans="1:17" ht="21" x14ac:dyDescent="0.55000000000000004">
      <c r="A159" s="16" t="s">
        <v>250</v>
      </c>
      <c r="C159" s="26">
        <v>0</v>
      </c>
      <c r="E159" s="26">
        <v>0</v>
      </c>
      <c r="G159" s="26">
        <f t="shared" si="4"/>
        <v>0</v>
      </c>
      <c r="I159" s="18">
        <v>0</v>
      </c>
      <c r="J159" s="15"/>
      <c r="K159" s="17">
        <v>0</v>
      </c>
      <c r="M159" s="17">
        <v>-1296705566</v>
      </c>
      <c r="O159" s="26">
        <f t="shared" si="5"/>
        <v>-1296705566</v>
      </c>
      <c r="Q159" s="18">
        <v>-3.1534473074187066E-3</v>
      </c>
    </row>
    <row r="160" spans="1:17" ht="21" x14ac:dyDescent="0.55000000000000004">
      <c r="A160" s="16" t="s">
        <v>249</v>
      </c>
      <c r="C160" s="26">
        <v>0</v>
      </c>
      <c r="E160" s="26">
        <v>0</v>
      </c>
      <c r="G160" s="26">
        <f t="shared" si="4"/>
        <v>0</v>
      </c>
      <c r="I160" s="18">
        <v>0</v>
      </c>
      <c r="J160" s="15"/>
      <c r="K160" s="17">
        <v>0</v>
      </c>
      <c r="M160" s="17">
        <v>39885150</v>
      </c>
      <c r="O160" s="26">
        <f t="shared" si="5"/>
        <v>39885150</v>
      </c>
      <c r="Q160" s="18">
        <v>9.6996359213199541E-5</v>
      </c>
    </row>
    <row r="161" spans="1:17" ht="21" x14ac:dyDescent="0.55000000000000004">
      <c r="A161" s="16" t="s">
        <v>248</v>
      </c>
      <c r="C161" s="26">
        <v>0</v>
      </c>
      <c r="E161" s="26">
        <v>0</v>
      </c>
      <c r="G161" s="26">
        <f t="shared" si="4"/>
        <v>0</v>
      </c>
      <c r="I161" s="18">
        <v>0</v>
      </c>
      <c r="J161" s="15"/>
      <c r="K161" s="17">
        <v>0</v>
      </c>
      <c r="M161" s="17">
        <v>-5922</v>
      </c>
      <c r="O161" s="26">
        <f t="shared" si="5"/>
        <v>-5922</v>
      </c>
      <c r="Q161" s="18">
        <v>-1.4401661752821982E-8</v>
      </c>
    </row>
    <row r="162" spans="1:17" ht="21" x14ac:dyDescent="0.55000000000000004">
      <c r="A162" s="16" t="s">
        <v>247</v>
      </c>
      <c r="C162" s="26">
        <v>0</v>
      </c>
      <c r="E162" s="26">
        <v>0</v>
      </c>
      <c r="G162" s="26">
        <f t="shared" si="4"/>
        <v>0</v>
      </c>
      <c r="I162" s="18">
        <v>0</v>
      </c>
      <c r="J162" s="15"/>
      <c r="K162" s="17">
        <v>0</v>
      </c>
      <c r="M162" s="17">
        <v>2056806</v>
      </c>
      <c r="O162" s="26">
        <f t="shared" si="5"/>
        <v>2056806</v>
      </c>
      <c r="Q162" s="18">
        <v>5.0019291292088432E-6</v>
      </c>
    </row>
    <row r="163" spans="1:17" ht="21" x14ac:dyDescent="0.55000000000000004">
      <c r="A163" s="16" t="s">
        <v>246</v>
      </c>
      <c r="C163" s="26">
        <v>0</v>
      </c>
      <c r="E163" s="26">
        <v>0</v>
      </c>
      <c r="G163" s="26">
        <f t="shared" si="4"/>
        <v>0</v>
      </c>
      <c r="I163" s="18">
        <v>0</v>
      </c>
      <c r="J163" s="15"/>
      <c r="K163" s="17">
        <v>0</v>
      </c>
      <c r="M163" s="17">
        <v>3932000</v>
      </c>
      <c r="O163" s="26">
        <f t="shared" si="5"/>
        <v>3932000</v>
      </c>
      <c r="Q163" s="18">
        <v>9.5621975704316175E-6</v>
      </c>
    </row>
    <row r="164" spans="1:17" ht="21" x14ac:dyDescent="0.55000000000000004">
      <c r="A164" s="16" t="s">
        <v>245</v>
      </c>
      <c r="C164" s="26">
        <v>-2996228</v>
      </c>
      <c r="E164" s="26">
        <v>0</v>
      </c>
      <c r="G164" s="26">
        <f t="shared" si="4"/>
        <v>-2996228</v>
      </c>
      <c r="I164" s="18">
        <v>-1.4718024912338457E-5</v>
      </c>
      <c r="J164" s="15"/>
      <c r="K164" s="17">
        <v>0</v>
      </c>
      <c r="M164" s="17">
        <v>99553687</v>
      </c>
      <c r="O164" s="26">
        <f t="shared" si="5"/>
        <v>99553687</v>
      </c>
      <c r="Q164" s="18">
        <v>2.4210377008110622E-4</v>
      </c>
    </row>
    <row r="165" spans="1:17" ht="21" x14ac:dyDescent="0.55000000000000004">
      <c r="A165" s="16" t="s">
        <v>244</v>
      </c>
      <c r="C165" s="26">
        <v>0</v>
      </c>
      <c r="E165" s="26">
        <v>0</v>
      </c>
      <c r="G165" s="26">
        <f t="shared" si="4"/>
        <v>0</v>
      </c>
      <c r="I165" s="18">
        <v>0</v>
      </c>
      <c r="J165" s="15"/>
      <c r="K165" s="17">
        <v>0</v>
      </c>
      <c r="M165" s="17">
        <v>6392847</v>
      </c>
      <c r="O165" s="26">
        <f t="shared" si="5"/>
        <v>6392847</v>
      </c>
      <c r="Q165" s="18">
        <v>1.5546710592965681E-5</v>
      </c>
    </row>
    <row r="166" spans="1:17" ht="21" x14ac:dyDescent="0.55000000000000004">
      <c r="A166" s="16" t="s">
        <v>243</v>
      </c>
      <c r="C166" s="26">
        <v>0</v>
      </c>
      <c r="E166" s="26">
        <v>0</v>
      </c>
      <c r="G166" s="26">
        <f t="shared" si="4"/>
        <v>0</v>
      </c>
      <c r="I166" s="18">
        <v>0</v>
      </c>
      <c r="J166" s="15"/>
      <c r="K166" s="17">
        <v>0</v>
      </c>
      <c r="M166" s="17">
        <v>1068024</v>
      </c>
      <c r="O166" s="26">
        <f t="shared" si="5"/>
        <v>1068024</v>
      </c>
      <c r="Q166" s="18">
        <v>2.5973185396649688E-6</v>
      </c>
    </row>
    <row r="167" spans="1:17" ht="21" x14ac:dyDescent="0.55000000000000004">
      <c r="A167" s="16" t="s">
        <v>242</v>
      </c>
      <c r="C167" s="26">
        <v>0</v>
      </c>
      <c r="E167" s="26">
        <v>0</v>
      </c>
      <c r="G167" s="26">
        <f t="shared" si="4"/>
        <v>0</v>
      </c>
      <c r="I167" s="18">
        <v>0</v>
      </c>
      <c r="J167" s="15"/>
      <c r="K167" s="17">
        <v>0</v>
      </c>
      <c r="M167" s="17">
        <v>798792798</v>
      </c>
      <c r="O167" s="26">
        <f t="shared" si="5"/>
        <v>798792798</v>
      </c>
      <c r="Q167" s="18">
        <v>1.9425774548102424E-3</v>
      </c>
    </row>
    <row r="168" spans="1:17" ht="21" x14ac:dyDescent="0.55000000000000004">
      <c r="A168" s="16" t="s">
        <v>241</v>
      </c>
      <c r="C168" s="26">
        <v>0</v>
      </c>
      <c r="E168" s="26">
        <v>0</v>
      </c>
      <c r="G168" s="26">
        <f t="shared" si="4"/>
        <v>0</v>
      </c>
      <c r="I168" s="18">
        <v>0</v>
      </c>
      <c r="J168" s="15"/>
      <c r="K168" s="17">
        <v>0</v>
      </c>
      <c r="M168" s="17">
        <v>1155071</v>
      </c>
      <c r="O168" s="26">
        <f t="shared" si="5"/>
        <v>1155071</v>
      </c>
      <c r="Q168" s="18">
        <v>2.8090074033255389E-6</v>
      </c>
    </row>
    <row r="169" spans="1:17" ht="21" x14ac:dyDescent="0.55000000000000004">
      <c r="A169" s="16" t="s">
        <v>240</v>
      </c>
      <c r="C169" s="26">
        <v>0</v>
      </c>
      <c r="E169" s="26">
        <v>0</v>
      </c>
      <c r="G169" s="26">
        <f t="shared" si="4"/>
        <v>0</v>
      </c>
      <c r="I169" s="18">
        <v>0</v>
      </c>
      <c r="J169" s="15"/>
      <c r="K169" s="17">
        <v>0</v>
      </c>
      <c r="M169" s="17">
        <v>140314108</v>
      </c>
      <c r="O169" s="26">
        <f t="shared" si="5"/>
        <v>140314108</v>
      </c>
      <c r="Q169" s="18">
        <v>3.4122869344223794E-4</v>
      </c>
    </row>
    <row r="170" spans="1:17" ht="21" x14ac:dyDescent="0.55000000000000004">
      <c r="A170" s="16" t="s">
        <v>239</v>
      </c>
      <c r="C170" s="26">
        <v>0</v>
      </c>
      <c r="E170" s="26">
        <v>0</v>
      </c>
      <c r="G170" s="26">
        <f t="shared" si="4"/>
        <v>0</v>
      </c>
      <c r="I170" s="18">
        <v>0</v>
      </c>
      <c r="J170" s="15"/>
      <c r="K170" s="17">
        <v>0</v>
      </c>
      <c r="M170" s="17">
        <v>603719549</v>
      </c>
      <c r="O170" s="26">
        <f t="shared" si="5"/>
        <v>603719549</v>
      </c>
      <c r="Q170" s="18">
        <v>1.4681804691428972E-3</v>
      </c>
    </row>
    <row r="171" spans="1:17" ht="21" x14ac:dyDescent="0.55000000000000004">
      <c r="A171" s="16" t="s">
        <v>238</v>
      </c>
      <c r="C171" s="26">
        <v>0</v>
      </c>
      <c r="E171" s="26">
        <v>0</v>
      </c>
      <c r="G171" s="26">
        <f t="shared" si="4"/>
        <v>0</v>
      </c>
      <c r="I171" s="18">
        <v>0</v>
      </c>
      <c r="J171" s="15"/>
      <c r="K171" s="17">
        <v>0</v>
      </c>
      <c r="M171" s="17">
        <v>4658928</v>
      </c>
      <c r="O171" s="26">
        <f t="shared" si="5"/>
        <v>4658928</v>
      </c>
      <c r="Q171" s="18">
        <v>1.1330007630319387E-5</v>
      </c>
    </row>
    <row r="172" spans="1:17" ht="21" x14ac:dyDescent="0.55000000000000004">
      <c r="A172" s="16" t="s">
        <v>237</v>
      </c>
      <c r="C172" s="26">
        <v>0</v>
      </c>
      <c r="E172" s="26">
        <v>0</v>
      </c>
      <c r="G172" s="26">
        <f t="shared" si="4"/>
        <v>0</v>
      </c>
      <c r="I172" s="18">
        <v>0</v>
      </c>
      <c r="J172" s="15"/>
      <c r="K172" s="17">
        <v>0</v>
      </c>
      <c r="M172" s="17">
        <v>250998754</v>
      </c>
      <c r="O172" s="26">
        <f t="shared" si="5"/>
        <v>250998754</v>
      </c>
      <c r="Q172" s="18">
        <v>6.1040174864704052E-4</v>
      </c>
    </row>
    <row r="173" spans="1:17" ht="21" x14ac:dyDescent="0.55000000000000004">
      <c r="A173" s="16" t="s">
        <v>236</v>
      </c>
      <c r="C173" s="26">
        <v>0</v>
      </c>
      <c r="E173" s="26">
        <v>0</v>
      </c>
      <c r="G173" s="26">
        <f t="shared" si="4"/>
        <v>0</v>
      </c>
      <c r="I173" s="18">
        <v>0</v>
      </c>
      <c r="J173" s="15"/>
      <c r="K173" s="17">
        <v>0</v>
      </c>
      <c r="M173" s="17">
        <v>-2697975</v>
      </c>
      <c r="O173" s="26">
        <f t="shared" si="5"/>
        <v>-2697975</v>
      </c>
      <c r="Q173" s="18">
        <v>-6.5611826017510792E-6</v>
      </c>
    </row>
    <row r="174" spans="1:17" ht="21.75" thickBot="1" x14ac:dyDescent="0.6">
      <c r="A174" s="19" t="s">
        <v>9</v>
      </c>
      <c r="C174" s="19">
        <f>SUM(C9:C173)</f>
        <v>-1545603598</v>
      </c>
      <c r="E174" s="19">
        <f>SUM(E9:E173)</f>
        <v>1460728547</v>
      </c>
      <c r="G174" s="19">
        <f>SUM(G9:G173)</f>
        <v>-84875051</v>
      </c>
      <c r="I174" s="24">
        <f>SUM(I9:I173)</f>
        <v>-4.1692191483892299E-4</v>
      </c>
      <c r="K174" s="19">
        <f>SUM(K9:K173)</f>
        <v>-1519468248</v>
      </c>
      <c r="M174" s="19">
        <f>SUM(M9:M173)</f>
        <v>27171600506</v>
      </c>
      <c r="O174" s="19">
        <f>SUM(O9:O173)</f>
        <v>25652132258</v>
      </c>
      <c r="Q174" s="24">
        <f>SUM(Q9:Q173)</f>
        <v>6.2383203650518332E-2</v>
      </c>
    </row>
    <row r="175" spans="1:17" ht="21.75" thickTop="1" x14ac:dyDescent="0.55000000000000004">
      <c r="C175" s="21"/>
      <c r="E175" s="21"/>
      <c r="G175" s="21"/>
      <c r="I175" s="21"/>
      <c r="K175" s="21"/>
      <c r="M175" s="21"/>
      <c r="O175" s="21"/>
      <c r="Q175" s="21"/>
    </row>
    <row r="178" spans="11:13" x14ac:dyDescent="0.55000000000000004">
      <c r="K178" s="22"/>
      <c r="M178" s="22"/>
    </row>
    <row r="179" spans="11:13" x14ac:dyDescent="0.55000000000000004">
      <c r="K179" s="22"/>
      <c r="M179" s="22"/>
    </row>
    <row r="180" spans="11:13" x14ac:dyDescent="0.55000000000000004">
      <c r="K180" s="22"/>
      <c r="M180" s="22"/>
    </row>
    <row r="181" spans="11:13" x14ac:dyDescent="0.55000000000000004">
      <c r="K181" s="23"/>
      <c r="M181" s="22"/>
    </row>
    <row r="182" spans="11:13" x14ac:dyDescent="0.55000000000000004">
      <c r="M182" s="22"/>
    </row>
    <row r="183" spans="11:13" x14ac:dyDescent="0.55000000000000004">
      <c r="M183" s="23"/>
    </row>
  </sheetData>
  <sortState xmlns:xlrd2="http://schemas.microsoft.com/office/spreadsheetml/2017/richdata2" ref="A9:Q173">
    <sortCondition ref="A9:A173"/>
  </sortState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5279-CC30-4780-933B-2B6FDB756331}">
  <sheetPr>
    <pageSetUpPr fitToPage="1"/>
  </sheetPr>
  <dimension ref="A1:K12"/>
  <sheetViews>
    <sheetView rightToLeft="1" view="pageBreakPreview" zoomScaleNormal="100" zoomScaleSheetLayoutView="100" workbookViewId="0">
      <selection activeCell="K11" sqref="K11"/>
    </sheetView>
  </sheetViews>
  <sheetFormatPr defaultColWidth="8.85546875" defaultRowHeight="19.5" x14ac:dyDescent="0.55000000000000004"/>
  <cols>
    <col min="1" max="1" width="25.57031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4.140625" style="1" customWidth="1"/>
    <col min="8" max="8" width="1.42578125" style="1" customWidth="1"/>
    <col min="9" max="9" width="17" style="1" customWidth="1"/>
    <col min="10" max="10" width="1.42578125" style="1" customWidth="1"/>
    <col min="11" max="11" width="14.140625" style="1" customWidth="1"/>
    <col min="12" max="16384" width="8.85546875" style="1"/>
  </cols>
  <sheetData>
    <row r="1" spans="1:11" ht="19.899999999999999" customHeight="1" x14ac:dyDescent="0.55000000000000004">
      <c r="A1" s="47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9.899999999999999" customHeight="1" x14ac:dyDescent="0.55000000000000004">
      <c r="A2" s="4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19.899999999999999" customHeight="1" x14ac:dyDescent="0.55000000000000004">
      <c r="A3" s="4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5" spans="1:11" ht="21" x14ac:dyDescent="0.55000000000000004">
      <c r="A5" s="48" t="s">
        <v>405</v>
      </c>
      <c r="B5" s="37"/>
      <c r="C5" s="37"/>
      <c r="D5" s="37"/>
      <c r="E5" s="37"/>
      <c r="F5" s="37"/>
      <c r="G5" s="37"/>
      <c r="H5" s="37"/>
      <c r="I5" s="37"/>
      <c r="J5" s="37"/>
      <c r="K5" s="37"/>
    </row>
    <row r="7" spans="1:11" ht="21" x14ac:dyDescent="0.55000000000000004">
      <c r="A7" s="49" t="s">
        <v>43</v>
      </c>
      <c r="B7" s="50"/>
      <c r="C7" s="50"/>
      <c r="E7" s="49" t="s">
        <v>59</v>
      </c>
      <c r="F7" s="50"/>
      <c r="G7" s="50"/>
      <c r="I7" s="49" t="s">
        <v>60</v>
      </c>
      <c r="J7" s="50"/>
      <c r="K7" s="50"/>
    </row>
    <row r="8" spans="1:11" ht="42" x14ac:dyDescent="0.55000000000000004">
      <c r="A8" s="13" t="s">
        <v>44</v>
      </c>
      <c r="C8" s="13" t="s">
        <v>14</v>
      </c>
      <c r="E8" s="13" t="s">
        <v>45</v>
      </c>
      <c r="G8" s="13" t="s">
        <v>61</v>
      </c>
      <c r="I8" s="13" t="s">
        <v>45</v>
      </c>
      <c r="K8" s="13" t="s">
        <v>61</v>
      </c>
    </row>
    <row r="9" spans="1:11" ht="21" x14ac:dyDescent="0.55000000000000004">
      <c r="A9" s="16" t="s">
        <v>46</v>
      </c>
      <c r="C9" s="15" t="s">
        <v>118</v>
      </c>
      <c r="E9" s="17">
        <v>2834513</v>
      </c>
      <c r="G9" s="18">
        <f>E9/E11</f>
        <v>2.1996783682213332E-3</v>
      </c>
      <c r="I9" s="17">
        <v>34726320</v>
      </c>
      <c r="K9" s="18">
        <f>I9/I11</f>
        <v>2.50883311045535E-3</v>
      </c>
    </row>
    <row r="10" spans="1:11" ht="42" x14ac:dyDescent="0.55000000000000004">
      <c r="A10" s="16" t="s">
        <v>47</v>
      </c>
      <c r="C10" s="15" t="s">
        <v>113</v>
      </c>
      <c r="E10" s="17">
        <v>1285768876</v>
      </c>
      <c r="G10" s="18">
        <f>E10/E11</f>
        <v>0.99780032163177867</v>
      </c>
      <c r="I10" s="17">
        <v>13806895849</v>
      </c>
      <c r="K10" s="18">
        <f>I10/I11</f>
        <v>0.99749116688954464</v>
      </c>
    </row>
    <row r="11" spans="1:11" ht="21.75" thickBot="1" x14ac:dyDescent="0.6">
      <c r="A11" s="19" t="s">
        <v>9</v>
      </c>
      <c r="E11" s="19">
        <f>SUM(E9:$E$10)</f>
        <v>1288603389</v>
      </c>
      <c r="G11" s="20">
        <f>SUM(G9:$G$10)</f>
        <v>1</v>
      </c>
      <c r="I11" s="19">
        <f>SUM(I9:$I$10)</f>
        <v>13841622169</v>
      </c>
      <c r="K11" s="20">
        <f>SUM(K9:$K$10)</f>
        <v>1</v>
      </c>
    </row>
    <row r="12" spans="1:11" ht="21.75" thickTop="1" x14ac:dyDescent="0.55000000000000004">
      <c r="E12" s="21"/>
      <c r="G12" s="21"/>
      <c r="I12" s="21"/>
      <c r="K12" s="21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8027-0832-48EC-9A39-1392A133EF25}">
  <sheetPr>
    <pageSetUpPr fitToPage="1"/>
  </sheetPr>
  <dimension ref="A1:E12"/>
  <sheetViews>
    <sheetView rightToLeft="1" view="pageBreakPreview" zoomScaleNormal="100" zoomScaleSheetLayoutView="100" workbookViewId="0">
      <selection sqref="A1:E1"/>
    </sheetView>
  </sheetViews>
  <sheetFormatPr defaultColWidth="8.85546875" defaultRowHeight="19.5" x14ac:dyDescent="0.55000000000000004"/>
  <cols>
    <col min="1" max="1" width="34.140625" style="1" customWidth="1"/>
    <col min="2" max="2" width="1.42578125" style="1" customWidth="1"/>
    <col min="3" max="3" width="24.85546875" style="1" customWidth="1"/>
    <col min="4" max="4" width="1.42578125" style="1" customWidth="1"/>
    <col min="5" max="5" width="35.140625" style="1" customWidth="1"/>
    <col min="6" max="16384" width="8.85546875" style="1"/>
  </cols>
  <sheetData>
    <row r="1" spans="1:5" ht="19.899999999999999" customHeight="1" x14ac:dyDescent="0.55000000000000004">
      <c r="A1" s="47" t="s">
        <v>110</v>
      </c>
      <c r="B1" s="37"/>
      <c r="C1" s="37"/>
      <c r="D1" s="37"/>
      <c r="E1" s="37"/>
    </row>
    <row r="2" spans="1:5" ht="19.899999999999999" customHeight="1" x14ac:dyDescent="0.55000000000000004">
      <c r="A2" s="47" t="s">
        <v>23</v>
      </c>
      <c r="B2" s="37"/>
      <c r="C2" s="37"/>
      <c r="D2" s="37"/>
      <c r="E2" s="37"/>
    </row>
    <row r="3" spans="1:5" ht="19.899999999999999" customHeight="1" x14ac:dyDescent="0.55000000000000004">
      <c r="A3" s="47" t="s">
        <v>1</v>
      </c>
      <c r="B3" s="37"/>
      <c r="C3" s="37"/>
      <c r="D3" s="37"/>
      <c r="E3" s="37"/>
    </row>
    <row r="5" spans="1:5" ht="21" x14ac:dyDescent="0.55000000000000004">
      <c r="A5" s="48" t="s">
        <v>406</v>
      </c>
      <c r="B5" s="37"/>
      <c r="C5" s="37"/>
      <c r="D5" s="37"/>
      <c r="E5" s="37"/>
    </row>
    <row r="7" spans="1:5" ht="21" x14ac:dyDescent="0.55000000000000004">
      <c r="C7" s="12" t="s">
        <v>59</v>
      </c>
      <c r="E7" s="12" t="s">
        <v>60</v>
      </c>
    </row>
    <row r="8" spans="1:5" ht="21" x14ac:dyDescent="0.55000000000000004">
      <c r="A8" s="13" t="s">
        <v>30</v>
      </c>
      <c r="C8" s="13" t="s">
        <v>17</v>
      </c>
      <c r="E8" s="13" t="s">
        <v>17</v>
      </c>
    </row>
    <row r="9" spans="1:5" ht="21" x14ac:dyDescent="0.55000000000000004">
      <c r="A9" s="16" t="s">
        <v>62</v>
      </c>
      <c r="C9" s="17">
        <v>54930897</v>
      </c>
      <c r="E9" s="17">
        <v>214142879</v>
      </c>
    </row>
    <row r="10" spans="1:5" ht="21" x14ac:dyDescent="0.55000000000000004">
      <c r="A10" s="16" t="s">
        <v>407</v>
      </c>
      <c r="C10" s="17">
        <v>0</v>
      </c>
      <c r="E10" s="17">
        <v>51908</v>
      </c>
    </row>
    <row r="11" spans="1:5" ht="21.75" thickBot="1" x14ac:dyDescent="0.6">
      <c r="A11" s="19" t="s">
        <v>9</v>
      </c>
      <c r="C11" s="19">
        <f>SUM(C9:$C$10)</f>
        <v>54930897</v>
      </c>
      <c r="E11" s="19">
        <f>SUM(E9:$E$10)</f>
        <v>214194787</v>
      </c>
    </row>
    <row r="12" spans="1:5" ht="21.75" thickTop="1" x14ac:dyDescent="0.55000000000000004">
      <c r="C12" s="21"/>
      <c r="E12" s="21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scale="9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96A1-2195-45AE-B7C4-B5B495DAB136}">
  <sheetPr>
    <pageSetUpPr fitToPage="1"/>
  </sheetPr>
  <dimension ref="A1:S54"/>
  <sheetViews>
    <sheetView rightToLeft="1" view="pageBreakPreview" zoomScale="60" zoomScaleNormal="100" workbookViewId="0">
      <selection sqref="A1:S1"/>
    </sheetView>
  </sheetViews>
  <sheetFormatPr defaultColWidth="8.85546875" defaultRowHeight="19.5" x14ac:dyDescent="0.55000000000000004"/>
  <cols>
    <col min="1" max="1" width="34.710937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2.8554687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4.140625" style="1" customWidth="1"/>
    <col min="18" max="18" width="1.42578125" style="1" customWidth="1"/>
    <col min="19" max="19" width="18.42578125" style="1" customWidth="1"/>
    <col min="20" max="16384" width="8.85546875" style="1"/>
  </cols>
  <sheetData>
    <row r="1" spans="1:19" ht="19.899999999999999" customHeight="1" x14ac:dyDescent="0.55000000000000004">
      <c r="A1" s="47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19.899999999999999" customHeight="1" x14ac:dyDescent="0.55000000000000004">
      <c r="A2" s="4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19.899999999999999" customHeight="1" x14ac:dyDescent="0.55000000000000004">
      <c r="A3" s="4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5" spans="1:19" ht="21" x14ac:dyDescent="0.55000000000000004">
      <c r="A5" s="48" t="s">
        <v>128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</row>
    <row r="7" spans="1:19" ht="21" x14ac:dyDescent="0.55000000000000004">
      <c r="C7" s="49" t="s">
        <v>127</v>
      </c>
      <c r="D7" s="50"/>
      <c r="E7" s="50"/>
      <c r="F7" s="50"/>
      <c r="G7" s="50"/>
      <c r="I7" s="49" t="s">
        <v>59</v>
      </c>
      <c r="J7" s="50"/>
      <c r="K7" s="50"/>
      <c r="L7" s="50"/>
      <c r="M7" s="50"/>
      <c r="O7" s="49" t="s">
        <v>60</v>
      </c>
      <c r="P7" s="50"/>
      <c r="Q7" s="50"/>
      <c r="R7" s="50"/>
      <c r="S7" s="50"/>
    </row>
    <row r="8" spans="1:19" ht="63" x14ac:dyDescent="0.55000000000000004">
      <c r="A8" s="12" t="s">
        <v>111</v>
      </c>
      <c r="C8" s="13" t="s">
        <v>126</v>
      </c>
      <c r="E8" s="13" t="s">
        <v>125</v>
      </c>
      <c r="G8" s="13" t="s">
        <v>124</v>
      </c>
      <c r="I8" s="13" t="s">
        <v>123</v>
      </c>
      <c r="K8" s="13" t="s">
        <v>31</v>
      </c>
      <c r="M8" s="13" t="s">
        <v>122</v>
      </c>
      <c r="O8" s="13" t="s">
        <v>123</v>
      </c>
      <c r="Q8" s="13" t="s">
        <v>31</v>
      </c>
      <c r="S8" s="13" t="s">
        <v>122</v>
      </c>
    </row>
    <row r="9" spans="1:19" ht="21" x14ac:dyDescent="0.55000000000000004">
      <c r="A9" s="16" t="s">
        <v>172</v>
      </c>
      <c r="C9" s="15" t="s">
        <v>234</v>
      </c>
      <c r="E9" s="17">
        <v>1000000</v>
      </c>
      <c r="G9" s="17">
        <v>637</v>
      </c>
      <c r="I9" s="17">
        <v>0</v>
      </c>
      <c r="K9" s="17">
        <v>0</v>
      </c>
      <c r="M9" s="17">
        <v>0</v>
      </c>
      <c r="N9" s="15"/>
      <c r="O9" s="17">
        <v>637000000</v>
      </c>
      <c r="Q9" s="17">
        <v>0</v>
      </c>
      <c r="S9" s="17">
        <v>637000000</v>
      </c>
    </row>
    <row r="10" spans="1:19" ht="21" x14ac:dyDescent="0.55000000000000004">
      <c r="A10" s="16" t="s">
        <v>105</v>
      </c>
      <c r="C10" s="15" t="s">
        <v>233</v>
      </c>
      <c r="E10" s="17">
        <v>5242039</v>
      </c>
      <c r="G10" s="17">
        <v>240</v>
      </c>
      <c r="I10" s="17">
        <v>0</v>
      </c>
      <c r="K10" s="17">
        <v>0</v>
      </c>
      <c r="M10" s="17">
        <v>0</v>
      </c>
      <c r="N10" s="15"/>
      <c r="O10" s="17">
        <v>1258089360</v>
      </c>
      <c r="Q10" s="17">
        <v>0</v>
      </c>
      <c r="S10" s="17">
        <v>1258089360</v>
      </c>
    </row>
    <row r="11" spans="1:19" ht="21" x14ac:dyDescent="0.55000000000000004">
      <c r="A11" s="16" t="s">
        <v>103</v>
      </c>
      <c r="C11" s="15" t="s">
        <v>211</v>
      </c>
      <c r="E11" s="17">
        <v>26466235</v>
      </c>
      <c r="G11" s="17">
        <v>11</v>
      </c>
      <c r="I11" s="17">
        <v>0</v>
      </c>
      <c r="K11" s="17">
        <v>0</v>
      </c>
      <c r="M11" s="17">
        <v>0</v>
      </c>
      <c r="N11" s="15"/>
      <c r="O11" s="17">
        <v>291128585</v>
      </c>
      <c r="Q11" s="17">
        <v>0</v>
      </c>
      <c r="S11" s="17">
        <v>291128585</v>
      </c>
    </row>
    <row r="12" spans="1:19" ht="21" x14ac:dyDescent="0.55000000000000004">
      <c r="A12" s="16" t="s">
        <v>102</v>
      </c>
      <c r="C12" s="15" t="s">
        <v>211</v>
      </c>
      <c r="E12" s="17">
        <v>20000000</v>
      </c>
      <c r="G12" s="17">
        <v>90</v>
      </c>
      <c r="I12" s="17">
        <v>0</v>
      </c>
      <c r="K12" s="17">
        <v>0</v>
      </c>
      <c r="M12" s="17">
        <v>0</v>
      </c>
      <c r="N12" s="15"/>
      <c r="O12" s="17">
        <v>1800000000</v>
      </c>
      <c r="Q12" s="17">
        <v>0</v>
      </c>
      <c r="S12" s="17">
        <v>1800000000</v>
      </c>
    </row>
    <row r="13" spans="1:19" ht="21" x14ac:dyDescent="0.55000000000000004">
      <c r="A13" s="16" t="s">
        <v>168</v>
      </c>
      <c r="C13" s="15" t="s">
        <v>232</v>
      </c>
      <c r="E13" s="17">
        <v>1700000</v>
      </c>
      <c r="G13" s="17">
        <v>560</v>
      </c>
      <c r="I13" s="17">
        <v>0</v>
      </c>
      <c r="K13" s="17">
        <v>0</v>
      </c>
      <c r="M13" s="17">
        <v>0</v>
      </c>
      <c r="N13" s="15"/>
      <c r="O13" s="17">
        <v>952000000</v>
      </c>
      <c r="Q13" s="17">
        <v>0</v>
      </c>
      <c r="S13" s="17">
        <v>952000000</v>
      </c>
    </row>
    <row r="14" spans="1:19" ht="21" x14ac:dyDescent="0.55000000000000004">
      <c r="A14" s="16" t="s">
        <v>167</v>
      </c>
      <c r="C14" s="15" t="s">
        <v>231</v>
      </c>
      <c r="E14" s="17">
        <v>285750</v>
      </c>
      <c r="G14" s="17">
        <v>4400</v>
      </c>
      <c r="I14" s="17">
        <v>0</v>
      </c>
      <c r="K14" s="17">
        <v>0</v>
      </c>
      <c r="M14" s="17">
        <v>0</v>
      </c>
      <c r="N14" s="15"/>
      <c r="O14" s="17">
        <v>1257300000</v>
      </c>
      <c r="Q14" s="17">
        <v>0</v>
      </c>
      <c r="S14" s="17">
        <v>1257300000</v>
      </c>
    </row>
    <row r="15" spans="1:19" ht="21" x14ac:dyDescent="0.55000000000000004">
      <c r="A15" s="16" t="s">
        <v>100</v>
      </c>
      <c r="C15" s="15" t="s">
        <v>208</v>
      </c>
      <c r="E15" s="17">
        <v>3800000</v>
      </c>
      <c r="G15" s="17">
        <v>170</v>
      </c>
      <c r="I15" s="17">
        <v>0</v>
      </c>
      <c r="K15" s="17">
        <v>0</v>
      </c>
      <c r="M15" s="17">
        <v>0</v>
      </c>
      <c r="N15" s="15"/>
      <c r="O15" s="17">
        <v>1122566610</v>
      </c>
      <c r="Q15" s="17">
        <v>0</v>
      </c>
      <c r="S15" s="17">
        <v>1122566610</v>
      </c>
    </row>
    <row r="16" spans="1:19" ht="21" x14ac:dyDescent="0.55000000000000004">
      <c r="A16" s="16" t="s">
        <v>166</v>
      </c>
      <c r="C16" s="15" t="s">
        <v>230</v>
      </c>
      <c r="E16" s="17">
        <v>900000</v>
      </c>
      <c r="G16" s="17">
        <v>325</v>
      </c>
      <c r="I16" s="17">
        <v>0</v>
      </c>
      <c r="K16" s="17">
        <v>0</v>
      </c>
      <c r="M16" s="17">
        <v>0</v>
      </c>
      <c r="N16" s="15"/>
      <c r="O16" s="17">
        <v>292500000</v>
      </c>
      <c r="Q16" s="17">
        <v>0</v>
      </c>
      <c r="S16" s="17">
        <v>292500000</v>
      </c>
    </row>
    <row r="17" spans="1:19" ht="21" x14ac:dyDescent="0.55000000000000004">
      <c r="A17" s="16" t="s">
        <v>97</v>
      </c>
      <c r="C17" s="15" t="s">
        <v>223</v>
      </c>
      <c r="E17" s="17">
        <v>21935000</v>
      </c>
      <c r="G17" s="17">
        <v>190</v>
      </c>
      <c r="I17" s="17">
        <v>0</v>
      </c>
      <c r="K17" s="17">
        <v>0</v>
      </c>
      <c r="M17" s="17">
        <v>0</v>
      </c>
      <c r="N17" s="15"/>
      <c r="O17" s="17">
        <v>4167650000</v>
      </c>
      <c r="Q17" s="17">
        <v>-83912416</v>
      </c>
      <c r="S17" s="17">
        <v>4083737584</v>
      </c>
    </row>
    <row r="18" spans="1:19" ht="21" x14ac:dyDescent="0.55000000000000004">
      <c r="A18" s="16" t="s">
        <v>96</v>
      </c>
      <c r="C18" s="15" t="s">
        <v>229</v>
      </c>
      <c r="E18" s="17">
        <v>350000</v>
      </c>
      <c r="G18" s="17">
        <v>3800</v>
      </c>
      <c r="I18" s="17">
        <v>0</v>
      </c>
      <c r="K18" s="17">
        <v>0</v>
      </c>
      <c r="M18" s="17">
        <v>0</v>
      </c>
      <c r="N18" s="15"/>
      <c r="O18" s="17">
        <v>1330000000</v>
      </c>
      <c r="Q18" s="17">
        <v>0</v>
      </c>
      <c r="S18" s="17">
        <v>1330000000</v>
      </c>
    </row>
    <row r="19" spans="1:19" ht="21" x14ac:dyDescent="0.55000000000000004">
      <c r="A19" s="16" t="s">
        <v>95</v>
      </c>
      <c r="C19" s="15" t="s">
        <v>228</v>
      </c>
      <c r="E19" s="17">
        <v>1550000</v>
      </c>
      <c r="G19" s="17">
        <v>1100</v>
      </c>
      <c r="I19" s="17">
        <v>0</v>
      </c>
      <c r="K19" s="17">
        <v>0</v>
      </c>
      <c r="M19" s="17">
        <v>0</v>
      </c>
      <c r="N19" s="15"/>
      <c r="O19" s="17">
        <v>1705000000</v>
      </c>
      <c r="Q19" s="17">
        <v>-19624238</v>
      </c>
      <c r="S19" s="17">
        <v>1685375762</v>
      </c>
    </row>
    <row r="20" spans="1:19" ht="21" x14ac:dyDescent="0.55000000000000004">
      <c r="A20" s="16" t="s">
        <v>94</v>
      </c>
      <c r="C20" s="15" t="s">
        <v>227</v>
      </c>
      <c r="E20" s="17">
        <v>4279048</v>
      </c>
      <c r="G20" s="17">
        <v>1170</v>
      </c>
      <c r="I20" s="17">
        <v>0</v>
      </c>
      <c r="K20" s="17">
        <v>0</v>
      </c>
      <c r="M20" s="17">
        <v>0</v>
      </c>
      <c r="N20" s="15"/>
      <c r="O20" s="17">
        <v>5006486160</v>
      </c>
      <c r="Q20" s="17">
        <v>0</v>
      </c>
      <c r="S20" s="17">
        <v>5006486160</v>
      </c>
    </row>
    <row r="21" spans="1:19" ht="21" x14ac:dyDescent="0.55000000000000004">
      <c r="A21" s="16" t="s">
        <v>158</v>
      </c>
      <c r="C21" s="15" t="s">
        <v>226</v>
      </c>
      <c r="E21" s="17">
        <v>1285714</v>
      </c>
      <c r="G21" s="17">
        <v>500</v>
      </c>
      <c r="I21" s="17">
        <v>0</v>
      </c>
      <c r="K21" s="17">
        <v>0</v>
      </c>
      <c r="M21" s="17">
        <v>0</v>
      </c>
      <c r="N21" s="15"/>
      <c r="O21" s="17">
        <v>642857000</v>
      </c>
      <c r="Q21" s="17">
        <v>0</v>
      </c>
      <c r="S21" s="17">
        <v>642857000</v>
      </c>
    </row>
    <row r="22" spans="1:19" ht="21" x14ac:dyDescent="0.55000000000000004">
      <c r="A22" s="16" t="s">
        <v>93</v>
      </c>
      <c r="C22" s="15" t="s">
        <v>214</v>
      </c>
      <c r="E22" s="17">
        <v>2000000</v>
      </c>
      <c r="G22" s="17">
        <v>1050</v>
      </c>
      <c r="I22" s="17">
        <v>0</v>
      </c>
      <c r="K22" s="17">
        <v>0</v>
      </c>
      <c r="M22" s="17">
        <v>0</v>
      </c>
      <c r="N22" s="15"/>
      <c r="O22" s="17">
        <v>2100000000</v>
      </c>
      <c r="Q22" s="17">
        <v>0</v>
      </c>
      <c r="S22" s="17">
        <v>2100000000</v>
      </c>
    </row>
    <row r="23" spans="1:19" ht="21" x14ac:dyDescent="0.55000000000000004">
      <c r="A23" s="16" t="s">
        <v>154</v>
      </c>
      <c r="C23" s="15" t="s">
        <v>225</v>
      </c>
      <c r="E23" s="17">
        <v>2400000</v>
      </c>
      <c r="G23" s="17">
        <v>560</v>
      </c>
      <c r="I23" s="17">
        <v>0</v>
      </c>
      <c r="K23" s="17">
        <v>0</v>
      </c>
      <c r="M23" s="17">
        <v>0</v>
      </c>
      <c r="N23" s="15"/>
      <c r="O23" s="17">
        <v>1344000000</v>
      </c>
      <c r="Q23" s="17">
        <v>0</v>
      </c>
      <c r="S23" s="17">
        <v>1344000000</v>
      </c>
    </row>
    <row r="24" spans="1:19" ht="21" x14ac:dyDescent="0.55000000000000004">
      <c r="A24" s="16" t="s">
        <v>152</v>
      </c>
      <c r="C24" s="15" t="s">
        <v>224</v>
      </c>
      <c r="E24" s="17">
        <v>1500000</v>
      </c>
      <c r="G24" s="17">
        <v>150</v>
      </c>
      <c r="I24" s="17">
        <v>0</v>
      </c>
      <c r="K24" s="17">
        <v>0</v>
      </c>
      <c r="M24" s="17">
        <v>0</v>
      </c>
      <c r="N24" s="15"/>
      <c r="O24" s="17">
        <v>225000000</v>
      </c>
      <c r="Q24" s="17">
        <v>0</v>
      </c>
      <c r="S24" s="17">
        <v>225000000</v>
      </c>
    </row>
    <row r="25" spans="1:19" ht="21" x14ac:dyDescent="0.55000000000000004">
      <c r="A25" s="16" t="s">
        <v>90</v>
      </c>
      <c r="C25" s="15" t="s">
        <v>214</v>
      </c>
      <c r="E25" s="17">
        <v>1875000</v>
      </c>
      <c r="G25" s="17">
        <v>300</v>
      </c>
      <c r="I25" s="17">
        <v>0</v>
      </c>
      <c r="K25" s="17">
        <v>0</v>
      </c>
      <c r="M25" s="17">
        <v>0</v>
      </c>
      <c r="N25" s="15"/>
      <c r="O25" s="17">
        <v>562500000</v>
      </c>
      <c r="Q25" s="17">
        <v>0</v>
      </c>
      <c r="S25" s="17">
        <v>562500000</v>
      </c>
    </row>
    <row r="26" spans="1:19" ht="21" x14ac:dyDescent="0.55000000000000004">
      <c r="A26" s="16" t="s">
        <v>89</v>
      </c>
      <c r="C26" s="15" t="s">
        <v>223</v>
      </c>
      <c r="E26" s="17">
        <v>9100000</v>
      </c>
      <c r="G26" s="17">
        <v>510</v>
      </c>
      <c r="I26" s="17">
        <v>0</v>
      </c>
      <c r="K26" s="17">
        <v>0</v>
      </c>
      <c r="M26" s="17">
        <v>0</v>
      </c>
      <c r="N26" s="15"/>
      <c r="O26" s="17">
        <v>4641000000</v>
      </c>
      <c r="Q26" s="17">
        <v>0</v>
      </c>
      <c r="S26" s="17">
        <v>4641000000</v>
      </c>
    </row>
    <row r="27" spans="1:19" ht="21" x14ac:dyDescent="0.55000000000000004">
      <c r="A27" s="16" t="s">
        <v>88</v>
      </c>
      <c r="C27" s="15" t="s">
        <v>217</v>
      </c>
      <c r="E27" s="17">
        <v>650000</v>
      </c>
      <c r="G27" s="17">
        <v>2390</v>
      </c>
      <c r="I27" s="17">
        <v>0</v>
      </c>
      <c r="K27" s="17">
        <v>0</v>
      </c>
      <c r="M27" s="17">
        <v>0</v>
      </c>
      <c r="N27" s="15"/>
      <c r="O27" s="17">
        <v>1553500000</v>
      </c>
      <c r="Q27" s="17">
        <v>0</v>
      </c>
      <c r="S27" s="17">
        <v>1553500000</v>
      </c>
    </row>
    <row r="28" spans="1:19" ht="21" x14ac:dyDescent="0.55000000000000004">
      <c r="A28" s="16" t="s">
        <v>87</v>
      </c>
      <c r="C28" s="15" t="s">
        <v>222</v>
      </c>
      <c r="E28" s="17">
        <v>17000000</v>
      </c>
      <c r="G28" s="17">
        <v>280</v>
      </c>
      <c r="I28" s="17">
        <v>0</v>
      </c>
      <c r="K28" s="17">
        <v>0</v>
      </c>
      <c r="M28" s="17">
        <v>0</v>
      </c>
      <c r="N28" s="15"/>
      <c r="O28" s="17">
        <v>4760000000</v>
      </c>
      <c r="Q28" s="17">
        <v>0</v>
      </c>
      <c r="S28" s="17">
        <v>4760000000</v>
      </c>
    </row>
    <row r="29" spans="1:19" ht="21" x14ac:dyDescent="0.55000000000000004">
      <c r="A29" s="16" t="s">
        <v>145</v>
      </c>
      <c r="C29" s="15" t="s">
        <v>221</v>
      </c>
      <c r="E29" s="17">
        <v>200000</v>
      </c>
      <c r="G29" s="17">
        <v>1480</v>
      </c>
      <c r="I29" s="17">
        <v>0</v>
      </c>
      <c r="K29" s="17">
        <v>0</v>
      </c>
      <c r="M29" s="17">
        <v>0</v>
      </c>
      <c r="N29" s="15"/>
      <c r="O29" s="17">
        <v>296000000</v>
      </c>
      <c r="Q29" s="17">
        <v>0</v>
      </c>
      <c r="S29" s="17">
        <v>296000000</v>
      </c>
    </row>
    <row r="30" spans="1:19" ht="21" x14ac:dyDescent="0.55000000000000004">
      <c r="A30" s="16" t="s">
        <v>143</v>
      </c>
      <c r="C30" s="15" t="s">
        <v>220</v>
      </c>
      <c r="E30" s="17">
        <v>29010652</v>
      </c>
      <c r="G30" s="17">
        <v>40</v>
      </c>
      <c r="I30" s="17">
        <v>0</v>
      </c>
      <c r="K30" s="17">
        <v>0</v>
      </c>
      <c r="M30" s="17">
        <v>0</v>
      </c>
      <c r="N30" s="15"/>
      <c r="O30" s="17">
        <v>1160426080</v>
      </c>
      <c r="Q30" s="17">
        <v>0</v>
      </c>
      <c r="S30" s="17">
        <v>1160426080</v>
      </c>
    </row>
    <row r="31" spans="1:19" ht="21" x14ac:dyDescent="0.55000000000000004">
      <c r="A31" s="16" t="s">
        <v>140</v>
      </c>
      <c r="C31" s="15" t="s">
        <v>212</v>
      </c>
      <c r="E31" s="17">
        <v>175000</v>
      </c>
      <c r="G31" s="17">
        <v>1500</v>
      </c>
      <c r="I31" s="17">
        <v>0</v>
      </c>
      <c r="K31" s="17">
        <v>0</v>
      </c>
      <c r="M31" s="17">
        <v>0</v>
      </c>
      <c r="N31" s="15"/>
      <c r="O31" s="17">
        <v>262500000</v>
      </c>
      <c r="Q31" s="17">
        <v>0</v>
      </c>
      <c r="S31" s="17">
        <v>262500000</v>
      </c>
    </row>
    <row r="32" spans="1:19" ht="21" x14ac:dyDescent="0.55000000000000004">
      <c r="A32" s="16" t="s">
        <v>84</v>
      </c>
      <c r="C32" s="15" t="s">
        <v>211</v>
      </c>
      <c r="E32" s="17">
        <v>12000000</v>
      </c>
      <c r="G32" s="17">
        <v>370</v>
      </c>
      <c r="I32" s="17">
        <v>0</v>
      </c>
      <c r="K32" s="17">
        <v>0</v>
      </c>
      <c r="M32" s="17">
        <v>0</v>
      </c>
      <c r="N32" s="15"/>
      <c r="O32" s="17">
        <v>4440000000</v>
      </c>
      <c r="Q32" s="17">
        <v>0</v>
      </c>
      <c r="S32" s="17">
        <v>4440000000</v>
      </c>
    </row>
    <row r="33" spans="1:19" ht="21" x14ac:dyDescent="0.55000000000000004">
      <c r="A33" s="16" t="s">
        <v>83</v>
      </c>
      <c r="C33" s="15" t="s">
        <v>219</v>
      </c>
      <c r="E33" s="17">
        <v>700000</v>
      </c>
      <c r="G33" s="17">
        <v>620</v>
      </c>
      <c r="I33" s="17">
        <v>0</v>
      </c>
      <c r="K33" s="17">
        <v>0</v>
      </c>
      <c r="M33" s="17">
        <v>0</v>
      </c>
      <c r="N33" s="15"/>
      <c r="O33" s="17">
        <v>434000000</v>
      </c>
      <c r="Q33" s="17">
        <v>0</v>
      </c>
      <c r="S33" s="17">
        <v>434000000</v>
      </c>
    </row>
    <row r="34" spans="1:19" ht="21" x14ac:dyDescent="0.55000000000000004">
      <c r="A34" s="16" t="s">
        <v>82</v>
      </c>
      <c r="C34" s="15" t="s">
        <v>218</v>
      </c>
      <c r="E34" s="17">
        <v>9250000</v>
      </c>
      <c r="G34" s="17">
        <v>360</v>
      </c>
      <c r="I34" s="17">
        <v>0</v>
      </c>
      <c r="K34" s="17">
        <v>0</v>
      </c>
      <c r="M34" s="17">
        <v>0</v>
      </c>
      <c r="N34" s="15"/>
      <c r="O34" s="17">
        <v>3330000000</v>
      </c>
      <c r="Q34" s="17">
        <v>0</v>
      </c>
      <c r="S34" s="17">
        <v>3330000000</v>
      </c>
    </row>
    <row r="35" spans="1:19" ht="21" x14ac:dyDescent="0.55000000000000004">
      <c r="A35" s="16" t="s">
        <v>81</v>
      </c>
      <c r="C35" s="15" t="s">
        <v>212</v>
      </c>
      <c r="E35" s="17">
        <v>1400000</v>
      </c>
      <c r="G35" s="17">
        <v>936</v>
      </c>
      <c r="I35" s="17">
        <v>0</v>
      </c>
      <c r="K35" s="17">
        <v>0</v>
      </c>
      <c r="M35" s="17">
        <v>0</v>
      </c>
      <c r="N35" s="15"/>
      <c r="O35" s="17">
        <v>1310400000</v>
      </c>
      <c r="Q35" s="17">
        <v>0</v>
      </c>
      <c r="S35" s="17">
        <v>1310400000</v>
      </c>
    </row>
    <row r="36" spans="1:19" ht="21" x14ac:dyDescent="0.55000000000000004">
      <c r="A36" s="16" t="s">
        <v>138</v>
      </c>
      <c r="C36" s="15" t="s">
        <v>218</v>
      </c>
      <c r="E36" s="17">
        <v>400000</v>
      </c>
      <c r="G36" s="17">
        <v>1050</v>
      </c>
      <c r="I36" s="17">
        <v>0</v>
      </c>
      <c r="K36" s="17">
        <v>0</v>
      </c>
      <c r="M36" s="17">
        <v>0</v>
      </c>
      <c r="N36" s="15"/>
      <c r="O36" s="17">
        <v>420000000</v>
      </c>
      <c r="Q36" s="17">
        <v>0</v>
      </c>
      <c r="S36" s="17">
        <v>420000000</v>
      </c>
    </row>
    <row r="37" spans="1:19" ht="21" x14ac:dyDescent="0.55000000000000004">
      <c r="A37" s="16" t="s">
        <v>80</v>
      </c>
      <c r="C37" s="15" t="s">
        <v>214</v>
      </c>
      <c r="E37" s="17">
        <v>650000</v>
      </c>
      <c r="G37" s="17">
        <v>1997</v>
      </c>
      <c r="I37" s="17">
        <v>0</v>
      </c>
      <c r="K37" s="17">
        <v>0</v>
      </c>
      <c r="M37" s="17">
        <v>0</v>
      </c>
      <c r="N37" s="15"/>
      <c r="O37" s="17">
        <v>1298050000</v>
      </c>
      <c r="Q37" s="17">
        <v>0</v>
      </c>
      <c r="S37" s="17">
        <v>1298050000</v>
      </c>
    </row>
    <row r="38" spans="1:19" ht="21" x14ac:dyDescent="0.55000000000000004">
      <c r="A38" s="16" t="s">
        <v>79</v>
      </c>
      <c r="C38" s="15" t="s">
        <v>217</v>
      </c>
      <c r="E38" s="17">
        <v>5685981</v>
      </c>
      <c r="G38" s="17">
        <v>190</v>
      </c>
      <c r="I38" s="17">
        <v>0</v>
      </c>
      <c r="K38" s="17">
        <v>0</v>
      </c>
      <c r="M38" s="17">
        <v>0</v>
      </c>
      <c r="N38" s="15"/>
      <c r="O38" s="17">
        <v>1080336390</v>
      </c>
      <c r="Q38" s="17">
        <v>0</v>
      </c>
      <c r="S38" s="17">
        <v>1080336390</v>
      </c>
    </row>
    <row r="39" spans="1:19" ht="21" x14ac:dyDescent="0.55000000000000004">
      <c r="A39" s="16" t="s">
        <v>78</v>
      </c>
      <c r="C39" s="15" t="s">
        <v>216</v>
      </c>
      <c r="E39" s="17">
        <v>607000</v>
      </c>
      <c r="G39" s="17">
        <v>7240</v>
      </c>
      <c r="I39" s="17">
        <v>0</v>
      </c>
      <c r="K39" s="17">
        <v>0</v>
      </c>
      <c r="M39" s="17">
        <v>0</v>
      </c>
      <c r="N39" s="15"/>
      <c r="O39" s="17">
        <v>4394680000</v>
      </c>
      <c r="Q39" s="17">
        <v>0</v>
      </c>
      <c r="S39" s="17">
        <v>4394680000</v>
      </c>
    </row>
    <row r="40" spans="1:19" ht="21" x14ac:dyDescent="0.55000000000000004">
      <c r="A40" s="16" t="s">
        <v>77</v>
      </c>
      <c r="C40" s="15" t="s">
        <v>215</v>
      </c>
      <c r="E40" s="17">
        <v>4850000</v>
      </c>
      <c r="G40" s="17">
        <v>390</v>
      </c>
      <c r="I40" s="17">
        <v>0</v>
      </c>
      <c r="K40" s="17">
        <v>0</v>
      </c>
      <c r="M40" s="17">
        <v>0</v>
      </c>
      <c r="N40" s="15"/>
      <c r="O40" s="17">
        <v>1891500000</v>
      </c>
      <c r="Q40" s="17">
        <v>0</v>
      </c>
      <c r="S40" s="17">
        <v>1891500000</v>
      </c>
    </row>
    <row r="41" spans="1:19" ht="21" x14ac:dyDescent="0.55000000000000004">
      <c r="A41" s="16" t="s">
        <v>137</v>
      </c>
      <c r="C41" s="15" t="s">
        <v>208</v>
      </c>
      <c r="E41" s="17">
        <v>219974</v>
      </c>
      <c r="G41" s="17">
        <v>8363</v>
      </c>
      <c r="I41" s="17">
        <v>0</v>
      </c>
      <c r="K41" s="17">
        <v>0</v>
      </c>
      <c r="M41" s="17">
        <v>0</v>
      </c>
      <c r="N41" s="15"/>
      <c r="O41" s="17">
        <v>1839860000</v>
      </c>
      <c r="Q41" s="17">
        <v>0</v>
      </c>
      <c r="S41" s="17">
        <v>1839860000</v>
      </c>
    </row>
    <row r="42" spans="1:19" ht="21" x14ac:dyDescent="0.55000000000000004">
      <c r="A42" s="16" t="s">
        <v>76</v>
      </c>
      <c r="C42" s="15" t="s">
        <v>214</v>
      </c>
      <c r="E42" s="17">
        <v>227029</v>
      </c>
      <c r="G42" s="17">
        <v>4200</v>
      </c>
      <c r="I42" s="17">
        <v>0</v>
      </c>
      <c r="K42" s="17">
        <v>0</v>
      </c>
      <c r="M42" s="17">
        <v>0</v>
      </c>
      <c r="N42" s="15"/>
      <c r="O42" s="17">
        <v>953521800</v>
      </c>
      <c r="Q42" s="17">
        <v>0</v>
      </c>
      <c r="S42" s="17">
        <v>953521800</v>
      </c>
    </row>
    <row r="43" spans="1:19" ht="21" x14ac:dyDescent="0.55000000000000004">
      <c r="A43" s="16" t="s">
        <v>75</v>
      </c>
      <c r="C43" s="15" t="s">
        <v>213</v>
      </c>
      <c r="E43" s="17">
        <v>500000</v>
      </c>
      <c r="G43" s="17">
        <v>4984</v>
      </c>
      <c r="I43" s="17">
        <v>0</v>
      </c>
      <c r="K43" s="17">
        <v>0</v>
      </c>
      <c r="M43" s="17">
        <v>0</v>
      </c>
      <c r="N43" s="15"/>
      <c r="O43" s="17">
        <v>2492000000</v>
      </c>
      <c r="Q43" s="17">
        <v>0</v>
      </c>
      <c r="S43" s="17">
        <v>2492000000</v>
      </c>
    </row>
    <row r="44" spans="1:19" ht="21" x14ac:dyDescent="0.55000000000000004">
      <c r="A44" s="16" t="s">
        <v>74</v>
      </c>
      <c r="C44" s="15" t="s">
        <v>212</v>
      </c>
      <c r="E44" s="17">
        <v>700001</v>
      </c>
      <c r="G44" s="17">
        <v>3400</v>
      </c>
      <c r="I44" s="17">
        <v>0</v>
      </c>
      <c r="K44" s="17">
        <v>0</v>
      </c>
      <c r="M44" s="17">
        <v>0</v>
      </c>
      <c r="N44" s="15"/>
      <c r="O44" s="17">
        <v>2380003400</v>
      </c>
      <c r="Q44" s="17">
        <v>0</v>
      </c>
      <c r="S44" s="17">
        <v>2380003400</v>
      </c>
    </row>
    <row r="45" spans="1:19" ht="21" x14ac:dyDescent="0.55000000000000004">
      <c r="A45" s="16" t="s">
        <v>73</v>
      </c>
      <c r="C45" s="15" t="s">
        <v>211</v>
      </c>
      <c r="E45" s="17">
        <v>5400000</v>
      </c>
      <c r="G45" s="17">
        <v>160</v>
      </c>
      <c r="I45" s="17">
        <v>0</v>
      </c>
      <c r="K45" s="17">
        <v>0</v>
      </c>
      <c r="M45" s="17">
        <v>0</v>
      </c>
      <c r="N45" s="15"/>
      <c r="O45" s="17">
        <v>864000000</v>
      </c>
      <c r="Q45" s="17">
        <v>0</v>
      </c>
      <c r="S45" s="17">
        <v>864000000</v>
      </c>
    </row>
    <row r="46" spans="1:19" ht="21" x14ac:dyDescent="0.55000000000000004">
      <c r="A46" s="16" t="s">
        <v>72</v>
      </c>
      <c r="C46" s="15" t="s">
        <v>121</v>
      </c>
      <c r="E46" s="17">
        <v>120000</v>
      </c>
      <c r="G46" s="17">
        <v>11000</v>
      </c>
      <c r="I46" s="17">
        <v>1320000000</v>
      </c>
      <c r="K46" s="17">
        <v>-47588653</v>
      </c>
      <c r="M46" s="17">
        <v>1272411347</v>
      </c>
      <c r="O46" s="17">
        <v>5880000000</v>
      </c>
      <c r="Q46" s="17">
        <v>-180992908</v>
      </c>
      <c r="S46" s="17">
        <v>5699007092</v>
      </c>
    </row>
    <row r="47" spans="1:19" ht="21" x14ac:dyDescent="0.55000000000000004">
      <c r="A47" s="16" t="s">
        <v>71</v>
      </c>
      <c r="C47" s="15" t="s">
        <v>210</v>
      </c>
      <c r="E47" s="17">
        <v>1100000</v>
      </c>
      <c r="G47" s="17">
        <v>2000</v>
      </c>
      <c r="I47" s="17">
        <v>0</v>
      </c>
      <c r="K47" s="17">
        <v>0</v>
      </c>
      <c r="M47" s="17">
        <v>0</v>
      </c>
      <c r="N47" s="15"/>
      <c r="O47" s="17">
        <v>2200000000</v>
      </c>
      <c r="Q47" s="17">
        <v>0</v>
      </c>
      <c r="S47" s="17">
        <v>2200000000</v>
      </c>
    </row>
    <row r="48" spans="1:19" ht="21" x14ac:dyDescent="0.55000000000000004">
      <c r="A48" s="16" t="s">
        <v>136</v>
      </c>
      <c r="C48" s="15" t="s">
        <v>209</v>
      </c>
      <c r="E48" s="17">
        <v>350000</v>
      </c>
      <c r="G48" s="17">
        <v>5330</v>
      </c>
      <c r="I48" s="17">
        <v>0</v>
      </c>
      <c r="K48" s="17">
        <v>0</v>
      </c>
      <c r="M48" s="17">
        <v>0</v>
      </c>
      <c r="N48" s="15"/>
      <c r="O48" s="17">
        <v>1865500000</v>
      </c>
      <c r="Q48" s="17">
        <v>0</v>
      </c>
      <c r="S48" s="17">
        <v>1865500000</v>
      </c>
    </row>
    <row r="49" spans="1:19" ht="21" x14ac:dyDescent="0.55000000000000004">
      <c r="A49" s="16" t="s">
        <v>70</v>
      </c>
      <c r="C49" s="15" t="s">
        <v>208</v>
      </c>
      <c r="E49" s="17">
        <v>2000000</v>
      </c>
      <c r="G49" s="17">
        <v>1624</v>
      </c>
      <c r="I49" s="17">
        <v>0</v>
      </c>
      <c r="K49" s="17">
        <v>0</v>
      </c>
      <c r="M49" s="17">
        <v>0</v>
      </c>
      <c r="N49" s="15"/>
      <c r="O49" s="17">
        <v>3248000000</v>
      </c>
      <c r="Q49" s="17">
        <v>0</v>
      </c>
      <c r="S49" s="17">
        <v>3248000000</v>
      </c>
    </row>
    <row r="50" spans="1:19" ht="21" x14ac:dyDescent="0.55000000000000004">
      <c r="A50" s="16" t="s">
        <v>69</v>
      </c>
      <c r="C50" s="15" t="s">
        <v>207</v>
      </c>
      <c r="E50" s="17">
        <v>100000</v>
      </c>
      <c r="G50" s="17">
        <v>2350</v>
      </c>
      <c r="I50" s="17">
        <v>0</v>
      </c>
      <c r="K50" s="17">
        <v>0</v>
      </c>
      <c r="M50" s="17">
        <v>0</v>
      </c>
      <c r="N50" s="15"/>
      <c r="O50" s="17">
        <v>235000000</v>
      </c>
      <c r="Q50" s="17">
        <v>0</v>
      </c>
      <c r="S50" s="17">
        <v>235000000</v>
      </c>
    </row>
    <row r="51" spans="1:19" ht="21" x14ac:dyDescent="0.55000000000000004">
      <c r="A51" s="16" t="s">
        <v>67</v>
      </c>
      <c r="C51" s="15" t="s">
        <v>206</v>
      </c>
      <c r="E51" s="17">
        <v>5200000</v>
      </c>
      <c r="G51" s="17">
        <v>380</v>
      </c>
      <c r="I51" s="17">
        <v>0</v>
      </c>
      <c r="K51" s="17">
        <v>0</v>
      </c>
      <c r="M51" s="17">
        <v>0</v>
      </c>
      <c r="N51" s="15"/>
      <c r="O51" s="17">
        <v>1976000000</v>
      </c>
      <c r="Q51" s="17">
        <v>0</v>
      </c>
      <c r="S51" s="17">
        <v>1976000000</v>
      </c>
    </row>
    <row r="52" spans="1:19" ht="21" x14ac:dyDescent="0.55000000000000004">
      <c r="A52" s="16" t="s">
        <v>132</v>
      </c>
      <c r="C52" s="15" t="s">
        <v>206</v>
      </c>
      <c r="E52" s="17">
        <v>5200000</v>
      </c>
      <c r="G52" s="17">
        <v>310</v>
      </c>
      <c r="I52" s="17">
        <v>0</v>
      </c>
      <c r="K52" s="17">
        <v>0</v>
      </c>
      <c r="M52" s="17">
        <v>0</v>
      </c>
      <c r="N52" s="15"/>
      <c r="O52" s="17">
        <v>1612000000</v>
      </c>
      <c r="Q52" s="17">
        <v>0</v>
      </c>
      <c r="S52" s="17">
        <v>1612000000</v>
      </c>
    </row>
    <row r="53" spans="1:19" ht="21.75" thickBot="1" x14ac:dyDescent="0.6">
      <c r="A53" s="19" t="s">
        <v>9</v>
      </c>
      <c r="I53" s="19">
        <f>SUM(I9:$I$52)</f>
        <v>1320000000</v>
      </c>
      <c r="K53" s="19">
        <f>SUM(K9:$K$52)</f>
        <v>-47588653</v>
      </c>
      <c r="M53" s="19">
        <f>SUM(M9:$M$52)</f>
        <v>1272411347</v>
      </c>
      <c r="O53" s="19">
        <f>SUM(O9:$O$52)</f>
        <v>81512355385</v>
      </c>
      <c r="Q53" s="19">
        <f>SUM(Q9:$Q$52)</f>
        <v>-284529562</v>
      </c>
      <c r="S53" s="19">
        <f>SUM(S9:$S$52)</f>
        <v>81227825823</v>
      </c>
    </row>
    <row r="54" spans="1:19" ht="21.75" thickTop="1" x14ac:dyDescent="0.55000000000000004">
      <c r="I54" s="21"/>
      <c r="K54" s="21"/>
      <c r="M54" s="21"/>
      <c r="O54" s="21"/>
      <c r="Q54" s="21"/>
      <c r="S54" s="21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F7DD-0DAA-4F33-9AE3-51F5B0F86756}">
  <sheetPr>
    <pageSetUpPr fitToPage="1"/>
  </sheetPr>
  <dimension ref="A1:Q12"/>
  <sheetViews>
    <sheetView rightToLeft="1" view="pageBreakPreview" zoomScale="70" zoomScaleNormal="100" zoomScaleSheetLayoutView="70" workbookViewId="0">
      <selection sqref="A1:Q1"/>
    </sheetView>
  </sheetViews>
  <sheetFormatPr defaultColWidth="8.85546875" defaultRowHeight="19.5" x14ac:dyDescent="0.55000000000000004"/>
  <cols>
    <col min="1" max="1" width="32.57031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8.42578125" style="1" customWidth="1"/>
    <col min="8" max="8" width="1.42578125" style="1" customWidth="1"/>
    <col min="9" max="9" width="14.140625" style="1" customWidth="1"/>
    <col min="10" max="10" width="1.42578125" style="1" customWidth="1"/>
    <col min="11" max="11" width="18.425781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4.140625" style="1" customWidth="1"/>
    <col min="16" max="16" width="1.42578125" style="1" customWidth="1"/>
    <col min="17" max="17" width="18.42578125" style="1" customWidth="1"/>
    <col min="18" max="16384" width="8.85546875" style="1"/>
  </cols>
  <sheetData>
    <row r="1" spans="1:17" ht="19.899999999999999" customHeight="1" x14ac:dyDescent="0.55000000000000004">
      <c r="A1" s="47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9.899999999999999" customHeight="1" x14ac:dyDescent="0.55000000000000004">
      <c r="A2" s="4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9.899999999999999" customHeight="1" x14ac:dyDescent="0.55000000000000004">
      <c r="A3" s="4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5" spans="1:17" ht="21" x14ac:dyDescent="0.55000000000000004">
      <c r="A5" s="48" t="s">
        <v>65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7" spans="1:17" ht="21" x14ac:dyDescent="0.55000000000000004">
      <c r="G7" s="49" t="s">
        <v>59</v>
      </c>
      <c r="H7" s="50"/>
      <c r="I7" s="50"/>
      <c r="J7" s="50"/>
      <c r="K7" s="50"/>
      <c r="M7" s="49" t="s">
        <v>60</v>
      </c>
      <c r="N7" s="50"/>
      <c r="O7" s="50"/>
      <c r="P7" s="50"/>
      <c r="Q7" s="50"/>
    </row>
    <row r="8" spans="1:17" ht="42" x14ac:dyDescent="0.55000000000000004">
      <c r="A8" s="34" t="s">
        <v>25</v>
      </c>
      <c r="C8" s="13" t="s">
        <v>32</v>
      </c>
      <c r="E8" s="13" t="s">
        <v>10</v>
      </c>
      <c r="G8" s="13" t="s">
        <v>33</v>
      </c>
      <c r="I8" s="13" t="s">
        <v>31</v>
      </c>
      <c r="K8" s="13" t="s">
        <v>34</v>
      </c>
      <c r="M8" s="13" t="s">
        <v>33</v>
      </c>
      <c r="O8" s="13" t="s">
        <v>31</v>
      </c>
      <c r="Q8" s="13" t="s">
        <v>34</v>
      </c>
    </row>
    <row r="9" spans="1:17" ht="42" x14ac:dyDescent="0.55000000000000004">
      <c r="A9" s="16" t="s">
        <v>131</v>
      </c>
      <c r="C9" s="15" t="s">
        <v>130</v>
      </c>
      <c r="E9" s="15" t="s">
        <v>11</v>
      </c>
      <c r="G9" s="17">
        <v>1285768876</v>
      </c>
      <c r="I9" s="17">
        <v>-4661482</v>
      </c>
      <c r="K9" s="17">
        <v>1281107394</v>
      </c>
      <c r="M9" s="17">
        <v>13806895849</v>
      </c>
      <c r="O9" s="17">
        <v>0</v>
      </c>
      <c r="Q9" s="17">
        <v>13806895849</v>
      </c>
    </row>
    <row r="10" spans="1:17" ht="42" x14ac:dyDescent="0.55000000000000004">
      <c r="A10" s="16" t="s">
        <v>129</v>
      </c>
      <c r="C10" s="15" t="s">
        <v>35</v>
      </c>
      <c r="E10" s="15" t="s">
        <v>11</v>
      </c>
      <c r="G10" s="17">
        <v>2834513</v>
      </c>
      <c r="I10" s="17">
        <v>0</v>
      </c>
      <c r="K10" s="17">
        <v>2834513</v>
      </c>
      <c r="M10" s="17">
        <v>34726320</v>
      </c>
      <c r="O10" s="17">
        <v>0</v>
      </c>
      <c r="Q10" s="17">
        <v>34726320</v>
      </c>
    </row>
    <row r="11" spans="1:17" ht="21.75" thickBot="1" x14ac:dyDescent="0.6">
      <c r="A11" s="19" t="s">
        <v>9</v>
      </c>
      <c r="G11" s="19">
        <f>SUM(G9:$G$10)</f>
        <v>1288603389</v>
      </c>
      <c r="I11" s="19">
        <f>SUM(I9:$I$10)</f>
        <v>-4661482</v>
      </c>
      <c r="K11" s="19">
        <f>SUM(K9:$K$10)</f>
        <v>1283941907</v>
      </c>
      <c r="M11" s="19">
        <f>SUM(M9:$M$10)</f>
        <v>13841622169</v>
      </c>
      <c r="O11" s="19">
        <f>SUM(O9:$O$10)</f>
        <v>0</v>
      </c>
      <c r="Q11" s="19">
        <f>SUM(Q9:$Q$10)</f>
        <v>13841622169</v>
      </c>
    </row>
    <row r="12" spans="1:17" ht="21.75" thickTop="1" x14ac:dyDescent="0.55000000000000004">
      <c r="G12" s="21"/>
      <c r="I12" s="21"/>
      <c r="K12" s="21"/>
      <c r="M12" s="21"/>
      <c r="O12" s="21"/>
      <c r="Q12" s="21"/>
    </row>
  </sheetData>
  <mergeCells count="6">
    <mergeCell ref="A1:Q1"/>
    <mergeCell ref="A2:Q2"/>
    <mergeCell ref="A3:Q3"/>
    <mergeCell ref="A5:Q5"/>
    <mergeCell ref="G7:K7"/>
    <mergeCell ref="M7:Q7"/>
  </mergeCells>
  <pageMargins left="0.7" right="0.7" top="0.75" bottom="0.75" header="0.3" footer="0.3"/>
  <pageSetup paperSize="9" scale="7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7FF2-23A4-40A5-B8D5-EE57E70E8219}">
  <sheetPr>
    <pageSetUpPr fitToPage="1"/>
  </sheetPr>
  <dimension ref="A1:Q92"/>
  <sheetViews>
    <sheetView rightToLeft="1" view="pageBreakPreview" zoomScale="60" zoomScaleNormal="100" workbookViewId="0">
      <selection activeCell="A10" sqref="A10:A11"/>
    </sheetView>
  </sheetViews>
  <sheetFormatPr defaultColWidth="8.85546875" defaultRowHeight="19.5" x14ac:dyDescent="0.55000000000000004"/>
  <cols>
    <col min="1" max="1" width="37.140625" style="1" customWidth="1"/>
    <col min="2" max="2" width="1.42578125" style="1" customWidth="1"/>
    <col min="3" max="3" width="12.855468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2.8554687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8.85546875" style="1"/>
  </cols>
  <sheetData>
    <row r="1" spans="1:17" ht="19.899999999999999" customHeight="1" x14ac:dyDescent="0.55000000000000004">
      <c r="A1" s="47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9.899999999999999" customHeight="1" x14ac:dyDescent="0.55000000000000004">
      <c r="A2" s="4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9.899999999999999" customHeight="1" x14ac:dyDescent="0.55000000000000004">
      <c r="A3" s="4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5" spans="1:17" ht="21" x14ac:dyDescent="0.55000000000000004">
      <c r="A5" s="48" t="s">
        <v>36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7" spans="1:17" ht="21" x14ac:dyDescent="0.55000000000000004">
      <c r="C7" s="49" t="s">
        <v>59</v>
      </c>
      <c r="D7" s="50"/>
      <c r="E7" s="50"/>
      <c r="F7" s="50"/>
      <c r="G7" s="50"/>
      <c r="H7" s="50"/>
      <c r="I7" s="50"/>
      <c r="K7" s="49" t="s">
        <v>60</v>
      </c>
      <c r="L7" s="50"/>
      <c r="M7" s="50"/>
      <c r="N7" s="50"/>
      <c r="O7" s="50"/>
      <c r="P7" s="50"/>
      <c r="Q7" s="50"/>
    </row>
    <row r="8" spans="1:17" ht="42" x14ac:dyDescent="0.55000000000000004">
      <c r="A8" s="34" t="s">
        <v>25</v>
      </c>
      <c r="C8" s="13" t="s">
        <v>4</v>
      </c>
      <c r="E8" s="13" t="s">
        <v>6</v>
      </c>
      <c r="G8" s="13" t="s">
        <v>37</v>
      </c>
      <c r="I8" s="13" t="s">
        <v>38</v>
      </c>
      <c r="K8" s="13" t="s">
        <v>4</v>
      </c>
      <c r="M8" s="13" t="s">
        <v>6</v>
      </c>
      <c r="O8" s="13" t="s">
        <v>37</v>
      </c>
      <c r="Q8" s="13" t="s">
        <v>38</v>
      </c>
    </row>
    <row r="9" spans="1:17" ht="21" x14ac:dyDescent="0.55000000000000004">
      <c r="A9" s="16" t="s">
        <v>174</v>
      </c>
      <c r="C9" s="17">
        <v>0</v>
      </c>
      <c r="D9" s="17"/>
      <c r="E9" s="17">
        <v>0</v>
      </c>
      <c r="F9" s="17"/>
      <c r="G9" s="17">
        <v>0</v>
      </c>
      <c r="H9" s="17"/>
      <c r="I9" s="17">
        <v>0</v>
      </c>
      <c r="J9" s="15"/>
      <c r="K9" s="17">
        <v>579887</v>
      </c>
      <c r="M9" s="17">
        <v>3249801158</v>
      </c>
      <c r="O9" s="17">
        <v>2839489099</v>
      </c>
      <c r="Q9" s="17">
        <v>410312059</v>
      </c>
    </row>
    <row r="10" spans="1:17" ht="21" x14ac:dyDescent="0.55000000000000004">
      <c r="A10" s="16" t="s">
        <v>410</v>
      </c>
      <c r="C10" s="17"/>
      <c r="D10" s="17"/>
      <c r="E10" s="17"/>
      <c r="F10" s="17"/>
      <c r="G10" s="17"/>
      <c r="H10" s="17"/>
      <c r="I10" s="17">
        <v>1207800569</v>
      </c>
      <c r="J10" s="15"/>
      <c r="K10" s="17"/>
      <c r="M10" s="17"/>
      <c r="O10" s="17"/>
      <c r="Q10" s="17">
        <v>16377962614</v>
      </c>
    </row>
    <row r="11" spans="1:17" ht="21" x14ac:dyDescent="0.55000000000000004">
      <c r="A11" s="16" t="s">
        <v>411</v>
      </c>
      <c r="C11" s="17"/>
      <c r="D11" s="17"/>
      <c r="E11" s="17"/>
      <c r="F11" s="17"/>
      <c r="G11" s="17"/>
      <c r="H11" s="17"/>
      <c r="I11" s="17">
        <v>252927978</v>
      </c>
      <c r="J11" s="15"/>
      <c r="K11" s="17"/>
      <c r="M11" s="17"/>
      <c r="O11" s="17"/>
      <c r="Q11" s="17">
        <v>10796637892</v>
      </c>
    </row>
    <row r="12" spans="1:17" ht="21" x14ac:dyDescent="0.55000000000000004">
      <c r="A12" s="16" t="s">
        <v>173</v>
      </c>
      <c r="C12" s="17">
        <v>0</v>
      </c>
      <c r="D12" s="17"/>
      <c r="E12" s="17">
        <v>0</v>
      </c>
      <c r="F12" s="17"/>
      <c r="G12" s="17">
        <v>0</v>
      </c>
      <c r="H12" s="17"/>
      <c r="I12" s="17">
        <v>0</v>
      </c>
      <c r="J12" s="15"/>
      <c r="K12" s="17">
        <v>150000</v>
      </c>
      <c r="M12" s="17">
        <v>1234610146</v>
      </c>
      <c r="O12" s="17">
        <v>1043584546</v>
      </c>
      <c r="Q12" s="17">
        <v>191025600</v>
      </c>
    </row>
    <row r="13" spans="1:17" ht="21" x14ac:dyDescent="0.55000000000000004">
      <c r="A13" s="16" t="s">
        <v>172</v>
      </c>
      <c r="C13" s="17">
        <v>0</v>
      </c>
      <c r="D13" s="17"/>
      <c r="E13" s="17">
        <v>0</v>
      </c>
      <c r="F13" s="17"/>
      <c r="G13" s="17">
        <v>0</v>
      </c>
      <c r="H13" s="17"/>
      <c r="I13" s="17">
        <v>0</v>
      </c>
      <c r="J13" s="15"/>
      <c r="K13" s="17">
        <v>2000000</v>
      </c>
      <c r="M13" s="17">
        <v>8317069944</v>
      </c>
      <c r="O13" s="17">
        <v>9031858190</v>
      </c>
      <c r="Q13" s="17">
        <v>-714788246</v>
      </c>
    </row>
    <row r="14" spans="1:17" ht="21" x14ac:dyDescent="0.55000000000000004">
      <c r="A14" s="16" t="s">
        <v>105</v>
      </c>
      <c r="C14" s="17">
        <v>0</v>
      </c>
      <c r="D14" s="17"/>
      <c r="E14" s="17">
        <v>0</v>
      </c>
      <c r="F14" s="17"/>
      <c r="G14" s="17">
        <v>0</v>
      </c>
      <c r="H14" s="17"/>
      <c r="I14" s="17">
        <v>0</v>
      </c>
      <c r="J14" s="15"/>
      <c r="K14" s="17">
        <v>2042039</v>
      </c>
      <c r="M14" s="17">
        <v>7407057219</v>
      </c>
      <c r="O14" s="17">
        <v>6068103471</v>
      </c>
      <c r="Q14" s="17">
        <v>1338953748</v>
      </c>
    </row>
    <row r="15" spans="1:17" ht="21" x14ac:dyDescent="0.55000000000000004">
      <c r="A15" s="16" t="s">
        <v>171</v>
      </c>
      <c r="C15" s="17">
        <v>0</v>
      </c>
      <c r="D15" s="17"/>
      <c r="E15" s="17">
        <v>0</v>
      </c>
      <c r="F15" s="17"/>
      <c r="G15" s="17">
        <v>0</v>
      </c>
      <c r="H15" s="17"/>
      <c r="I15" s="17">
        <v>0</v>
      </c>
      <c r="J15" s="15"/>
      <c r="K15" s="17">
        <v>2700000</v>
      </c>
      <c r="M15" s="17">
        <v>10139193638</v>
      </c>
      <c r="O15" s="17">
        <v>11615719631</v>
      </c>
      <c r="Q15" s="17">
        <v>-1476525993</v>
      </c>
    </row>
    <row r="16" spans="1:17" ht="21" x14ac:dyDescent="0.55000000000000004">
      <c r="A16" s="16" t="s">
        <v>170</v>
      </c>
      <c r="C16" s="17">
        <v>0</v>
      </c>
      <c r="D16" s="17"/>
      <c r="E16" s="17">
        <v>0</v>
      </c>
      <c r="F16" s="17"/>
      <c r="G16" s="17">
        <v>0</v>
      </c>
      <c r="H16" s="17"/>
      <c r="I16" s="17">
        <v>0</v>
      </c>
      <c r="J16" s="15"/>
      <c r="K16" s="17">
        <v>800000</v>
      </c>
      <c r="M16" s="17">
        <v>2886406684</v>
      </c>
      <c r="O16" s="17">
        <v>2631578954</v>
      </c>
      <c r="Q16" s="17">
        <v>254827730</v>
      </c>
    </row>
    <row r="17" spans="1:17" ht="21" x14ac:dyDescent="0.55000000000000004">
      <c r="A17" s="16" t="s">
        <v>104</v>
      </c>
      <c r="C17" s="17">
        <v>4962000</v>
      </c>
      <c r="E17" s="17">
        <v>1973883600</v>
      </c>
      <c r="G17" s="17">
        <v>2186382370</v>
      </c>
      <c r="I17" s="17">
        <v>-212498770</v>
      </c>
      <c r="K17" s="17">
        <v>36235591</v>
      </c>
      <c r="M17" s="17">
        <v>15542155978</v>
      </c>
      <c r="O17" s="17">
        <v>15954259031</v>
      </c>
      <c r="Q17" s="17">
        <v>-412103053</v>
      </c>
    </row>
    <row r="18" spans="1:17" ht="21" x14ac:dyDescent="0.55000000000000004">
      <c r="A18" s="16" t="s">
        <v>103</v>
      </c>
      <c r="C18" s="17">
        <v>0</v>
      </c>
      <c r="D18" s="17"/>
      <c r="E18" s="17">
        <v>0</v>
      </c>
      <c r="F18" s="17"/>
      <c r="G18" s="17">
        <v>0</v>
      </c>
      <c r="H18" s="17"/>
      <c r="I18" s="17">
        <v>0</v>
      </c>
      <c r="J18" s="15"/>
      <c r="K18" s="17">
        <v>44066235</v>
      </c>
      <c r="M18" s="17">
        <v>19886782173</v>
      </c>
      <c r="O18" s="17">
        <v>19066131063</v>
      </c>
      <c r="Q18" s="17">
        <v>820651110</v>
      </c>
    </row>
    <row r="19" spans="1:17" ht="21" x14ac:dyDescent="0.55000000000000004">
      <c r="A19" s="16" t="s">
        <v>169</v>
      </c>
      <c r="C19" s="17">
        <v>0</v>
      </c>
      <c r="D19" s="17"/>
      <c r="E19" s="17">
        <v>0</v>
      </c>
      <c r="F19" s="17"/>
      <c r="G19" s="17">
        <v>0</v>
      </c>
      <c r="H19" s="17"/>
      <c r="I19" s="17">
        <v>0</v>
      </c>
      <c r="J19" s="15"/>
      <c r="K19" s="17">
        <v>53560926</v>
      </c>
      <c r="M19" s="17">
        <v>31923712893</v>
      </c>
      <c r="O19" s="17">
        <v>34765638255</v>
      </c>
      <c r="Q19" s="17">
        <v>-2841925362</v>
      </c>
    </row>
    <row r="20" spans="1:17" ht="21" x14ac:dyDescent="0.55000000000000004">
      <c r="A20" s="16" t="s">
        <v>102</v>
      </c>
      <c r="C20" s="17">
        <v>400000</v>
      </c>
      <c r="E20" s="17">
        <v>464382366</v>
      </c>
      <c r="G20" s="17">
        <v>394392914</v>
      </c>
      <c r="I20" s="17">
        <v>69989452</v>
      </c>
      <c r="K20" s="17">
        <v>15306023</v>
      </c>
      <c r="M20" s="17">
        <v>23798336884</v>
      </c>
      <c r="O20" s="17">
        <v>19779633205</v>
      </c>
      <c r="Q20" s="17">
        <v>4018703679</v>
      </c>
    </row>
    <row r="21" spans="1:17" ht="21" x14ac:dyDescent="0.55000000000000004">
      <c r="A21" s="16" t="s">
        <v>168</v>
      </c>
      <c r="C21" s="17">
        <v>0</v>
      </c>
      <c r="D21" s="17"/>
      <c r="E21" s="17">
        <v>0</v>
      </c>
      <c r="F21" s="17"/>
      <c r="G21" s="17">
        <v>0</v>
      </c>
      <c r="H21" s="17"/>
      <c r="I21" s="17">
        <v>0</v>
      </c>
      <c r="J21" s="15"/>
      <c r="K21" s="17">
        <v>1700000</v>
      </c>
      <c r="M21" s="17">
        <v>6531405579</v>
      </c>
      <c r="O21" s="17">
        <v>8984891479</v>
      </c>
      <c r="Q21" s="17">
        <v>-2453485900</v>
      </c>
    </row>
    <row r="22" spans="1:17" ht="21" x14ac:dyDescent="0.55000000000000004">
      <c r="A22" s="16" t="s">
        <v>101</v>
      </c>
      <c r="C22" s="17">
        <v>1700000</v>
      </c>
      <c r="E22" s="17">
        <v>8535591964</v>
      </c>
      <c r="G22" s="17">
        <v>7817765737</v>
      </c>
      <c r="I22" s="17">
        <v>717826227</v>
      </c>
      <c r="K22" s="17">
        <v>3691813</v>
      </c>
      <c r="M22" s="17">
        <v>18612188909</v>
      </c>
      <c r="O22" s="17">
        <v>17536350994</v>
      </c>
      <c r="Q22" s="17">
        <v>1075837915</v>
      </c>
    </row>
    <row r="23" spans="1:17" ht="21" x14ac:dyDescent="0.55000000000000004">
      <c r="A23" s="16" t="s">
        <v>167</v>
      </c>
      <c r="C23" s="17">
        <v>0</v>
      </c>
      <c r="D23" s="17"/>
      <c r="E23" s="17">
        <v>0</v>
      </c>
      <c r="F23" s="17"/>
      <c r="G23" s="17">
        <v>0</v>
      </c>
      <c r="H23" s="17"/>
      <c r="I23" s="17">
        <v>0</v>
      </c>
      <c r="J23" s="15"/>
      <c r="K23" s="17">
        <v>571500</v>
      </c>
      <c r="M23" s="17">
        <v>28686183282</v>
      </c>
      <c r="O23" s="17">
        <v>25855157130</v>
      </c>
      <c r="Q23" s="17">
        <v>2831026152</v>
      </c>
    </row>
    <row r="24" spans="1:17" ht="21" x14ac:dyDescent="0.55000000000000004">
      <c r="A24" s="16" t="s">
        <v>100</v>
      </c>
      <c r="C24" s="17">
        <v>0</v>
      </c>
      <c r="D24" s="17"/>
      <c r="E24" s="17">
        <v>0</v>
      </c>
      <c r="F24" s="17"/>
      <c r="G24" s="17">
        <v>0</v>
      </c>
      <c r="H24" s="17"/>
      <c r="I24" s="17">
        <v>0</v>
      </c>
      <c r="J24" s="15"/>
      <c r="K24" s="17">
        <v>7153333</v>
      </c>
      <c r="M24" s="17">
        <v>13179826386</v>
      </c>
      <c r="O24" s="17">
        <v>20026688699</v>
      </c>
      <c r="Q24" s="17">
        <v>-6846862313</v>
      </c>
    </row>
    <row r="25" spans="1:17" ht="21" x14ac:dyDescent="0.55000000000000004">
      <c r="A25" s="16" t="s">
        <v>166</v>
      </c>
      <c r="C25" s="17">
        <v>0</v>
      </c>
      <c r="D25" s="17"/>
      <c r="E25" s="17">
        <v>0</v>
      </c>
      <c r="F25" s="17"/>
      <c r="G25" s="17">
        <v>0</v>
      </c>
      <c r="H25" s="17"/>
      <c r="I25" s="17">
        <v>0</v>
      </c>
      <c r="J25" s="15"/>
      <c r="K25" s="17">
        <v>1800000</v>
      </c>
      <c r="M25" s="17">
        <v>6943185870</v>
      </c>
      <c r="O25" s="17">
        <v>5823878975</v>
      </c>
      <c r="Q25" s="17">
        <v>1119306895</v>
      </c>
    </row>
    <row r="26" spans="1:17" ht="21" x14ac:dyDescent="0.55000000000000004">
      <c r="A26" s="16" t="s">
        <v>165</v>
      </c>
      <c r="C26" s="17">
        <v>0</v>
      </c>
      <c r="D26" s="17"/>
      <c r="E26" s="17">
        <v>0</v>
      </c>
      <c r="F26" s="17"/>
      <c r="G26" s="17">
        <v>0</v>
      </c>
      <c r="H26" s="17"/>
      <c r="I26" s="17">
        <v>0</v>
      </c>
      <c r="J26" s="15"/>
      <c r="K26" s="17">
        <v>1600000</v>
      </c>
      <c r="M26" s="17">
        <v>11093598204</v>
      </c>
      <c r="O26" s="17">
        <v>10398956604</v>
      </c>
      <c r="Q26" s="17">
        <v>694641600</v>
      </c>
    </row>
    <row r="27" spans="1:17" ht="21" x14ac:dyDescent="0.55000000000000004">
      <c r="A27" s="16" t="s">
        <v>99</v>
      </c>
      <c r="C27" s="17">
        <v>750000</v>
      </c>
      <c r="E27" s="17">
        <v>19520431775</v>
      </c>
      <c r="G27" s="17">
        <v>14210807075</v>
      </c>
      <c r="I27" s="17">
        <v>5309624700</v>
      </c>
      <c r="K27" s="17">
        <v>750000</v>
      </c>
      <c r="M27" s="17">
        <v>19520431775</v>
      </c>
      <c r="O27" s="17">
        <v>14210807075</v>
      </c>
      <c r="Q27" s="17">
        <v>5309624700</v>
      </c>
    </row>
    <row r="28" spans="1:17" ht="21" x14ac:dyDescent="0.55000000000000004">
      <c r="A28" s="16" t="s">
        <v>164</v>
      </c>
      <c r="C28" s="17">
        <v>0</v>
      </c>
      <c r="D28" s="17"/>
      <c r="E28" s="17">
        <v>0</v>
      </c>
      <c r="F28" s="17"/>
      <c r="G28" s="17">
        <v>0</v>
      </c>
      <c r="H28" s="17"/>
      <c r="I28" s="17">
        <v>0</v>
      </c>
      <c r="J28" s="15"/>
      <c r="K28" s="17">
        <v>200000</v>
      </c>
      <c r="M28" s="17">
        <v>1455289206</v>
      </c>
      <c r="O28" s="17">
        <v>1656800112</v>
      </c>
      <c r="Q28" s="17">
        <v>-201510906</v>
      </c>
    </row>
    <row r="29" spans="1:17" ht="21" x14ac:dyDescent="0.55000000000000004">
      <c r="A29" s="16" t="s">
        <v>163</v>
      </c>
      <c r="C29" s="17">
        <v>0</v>
      </c>
      <c r="D29" s="17"/>
      <c r="E29" s="17">
        <v>0</v>
      </c>
      <c r="F29" s="17"/>
      <c r="G29" s="17">
        <v>0</v>
      </c>
      <c r="H29" s="17"/>
      <c r="I29" s="17">
        <v>0</v>
      </c>
      <c r="J29" s="15"/>
      <c r="K29" s="17">
        <v>595000</v>
      </c>
      <c r="M29" s="17">
        <v>17461482461</v>
      </c>
      <c r="O29" s="17">
        <v>11150692921</v>
      </c>
      <c r="Q29" s="17">
        <v>6310789540</v>
      </c>
    </row>
    <row r="30" spans="1:17" ht="21" x14ac:dyDescent="0.55000000000000004">
      <c r="A30" s="16" t="s">
        <v>162</v>
      </c>
      <c r="C30" s="17">
        <v>0</v>
      </c>
      <c r="D30" s="17"/>
      <c r="E30" s="17">
        <v>0</v>
      </c>
      <c r="F30" s="17"/>
      <c r="G30" s="17">
        <v>0</v>
      </c>
      <c r="H30" s="17"/>
      <c r="I30" s="17">
        <v>0</v>
      </c>
      <c r="J30" s="15"/>
      <c r="K30" s="17">
        <v>24550000</v>
      </c>
      <c r="M30" s="17">
        <v>10454155037</v>
      </c>
      <c r="O30" s="17">
        <v>12909789487</v>
      </c>
      <c r="Q30" s="17">
        <v>-2455634450</v>
      </c>
    </row>
    <row r="31" spans="1:17" ht="21" x14ac:dyDescent="0.55000000000000004">
      <c r="A31" s="16" t="s">
        <v>98</v>
      </c>
      <c r="C31" s="17">
        <v>0</v>
      </c>
      <c r="D31" s="17"/>
      <c r="E31" s="17">
        <v>0</v>
      </c>
      <c r="F31" s="17"/>
      <c r="G31" s="17">
        <v>0</v>
      </c>
      <c r="H31" s="17"/>
      <c r="I31" s="17">
        <v>0</v>
      </c>
      <c r="J31" s="15"/>
      <c r="K31" s="17">
        <v>562500</v>
      </c>
      <c r="M31" s="17">
        <v>5927023203</v>
      </c>
      <c r="O31" s="17">
        <v>5087921028</v>
      </c>
      <c r="Q31" s="17">
        <v>839102175</v>
      </c>
    </row>
    <row r="32" spans="1:17" ht="21" x14ac:dyDescent="0.55000000000000004">
      <c r="A32" s="16" t="s">
        <v>161</v>
      </c>
      <c r="C32" s="17">
        <v>0</v>
      </c>
      <c r="D32" s="17"/>
      <c r="E32" s="17">
        <v>0</v>
      </c>
      <c r="F32" s="17"/>
      <c r="G32" s="17">
        <v>0</v>
      </c>
      <c r="H32" s="17"/>
      <c r="I32" s="17">
        <v>0</v>
      </c>
      <c r="J32" s="15"/>
      <c r="K32" s="17">
        <v>28192301</v>
      </c>
      <c r="M32" s="17">
        <v>11377970441</v>
      </c>
      <c r="O32" s="17">
        <v>9641682117</v>
      </c>
      <c r="Q32" s="17">
        <v>1736288324</v>
      </c>
    </row>
    <row r="33" spans="1:17" ht="21" x14ac:dyDescent="0.55000000000000004">
      <c r="A33" s="16" t="s">
        <v>160</v>
      </c>
      <c r="C33" s="17">
        <v>0</v>
      </c>
      <c r="D33" s="17"/>
      <c r="E33" s="17">
        <v>0</v>
      </c>
      <c r="F33" s="17"/>
      <c r="G33" s="17">
        <v>0</v>
      </c>
      <c r="H33" s="17"/>
      <c r="I33" s="17">
        <v>0</v>
      </c>
      <c r="J33" s="15"/>
      <c r="K33" s="17">
        <v>700000</v>
      </c>
      <c r="M33" s="17">
        <v>13113781594</v>
      </c>
      <c r="O33" s="17">
        <v>11995700499</v>
      </c>
      <c r="Q33" s="17">
        <v>1118081095</v>
      </c>
    </row>
    <row r="34" spans="1:17" ht="21" x14ac:dyDescent="0.55000000000000004">
      <c r="A34" s="16" t="s">
        <v>97</v>
      </c>
      <c r="C34" s="17">
        <v>0</v>
      </c>
      <c r="D34" s="17"/>
      <c r="E34" s="17">
        <v>0</v>
      </c>
      <c r="F34" s="17"/>
      <c r="G34" s="17">
        <v>0</v>
      </c>
      <c r="H34" s="17"/>
      <c r="I34" s="17">
        <v>0</v>
      </c>
      <c r="J34" s="15"/>
      <c r="K34" s="17">
        <v>35065000</v>
      </c>
      <c r="M34" s="17">
        <v>44207425683</v>
      </c>
      <c r="O34" s="17">
        <v>50664088529</v>
      </c>
      <c r="Q34" s="17">
        <v>-6456662846</v>
      </c>
    </row>
    <row r="35" spans="1:17" ht="21" x14ac:dyDescent="0.55000000000000004">
      <c r="A35" s="16" t="s">
        <v>159</v>
      </c>
      <c r="C35" s="17">
        <v>0</v>
      </c>
      <c r="D35" s="17"/>
      <c r="E35" s="17">
        <v>0</v>
      </c>
      <c r="F35" s="17"/>
      <c r="G35" s="17">
        <v>0</v>
      </c>
      <c r="H35" s="17"/>
      <c r="I35" s="17">
        <v>0</v>
      </c>
      <c r="J35" s="15"/>
      <c r="K35" s="17">
        <v>24869520</v>
      </c>
      <c r="M35" s="17">
        <v>29276157072</v>
      </c>
      <c r="O35" s="17">
        <v>29713114579</v>
      </c>
      <c r="Q35" s="17">
        <v>-436957507</v>
      </c>
    </row>
    <row r="36" spans="1:17" ht="21" x14ac:dyDescent="0.55000000000000004">
      <c r="A36" s="16" t="s">
        <v>96</v>
      </c>
      <c r="C36" s="17">
        <v>0</v>
      </c>
      <c r="D36" s="17"/>
      <c r="E36" s="17">
        <v>0</v>
      </c>
      <c r="F36" s="17"/>
      <c r="G36" s="17">
        <v>0</v>
      </c>
      <c r="H36" s="17"/>
      <c r="I36" s="17">
        <v>0</v>
      </c>
      <c r="J36" s="15"/>
      <c r="K36" s="17">
        <v>710000</v>
      </c>
      <c r="M36" s="17">
        <v>20319472287</v>
      </c>
      <c r="O36" s="17">
        <v>18491000536</v>
      </c>
      <c r="Q36" s="17">
        <v>1828471751</v>
      </c>
    </row>
    <row r="37" spans="1:17" ht="21" x14ac:dyDescent="0.55000000000000004">
      <c r="A37" s="16" t="s">
        <v>95</v>
      </c>
      <c r="C37" s="17">
        <v>0</v>
      </c>
      <c r="D37" s="17"/>
      <c r="E37" s="17">
        <v>0</v>
      </c>
      <c r="F37" s="17"/>
      <c r="G37" s="17">
        <v>0</v>
      </c>
      <c r="H37" s="17"/>
      <c r="I37" s="17">
        <v>0</v>
      </c>
      <c r="J37" s="15"/>
      <c r="K37" s="17">
        <v>350000</v>
      </c>
      <c r="M37" s="17">
        <v>3740111563</v>
      </c>
      <c r="O37" s="17">
        <v>3817043463</v>
      </c>
      <c r="Q37" s="17">
        <v>-76931900</v>
      </c>
    </row>
    <row r="38" spans="1:17" ht="21" x14ac:dyDescent="0.55000000000000004">
      <c r="A38" s="16" t="s">
        <v>94</v>
      </c>
      <c r="C38" s="17">
        <v>0</v>
      </c>
      <c r="D38" s="17"/>
      <c r="E38" s="17">
        <v>0</v>
      </c>
      <c r="F38" s="17"/>
      <c r="G38" s="17">
        <v>0</v>
      </c>
      <c r="H38" s="17"/>
      <c r="I38" s="17">
        <v>0</v>
      </c>
      <c r="J38" s="15"/>
      <c r="K38" s="17">
        <v>3579048</v>
      </c>
      <c r="M38" s="17">
        <v>33601271387</v>
      </c>
      <c r="O38" s="17">
        <v>37581505343</v>
      </c>
      <c r="Q38" s="17">
        <v>-3980233956</v>
      </c>
    </row>
    <row r="39" spans="1:17" ht="21" x14ac:dyDescent="0.55000000000000004">
      <c r="A39" s="16" t="s">
        <v>158</v>
      </c>
      <c r="C39" s="17">
        <v>0</v>
      </c>
      <c r="D39" s="17"/>
      <c r="E39" s="17">
        <v>0</v>
      </c>
      <c r="F39" s="17"/>
      <c r="G39" s="17">
        <v>0</v>
      </c>
      <c r="H39" s="17"/>
      <c r="I39" s="17">
        <v>0</v>
      </c>
      <c r="J39" s="15"/>
      <c r="K39" s="17">
        <v>2785714</v>
      </c>
      <c r="M39" s="17">
        <v>14503087056</v>
      </c>
      <c r="O39" s="17">
        <v>13601258776</v>
      </c>
      <c r="Q39" s="17">
        <v>901828280</v>
      </c>
    </row>
    <row r="40" spans="1:17" ht="21" x14ac:dyDescent="0.55000000000000004">
      <c r="A40" s="16" t="s">
        <v>157</v>
      </c>
      <c r="C40" s="17">
        <v>0</v>
      </c>
      <c r="D40" s="17"/>
      <c r="E40" s="17">
        <v>0</v>
      </c>
      <c r="F40" s="17"/>
      <c r="G40" s="17">
        <v>0</v>
      </c>
      <c r="H40" s="17"/>
      <c r="I40" s="17">
        <v>0</v>
      </c>
      <c r="J40" s="15"/>
      <c r="K40" s="17">
        <v>1500000</v>
      </c>
      <c r="M40" s="17">
        <v>5027159397</v>
      </c>
      <c r="O40" s="17">
        <v>4624224597</v>
      </c>
      <c r="Q40" s="17">
        <v>402934800</v>
      </c>
    </row>
    <row r="41" spans="1:17" ht="21" x14ac:dyDescent="0.55000000000000004">
      <c r="A41" s="16" t="s">
        <v>156</v>
      </c>
      <c r="C41" s="17">
        <v>0</v>
      </c>
      <c r="D41" s="17"/>
      <c r="E41" s="17">
        <v>0</v>
      </c>
      <c r="F41" s="17"/>
      <c r="G41" s="17">
        <v>0</v>
      </c>
      <c r="H41" s="17"/>
      <c r="I41" s="17">
        <v>0</v>
      </c>
      <c r="J41" s="15"/>
      <c r="K41" s="17">
        <v>6500000</v>
      </c>
      <c r="M41" s="17">
        <v>7988466469</v>
      </c>
      <c r="O41" s="17">
        <v>7759422823</v>
      </c>
      <c r="Q41" s="17">
        <v>229043646</v>
      </c>
    </row>
    <row r="42" spans="1:17" ht="21" x14ac:dyDescent="0.55000000000000004">
      <c r="A42" s="16" t="s">
        <v>93</v>
      </c>
      <c r="C42" s="17">
        <v>1850000</v>
      </c>
      <c r="E42" s="17">
        <v>18752517138</v>
      </c>
      <c r="G42" s="17">
        <v>17105173075</v>
      </c>
      <c r="I42" s="17">
        <v>1647344063</v>
      </c>
      <c r="K42" s="17">
        <v>3000000</v>
      </c>
      <c r="M42" s="17">
        <v>30552831437</v>
      </c>
      <c r="O42" s="17">
        <v>27835762325</v>
      </c>
      <c r="Q42" s="17">
        <v>2717069112</v>
      </c>
    </row>
    <row r="43" spans="1:17" ht="21" x14ac:dyDescent="0.55000000000000004">
      <c r="A43" s="16" t="s">
        <v>155</v>
      </c>
      <c r="C43" s="17">
        <v>0</v>
      </c>
      <c r="D43" s="17"/>
      <c r="E43" s="17">
        <v>0</v>
      </c>
      <c r="F43" s="17"/>
      <c r="G43" s="17">
        <v>0</v>
      </c>
      <c r="H43" s="17"/>
      <c r="I43" s="17">
        <v>0</v>
      </c>
      <c r="J43" s="15"/>
      <c r="K43" s="17">
        <v>1383146</v>
      </c>
      <c r="M43" s="17">
        <v>16041014404</v>
      </c>
      <c r="O43" s="17">
        <v>13226976376</v>
      </c>
      <c r="Q43" s="17">
        <v>2814038028</v>
      </c>
    </row>
    <row r="44" spans="1:17" ht="21" x14ac:dyDescent="0.55000000000000004">
      <c r="A44" s="16" t="s">
        <v>91</v>
      </c>
      <c r="C44" s="17">
        <v>0</v>
      </c>
      <c r="D44" s="17"/>
      <c r="E44" s="17">
        <v>0</v>
      </c>
      <c r="F44" s="17"/>
      <c r="G44" s="17">
        <v>0</v>
      </c>
      <c r="H44" s="17"/>
      <c r="I44" s="17">
        <v>0</v>
      </c>
      <c r="J44" s="15"/>
      <c r="K44" s="17">
        <v>220501</v>
      </c>
      <c r="M44" s="17">
        <v>3715512713</v>
      </c>
      <c r="O44" s="17">
        <v>3508947776</v>
      </c>
      <c r="Q44" s="17">
        <v>206564937</v>
      </c>
    </row>
    <row r="45" spans="1:17" ht="21" x14ac:dyDescent="0.55000000000000004">
      <c r="A45" s="16" t="s">
        <v>154</v>
      </c>
      <c r="C45" s="17">
        <v>0</v>
      </c>
      <c r="D45" s="17"/>
      <c r="E45" s="17">
        <v>0</v>
      </c>
      <c r="F45" s="17"/>
      <c r="G45" s="17">
        <v>0</v>
      </c>
      <c r="H45" s="17"/>
      <c r="I45" s="17">
        <v>0</v>
      </c>
      <c r="J45" s="15"/>
      <c r="K45" s="17">
        <v>2400000</v>
      </c>
      <c r="M45" s="17">
        <v>7129862097</v>
      </c>
      <c r="O45" s="17">
        <v>11764251845</v>
      </c>
      <c r="Q45" s="17">
        <v>-4634389748</v>
      </c>
    </row>
    <row r="46" spans="1:17" ht="21" x14ac:dyDescent="0.55000000000000004">
      <c r="A46" s="16" t="s">
        <v>153</v>
      </c>
      <c r="C46" s="17">
        <v>0</v>
      </c>
      <c r="D46" s="17"/>
      <c r="E46" s="17">
        <v>0</v>
      </c>
      <c r="F46" s="17"/>
      <c r="G46" s="17">
        <v>0</v>
      </c>
      <c r="H46" s="17"/>
      <c r="I46" s="17">
        <v>0</v>
      </c>
      <c r="J46" s="15"/>
      <c r="K46" s="17">
        <v>750000</v>
      </c>
      <c r="M46" s="17">
        <v>6006550068</v>
      </c>
      <c r="O46" s="17">
        <v>5409054971</v>
      </c>
      <c r="Q46" s="17">
        <v>597495097</v>
      </c>
    </row>
    <row r="47" spans="1:17" ht="21" x14ac:dyDescent="0.55000000000000004">
      <c r="A47" s="16" t="s">
        <v>152</v>
      </c>
      <c r="C47" s="17">
        <v>0</v>
      </c>
      <c r="D47" s="17"/>
      <c r="E47" s="17">
        <v>0</v>
      </c>
      <c r="F47" s="17"/>
      <c r="G47" s="17">
        <v>0</v>
      </c>
      <c r="H47" s="17"/>
      <c r="I47" s="17">
        <v>0</v>
      </c>
      <c r="J47" s="15"/>
      <c r="K47" s="17">
        <v>3000000</v>
      </c>
      <c r="M47" s="17">
        <v>11374254037</v>
      </c>
      <c r="O47" s="17">
        <v>9240548720</v>
      </c>
      <c r="Q47" s="17">
        <v>2133705317</v>
      </c>
    </row>
    <row r="48" spans="1:17" ht="21" x14ac:dyDescent="0.55000000000000004">
      <c r="A48" s="16" t="s">
        <v>151</v>
      </c>
      <c r="C48" s="17">
        <v>0</v>
      </c>
      <c r="D48" s="17"/>
      <c r="E48" s="17">
        <v>0</v>
      </c>
      <c r="F48" s="17"/>
      <c r="G48" s="17">
        <v>0</v>
      </c>
      <c r="H48" s="17"/>
      <c r="I48" s="17">
        <v>0</v>
      </c>
      <c r="J48" s="15"/>
      <c r="K48" s="17">
        <v>9506493</v>
      </c>
      <c r="M48" s="17">
        <v>25599861319</v>
      </c>
      <c r="O48" s="17">
        <v>24151987937</v>
      </c>
      <c r="Q48" s="17">
        <v>1447873382</v>
      </c>
    </row>
    <row r="49" spans="1:17" ht="21" x14ac:dyDescent="0.55000000000000004">
      <c r="A49" s="16" t="s">
        <v>90</v>
      </c>
      <c r="C49" s="17">
        <v>0</v>
      </c>
      <c r="D49" s="17"/>
      <c r="E49" s="17">
        <v>0</v>
      </c>
      <c r="F49" s="17"/>
      <c r="G49" s="17">
        <v>0</v>
      </c>
      <c r="H49" s="17"/>
      <c r="I49" s="17">
        <v>0</v>
      </c>
      <c r="J49" s="15"/>
      <c r="K49" s="17">
        <v>1875000</v>
      </c>
      <c r="M49" s="17">
        <v>6657539463</v>
      </c>
      <c r="O49" s="17">
        <v>6059096579</v>
      </c>
      <c r="Q49" s="17">
        <v>598442884</v>
      </c>
    </row>
    <row r="50" spans="1:17" ht="21" x14ac:dyDescent="0.55000000000000004">
      <c r="A50" s="16" t="s">
        <v>89</v>
      </c>
      <c r="C50" s="17">
        <v>400000</v>
      </c>
      <c r="E50" s="17">
        <v>3736572420</v>
      </c>
      <c r="G50" s="17">
        <v>2792826301</v>
      </c>
      <c r="I50" s="17">
        <v>943746119</v>
      </c>
      <c r="K50" s="17">
        <v>6765870</v>
      </c>
      <c r="M50" s="17">
        <v>56917644445</v>
      </c>
      <c r="O50" s="17">
        <v>50489702508</v>
      </c>
      <c r="Q50" s="17">
        <v>6427941937</v>
      </c>
    </row>
    <row r="51" spans="1:17" ht="21" x14ac:dyDescent="0.55000000000000004">
      <c r="A51" s="16" t="s">
        <v>88</v>
      </c>
      <c r="C51" s="17">
        <v>0</v>
      </c>
      <c r="D51" s="17"/>
      <c r="E51" s="17">
        <v>0</v>
      </c>
      <c r="F51" s="17"/>
      <c r="G51" s="17">
        <v>0</v>
      </c>
      <c r="H51" s="17"/>
      <c r="I51" s="17">
        <v>0</v>
      </c>
      <c r="J51" s="15"/>
      <c r="K51" s="17">
        <v>979165</v>
      </c>
      <c r="M51" s="17">
        <v>18837209335</v>
      </c>
      <c r="O51" s="17">
        <v>20750932828</v>
      </c>
      <c r="Q51" s="17">
        <v>-1913723493</v>
      </c>
    </row>
    <row r="52" spans="1:17" ht="21" x14ac:dyDescent="0.55000000000000004">
      <c r="A52" s="16" t="s">
        <v>150</v>
      </c>
      <c r="C52" s="17">
        <v>0</v>
      </c>
      <c r="D52" s="17"/>
      <c r="E52" s="17">
        <v>0</v>
      </c>
      <c r="F52" s="17"/>
      <c r="G52" s="17">
        <v>0</v>
      </c>
      <c r="H52" s="17"/>
      <c r="I52" s="17">
        <v>0</v>
      </c>
      <c r="J52" s="15"/>
      <c r="K52" s="17">
        <v>3800000</v>
      </c>
      <c r="M52" s="17">
        <v>23683463035</v>
      </c>
      <c r="O52" s="17">
        <v>25997778915</v>
      </c>
      <c r="Q52" s="17">
        <v>-2314315880</v>
      </c>
    </row>
    <row r="53" spans="1:17" ht="21" x14ac:dyDescent="0.55000000000000004">
      <c r="A53" s="16" t="s">
        <v>149</v>
      </c>
      <c r="C53" s="17">
        <v>0</v>
      </c>
      <c r="D53" s="17"/>
      <c r="E53" s="17">
        <v>0</v>
      </c>
      <c r="F53" s="17"/>
      <c r="G53" s="17">
        <v>0</v>
      </c>
      <c r="H53" s="17"/>
      <c r="I53" s="17">
        <v>0</v>
      </c>
      <c r="J53" s="15"/>
      <c r="K53" s="17">
        <v>265</v>
      </c>
      <c r="M53" s="17">
        <v>5023485</v>
      </c>
      <c r="O53" s="17">
        <v>4865758</v>
      </c>
      <c r="Q53" s="17">
        <v>157727</v>
      </c>
    </row>
    <row r="54" spans="1:17" ht="21" x14ac:dyDescent="0.55000000000000004">
      <c r="A54" s="16" t="s">
        <v>148</v>
      </c>
      <c r="C54" s="17">
        <v>0</v>
      </c>
      <c r="D54" s="17"/>
      <c r="E54" s="17">
        <v>0</v>
      </c>
      <c r="F54" s="17"/>
      <c r="G54" s="17">
        <v>0</v>
      </c>
      <c r="H54" s="17"/>
      <c r="I54" s="17">
        <v>0</v>
      </c>
      <c r="J54" s="15"/>
      <c r="K54" s="17">
        <v>800000</v>
      </c>
      <c r="M54" s="17">
        <v>2926501004</v>
      </c>
      <c r="O54" s="17">
        <v>3290681565</v>
      </c>
      <c r="Q54" s="17">
        <v>-364180561</v>
      </c>
    </row>
    <row r="55" spans="1:17" ht="21" x14ac:dyDescent="0.55000000000000004">
      <c r="A55" s="16" t="s">
        <v>147</v>
      </c>
      <c r="C55" s="17">
        <v>0</v>
      </c>
      <c r="D55" s="17"/>
      <c r="E55" s="17">
        <v>0</v>
      </c>
      <c r="F55" s="17"/>
      <c r="G55" s="17">
        <v>0</v>
      </c>
      <c r="H55" s="17"/>
      <c r="I55" s="17">
        <v>0</v>
      </c>
      <c r="J55" s="15"/>
      <c r="K55" s="17">
        <v>16214566</v>
      </c>
      <c r="M55" s="17">
        <v>32438711144</v>
      </c>
      <c r="O55" s="17">
        <v>39973740709</v>
      </c>
      <c r="Q55" s="17">
        <v>-7535029565</v>
      </c>
    </row>
    <row r="56" spans="1:17" ht="21" x14ac:dyDescent="0.55000000000000004">
      <c r="A56" s="16" t="s">
        <v>87</v>
      </c>
      <c r="C56" s="17">
        <v>1010000</v>
      </c>
      <c r="E56" s="17">
        <v>3013335000</v>
      </c>
      <c r="G56" s="17">
        <v>3652214095</v>
      </c>
      <c r="I56" s="17">
        <v>-638879095</v>
      </c>
      <c r="K56" s="17">
        <v>12676211</v>
      </c>
      <c r="M56" s="17">
        <v>36000813001</v>
      </c>
      <c r="O56" s="17">
        <v>50014951411</v>
      </c>
      <c r="Q56" s="17">
        <v>-14014138410</v>
      </c>
    </row>
    <row r="57" spans="1:17" ht="21" x14ac:dyDescent="0.55000000000000004">
      <c r="A57" s="16" t="s">
        <v>146</v>
      </c>
      <c r="C57" s="17">
        <v>0</v>
      </c>
      <c r="D57" s="17"/>
      <c r="E57" s="17">
        <v>0</v>
      </c>
      <c r="F57" s="17"/>
      <c r="G57" s="17">
        <v>0</v>
      </c>
      <c r="H57" s="17"/>
      <c r="I57" s="17">
        <v>0</v>
      </c>
      <c r="J57" s="15"/>
      <c r="K57" s="17">
        <v>1900000</v>
      </c>
      <c r="M57" s="17">
        <v>6041239517</v>
      </c>
      <c r="O57" s="17">
        <v>8261460708</v>
      </c>
      <c r="Q57" s="17">
        <v>-2220221191</v>
      </c>
    </row>
    <row r="58" spans="1:17" ht="21" x14ac:dyDescent="0.55000000000000004">
      <c r="A58" s="16" t="s">
        <v>145</v>
      </c>
      <c r="C58" s="17">
        <v>0</v>
      </c>
      <c r="D58" s="17"/>
      <c r="E58" s="17">
        <v>0</v>
      </c>
      <c r="F58" s="17"/>
      <c r="G58" s="17">
        <v>0</v>
      </c>
      <c r="H58" s="17"/>
      <c r="I58" s="17">
        <v>0</v>
      </c>
      <c r="J58" s="15"/>
      <c r="K58" s="17">
        <v>200000</v>
      </c>
      <c r="M58" s="17">
        <v>2200826700</v>
      </c>
      <c r="O58" s="17">
        <v>3619085400</v>
      </c>
      <c r="Q58" s="17">
        <v>-1418258700</v>
      </c>
    </row>
    <row r="59" spans="1:17" ht="21" x14ac:dyDescent="0.55000000000000004">
      <c r="A59" s="16" t="s">
        <v>144</v>
      </c>
      <c r="C59" s="17">
        <v>0</v>
      </c>
      <c r="D59" s="17"/>
      <c r="E59" s="17">
        <v>0</v>
      </c>
      <c r="F59" s="17"/>
      <c r="G59" s="17">
        <v>0</v>
      </c>
      <c r="H59" s="17"/>
      <c r="I59" s="17">
        <v>0</v>
      </c>
      <c r="J59" s="15"/>
      <c r="K59" s="17">
        <v>2308532</v>
      </c>
      <c r="M59" s="17">
        <v>16092601741</v>
      </c>
      <c r="O59" s="17">
        <v>18567404004</v>
      </c>
      <c r="Q59" s="17">
        <v>-2474802263</v>
      </c>
    </row>
    <row r="60" spans="1:17" ht="21" x14ac:dyDescent="0.55000000000000004">
      <c r="A60" s="16" t="s">
        <v>85</v>
      </c>
      <c r="C60" s="17">
        <v>0</v>
      </c>
      <c r="D60" s="17"/>
      <c r="E60" s="17">
        <v>0</v>
      </c>
      <c r="F60" s="17"/>
      <c r="G60" s="17">
        <v>0</v>
      </c>
      <c r="H60" s="17"/>
      <c r="I60" s="17">
        <v>0</v>
      </c>
      <c r="J60" s="15"/>
      <c r="K60" s="17">
        <v>200000</v>
      </c>
      <c r="M60" s="17">
        <v>2425482010</v>
      </c>
      <c r="O60" s="17">
        <v>2325651668</v>
      </c>
      <c r="Q60" s="17">
        <v>99830342</v>
      </c>
    </row>
    <row r="61" spans="1:17" ht="21" x14ac:dyDescent="0.55000000000000004">
      <c r="A61" s="16" t="s">
        <v>143</v>
      </c>
      <c r="C61" s="17">
        <v>0</v>
      </c>
      <c r="D61" s="17"/>
      <c r="E61" s="17">
        <v>0</v>
      </c>
      <c r="F61" s="17"/>
      <c r="G61" s="17">
        <v>0</v>
      </c>
      <c r="H61" s="17"/>
      <c r="I61" s="17">
        <v>0</v>
      </c>
      <c r="J61" s="15"/>
      <c r="K61" s="17">
        <v>29010652</v>
      </c>
      <c r="M61" s="17">
        <v>14989091885</v>
      </c>
      <c r="O61" s="17">
        <v>17788300976</v>
      </c>
      <c r="Q61" s="17">
        <v>-2799209091</v>
      </c>
    </row>
    <row r="62" spans="1:17" ht="21" x14ac:dyDescent="0.55000000000000004">
      <c r="A62" s="16" t="s">
        <v>142</v>
      </c>
      <c r="C62" s="17">
        <v>0</v>
      </c>
      <c r="D62" s="17"/>
      <c r="E62" s="17">
        <v>0</v>
      </c>
      <c r="F62" s="17"/>
      <c r="G62" s="17">
        <v>0</v>
      </c>
      <c r="H62" s="17"/>
      <c r="I62" s="17">
        <v>0</v>
      </c>
      <c r="J62" s="15"/>
      <c r="K62" s="17">
        <v>1800000</v>
      </c>
      <c r="M62" s="17">
        <v>30209179739</v>
      </c>
      <c r="O62" s="17">
        <v>29106262207</v>
      </c>
      <c r="Q62" s="17">
        <v>1102917532</v>
      </c>
    </row>
    <row r="63" spans="1:17" ht="21" x14ac:dyDescent="0.55000000000000004">
      <c r="A63" s="16" t="s">
        <v>141</v>
      </c>
      <c r="C63" s="17">
        <v>0</v>
      </c>
      <c r="D63" s="17"/>
      <c r="E63" s="17">
        <v>0</v>
      </c>
      <c r="F63" s="17"/>
      <c r="G63" s="17">
        <v>0</v>
      </c>
      <c r="H63" s="17"/>
      <c r="I63" s="17">
        <v>0</v>
      </c>
      <c r="J63" s="15"/>
      <c r="K63" s="17">
        <v>2421626</v>
      </c>
      <c r="M63" s="17">
        <v>13863899230</v>
      </c>
      <c r="O63" s="17">
        <v>14571250792</v>
      </c>
      <c r="Q63" s="17">
        <v>-707351562</v>
      </c>
    </row>
    <row r="64" spans="1:17" ht="21" x14ac:dyDescent="0.55000000000000004">
      <c r="A64" s="16" t="s">
        <v>140</v>
      </c>
      <c r="C64" s="17">
        <v>0</v>
      </c>
      <c r="D64" s="17"/>
      <c r="E64" s="17">
        <v>0</v>
      </c>
      <c r="F64" s="17"/>
      <c r="G64" s="17">
        <v>0</v>
      </c>
      <c r="H64" s="17"/>
      <c r="I64" s="17">
        <v>0</v>
      </c>
      <c r="J64" s="15"/>
      <c r="K64" s="17">
        <v>350000</v>
      </c>
      <c r="M64" s="17">
        <v>15081074811</v>
      </c>
      <c r="O64" s="17">
        <v>14272760561</v>
      </c>
      <c r="Q64" s="17">
        <v>808314250</v>
      </c>
    </row>
    <row r="65" spans="1:17" ht="21" x14ac:dyDescent="0.55000000000000004">
      <c r="A65" s="16" t="s">
        <v>84</v>
      </c>
      <c r="C65" s="17">
        <v>0</v>
      </c>
      <c r="D65" s="17"/>
      <c r="E65" s="17">
        <v>0</v>
      </c>
      <c r="F65" s="17"/>
      <c r="G65" s="17">
        <v>0</v>
      </c>
      <c r="H65" s="17"/>
      <c r="I65" s="17">
        <v>0</v>
      </c>
      <c r="J65" s="15"/>
      <c r="K65" s="17">
        <v>5238461</v>
      </c>
      <c r="M65" s="17">
        <v>34717716562</v>
      </c>
      <c r="O65" s="17">
        <v>32329663239</v>
      </c>
      <c r="Q65" s="17">
        <v>2388053323</v>
      </c>
    </row>
    <row r="66" spans="1:17" ht="21" x14ac:dyDescent="0.55000000000000004">
      <c r="A66" s="16" t="s">
        <v>83</v>
      </c>
      <c r="C66" s="17">
        <v>0</v>
      </c>
      <c r="D66" s="17"/>
      <c r="E66" s="17">
        <v>0</v>
      </c>
      <c r="F66" s="17"/>
      <c r="G66" s="17">
        <v>0</v>
      </c>
      <c r="H66" s="17"/>
      <c r="I66" s="17">
        <v>0</v>
      </c>
      <c r="J66" s="15"/>
      <c r="K66" s="17">
        <v>800000</v>
      </c>
      <c r="M66" s="17">
        <v>10662800069</v>
      </c>
      <c r="O66" s="17">
        <v>10816752314</v>
      </c>
      <c r="Q66" s="17">
        <v>-153952245</v>
      </c>
    </row>
    <row r="67" spans="1:17" ht="21" x14ac:dyDescent="0.55000000000000004">
      <c r="A67" s="16" t="s">
        <v>139</v>
      </c>
      <c r="C67" s="17">
        <v>0</v>
      </c>
      <c r="D67" s="17"/>
      <c r="E67" s="17">
        <v>0</v>
      </c>
      <c r="F67" s="17"/>
      <c r="G67" s="17">
        <v>0</v>
      </c>
      <c r="H67" s="17"/>
      <c r="I67" s="17">
        <v>0</v>
      </c>
      <c r="J67" s="15"/>
      <c r="K67" s="17">
        <v>450000</v>
      </c>
      <c r="M67" s="17">
        <v>5159086050</v>
      </c>
      <c r="O67" s="17">
        <v>2461380650</v>
      </c>
      <c r="Q67" s="17">
        <v>2697705400</v>
      </c>
    </row>
    <row r="68" spans="1:17" ht="21" x14ac:dyDescent="0.55000000000000004">
      <c r="A68" s="16" t="s">
        <v>82</v>
      </c>
      <c r="C68" s="17">
        <v>0</v>
      </c>
      <c r="D68" s="17"/>
      <c r="E68" s="17">
        <v>0</v>
      </c>
      <c r="F68" s="17"/>
      <c r="G68" s="17">
        <v>0</v>
      </c>
      <c r="H68" s="17"/>
      <c r="I68" s="17">
        <v>0</v>
      </c>
      <c r="J68" s="15"/>
      <c r="K68" s="17">
        <v>6350000</v>
      </c>
      <c r="M68" s="17">
        <v>22645405314</v>
      </c>
      <c r="O68" s="17">
        <v>21259314721</v>
      </c>
      <c r="Q68" s="17">
        <v>1386090593</v>
      </c>
    </row>
    <row r="69" spans="1:17" ht="21" x14ac:dyDescent="0.55000000000000004">
      <c r="A69" s="16" t="s">
        <v>81</v>
      </c>
      <c r="C69" s="17">
        <v>0</v>
      </c>
      <c r="D69" s="17"/>
      <c r="E69" s="17">
        <v>0</v>
      </c>
      <c r="F69" s="17"/>
      <c r="G69" s="17">
        <v>0</v>
      </c>
      <c r="H69" s="17"/>
      <c r="I69" s="17">
        <v>0</v>
      </c>
      <c r="J69" s="15"/>
      <c r="K69" s="17">
        <v>100000</v>
      </c>
      <c r="M69" s="17">
        <v>1065621606</v>
      </c>
      <c r="O69" s="17">
        <v>1021148013</v>
      </c>
      <c r="Q69" s="17">
        <v>44473593</v>
      </c>
    </row>
    <row r="70" spans="1:17" ht="21" x14ac:dyDescent="0.55000000000000004">
      <c r="A70" s="16" t="s">
        <v>138</v>
      </c>
      <c r="C70" s="17">
        <v>0</v>
      </c>
      <c r="D70" s="17"/>
      <c r="E70" s="17">
        <v>0</v>
      </c>
      <c r="F70" s="17"/>
      <c r="G70" s="17">
        <v>0</v>
      </c>
      <c r="H70" s="17"/>
      <c r="I70" s="17">
        <v>0</v>
      </c>
      <c r="J70" s="15"/>
      <c r="K70" s="17">
        <v>600000</v>
      </c>
      <c r="M70" s="17">
        <v>7733463755</v>
      </c>
      <c r="O70" s="17">
        <v>9716827406</v>
      </c>
      <c r="Q70" s="17">
        <v>-1983363651</v>
      </c>
    </row>
    <row r="71" spans="1:17" ht="21" x14ac:dyDescent="0.55000000000000004">
      <c r="A71" s="16" t="s">
        <v>80</v>
      </c>
      <c r="C71" s="17">
        <v>0</v>
      </c>
      <c r="D71" s="17"/>
      <c r="E71" s="17">
        <v>0</v>
      </c>
      <c r="F71" s="17"/>
      <c r="G71" s="17">
        <v>0</v>
      </c>
      <c r="H71" s="17"/>
      <c r="I71" s="17">
        <v>0</v>
      </c>
      <c r="J71" s="15"/>
      <c r="K71" s="17">
        <v>601000</v>
      </c>
      <c r="M71" s="17">
        <v>12840723753</v>
      </c>
      <c r="O71" s="17">
        <v>10313896135</v>
      </c>
      <c r="Q71" s="17">
        <v>2526827618</v>
      </c>
    </row>
    <row r="72" spans="1:17" ht="21" x14ac:dyDescent="0.55000000000000004">
      <c r="A72" s="16" t="s">
        <v>79</v>
      </c>
      <c r="C72" s="17">
        <v>0</v>
      </c>
      <c r="D72" s="17"/>
      <c r="E72" s="17">
        <v>0</v>
      </c>
      <c r="F72" s="17"/>
      <c r="G72" s="17">
        <v>0</v>
      </c>
      <c r="H72" s="17"/>
      <c r="I72" s="17">
        <v>0</v>
      </c>
      <c r="J72" s="15"/>
      <c r="K72" s="17">
        <v>2185981</v>
      </c>
      <c r="M72" s="17">
        <v>5186646380</v>
      </c>
      <c r="O72" s="17">
        <v>4642931841</v>
      </c>
      <c r="Q72" s="17">
        <v>543714539</v>
      </c>
    </row>
    <row r="73" spans="1:17" ht="21" x14ac:dyDescent="0.55000000000000004">
      <c r="A73" s="16" t="s">
        <v>78</v>
      </c>
      <c r="C73" s="17">
        <v>0</v>
      </c>
      <c r="D73" s="17"/>
      <c r="E73" s="17">
        <v>0</v>
      </c>
      <c r="F73" s="17"/>
      <c r="G73" s="17">
        <v>0</v>
      </c>
      <c r="H73" s="17"/>
      <c r="I73" s="17">
        <v>0</v>
      </c>
      <c r="J73" s="15"/>
      <c r="K73" s="17">
        <v>357000</v>
      </c>
      <c r="M73" s="17">
        <v>21271958804</v>
      </c>
      <c r="O73" s="17">
        <v>21513877463</v>
      </c>
      <c r="Q73" s="17">
        <v>-241918659</v>
      </c>
    </row>
    <row r="74" spans="1:17" ht="21" x14ac:dyDescent="0.55000000000000004">
      <c r="A74" s="16" t="s">
        <v>77</v>
      </c>
      <c r="C74" s="17">
        <v>600000</v>
      </c>
      <c r="E74" s="17">
        <v>3760703370</v>
      </c>
      <c r="G74" s="17">
        <v>2655482893</v>
      </c>
      <c r="I74" s="17">
        <v>1105220477</v>
      </c>
      <c r="K74" s="17">
        <v>4850000</v>
      </c>
      <c r="M74" s="17">
        <v>24876987433</v>
      </c>
      <c r="O74" s="17">
        <v>21546277673</v>
      </c>
      <c r="Q74" s="17">
        <v>3330709760</v>
      </c>
    </row>
    <row r="75" spans="1:17" ht="21" x14ac:dyDescent="0.55000000000000004">
      <c r="A75" s="16" t="s">
        <v>137</v>
      </c>
      <c r="C75" s="17">
        <v>0</v>
      </c>
      <c r="D75" s="17"/>
      <c r="E75" s="17">
        <v>0</v>
      </c>
      <c r="F75" s="17"/>
      <c r="G75" s="17">
        <v>0</v>
      </c>
      <c r="H75" s="17"/>
      <c r="I75" s="17">
        <v>0</v>
      </c>
      <c r="J75" s="15"/>
      <c r="K75" s="17">
        <v>300000</v>
      </c>
      <c r="M75" s="17">
        <v>17148228183</v>
      </c>
      <c r="O75" s="17">
        <v>19238834411</v>
      </c>
      <c r="Q75" s="17">
        <v>-2090606228</v>
      </c>
    </row>
    <row r="76" spans="1:17" ht="21" x14ac:dyDescent="0.55000000000000004">
      <c r="A76" s="16" t="s">
        <v>76</v>
      </c>
      <c r="C76" s="17">
        <v>0</v>
      </c>
      <c r="D76" s="17"/>
      <c r="E76" s="17">
        <v>0</v>
      </c>
      <c r="F76" s="17"/>
      <c r="G76" s="17">
        <v>0</v>
      </c>
      <c r="H76" s="17"/>
      <c r="I76" s="17">
        <v>0</v>
      </c>
      <c r="J76" s="15"/>
      <c r="K76" s="17">
        <v>85000</v>
      </c>
      <c r="M76" s="17">
        <v>4870275581</v>
      </c>
      <c r="O76" s="17">
        <v>4305403546</v>
      </c>
      <c r="Q76" s="17">
        <v>564872035</v>
      </c>
    </row>
    <row r="77" spans="1:17" ht="21" x14ac:dyDescent="0.55000000000000004">
      <c r="A77" s="16" t="s">
        <v>75</v>
      </c>
      <c r="C77" s="17">
        <v>100000</v>
      </c>
      <c r="E77" s="17">
        <v>4056315105</v>
      </c>
      <c r="G77" s="17">
        <v>3455625322</v>
      </c>
      <c r="I77" s="17">
        <v>600689783</v>
      </c>
      <c r="K77" s="17">
        <v>100000</v>
      </c>
      <c r="M77" s="17">
        <v>4056315105</v>
      </c>
      <c r="O77" s="17">
        <v>3455625322</v>
      </c>
      <c r="Q77" s="17">
        <v>600689783</v>
      </c>
    </row>
    <row r="78" spans="1:17" ht="21" x14ac:dyDescent="0.55000000000000004">
      <c r="A78" s="16" t="s">
        <v>74</v>
      </c>
      <c r="C78" s="17">
        <v>0</v>
      </c>
      <c r="D78" s="17"/>
      <c r="E78" s="17">
        <v>0</v>
      </c>
      <c r="F78" s="17"/>
      <c r="G78" s="17">
        <v>0</v>
      </c>
      <c r="H78" s="17"/>
      <c r="I78" s="17">
        <v>0</v>
      </c>
      <c r="J78" s="15"/>
      <c r="K78" s="17">
        <v>424900</v>
      </c>
      <c r="M78" s="17">
        <v>18539607169</v>
      </c>
      <c r="O78" s="17">
        <v>14046078876</v>
      </c>
      <c r="Q78" s="17">
        <v>4493528293</v>
      </c>
    </row>
    <row r="79" spans="1:17" ht="21" x14ac:dyDescent="0.55000000000000004">
      <c r="A79" s="16" t="s">
        <v>73</v>
      </c>
      <c r="C79" s="17">
        <v>0</v>
      </c>
      <c r="D79" s="17"/>
      <c r="E79" s="17">
        <v>0</v>
      </c>
      <c r="F79" s="17"/>
      <c r="G79" s="17">
        <v>0</v>
      </c>
      <c r="H79" s="17"/>
      <c r="I79" s="17">
        <v>0</v>
      </c>
      <c r="J79" s="15"/>
      <c r="K79" s="17">
        <v>2400000</v>
      </c>
      <c r="M79" s="17">
        <v>7208005595</v>
      </c>
      <c r="O79" s="17">
        <v>7470331903</v>
      </c>
      <c r="Q79" s="17">
        <v>-262326308</v>
      </c>
    </row>
    <row r="80" spans="1:17" ht="21" x14ac:dyDescent="0.55000000000000004">
      <c r="A80" s="16" t="s">
        <v>72</v>
      </c>
      <c r="C80" s="17">
        <v>0</v>
      </c>
      <c r="D80" s="17"/>
      <c r="E80" s="17">
        <v>0</v>
      </c>
      <c r="F80" s="17"/>
      <c r="G80" s="17">
        <v>0</v>
      </c>
      <c r="H80" s="17"/>
      <c r="I80" s="17">
        <v>0</v>
      </c>
      <c r="J80" s="15"/>
      <c r="K80" s="17">
        <v>20000</v>
      </c>
      <c r="M80" s="17">
        <v>4904535772</v>
      </c>
      <c r="O80" s="17">
        <v>4125772382</v>
      </c>
      <c r="Q80" s="17">
        <v>778763390</v>
      </c>
    </row>
    <row r="81" spans="1:17" ht="21" x14ac:dyDescent="0.55000000000000004">
      <c r="A81" s="16" t="s">
        <v>71</v>
      </c>
      <c r="C81" s="17">
        <v>0</v>
      </c>
      <c r="D81" s="17"/>
      <c r="E81" s="17">
        <v>0</v>
      </c>
      <c r="F81" s="17"/>
      <c r="G81" s="17">
        <v>0</v>
      </c>
      <c r="H81" s="17"/>
      <c r="I81" s="17">
        <v>0</v>
      </c>
      <c r="J81" s="15"/>
      <c r="K81" s="17">
        <v>918099</v>
      </c>
      <c r="M81" s="17">
        <v>14773201574</v>
      </c>
      <c r="O81" s="17">
        <v>17860441670</v>
      </c>
      <c r="Q81" s="17">
        <v>-3087240096</v>
      </c>
    </row>
    <row r="82" spans="1:17" ht="21" x14ac:dyDescent="0.55000000000000004">
      <c r="A82" s="16" t="s">
        <v>136</v>
      </c>
      <c r="C82" s="17">
        <v>0</v>
      </c>
      <c r="D82" s="17"/>
      <c r="E82" s="17">
        <v>0</v>
      </c>
      <c r="F82" s="17"/>
      <c r="G82" s="17">
        <v>0</v>
      </c>
      <c r="H82" s="17"/>
      <c r="I82" s="17">
        <v>0</v>
      </c>
      <c r="J82" s="15"/>
      <c r="K82" s="17">
        <v>4827187</v>
      </c>
      <c r="M82" s="17">
        <v>20951547550</v>
      </c>
      <c r="O82" s="17">
        <v>20518046622</v>
      </c>
      <c r="Q82" s="17">
        <v>433500928</v>
      </c>
    </row>
    <row r="83" spans="1:17" ht="21" x14ac:dyDescent="0.55000000000000004">
      <c r="A83" s="16" t="s">
        <v>70</v>
      </c>
      <c r="C83" s="17">
        <v>0</v>
      </c>
      <c r="D83" s="17"/>
      <c r="E83" s="17">
        <v>0</v>
      </c>
      <c r="F83" s="17"/>
      <c r="G83" s="17">
        <v>0</v>
      </c>
      <c r="H83" s="17"/>
      <c r="I83" s="17">
        <v>0</v>
      </c>
      <c r="J83" s="15"/>
      <c r="K83" s="17">
        <v>1600000</v>
      </c>
      <c r="M83" s="17">
        <v>11515075234</v>
      </c>
      <c r="O83" s="17">
        <v>8281095234</v>
      </c>
      <c r="Q83" s="17">
        <v>3233980000</v>
      </c>
    </row>
    <row r="84" spans="1:17" ht="21" x14ac:dyDescent="0.55000000000000004">
      <c r="A84" s="16" t="s">
        <v>69</v>
      </c>
      <c r="C84" s="17">
        <v>100000</v>
      </c>
      <c r="E84" s="17">
        <v>3549793334</v>
      </c>
      <c r="G84" s="17">
        <v>2524712784</v>
      </c>
      <c r="I84" s="17">
        <v>1025080550</v>
      </c>
      <c r="K84" s="17">
        <v>200000</v>
      </c>
      <c r="M84" s="17">
        <v>6643973949</v>
      </c>
      <c r="O84" s="17">
        <v>5058558699</v>
      </c>
      <c r="Q84" s="17">
        <v>1585415250</v>
      </c>
    </row>
    <row r="85" spans="1:17" ht="21" x14ac:dyDescent="0.55000000000000004">
      <c r="A85" s="16" t="s">
        <v>68</v>
      </c>
      <c r="C85" s="17">
        <v>0</v>
      </c>
      <c r="D85" s="17"/>
      <c r="E85" s="17">
        <v>0</v>
      </c>
      <c r="F85" s="17"/>
      <c r="G85" s="17">
        <v>0</v>
      </c>
      <c r="H85" s="17"/>
      <c r="I85" s="17">
        <v>0</v>
      </c>
      <c r="J85" s="15"/>
      <c r="K85" s="17">
        <v>735000</v>
      </c>
      <c r="M85" s="17">
        <v>44812416949</v>
      </c>
      <c r="O85" s="17">
        <v>33586628760</v>
      </c>
      <c r="Q85" s="17">
        <v>11225788189</v>
      </c>
    </row>
    <row r="86" spans="1:17" ht="21" x14ac:dyDescent="0.55000000000000004">
      <c r="A86" s="16" t="s">
        <v>67</v>
      </c>
      <c r="C86" s="17">
        <v>0</v>
      </c>
      <c r="D86" s="17"/>
      <c r="E86" s="17">
        <v>0</v>
      </c>
      <c r="F86" s="17"/>
      <c r="G86" s="17">
        <v>0</v>
      </c>
      <c r="H86" s="17"/>
      <c r="I86" s="17">
        <v>0</v>
      </c>
      <c r="J86" s="15"/>
      <c r="K86" s="17">
        <v>904441</v>
      </c>
      <c r="M86" s="17">
        <v>1483381171</v>
      </c>
      <c r="O86" s="17">
        <v>3110157143</v>
      </c>
      <c r="Q86" s="17">
        <v>-1626775972</v>
      </c>
    </row>
    <row r="87" spans="1:17" ht="21" x14ac:dyDescent="0.55000000000000004">
      <c r="A87" s="16" t="s">
        <v>135</v>
      </c>
      <c r="C87" s="17">
        <v>0</v>
      </c>
      <c r="D87" s="17"/>
      <c r="E87" s="17">
        <v>0</v>
      </c>
      <c r="F87" s="17"/>
      <c r="G87" s="17">
        <v>0</v>
      </c>
      <c r="H87" s="17"/>
      <c r="I87" s="17">
        <v>0</v>
      </c>
      <c r="J87" s="15"/>
      <c r="K87" s="17">
        <v>3550000</v>
      </c>
      <c r="M87" s="17">
        <v>12949938069</v>
      </c>
      <c r="O87" s="17">
        <v>15446070222</v>
      </c>
      <c r="Q87" s="17">
        <v>-2496132153</v>
      </c>
    </row>
    <row r="88" spans="1:17" ht="21" x14ac:dyDescent="0.55000000000000004">
      <c r="A88" s="16" t="s">
        <v>134</v>
      </c>
      <c r="C88" s="17">
        <v>0</v>
      </c>
      <c r="D88" s="17"/>
      <c r="E88" s="17">
        <v>0</v>
      </c>
      <c r="F88" s="17"/>
      <c r="G88" s="17">
        <v>0</v>
      </c>
      <c r="H88" s="17"/>
      <c r="I88" s="17">
        <v>0</v>
      </c>
      <c r="J88" s="15"/>
      <c r="K88" s="17">
        <v>2283</v>
      </c>
      <c r="M88" s="17">
        <v>14501572</v>
      </c>
      <c r="O88" s="17">
        <v>11494181</v>
      </c>
      <c r="Q88" s="17">
        <v>3007391</v>
      </c>
    </row>
    <row r="89" spans="1:17" ht="21" x14ac:dyDescent="0.55000000000000004">
      <c r="A89" s="16" t="s">
        <v>133</v>
      </c>
      <c r="C89" s="17">
        <v>0</v>
      </c>
      <c r="D89" s="17"/>
      <c r="E89" s="17">
        <v>0</v>
      </c>
      <c r="F89" s="17"/>
      <c r="G89" s="17">
        <v>0</v>
      </c>
      <c r="H89" s="17"/>
      <c r="I89" s="17">
        <v>0</v>
      </c>
      <c r="J89" s="15"/>
      <c r="K89" s="17">
        <v>4400000</v>
      </c>
      <c r="M89" s="17">
        <v>22370101322</v>
      </c>
      <c r="O89" s="17">
        <v>23887172128</v>
      </c>
      <c r="Q89" s="17">
        <v>-1517070806</v>
      </c>
    </row>
    <row r="90" spans="1:17" ht="21" x14ac:dyDescent="0.55000000000000004">
      <c r="A90" s="16" t="s">
        <v>132</v>
      </c>
      <c r="C90" s="17">
        <v>0</v>
      </c>
      <c r="D90" s="17"/>
      <c r="E90" s="17">
        <v>0</v>
      </c>
      <c r="F90" s="17"/>
      <c r="G90" s="17">
        <v>0</v>
      </c>
      <c r="H90" s="17"/>
      <c r="I90" s="17">
        <v>0</v>
      </c>
      <c r="J90" s="15"/>
      <c r="K90" s="17">
        <v>1403444</v>
      </c>
      <c r="M90" s="17">
        <v>1452292363</v>
      </c>
      <c r="O90" s="17">
        <v>10633989085</v>
      </c>
      <c r="Q90" s="17">
        <v>-9181696722</v>
      </c>
    </row>
    <row r="91" spans="1:17" ht="21.75" thickBot="1" x14ac:dyDescent="0.6">
      <c r="A91" s="19" t="s">
        <v>9</v>
      </c>
      <c r="C91" s="26"/>
      <c r="E91" s="19">
        <f>SUM(E9:$E$90)</f>
        <v>67363526072</v>
      </c>
      <c r="G91" s="19">
        <f>SUM(G9:$G$90)</f>
        <v>56795382566</v>
      </c>
      <c r="I91" s="19">
        <f>SUM(I9:$I$90)</f>
        <v>12028872053</v>
      </c>
      <c r="K91" s="26"/>
      <c r="M91" s="19">
        <f>SUM(M9:$M$90)</f>
        <v>1166048793082</v>
      </c>
      <c r="O91" s="19">
        <f>SUM(O9:$O$90)</f>
        <v>1171216197389</v>
      </c>
      <c r="Q91" s="19">
        <f>SUM(Q9:$Q$90)</f>
        <v>22007196199</v>
      </c>
    </row>
    <row r="92" spans="1:17" ht="21.75" thickTop="1" x14ac:dyDescent="0.55000000000000004">
      <c r="C92" s="26"/>
      <c r="E92" s="21"/>
      <c r="G92" s="21"/>
      <c r="I92" s="21"/>
      <c r="K92" s="26"/>
      <c r="M92" s="21"/>
      <c r="O92" s="21"/>
      <c r="Q92" s="21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918F-92BB-4103-A5C0-59530794F8CA}">
  <sheetPr>
    <pageSetUpPr fitToPage="1"/>
  </sheetPr>
  <dimension ref="A1:Q47"/>
  <sheetViews>
    <sheetView rightToLeft="1" view="pageBreakPreview" zoomScale="60" zoomScaleNormal="100" workbookViewId="0">
      <selection activeCell="Q11" sqref="Q11:Q12"/>
    </sheetView>
  </sheetViews>
  <sheetFormatPr defaultColWidth="8.85546875" defaultRowHeight="19.5" x14ac:dyDescent="0.55000000000000004"/>
  <cols>
    <col min="1" max="1" width="29.85546875" style="1" customWidth="1"/>
    <col min="2" max="2" width="1.42578125" style="1" customWidth="1"/>
    <col min="3" max="3" width="14.14062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8.85546875" style="1"/>
  </cols>
  <sheetData>
    <row r="1" spans="1:17" ht="19.899999999999999" customHeight="1" x14ac:dyDescent="0.55000000000000004">
      <c r="A1" s="47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9.899999999999999" customHeight="1" x14ac:dyDescent="0.55000000000000004">
      <c r="A2" s="4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9.899999999999999" customHeight="1" x14ac:dyDescent="0.55000000000000004">
      <c r="A3" s="4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5" spans="1:17" ht="21" x14ac:dyDescent="0.55000000000000004">
      <c r="A5" s="48" t="s">
        <v>39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7" spans="1:17" ht="21" x14ac:dyDescent="0.55000000000000004">
      <c r="C7" s="49" t="s">
        <v>59</v>
      </c>
      <c r="D7" s="50"/>
      <c r="E7" s="50"/>
      <c r="F7" s="50"/>
      <c r="G7" s="50"/>
      <c r="H7" s="50"/>
      <c r="I7" s="50"/>
      <c r="K7" s="49" t="s">
        <v>60</v>
      </c>
      <c r="L7" s="50"/>
      <c r="M7" s="50"/>
      <c r="N7" s="50"/>
      <c r="O7" s="50"/>
      <c r="P7" s="50"/>
      <c r="Q7" s="50"/>
    </row>
    <row r="8" spans="1:17" ht="42" x14ac:dyDescent="0.55000000000000004">
      <c r="A8" s="34" t="s">
        <v>25</v>
      </c>
      <c r="C8" s="13" t="s">
        <v>4</v>
      </c>
      <c r="E8" s="13" t="s">
        <v>6</v>
      </c>
      <c r="G8" s="13" t="s">
        <v>37</v>
      </c>
      <c r="I8" s="13" t="s">
        <v>40</v>
      </c>
      <c r="K8" s="13" t="s">
        <v>4</v>
      </c>
      <c r="M8" s="13" t="s">
        <v>6</v>
      </c>
      <c r="O8" s="13" t="s">
        <v>37</v>
      </c>
      <c r="Q8" s="13" t="s">
        <v>40</v>
      </c>
    </row>
    <row r="9" spans="1:17" ht="21" x14ac:dyDescent="0.55000000000000004">
      <c r="A9" s="16" t="s">
        <v>105</v>
      </c>
      <c r="C9" s="17">
        <v>4200000</v>
      </c>
      <c r="E9" s="17">
        <v>20583450426</v>
      </c>
      <c r="G9" s="17">
        <v>18174615774</v>
      </c>
      <c r="I9" s="17">
        <v>2408834652</v>
      </c>
      <c r="K9" s="17">
        <v>4200000</v>
      </c>
      <c r="M9" s="17">
        <v>20583450426</v>
      </c>
      <c r="O9" s="17">
        <v>14099676972</v>
      </c>
      <c r="Q9" s="17">
        <v>6483773454</v>
      </c>
    </row>
    <row r="10" spans="1:17" ht="21" x14ac:dyDescent="0.55000000000000004">
      <c r="A10" s="16" t="s">
        <v>104</v>
      </c>
      <c r="C10" s="17">
        <v>43438000</v>
      </c>
      <c r="E10" s="17">
        <v>26809583490</v>
      </c>
      <c r="G10" s="17">
        <v>23544566478</v>
      </c>
      <c r="I10" s="17">
        <v>3265017012</v>
      </c>
      <c r="K10" s="17">
        <v>43438000</v>
      </c>
      <c r="M10" s="17">
        <v>26809583490</v>
      </c>
      <c r="O10" s="17">
        <v>19235442148</v>
      </c>
      <c r="Q10" s="17">
        <v>7574141342</v>
      </c>
    </row>
    <row r="11" spans="1:17" ht="21" x14ac:dyDescent="0.55000000000000004">
      <c r="A11" s="16" t="s">
        <v>410</v>
      </c>
      <c r="C11" s="17"/>
      <c r="E11" s="17"/>
      <c r="G11" s="17"/>
      <c r="I11" s="17">
        <v>-1514329282</v>
      </c>
      <c r="K11" s="17"/>
      <c r="M11" s="17"/>
      <c r="O11" s="17"/>
      <c r="Q11" s="17">
        <v>-1539200676</v>
      </c>
    </row>
    <row r="12" spans="1:17" ht="21" x14ac:dyDescent="0.55000000000000004">
      <c r="A12" s="16" t="s">
        <v>411</v>
      </c>
      <c r="C12" s="17"/>
      <c r="E12" s="17"/>
      <c r="G12" s="17"/>
      <c r="I12" s="17">
        <v>-31274316</v>
      </c>
      <c r="K12" s="17"/>
      <c r="M12" s="17"/>
      <c r="O12" s="17"/>
      <c r="Q12" s="17">
        <v>19732428</v>
      </c>
    </row>
    <row r="13" spans="1:17" ht="21" x14ac:dyDescent="0.55000000000000004">
      <c r="A13" s="16" t="s">
        <v>103</v>
      </c>
      <c r="C13" s="17">
        <v>10800000</v>
      </c>
      <c r="E13" s="17">
        <v>6322744440</v>
      </c>
      <c r="G13" s="17">
        <v>5276434904</v>
      </c>
      <c r="I13" s="17">
        <v>1046309536</v>
      </c>
      <c r="K13" s="17">
        <v>10800000</v>
      </c>
      <c r="M13" s="17">
        <v>6322744440</v>
      </c>
      <c r="O13" s="17">
        <v>5353647820</v>
      </c>
      <c r="Q13" s="17">
        <v>969096620</v>
      </c>
    </row>
    <row r="14" spans="1:17" ht="21" x14ac:dyDescent="0.55000000000000004">
      <c r="A14" s="16" t="s">
        <v>102</v>
      </c>
      <c r="C14" s="17">
        <v>46000000</v>
      </c>
      <c r="E14" s="17">
        <v>67279875080</v>
      </c>
      <c r="G14" s="17">
        <v>55989059911</v>
      </c>
      <c r="I14" s="17">
        <v>11290815169</v>
      </c>
      <c r="K14" s="17">
        <v>46000000</v>
      </c>
      <c r="M14" s="17">
        <v>67279875080</v>
      </c>
      <c r="O14" s="17">
        <v>49120326737</v>
      </c>
      <c r="Q14" s="17">
        <v>18159548343</v>
      </c>
    </row>
    <row r="15" spans="1:17" ht="21" x14ac:dyDescent="0.55000000000000004">
      <c r="A15" s="16" t="s">
        <v>100</v>
      </c>
      <c r="C15" s="17">
        <v>4650000</v>
      </c>
      <c r="E15" s="17">
        <v>12190334631</v>
      </c>
      <c r="G15" s="17">
        <v>10174769464</v>
      </c>
      <c r="I15" s="17">
        <v>2015565167</v>
      </c>
      <c r="K15" s="17">
        <v>4650000</v>
      </c>
      <c r="M15" s="17">
        <v>12190334631</v>
      </c>
      <c r="O15" s="17">
        <v>10961135325</v>
      </c>
      <c r="Q15" s="17">
        <v>1229199306</v>
      </c>
    </row>
    <row r="16" spans="1:17" ht="21" x14ac:dyDescent="0.55000000000000004">
      <c r="A16" s="16" t="s">
        <v>98</v>
      </c>
      <c r="C16" s="17">
        <v>562500</v>
      </c>
      <c r="E16" s="17">
        <v>5542448119</v>
      </c>
      <c r="G16" s="17">
        <v>5654078494</v>
      </c>
      <c r="I16" s="17">
        <v>-111630375</v>
      </c>
      <c r="K16" s="17">
        <v>562500</v>
      </c>
      <c r="M16" s="17">
        <v>5542448119</v>
      </c>
      <c r="O16" s="17">
        <v>5123397825</v>
      </c>
      <c r="Q16" s="17">
        <v>419050294</v>
      </c>
    </row>
    <row r="17" spans="1:17" ht="21" x14ac:dyDescent="0.55000000000000004">
      <c r="A17" s="16" t="s">
        <v>97</v>
      </c>
      <c r="C17" s="17">
        <v>21941000</v>
      </c>
      <c r="E17" s="17">
        <v>37337944260</v>
      </c>
      <c r="G17" s="17">
        <v>28999499565</v>
      </c>
      <c r="I17" s="17">
        <v>8338444695</v>
      </c>
      <c r="K17" s="17">
        <v>21941000</v>
      </c>
      <c r="M17" s="17">
        <v>37337944260</v>
      </c>
      <c r="O17" s="17">
        <v>31479935446</v>
      </c>
      <c r="Q17" s="17">
        <v>5858008814</v>
      </c>
    </row>
    <row r="18" spans="1:17" ht="21" x14ac:dyDescent="0.55000000000000004">
      <c r="A18" s="16" t="s">
        <v>96</v>
      </c>
      <c r="C18" s="17">
        <v>350000</v>
      </c>
      <c r="E18" s="17">
        <v>13384730030</v>
      </c>
      <c r="G18" s="17">
        <v>10064594610</v>
      </c>
      <c r="I18" s="17">
        <v>3320135420</v>
      </c>
      <c r="K18" s="17">
        <v>350000</v>
      </c>
      <c r="M18" s="17">
        <v>13384730030</v>
      </c>
      <c r="O18" s="17">
        <v>8892159905</v>
      </c>
      <c r="Q18" s="17">
        <v>4492570125</v>
      </c>
    </row>
    <row r="19" spans="1:17" ht="21" x14ac:dyDescent="0.55000000000000004">
      <c r="A19" s="16" t="s">
        <v>95</v>
      </c>
      <c r="C19" s="17">
        <v>2250000</v>
      </c>
      <c r="E19" s="17">
        <v>30251831625</v>
      </c>
      <c r="G19" s="17">
        <v>21366053775</v>
      </c>
      <c r="I19" s="17">
        <v>8885777850</v>
      </c>
      <c r="K19" s="17">
        <v>2250000</v>
      </c>
      <c r="M19" s="17">
        <v>30251831625</v>
      </c>
      <c r="O19" s="17">
        <v>24682051805</v>
      </c>
      <c r="Q19" s="17">
        <v>5569779820</v>
      </c>
    </row>
    <row r="20" spans="1:17" ht="21" x14ac:dyDescent="0.55000000000000004">
      <c r="A20" s="16" t="s">
        <v>94</v>
      </c>
      <c r="C20" s="17">
        <v>3600000</v>
      </c>
      <c r="E20" s="17">
        <v>50724842400</v>
      </c>
      <c r="G20" s="17">
        <v>40151213280</v>
      </c>
      <c r="I20" s="17">
        <v>10573629120</v>
      </c>
      <c r="K20" s="17">
        <v>3600000</v>
      </c>
      <c r="M20" s="17">
        <v>50724842400</v>
      </c>
      <c r="O20" s="17">
        <v>36921858491</v>
      </c>
      <c r="Q20" s="17">
        <v>13802983909</v>
      </c>
    </row>
    <row r="21" spans="1:17" ht="21" x14ac:dyDescent="0.55000000000000004">
      <c r="A21" s="16" t="s">
        <v>92</v>
      </c>
      <c r="C21" s="17">
        <v>2300000</v>
      </c>
      <c r="E21" s="17">
        <v>18714212200</v>
      </c>
      <c r="G21" s="17">
        <v>18324515478</v>
      </c>
      <c r="I21" s="17">
        <v>389696722</v>
      </c>
      <c r="K21" s="17">
        <v>2300000</v>
      </c>
      <c r="M21" s="17">
        <v>18714212200</v>
      </c>
      <c r="O21" s="17">
        <v>18314144670</v>
      </c>
      <c r="Q21" s="17">
        <v>400067530</v>
      </c>
    </row>
    <row r="22" spans="1:17" ht="21" x14ac:dyDescent="0.55000000000000004">
      <c r="A22" s="16" t="s">
        <v>91</v>
      </c>
      <c r="C22" s="17">
        <v>1100000</v>
      </c>
      <c r="E22" s="17">
        <v>20640208270</v>
      </c>
      <c r="G22" s="17">
        <v>19981819031</v>
      </c>
      <c r="I22" s="17">
        <v>658389239</v>
      </c>
      <c r="K22" s="17">
        <v>1100000</v>
      </c>
      <c r="M22" s="17">
        <v>20640208270</v>
      </c>
      <c r="O22" s="17">
        <v>18985514881</v>
      </c>
      <c r="Q22" s="17">
        <v>1654693389</v>
      </c>
    </row>
    <row r="23" spans="1:17" ht="21" x14ac:dyDescent="0.55000000000000004">
      <c r="A23" s="16" t="s">
        <v>90</v>
      </c>
      <c r="C23" s="17">
        <v>1875000</v>
      </c>
      <c r="E23" s="17">
        <v>7871801944</v>
      </c>
      <c r="G23" s="17">
        <v>6295953150</v>
      </c>
      <c r="I23" s="17">
        <v>1575848794</v>
      </c>
      <c r="K23" s="17">
        <v>1875000</v>
      </c>
      <c r="M23" s="17">
        <v>7871801944</v>
      </c>
      <c r="O23" s="17">
        <v>6098945898</v>
      </c>
      <c r="Q23" s="17">
        <v>1772856046</v>
      </c>
    </row>
    <row r="24" spans="1:17" ht="21" x14ac:dyDescent="0.55000000000000004">
      <c r="A24" s="16" t="s">
        <v>89</v>
      </c>
      <c r="C24" s="17">
        <v>9600000</v>
      </c>
      <c r="E24" s="17">
        <v>99354010560</v>
      </c>
      <c r="G24" s="17">
        <v>85744238293</v>
      </c>
      <c r="I24" s="17">
        <v>13609772267</v>
      </c>
      <c r="K24" s="17">
        <v>9600000</v>
      </c>
      <c r="M24" s="17">
        <v>99354010560</v>
      </c>
      <c r="O24" s="17">
        <v>68433098885</v>
      </c>
      <c r="Q24" s="17">
        <v>30920911675</v>
      </c>
    </row>
    <row r="25" spans="1:17" ht="21" x14ac:dyDescent="0.55000000000000004">
      <c r="A25" s="16" t="s">
        <v>88</v>
      </c>
      <c r="C25" s="17">
        <v>700000</v>
      </c>
      <c r="E25" s="17">
        <v>14586369000</v>
      </c>
      <c r="G25" s="17">
        <v>11391619343</v>
      </c>
      <c r="I25" s="17">
        <v>3194749657</v>
      </c>
      <c r="K25" s="17">
        <v>700000</v>
      </c>
      <c r="M25" s="17">
        <v>14586369000</v>
      </c>
      <c r="O25" s="17">
        <v>13032733459</v>
      </c>
      <c r="Q25" s="17">
        <v>1553635541</v>
      </c>
    </row>
    <row r="26" spans="1:17" ht="21" x14ac:dyDescent="0.55000000000000004">
      <c r="A26" s="16" t="s">
        <v>87</v>
      </c>
      <c r="C26" s="17">
        <v>15890000</v>
      </c>
      <c r="E26" s="17">
        <v>61082017742</v>
      </c>
      <c r="G26" s="17">
        <v>47813065315</v>
      </c>
      <c r="I26" s="17">
        <v>13268952427</v>
      </c>
      <c r="K26" s="17">
        <v>15890000</v>
      </c>
      <c r="M26" s="17">
        <v>61082017742</v>
      </c>
      <c r="O26" s="17">
        <v>57721276053</v>
      </c>
      <c r="Q26" s="17">
        <v>3360741689</v>
      </c>
    </row>
    <row r="27" spans="1:17" ht="21" x14ac:dyDescent="0.55000000000000004">
      <c r="A27" s="16" t="s">
        <v>86</v>
      </c>
      <c r="C27" s="17">
        <v>267500</v>
      </c>
      <c r="E27" s="17">
        <v>7883337082</v>
      </c>
      <c r="G27" s="17">
        <v>7670727922</v>
      </c>
      <c r="I27" s="17">
        <v>212609160</v>
      </c>
      <c r="K27" s="17">
        <v>267500</v>
      </c>
      <c r="M27" s="17">
        <v>7883337082</v>
      </c>
      <c r="O27" s="17">
        <v>7670727922</v>
      </c>
      <c r="Q27" s="17">
        <v>212609160</v>
      </c>
    </row>
    <row r="28" spans="1:17" ht="21" x14ac:dyDescent="0.55000000000000004">
      <c r="A28" s="16" t="s">
        <v>85</v>
      </c>
      <c r="C28" s="17">
        <v>770000</v>
      </c>
      <c r="E28" s="17">
        <v>11712854307</v>
      </c>
      <c r="G28" s="17">
        <v>9957666283</v>
      </c>
      <c r="I28" s="17">
        <v>1755188024</v>
      </c>
      <c r="K28" s="17">
        <v>770000</v>
      </c>
      <c r="M28" s="17">
        <v>11712854307</v>
      </c>
      <c r="O28" s="17">
        <v>10215506031</v>
      </c>
      <c r="Q28" s="17">
        <v>1497348276</v>
      </c>
    </row>
    <row r="29" spans="1:17" ht="21" x14ac:dyDescent="0.55000000000000004">
      <c r="A29" s="16" t="s">
        <v>84</v>
      </c>
      <c r="C29" s="17">
        <v>11000000</v>
      </c>
      <c r="E29" s="17">
        <v>126504502300</v>
      </c>
      <c r="G29" s="17">
        <v>95178538400</v>
      </c>
      <c r="I29" s="17">
        <v>31325963900</v>
      </c>
      <c r="K29" s="17">
        <v>11000000</v>
      </c>
      <c r="M29" s="17">
        <v>126504502300</v>
      </c>
      <c r="O29" s="17">
        <v>64088961893</v>
      </c>
      <c r="Q29" s="17">
        <v>62415540407</v>
      </c>
    </row>
    <row r="30" spans="1:17" ht="21" x14ac:dyDescent="0.55000000000000004">
      <c r="A30" s="16" t="s">
        <v>83</v>
      </c>
      <c r="C30" s="17">
        <v>700000</v>
      </c>
      <c r="E30" s="17">
        <v>10557752800</v>
      </c>
      <c r="G30" s="17">
        <v>9425572730</v>
      </c>
      <c r="I30" s="17">
        <v>1132180070</v>
      </c>
      <c r="K30" s="17">
        <v>700000</v>
      </c>
      <c r="M30" s="17">
        <v>10557752800</v>
      </c>
      <c r="O30" s="17">
        <v>9935597718</v>
      </c>
      <c r="Q30" s="17">
        <v>622155082</v>
      </c>
    </row>
    <row r="31" spans="1:17" ht="21" x14ac:dyDescent="0.55000000000000004">
      <c r="A31" s="16" t="s">
        <v>82</v>
      </c>
      <c r="C31" s="17">
        <v>8650000</v>
      </c>
      <c r="E31" s="17">
        <v>53644596875</v>
      </c>
      <c r="G31" s="17">
        <v>44915548071</v>
      </c>
      <c r="I31" s="17">
        <v>8729048804</v>
      </c>
      <c r="K31" s="17">
        <v>8650000</v>
      </c>
      <c r="M31" s="17">
        <v>53644596875</v>
      </c>
      <c r="O31" s="17">
        <v>29804676739</v>
      </c>
      <c r="Q31" s="17">
        <v>23839920136</v>
      </c>
    </row>
    <row r="32" spans="1:17" ht="21" x14ac:dyDescent="0.55000000000000004">
      <c r="A32" s="16" t="s">
        <v>81</v>
      </c>
      <c r="C32" s="17">
        <v>4975000</v>
      </c>
      <c r="E32" s="17">
        <v>31939434827</v>
      </c>
      <c r="G32" s="17">
        <v>21312031734</v>
      </c>
      <c r="I32" s="17">
        <v>10627403093</v>
      </c>
      <c r="K32" s="17">
        <v>4975000</v>
      </c>
      <c r="M32" s="17">
        <v>31939434827</v>
      </c>
      <c r="O32" s="17">
        <v>18096236337</v>
      </c>
      <c r="Q32" s="17">
        <v>13843198490</v>
      </c>
    </row>
    <row r="33" spans="1:17" ht="21" x14ac:dyDescent="0.55000000000000004">
      <c r="A33" s="16" t="s">
        <v>80</v>
      </c>
      <c r="C33" s="17">
        <v>249000</v>
      </c>
      <c r="E33" s="17">
        <v>6559847356</v>
      </c>
      <c r="G33" s="17">
        <v>5121869518</v>
      </c>
      <c r="I33" s="17">
        <v>1437977838</v>
      </c>
      <c r="K33" s="17">
        <v>249000</v>
      </c>
      <c r="M33" s="17">
        <v>6559847356</v>
      </c>
      <c r="O33" s="17">
        <v>4319897537</v>
      </c>
      <c r="Q33" s="17">
        <v>2239949819</v>
      </c>
    </row>
    <row r="34" spans="1:17" ht="21" x14ac:dyDescent="0.55000000000000004">
      <c r="A34" s="16" t="s">
        <v>79</v>
      </c>
      <c r="C34" s="17">
        <v>5500000</v>
      </c>
      <c r="E34" s="17">
        <v>19919820250</v>
      </c>
      <c r="G34" s="17">
        <v>17016438230</v>
      </c>
      <c r="I34" s="17">
        <v>2903382020</v>
      </c>
      <c r="K34" s="17">
        <v>5500000</v>
      </c>
      <c r="M34" s="17">
        <v>19919820250</v>
      </c>
      <c r="O34" s="17">
        <v>11941275891</v>
      </c>
      <c r="Q34" s="17">
        <v>7978544359</v>
      </c>
    </row>
    <row r="35" spans="1:17" ht="21" x14ac:dyDescent="0.55000000000000004">
      <c r="A35" s="16" t="s">
        <v>78</v>
      </c>
      <c r="C35" s="17">
        <v>550000</v>
      </c>
      <c r="E35" s="17">
        <v>45826501545</v>
      </c>
      <c r="G35" s="17">
        <v>35719239325</v>
      </c>
      <c r="I35" s="17">
        <v>10107262220</v>
      </c>
      <c r="K35" s="17">
        <v>550000</v>
      </c>
      <c r="M35" s="17">
        <v>45826501545</v>
      </c>
      <c r="O35" s="17">
        <v>34201352980</v>
      </c>
      <c r="Q35" s="17">
        <v>11625148565</v>
      </c>
    </row>
    <row r="36" spans="1:17" ht="21" x14ac:dyDescent="0.55000000000000004">
      <c r="A36" s="16" t="s">
        <v>77</v>
      </c>
      <c r="C36" s="17">
        <v>1105454</v>
      </c>
      <c r="E36" s="17">
        <v>5279422250</v>
      </c>
      <c r="G36" s="17">
        <v>5136292617</v>
      </c>
      <c r="I36" s="17">
        <v>143129633</v>
      </c>
      <c r="K36" s="17">
        <v>1105454</v>
      </c>
      <c r="M36" s="17">
        <v>5279422250</v>
      </c>
      <c r="O36" s="17">
        <v>3579706030</v>
      </c>
      <c r="Q36" s="17">
        <v>1699716220</v>
      </c>
    </row>
    <row r="37" spans="1:17" ht="21" x14ac:dyDescent="0.55000000000000004">
      <c r="A37" s="16" t="s">
        <v>76</v>
      </c>
      <c r="C37" s="17">
        <v>200000</v>
      </c>
      <c r="E37" s="17">
        <v>12095771300</v>
      </c>
      <c r="G37" s="17">
        <v>8870893800</v>
      </c>
      <c r="I37" s="17">
        <v>3224877500</v>
      </c>
      <c r="K37" s="17">
        <v>200000</v>
      </c>
      <c r="M37" s="17">
        <v>12095771300</v>
      </c>
      <c r="O37" s="17">
        <v>10198953000</v>
      </c>
      <c r="Q37" s="17">
        <v>1896818300</v>
      </c>
    </row>
    <row r="38" spans="1:17" ht="21" x14ac:dyDescent="0.55000000000000004">
      <c r="A38" s="16" t="s">
        <v>75</v>
      </c>
      <c r="C38" s="17">
        <v>700000</v>
      </c>
      <c r="E38" s="17">
        <v>31270396780</v>
      </c>
      <c r="G38" s="17">
        <v>25283564512</v>
      </c>
      <c r="I38" s="17">
        <v>5986832268</v>
      </c>
      <c r="K38" s="17">
        <v>700000</v>
      </c>
      <c r="M38" s="17">
        <v>31270396780</v>
      </c>
      <c r="O38" s="17">
        <v>24410574066</v>
      </c>
      <c r="Q38" s="17">
        <v>6859822714</v>
      </c>
    </row>
    <row r="39" spans="1:17" ht="21" x14ac:dyDescent="0.55000000000000004">
      <c r="A39" s="16" t="s">
        <v>74</v>
      </c>
      <c r="C39" s="17">
        <v>500000</v>
      </c>
      <c r="E39" s="17">
        <v>25471570900</v>
      </c>
      <c r="G39" s="17">
        <v>20673945450</v>
      </c>
      <c r="I39" s="17">
        <v>4797625450</v>
      </c>
      <c r="K39" s="17">
        <v>500000</v>
      </c>
      <c r="M39" s="17">
        <v>25471570900</v>
      </c>
      <c r="O39" s="17">
        <v>16659272215</v>
      </c>
      <c r="Q39" s="17">
        <v>8812298685</v>
      </c>
    </row>
    <row r="40" spans="1:17" ht="21" x14ac:dyDescent="0.55000000000000004">
      <c r="A40" s="16" t="s">
        <v>73</v>
      </c>
      <c r="C40" s="17">
        <v>3000000</v>
      </c>
      <c r="E40" s="17">
        <v>9552583290</v>
      </c>
      <c r="G40" s="17">
        <v>7721845140</v>
      </c>
      <c r="I40" s="17">
        <v>1830738150</v>
      </c>
      <c r="K40" s="17">
        <v>3000000</v>
      </c>
      <c r="M40" s="17">
        <v>9552583290</v>
      </c>
      <c r="O40" s="17">
        <v>9391845064</v>
      </c>
      <c r="Q40" s="17">
        <v>160738226</v>
      </c>
    </row>
    <row r="41" spans="1:17" ht="21" x14ac:dyDescent="0.55000000000000004">
      <c r="A41" s="16" t="s">
        <v>72</v>
      </c>
      <c r="C41" s="17">
        <v>120000</v>
      </c>
      <c r="E41" s="17">
        <v>47041933068</v>
      </c>
      <c r="G41" s="17">
        <v>35685998280</v>
      </c>
      <c r="I41" s="17">
        <v>11355934788</v>
      </c>
      <c r="K41" s="17">
        <v>120000</v>
      </c>
      <c r="M41" s="17">
        <v>47041933068</v>
      </c>
      <c r="O41" s="17">
        <v>25691355258</v>
      </c>
      <c r="Q41" s="17">
        <v>21350577810</v>
      </c>
    </row>
    <row r="42" spans="1:17" ht="21" x14ac:dyDescent="0.55000000000000004">
      <c r="A42" s="16" t="s">
        <v>71</v>
      </c>
      <c r="C42" s="17">
        <v>1200000</v>
      </c>
      <c r="E42" s="17">
        <v>26124484560</v>
      </c>
      <c r="G42" s="17">
        <v>20143712489</v>
      </c>
      <c r="I42" s="17">
        <v>5980772071</v>
      </c>
      <c r="K42" s="17">
        <v>1200000</v>
      </c>
      <c r="M42" s="17">
        <v>26124484560</v>
      </c>
      <c r="O42" s="17">
        <v>23745399341</v>
      </c>
      <c r="Q42" s="17">
        <v>2379085219</v>
      </c>
    </row>
    <row r="43" spans="1:17" ht="21" x14ac:dyDescent="0.55000000000000004">
      <c r="A43" s="16" t="s">
        <v>70</v>
      </c>
      <c r="C43" s="17">
        <v>2000000</v>
      </c>
      <c r="E43" s="17">
        <v>16154155600</v>
      </c>
      <c r="G43" s="17">
        <v>15955701600</v>
      </c>
      <c r="I43" s="17">
        <v>198454000</v>
      </c>
      <c r="K43" s="17">
        <v>2000000</v>
      </c>
      <c r="M43" s="17">
        <v>16154155600</v>
      </c>
      <c r="O43" s="17">
        <v>10437525000</v>
      </c>
      <c r="Q43" s="17">
        <v>5716630600</v>
      </c>
    </row>
    <row r="44" spans="1:17" ht="21" x14ac:dyDescent="0.55000000000000004">
      <c r="A44" s="16" t="s">
        <v>68</v>
      </c>
      <c r="C44" s="17">
        <v>350000</v>
      </c>
      <c r="E44" s="17">
        <v>34764179450</v>
      </c>
      <c r="G44" s="17">
        <v>32402576850</v>
      </c>
      <c r="I44" s="17">
        <v>2361602600</v>
      </c>
      <c r="K44" s="17">
        <v>350000</v>
      </c>
      <c r="M44" s="17">
        <v>34764179450</v>
      </c>
      <c r="O44" s="17">
        <v>16628233734</v>
      </c>
      <c r="Q44" s="17">
        <v>18135945716</v>
      </c>
    </row>
    <row r="45" spans="1:17" ht="21" x14ac:dyDescent="0.55000000000000004">
      <c r="A45" s="16" t="s">
        <v>67</v>
      </c>
      <c r="C45" s="17">
        <v>5802960</v>
      </c>
      <c r="E45" s="17">
        <v>17746473813</v>
      </c>
      <c r="G45" s="17">
        <v>14280095736</v>
      </c>
      <c r="I45" s="17">
        <v>3466378077</v>
      </c>
      <c r="K45" s="17">
        <v>5802960</v>
      </c>
      <c r="M45" s="17">
        <v>17746473813</v>
      </c>
      <c r="O45" s="17">
        <v>18106932355</v>
      </c>
      <c r="Q45" s="17">
        <v>-360458542</v>
      </c>
    </row>
    <row r="46" spans="1:17" ht="21.75" thickBot="1" x14ac:dyDescent="0.6">
      <c r="A46" s="19" t="s">
        <v>9</v>
      </c>
      <c r="C46" s="26"/>
      <c r="E46" s="19">
        <f>SUM(E9:$E$45)</f>
        <v>1032726022570</v>
      </c>
      <c r="G46" s="19">
        <f>SUM(G9:$G$45)</f>
        <v>841418355552</v>
      </c>
      <c r="I46" s="19">
        <f>SUM(I9:$I$45)</f>
        <v>189762063420</v>
      </c>
      <c r="K46" s="26"/>
      <c r="M46" s="19">
        <f>SUM(M9:$M$45)</f>
        <v>1032726022570</v>
      </c>
      <c r="O46" s="19">
        <f>SUM(O9:$O$45)</f>
        <v>737579375431</v>
      </c>
      <c r="Q46" s="19">
        <f>SUM(Q9:$Q$45)</f>
        <v>293627178891</v>
      </c>
    </row>
    <row r="47" spans="1:17" ht="21.75" thickTop="1" x14ac:dyDescent="0.55000000000000004">
      <c r="C47" s="26"/>
      <c r="E47" s="21"/>
      <c r="G47" s="21"/>
      <c r="I47" s="21"/>
      <c r="K47" s="26"/>
      <c r="M47" s="21"/>
      <c r="O47" s="21"/>
      <c r="Q47" s="21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'0'!Print_Area</vt:lpstr>
      <vt:lpstr>'1'!Print_Area</vt:lpstr>
      <vt:lpstr>'2'!Print_Area</vt:lpstr>
      <vt:lpstr>'3'!Print_Area</vt:lpstr>
      <vt:lpstr>'5'!Print_Area</vt:lpstr>
      <vt:lpstr>'9'!Print_Area</vt:lpstr>
      <vt:lpstr>'5'!Print_Titles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Ghazal Nezakati</cp:lastModifiedBy>
  <dcterms:created xsi:type="dcterms:W3CDTF">2025-12-28T19:41:20Z</dcterms:created>
  <dcterms:modified xsi:type="dcterms:W3CDTF">2025-12-31T10:27:42Z</dcterms:modified>
</cp:coreProperties>
</file>